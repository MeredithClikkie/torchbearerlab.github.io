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eredithsmith/Desktop/TØPAnalysis/"/>
    </mc:Choice>
  </mc:AlternateContent>
  <xr:revisionPtr revIDLastSave="0" documentId="13_ncr:1_{61FE486A-B6ED-C640-B7BB-E9CE47866EA9}" xr6:coauthVersionLast="47" xr6:coauthVersionMax="47" xr10:uidLastSave="{00000000-0000-0000-0000-000000000000}"/>
  <bookViews>
    <workbookView xWindow="2560" yWindow="680" windowWidth="18100" windowHeight="20560" activeTab="1" xr2:uid="{246AB64F-7B8E-C24B-9482-C1E9C0915B42}"/>
  </bookViews>
  <sheets>
    <sheet name="City Walls" sheetId="1" r:id="rId1"/>
    <sheet name="The one" sheetId="3" r:id="rId2"/>
    <sheet name="City Walls (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N4243" i="3" l="1" a="1"/>
  <c r="N4243" i="3" s="1"/>
  <c r="J4059" i="3"/>
  <c r="N4273" i="3" s="1" a="1"/>
  <c r="N4273" i="3" s="1"/>
  <c r="N4044" i="3" a="1"/>
  <c r="N4044" i="3" s="1"/>
  <c r="N4045" i="3" a="1"/>
  <c r="N4045" i="3" s="1"/>
  <c r="N4054" i="3" a="1"/>
  <c r="N4054" i="3" s="1"/>
  <c r="N4055" i="3" a="1"/>
  <c r="N4055" i="3" s="1"/>
  <c r="N4056" i="3" a="1"/>
  <c r="N4056" i="3" s="1"/>
  <c r="J3999" i="3"/>
  <c r="N3827" i="3" a="1"/>
  <c r="N3827" i="3" s="1"/>
  <c r="N3829" i="3" a="1"/>
  <c r="N3829" i="3" s="1"/>
  <c r="N3830" i="3" a="1"/>
  <c r="N3830" i="3" s="1"/>
  <c r="N3901" i="3" a="1"/>
  <c r="N3901" i="3" s="1"/>
  <c r="N3903" i="3" a="1"/>
  <c r="N3903" i="3" s="1"/>
  <c r="N3904" i="3" a="1"/>
  <c r="N3904" i="3" s="1"/>
  <c r="N3933" i="3" a="1"/>
  <c r="N3933" i="3" s="1"/>
  <c r="N3934" i="3" a="1"/>
  <c r="N3934" i="3" s="1"/>
  <c r="N3935" i="3" a="1"/>
  <c r="N3935" i="3" s="1"/>
  <c r="N3964" i="3" a="1"/>
  <c r="N3964" i="3" s="1"/>
  <c r="N3997" i="3" a="1"/>
  <c r="N3997" i="3" s="1"/>
  <c r="J3653" i="3"/>
  <c r="N3471" i="3" a="1"/>
  <c r="N3471" i="3" s="1"/>
  <c r="N3476" i="3" a="1"/>
  <c r="N3476" i="3" s="1"/>
  <c r="N3493" i="3" a="1"/>
  <c r="N3493" i="3" s="1"/>
  <c r="N3494" i="3" a="1"/>
  <c r="N3494" i="3" s="1"/>
  <c r="N3495" i="3" a="1"/>
  <c r="N3495" i="3" s="1"/>
  <c r="N3512" i="3" a="1"/>
  <c r="N3512" i="3" s="1"/>
  <c r="N3513" i="3" a="1"/>
  <c r="N3513" i="3" s="1"/>
  <c r="N3516" i="3" a="1"/>
  <c r="N3516" i="3" s="1"/>
  <c r="N3532" i="3" a="1"/>
  <c r="N3532" i="3" s="1"/>
  <c r="N3535" i="3" a="1"/>
  <c r="N3535" i="3" s="1"/>
  <c r="N3536" i="3" a="1"/>
  <c r="N3536" i="3" s="1"/>
  <c r="N3552" i="3" a="1"/>
  <c r="N3552" i="3" s="1"/>
  <c r="N3553" i="3" a="1"/>
  <c r="N3553" i="3" s="1"/>
  <c r="N3554" i="3" a="1"/>
  <c r="N3554" i="3" s="1"/>
  <c r="N3573" i="3" a="1"/>
  <c r="N3573" i="3" s="1"/>
  <c r="N3574" i="3" a="1"/>
  <c r="N3574" i="3" s="1"/>
  <c r="N3575" i="3" a="1"/>
  <c r="N3575" i="3" s="1"/>
  <c r="N3587" i="3" a="1"/>
  <c r="N3587" i="3" s="1"/>
  <c r="N3588" i="3" a="1"/>
  <c r="N3588" i="3" s="1"/>
  <c r="N3590" i="3" a="1"/>
  <c r="N3590" i="3" s="1"/>
  <c r="N3602" i="3" a="1"/>
  <c r="N3602" i="3" s="1"/>
  <c r="N3603" i="3" a="1"/>
  <c r="N3603" i="3" s="1"/>
  <c r="N3604" i="3" a="1"/>
  <c r="N3604" i="3" s="1"/>
  <c r="N3617" i="3" a="1"/>
  <c r="N3617" i="3" s="1"/>
  <c r="N3618" i="3" a="1"/>
  <c r="N3618" i="3" s="1"/>
  <c r="N3622" i="3" a="1"/>
  <c r="N3622" i="3" s="1"/>
  <c r="N3634" i="3" a="1"/>
  <c r="N3634" i="3" s="1"/>
  <c r="N3635" i="3" a="1"/>
  <c r="N3635" i="3" s="1"/>
  <c r="N3636" i="3" a="1"/>
  <c r="N3636" i="3" s="1"/>
  <c r="N3648" i="3" a="1"/>
  <c r="N3648" i="3" s="1"/>
  <c r="N3651" i="3" a="1"/>
  <c r="N3651" i="3" s="1"/>
  <c r="J3362" i="3"/>
  <c r="J3167" i="3"/>
  <c r="N3249" i="3" s="1" a="1"/>
  <c r="N3249" i="3" s="1"/>
  <c r="N3246" i="3" a="1"/>
  <c r="N3246" i="3" s="1"/>
  <c r="N3247" i="3" a="1"/>
  <c r="N3247" i="3" s="1"/>
  <c r="N3248" i="3" a="1"/>
  <c r="N3248" i="3" s="1"/>
  <c r="N3250" i="3" a="1"/>
  <c r="N3250" i="3" s="1"/>
  <c r="N3252" i="3" a="1"/>
  <c r="N3252" i="3" s="1"/>
  <c r="N3253" i="3" a="1"/>
  <c r="N3253" i="3" s="1"/>
  <c r="N3255" i="3" a="1"/>
  <c r="N3255" i="3" s="1"/>
  <c r="N3256" i="3" a="1"/>
  <c r="N3256" i="3" s="1"/>
  <c r="N3257" i="3" a="1"/>
  <c r="N3257" i="3" s="1"/>
  <c r="N3258" i="3" a="1"/>
  <c r="N3258" i="3" s="1"/>
  <c r="N3260" i="3" a="1"/>
  <c r="N3260" i="3" s="1"/>
  <c r="N3262" i="3" a="1"/>
  <c r="N3262" i="3" s="1"/>
  <c r="N3263" i="3" a="1"/>
  <c r="N3263" i="3" s="1"/>
  <c r="N3265" i="3" a="1"/>
  <c r="N3265" i="3" s="1"/>
  <c r="N3266" i="3" a="1"/>
  <c r="N3266" i="3" s="1"/>
  <c r="N3267" i="3" a="1"/>
  <c r="N3267" i="3" s="1"/>
  <c r="N3268" i="3" a="1"/>
  <c r="N3268" i="3" s="1"/>
  <c r="N3270" i="3" a="1"/>
  <c r="N3270" i="3" s="1"/>
  <c r="N3272" i="3" a="1"/>
  <c r="N3272" i="3" s="1"/>
  <c r="N3273" i="3" a="1"/>
  <c r="N3273" i="3" s="1"/>
  <c r="N3275" i="3" a="1"/>
  <c r="N3275" i="3" s="1"/>
  <c r="N3276" i="3" a="1"/>
  <c r="N3276" i="3" s="1"/>
  <c r="N3277" i="3" a="1"/>
  <c r="N3277" i="3" s="1"/>
  <c r="N3278" i="3" a="1"/>
  <c r="N3278" i="3" s="1"/>
  <c r="N3280" i="3" a="1"/>
  <c r="N3280" i="3" s="1"/>
  <c r="N3282" i="3" a="1"/>
  <c r="N3282" i="3" s="1"/>
  <c r="N3283" i="3" a="1"/>
  <c r="N3283" i="3" s="1"/>
  <c r="N3285" i="3" a="1"/>
  <c r="N3285" i="3" s="1"/>
  <c r="N3286" i="3" a="1"/>
  <c r="N3286" i="3" s="1"/>
  <c r="N3287" i="3" a="1"/>
  <c r="N3287" i="3" s="1"/>
  <c r="N3288" i="3" a="1"/>
  <c r="N3288" i="3" s="1"/>
  <c r="N3290" i="3" a="1"/>
  <c r="N3290" i="3" s="1"/>
  <c r="N3292" i="3" a="1"/>
  <c r="N3292" i="3" s="1"/>
  <c r="N3293" i="3" a="1"/>
  <c r="N3293" i="3" s="1"/>
  <c r="N3295" i="3" a="1"/>
  <c r="N3295" i="3" s="1"/>
  <c r="N3296" i="3" a="1"/>
  <c r="N3296" i="3" s="1"/>
  <c r="N3297" i="3" a="1"/>
  <c r="N3297" i="3" s="1"/>
  <c r="N3298" i="3" a="1"/>
  <c r="N3298" i="3" s="1"/>
  <c r="N3300" i="3" a="1"/>
  <c r="N3300" i="3" s="1"/>
  <c r="N3302" i="3" a="1"/>
  <c r="N3302" i="3" s="1"/>
  <c r="N3303" i="3" a="1"/>
  <c r="N3303" i="3" s="1"/>
  <c r="N3305" i="3" a="1"/>
  <c r="N3305" i="3" s="1"/>
  <c r="N3306" i="3" a="1"/>
  <c r="N3306" i="3" s="1"/>
  <c r="N3307" i="3" a="1"/>
  <c r="N3307" i="3" s="1"/>
  <c r="N3308" i="3" a="1"/>
  <c r="N3308" i="3" s="1"/>
  <c r="N3310" i="3" a="1"/>
  <c r="N3310" i="3" s="1"/>
  <c r="N3312" i="3" a="1"/>
  <c r="N3312" i="3" s="1"/>
  <c r="N3313" i="3" a="1"/>
  <c r="N3313" i="3" s="1"/>
  <c r="N3315" i="3" a="1"/>
  <c r="N3315" i="3" s="1"/>
  <c r="N3316" i="3" a="1"/>
  <c r="N3316" i="3" s="1"/>
  <c r="N3317" i="3" a="1"/>
  <c r="N3317" i="3" s="1"/>
  <c r="N3318" i="3" a="1"/>
  <c r="N3318" i="3" s="1"/>
  <c r="N3320" i="3" a="1"/>
  <c r="N3320" i="3" s="1"/>
  <c r="N3322" i="3" a="1"/>
  <c r="N3322" i="3" s="1"/>
  <c r="N3323" i="3" a="1"/>
  <c r="N3323" i="3" s="1"/>
  <c r="N3325" i="3" a="1"/>
  <c r="N3325" i="3" s="1"/>
  <c r="N3326" i="3" a="1"/>
  <c r="N3326" i="3" s="1"/>
  <c r="N3327" i="3" a="1"/>
  <c r="N3327" i="3" s="1"/>
  <c r="N3328" i="3" a="1"/>
  <c r="N3328" i="3" s="1"/>
  <c r="N3330" i="3" a="1"/>
  <c r="N3330" i="3" s="1"/>
  <c r="N3332" i="3" a="1"/>
  <c r="N3332" i="3" s="1"/>
  <c r="N3333" i="3" a="1"/>
  <c r="N3333" i="3" s="1"/>
  <c r="N3335" i="3" a="1"/>
  <c r="N3335" i="3" s="1"/>
  <c r="N3336" i="3" a="1"/>
  <c r="N3336" i="3" s="1"/>
  <c r="N3337" i="3" a="1"/>
  <c r="N3337" i="3" s="1"/>
  <c r="N3338" i="3" a="1"/>
  <c r="N3338" i="3" s="1"/>
  <c r="N3340" i="3" a="1"/>
  <c r="N3340" i="3" s="1"/>
  <c r="N3342" i="3" a="1"/>
  <c r="N3342" i="3" s="1"/>
  <c r="N3343" i="3" a="1"/>
  <c r="N3343" i="3" s="1"/>
  <c r="N3345" i="3" a="1"/>
  <c r="N3345" i="3" s="1"/>
  <c r="N3346" i="3" a="1"/>
  <c r="N3346" i="3" s="1"/>
  <c r="N3347" i="3" a="1"/>
  <c r="N3347" i="3" s="1"/>
  <c r="N3348" i="3" a="1"/>
  <c r="N3348" i="3" s="1"/>
  <c r="N3350" i="3" a="1"/>
  <c r="N3350" i="3" s="1"/>
  <c r="N3352" i="3" a="1"/>
  <c r="N3352" i="3" s="1"/>
  <c r="N3353" i="3" a="1"/>
  <c r="N3353" i="3" s="1"/>
  <c r="N3355" i="3" a="1"/>
  <c r="N3355" i="3" s="1"/>
  <c r="N3356" i="3" a="1"/>
  <c r="N3356" i="3" s="1"/>
  <c r="N3357" i="3" a="1"/>
  <c r="N3357" i="3" s="1"/>
  <c r="N3358" i="3" a="1"/>
  <c r="N3358" i="3" s="1"/>
  <c r="N3360" i="3" a="1"/>
  <c r="N3360" i="3" s="1"/>
  <c r="K3167" i="3" a="1"/>
  <c r="N3065" i="3" a="1"/>
  <c r="N3065" i="3" s="1"/>
  <c r="N3067" i="3" a="1"/>
  <c r="N3067" i="3" s="1"/>
  <c r="N3072" i="3" a="1"/>
  <c r="N3072" i="3" s="1"/>
  <c r="N3073" i="3" a="1"/>
  <c r="N3073" i="3" s="1"/>
  <c r="N3074" i="3" a="1"/>
  <c r="N3074" i="3" s="1"/>
  <c r="N3075" i="3" a="1"/>
  <c r="N3075" i="3" s="1"/>
  <c r="N3077" i="3" a="1"/>
  <c r="N3077" i="3" s="1"/>
  <c r="N3079" i="3" a="1"/>
  <c r="N3079" i="3" s="1"/>
  <c r="N3080" i="3" a="1"/>
  <c r="N3080" i="3" s="1"/>
  <c r="N3082" i="3" a="1"/>
  <c r="N3082" i="3" s="1"/>
  <c r="N3085" i="3" a="1"/>
  <c r="N3085" i="3" s="1"/>
  <c r="N3087" i="3" a="1"/>
  <c r="N3087" i="3" s="1"/>
  <c r="N3089" i="3" a="1"/>
  <c r="N3089" i="3" s="1"/>
  <c r="N3090" i="3" a="1"/>
  <c r="N3090" i="3" s="1"/>
  <c r="N3092" i="3" a="1"/>
  <c r="N3092" i="3" s="1"/>
  <c r="N3093" i="3" a="1"/>
  <c r="N3093" i="3" s="1"/>
  <c r="N3094" i="3" a="1"/>
  <c r="N3094" i="3" s="1"/>
  <c r="N3095" i="3" a="1"/>
  <c r="N3095" i="3" s="1"/>
  <c r="N3100" i="3" a="1"/>
  <c r="N3100" i="3" s="1"/>
  <c r="N3102" i="3" a="1"/>
  <c r="N3102" i="3" s="1"/>
  <c r="N3103" i="3" a="1"/>
  <c r="N3103" i="3" s="1"/>
  <c r="N3104" i="3" a="1"/>
  <c r="N3104" i="3" s="1"/>
  <c r="N3105" i="3" a="1"/>
  <c r="N3105" i="3" s="1"/>
  <c r="N3107" i="3" a="1"/>
  <c r="N3107" i="3" s="1"/>
  <c r="N3109" i="3" a="1"/>
  <c r="N3109" i="3" s="1"/>
  <c r="N3110" i="3" a="1"/>
  <c r="N3110" i="3" s="1"/>
  <c r="N3114" i="3" a="1"/>
  <c r="N3114" i="3" s="1"/>
  <c r="N3115" i="3" a="1"/>
  <c r="N3115" i="3" s="1"/>
  <c r="N3117" i="3" a="1"/>
  <c r="N3117" i="3" s="1"/>
  <c r="N3119" i="3" a="1"/>
  <c r="N3119" i="3" s="1"/>
  <c r="N3120" i="3" a="1"/>
  <c r="N3120" i="3" s="1"/>
  <c r="N3121" i="3" a="1"/>
  <c r="N3121" i="3" s="1"/>
  <c r="N3122" i="3" a="1"/>
  <c r="N3122" i="3" s="1"/>
  <c r="N3123" i="3" a="1"/>
  <c r="N3123" i="3" s="1"/>
  <c r="N3127" i="3" a="1"/>
  <c r="N3127" i="3" s="1"/>
  <c r="N3128" i="3" a="1"/>
  <c r="N3128" i="3" s="1"/>
  <c r="N3129" i="3" a="1"/>
  <c r="N3129" i="3" s="1"/>
  <c r="N3130" i="3" a="1"/>
  <c r="N3130" i="3" s="1"/>
  <c r="N3131" i="3" a="1"/>
  <c r="N3131" i="3" s="1"/>
  <c r="N3132" i="3" a="1"/>
  <c r="N3132" i="3" s="1"/>
  <c r="N3133" i="3" a="1"/>
  <c r="N3133" i="3" s="1"/>
  <c r="N3134" i="3" a="1"/>
  <c r="N3134" i="3" s="1"/>
  <c r="N3138" i="3" a="1"/>
  <c r="N3138" i="3" s="1"/>
  <c r="N3139" i="3" a="1"/>
  <c r="N3139" i="3" s="1"/>
  <c r="N3140" i="3" a="1"/>
  <c r="N3140" i="3" s="1"/>
  <c r="N3141" i="3" a="1"/>
  <c r="N3141" i="3" s="1"/>
  <c r="N3142" i="3" a="1"/>
  <c r="N3142" i="3" s="1"/>
  <c r="N3143" i="3" a="1"/>
  <c r="N3143" i="3" s="1"/>
  <c r="N3144" i="3" a="1"/>
  <c r="N3144" i="3" s="1"/>
  <c r="N3145" i="3" a="1"/>
  <c r="N3145" i="3" s="1"/>
  <c r="N3149" i="3" a="1"/>
  <c r="N3149" i="3" s="1"/>
  <c r="N3150" i="3" a="1"/>
  <c r="N3150" i="3" s="1"/>
  <c r="N3151" i="3" a="1"/>
  <c r="N3151" i="3" s="1"/>
  <c r="N3152" i="3" a="1"/>
  <c r="N3152" i="3" s="1"/>
  <c r="N3153" i="3" a="1"/>
  <c r="N3153" i="3" s="1"/>
  <c r="N3154" i="3" a="1"/>
  <c r="N3154" i="3" s="1"/>
  <c r="N3155" i="3" a="1"/>
  <c r="N3155" i="3" s="1"/>
  <c r="N3157" i="3" a="1"/>
  <c r="N3157" i="3" s="1"/>
  <c r="N3160" i="3" a="1"/>
  <c r="N3160" i="3" s="1"/>
  <c r="N3161" i="3" a="1"/>
  <c r="N3161" i="3" s="1"/>
  <c r="N3162" i="3" a="1"/>
  <c r="N3162" i="3" s="1"/>
  <c r="N3163" i="3" a="1"/>
  <c r="N3163" i="3" s="1"/>
  <c r="N3164" i="3" a="1"/>
  <c r="N3164" i="3" s="1"/>
  <c r="N3165" i="3" a="1"/>
  <c r="N3165" i="3" s="1"/>
  <c r="J2990" i="3"/>
  <c r="J2448" i="3"/>
  <c r="M2232" i="3" a="1"/>
  <c r="M2232" i="3" s="1"/>
  <c r="J2232" i="3"/>
  <c r="K2232" i="3" s="1" a="1"/>
  <c r="K2232" i="3" s="1"/>
  <c r="L2232" i="3" s="1"/>
  <c r="J1780" i="3"/>
  <c r="N1992" i="3" s="1" a="1"/>
  <c r="N1992" i="3" s="1"/>
  <c r="J1387" i="3"/>
  <c r="K1387" i="3" s="1" a="1"/>
  <c r="K1387" i="3" s="1"/>
  <c r="L1387" i="3" s="1"/>
  <c r="J1170" i="3"/>
  <c r="N1317" i="3" s="1" a="1"/>
  <c r="N1317" i="3" s="1"/>
  <c r="J852" i="3"/>
  <c r="K852" i="3" s="1" a="1"/>
  <c r="K852" i="3" s="1"/>
  <c r="L852" i="3" s="1"/>
  <c r="J423" i="3"/>
  <c r="K423" i="3" s="1" a="1"/>
  <c r="K423" i="3" s="1"/>
  <c r="L423" i="3" s="1"/>
  <c r="N1989" i="3" a="1"/>
  <c r="N1989" i="3" s="1"/>
  <c r="N1973" i="3" a="1"/>
  <c r="N1973" i="3" s="1"/>
  <c r="N1957" i="3" a="1"/>
  <c r="N1957" i="3" s="1"/>
  <c r="N1915" i="3" a="1"/>
  <c r="N1915" i="3" s="1"/>
  <c r="N1911" i="3" a="1"/>
  <c r="N1911" i="3" s="1"/>
  <c r="N1982" i="3" a="1"/>
  <c r="N1982" i="3" s="1"/>
  <c r="N1371" i="3" a="1"/>
  <c r="N1371" i="3" s="1"/>
  <c r="N1359" i="3" a="1"/>
  <c r="N1359" i="3" s="1"/>
  <c r="N1344" i="3" a="1"/>
  <c r="N1344" i="3" s="1"/>
  <c r="N1343" i="3" a="1"/>
  <c r="N1343" i="3" s="1"/>
  <c r="N1338" i="3" a="1"/>
  <c r="N1338" i="3" s="1"/>
  <c r="N1323" i="3" a="1"/>
  <c r="N1323" i="3" s="1"/>
  <c r="N1311" i="3" a="1"/>
  <c r="N1311" i="3" s="1"/>
  <c r="N1289" i="3" a="1"/>
  <c r="N1289" i="3" s="1"/>
  <c r="N1288" i="3" a="1"/>
  <c r="N1288" i="3" s="1"/>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N1107" i="3" a="1"/>
  <c r="N1107" i="3" s="1"/>
  <c r="N1103" i="3" a="1"/>
  <c r="N1103" i="3" s="1"/>
  <c r="N1015" i="3" a="1"/>
  <c r="N1015" i="3" s="1"/>
  <c r="N807" i="3" a="1"/>
  <c r="N807" i="3" s="1"/>
  <c r="N744" i="3" a="1"/>
  <c r="N744" i="3" s="1"/>
  <c r="N738" i="3" a="1"/>
  <c r="N738" i="3" s="1"/>
  <c r="N732" i="3" a="1"/>
  <c r="N732" i="3" s="1"/>
  <c r="N701" i="3" a="1"/>
  <c r="N701" i="3" s="1"/>
  <c r="N691" i="3" a="1"/>
  <c r="N691" i="3" s="1"/>
  <c r="N671" i="3" a="1"/>
  <c r="N671" i="3" s="1"/>
  <c r="N657" i="3" a="1"/>
  <c r="N657" i="3" s="1"/>
  <c r="N587" i="3" a="1"/>
  <c r="N587" i="3" s="1"/>
  <c r="N568" i="3" a="1"/>
  <c r="N568" i="3" s="1"/>
  <c r="N564" i="3" a="1"/>
  <c r="N564" i="3" s="1"/>
  <c r="N555" i="3" a="1"/>
  <c r="N555" i="3" s="1"/>
  <c r="N551" i="3" a="1"/>
  <c r="N551" i="3" s="1"/>
  <c r="N840" i="3" a="1"/>
  <c r="N840" i="3" s="1"/>
  <c r="L422" i="3"/>
  <c r="J2" i="3"/>
  <c r="N313" i="3" s="1" a="1"/>
  <c r="N313" i="3" s="1"/>
  <c r="O2" i="2" a="1"/>
  <c r="O2" i="2" s="1"/>
  <c r="K2" i="2" a="1"/>
  <c r="K2" i="2" s="1"/>
  <c r="L2" i="2" s="1" a="1"/>
  <c r="L2" i="2" s="1"/>
  <c r="J2" i="2"/>
  <c r="N362" i="2" s="1" a="1"/>
  <c r="N362" i="2" s="1"/>
  <c r="J423" i="2"/>
  <c r="N753" i="2" s="1" a="1"/>
  <c r="N753" i="2" s="1"/>
  <c r="J852" i="2"/>
  <c r="N1153" i="2" s="1" a="1"/>
  <c r="N1153" i="2" s="1"/>
  <c r="J1170" i="2"/>
  <c r="N1379" i="2" s="1" a="1"/>
  <c r="N1379" i="2" s="1"/>
  <c r="J1387" i="2"/>
  <c r="N1662" i="2" s="1" a="1"/>
  <c r="N1662" i="2" s="1"/>
  <c r="J1780" i="2"/>
  <c r="J2232" i="2"/>
  <c r="N2433" i="2" s="1" a="1"/>
  <c r="N2433" i="2" s="1"/>
  <c r="M1264" i="2"/>
  <c r="M1263" i="2"/>
  <c r="M1262" i="2"/>
  <c r="M1261" i="2"/>
  <c r="M1260" i="2"/>
  <c r="M1259" i="2"/>
  <c r="M1258" i="2"/>
  <c r="M1257" i="2"/>
  <c r="M1256" i="2"/>
  <c r="M1255" i="2"/>
  <c r="M1254" i="2"/>
  <c r="M1253" i="2"/>
  <c r="M1252" i="2"/>
  <c r="M1251" i="2"/>
  <c r="M1250" i="2"/>
  <c r="M1249" i="2"/>
  <c r="M1248" i="2"/>
  <c r="M1247" i="2"/>
  <c r="M1246" i="2"/>
  <c r="M1245" i="2"/>
  <c r="M1244" i="2"/>
  <c r="M1243" i="2"/>
  <c r="M1242" i="2"/>
  <c r="M1241" i="2"/>
  <c r="M1240" i="2"/>
  <c r="M1239" i="2"/>
  <c r="M1238" i="2"/>
  <c r="M1237" i="2"/>
  <c r="M1236" i="2"/>
  <c r="M1235" i="2"/>
  <c r="M1234" i="2"/>
  <c r="M1233" i="2"/>
  <c r="M1232" i="2"/>
  <c r="M1231" i="2"/>
  <c r="M1230" i="2"/>
  <c r="M1229" i="2"/>
  <c r="M1228" i="2"/>
  <c r="M1227" i="2"/>
  <c r="M1226" i="2"/>
  <c r="M1225" i="2"/>
  <c r="M1224" i="2"/>
  <c r="M1223" i="2"/>
  <c r="M1222" i="2"/>
  <c r="M1221" i="2"/>
  <c r="M1220" i="2"/>
  <c r="M1219" i="2"/>
  <c r="M1218" i="2"/>
  <c r="M1217" i="2"/>
  <c r="M1216" i="2"/>
  <c r="M1215" i="2"/>
  <c r="M1214" i="2"/>
  <c r="M1213" i="2"/>
  <c r="M1212" i="2"/>
  <c r="M1211" i="2"/>
  <c r="M1210" i="2"/>
  <c r="N1143" i="2" a="1"/>
  <c r="N1143" i="2" s="1"/>
  <c r="N1140" i="2" a="1"/>
  <c r="N1140" i="2" s="1"/>
  <c r="N1138" i="2" a="1"/>
  <c r="N1138" i="2" s="1"/>
  <c r="N1068" i="2" a="1"/>
  <c r="N1068" i="2" s="1"/>
  <c r="N1038" i="2" a="1"/>
  <c r="N1038" i="2" s="1"/>
  <c r="N1036" i="2" a="1"/>
  <c r="N1036" i="2" s="1"/>
  <c r="N1032" i="2" a="1"/>
  <c r="N1032" i="2" s="1"/>
  <c r="N979" i="2" a="1"/>
  <c r="N979" i="2" s="1"/>
  <c r="N969" i="2" a="1"/>
  <c r="N969" i="2" s="1"/>
  <c r="N960" i="2" a="1"/>
  <c r="N960" i="2" s="1"/>
  <c r="N956" i="2" a="1"/>
  <c r="N956" i="2" s="1"/>
  <c r="N843" i="2" a="1"/>
  <c r="N843" i="2" s="1"/>
  <c r="N782" i="2" a="1"/>
  <c r="N782" i="2" s="1"/>
  <c r="N778" i="2" a="1"/>
  <c r="N778" i="2" s="1"/>
  <c r="N696" i="2" a="1"/>
  <c r="N696" i="2" s="1"/>
  <c r="N642" i="2" a="1"/>
  <c r="N642" i="2" s="1"/>
  <c r="N581" i="2" a="1"/>
  <c r="N581" i="2" s="1"/>
  <c r="N566" i="2" a="1"/>
  <c r="N566" i="2" s="1"/>
  <c r="N564" i="2" a="1"/>
  <c r="N564" i="2" s="1"/>
  <c r="N555" i="2" a="1"/>
  <c r="N555" i="2" s="1"/>
  <c r="M422" i="2"/>
  <c r="N418" i="2" a="1"/>
  <c r="N418" i="2" s="1"/>
  <c r="N412" i="2" a="1"/>
  <c r="N412" i="2" s="1"/>
  <c r="N401" i="2" a="1"/>
  <c r="N401" i="2" s="1"/>
  <c r="N393" i="2" a="1"/>
  <c r="N393" i="2" s="1"/>
  <c r="N387" i="2" a="1"/>
  <c r="N387" i="2" s="1"/>
  <c r="N374" i="2" a="1"/>
  <c r="N374" i="2" s="1"/>
  <c r="N367" i="2" a="1"/>
  <c r="N367" i="2" s="1"/>
  <c r="N356" i="2" a="1"/>
  <c r="N356" i="2" s="1"/>
  <c r="N354" i="2" a="1"/>
  <c r="N354" i="2" s="1"/>
  <c r="N348" i="2" a="1"/>
  <c r="N348" i="2" s="1"/>
  <c r="N337" i="2" a="1"/>
  <c r="N337" i="2" s="1"/>
  <c r="N336" i="2" a="1"/>
  <c r="N336" i="2" s="1"/>
  <c r="N330" i="2" a="1"/>
  <c r="N330" i="2" s="1"/>
  <c r="N325" i="2" a="1"/>
  <c r="N325" i="2" s="1"/>
  <c r="N292" i="2" a="1"/>
  <c r="N292" i="2" s="1"/>
  <c r="N288" i="2" a="1"/>
  <c r="N288" i="2" s="1"/>
  <c r="N287" i="2" a="1"/>
  <c r="N287" i="2" s="1"/>
  <c r="N283" i="2" a="1"/>
  <c r="N283" i="2" s="1"/>
  <c r="N282" i="2" a="1"/>
  <c r="N282" i="2" s="1"/>
  <c r="N278" i="2" a="1"/>
  <c r="N278" i="2" s="1"/>
  <c r="N277" i="2" a="1"/>
  <c r="N277" i="2" s="1"/>
  <c r="N273" i="2" a="1"/>
  <c r="N273" i="2" s="1"/>
  <c r="N263" i="2" a="1"/>
  <c r="N263" i="2" s="1"/>
  <c r="N258" i="2" a="1"/>
  <c r="N258" i="2" s="1"/>
  <c r="N257" i="2" a="1"/>
  <c r="N257" i="2" s="1"/>
  <c r="N247" i="2" a="1"/>
  <c r="N247" i="2" s="1"/>
  <c r="N242" i="2" a="1"/>
  <c r="N242" i="2" s="1"/>
  <c r="N238" i="2" a="1"/>
  <c r="N238" i="2" s="1"/>
  <c r="N237" i="2" a="1"/>
  <c r="N237" i="2" s="1"/>
  <c r="N233" i="2" a="1"/>
  <c r="N233" i="2" s="1"/>
  <c r="N220" i="2" a="1"/>
  <c r="N220" i="2" s="1"/>
  <c r="N210" i="2" a="1"/>
  <c r="N210" i="2" s="1"/>
  <c r="N206" i="2" a="1"/>
  <c r="N206" i="2" s="1"/>
  <c r="N205" i="2" a="1"/>
  <c r="N205" i="2" s="1"/>
  <c r="N197" i="2" a="1"/>
  <c r="N197" i="2" s="1"/>
  <c r="N196" i="2" a="1"/>
  <c r="N196" i="2" s="1"/>
  <c r="N188" i="2" a="1"/>
  <c r="N188" i="2" s="1"/>
  <c r="N187" i="2" a="1"/>
  <c r="N187" i="2" s="1"/>
  <c r="N174" i="2" a="1"/>
  <c r="N174" i="2" s="1"/>
  <c r="N173" i="2" a="1"/>
  <c r="N173" i="2" s="1"/>
  <c r="N170" i="2" a="1"/>
  <c r="N170" i="2" s="1"/>
  <c r="N169" i="2" a="1"/>
  <c r="N169" i="2" s="1"/>
  <c r="N410" i="2" a="1"/>
  <c r="N410" i="2" s="1"/>
  <c r="J2232" i="1"/>
  <c r="K2232" i="1" s="1" a="1"/>
  <c r="J1780" i="1"/>
  <c r="N1499" i="1" a="1"/>
  <c r="N1499" i="1" s="1"/>
  <c r="N1502" i="1" a="1"/>
  <c r="N1502" i="1" s="1"/>
  <c r="N1504" i="1" a="1"/>
  <c r="N1504" i="1" s="1"/>
  <c r="N1512" i="1" a="1"/>
  <c r="N1512" i="1" s="1"/>
  <c r="N1513" i="1" a="1"/>
  <c r="N1513" i="1" s="1"/>
  <c r="N1514" i="1" a="1"/>
  <c r="N1514" i="1" s="1"/>
  <c r="N1515" i="1" a="1"/>
  <c r="N1515" i="1" s="1"/>
  <c r="N1521" i="1" a="1"/>
  <c r="N1521" i="1" s="1"/>
  <c r="N1529" i="1" a="1"/>
  <c r="N1529" i="1" s="1"/>
  <c r="N1531" i="1" a="1"/>
  <c r="N1531" i="1" s="1"/>
  <c r="N1532" i="1" a="1"/>
  <c r="N1532" i="1" s="1"/>
  <c r="N1533" i="1" a="1"/>
  <c r="N1533" i="1" s="1"/>
  <c r="N1534" i="1" a="1"/>
  <c r="N1534" i="1" s="1"/>
  <c r="N1543" i="1" a="1"/>
  <c r="N1543" i="1" s="1"/>
  <c r="N1545" i="1" a="1"/>
  <c r="N1545" i="1" s="1"/>
  <c r="N1550" i="1" a="1"/>
  <c r="N1550" i="1" s="1"/>
  <c r="N1554" i="1" a="1"/>
  <c r="N1554" i="1" s="1"/>
  <c r="N1555" i="1" a="1"/>
  <c r="N1555" i="1" s="1"/>
  <c r="N1559" i="1" a="1"/>
  <c r="N1559" i="1" s="1"/>
  <c r="N1562" i="1" a="1"/>
  <c r="N1562" i="1" s="1"/>
  <c r="N1570" i="1" a="1"/>
  <c r="N1570" i="1" s="1"/>
  <c r="N1572" i="1" a="1"/>
  <c r="N1572" i="1" s="1"/>
  <c r="N1573" i="1" a="1"/>
  <c r="N1573" i="1" s="1"/>
  <c r="N1574" i="1" a="1"/>
  <c r="N1574" i="1" s="1"/>
  <c r="N1575" i="1" a="1"/>
  <c r="N1575" i="1" s="1"/>
  <c r="N1584" i="1" a="1"/>
  <c r="N1584" i="1" s="1"/>
  <c r="N1589" i="1" a="1"/>
  <c r="N1589" i="1" s="1"/>
  <c r="N1591" i="1" a="1"/>
  <c r="N1591" i="1" s="1"/>
  <c r="N1592" i="1" a="1"/>
  <c r="N1592" i="1" s="1"/>
  <c r="N1599" i="1" a="1"/>
  <c r="N1599" i="1" s="1"/>
  <c r="N1600" i="1" a="1"/>
  <c r="N1600" i="1" s="1"/>
  <c r="N1603" i="1" a="1"/>
  <c r="N1603" i="1" s="1"/>
  <c r="N1605" i="1" a="1"/>
  <c r="N1605" i="1" s="1"/>
  <c r="N1613" i="1" a="1"/>
  <c r="N1613" i="1" s="1"/>
  <c r="N1614" i="1" a="1"/>
  <c r="N1614" i="1" s="1"/>
  <c r="N1615" i="1" a="1"/>
  <c r="N1615" i="1" s="1"/>
  <c r="N1619" i="1" a="1"/>
  <c r="N1619" i="1" s="1"/>
  <c r="N1625" i="1" a="1"/>
  <c r="N1625" i="1" s="1"/>
  <c r="N1630" i="1" a="1"/>
  <c r="N1630" i="1" s="1"/>
  <c r="N1632" i="1" a="1"/>
  <c r="N1632" i="1" s="1"/>
  <c r="N1633" i="1" a="1"/>
  <c r="N1633" i="1" s="1"/>
  <c r="N1634" i="1" a="1"/>
  <c r="N1634" i="1" s="1"/>
  <c r="N1640" i="1" a="1"/>
  <c r="N1640" i="1" s="1"/>
  <c r="N1643" i="1" a="1"/>
  <c r="N1643" i="1" s="1"/>
  <c r="N1645" i="1" a="1"/>
  <c r="N1645" i="1" s="1"/>
  <c r="N1652" i="1" a="1"/>
  <c r="N1652" i="1" s="1"/>
  <c r="N1653" i="1" a="1"/>
  <c r="N1653" i="1" s="1"/>
  <c r="N1654" i="1" a="1"/>
  <c r="N1654" i="1" s="1"/>
  <c r="N1655" i="1" a="1"/>
  <c r="N1655" i="1" s="1"/>
  <c r="N1660" i="1" a="1"/>
  <c r="N1660" i="1" s="1"/>
  <c r="N1665" i="1" a="1"/>
  <c r="N1665" i="1" s="1"/>
  <c r="N1669" i="1" a="1"/>
  <c r="N1669" i="1" s="1"/>
  <c r="N1670" i="1" a="1"/>
  <c r="N1670" i="1" s="1"/>
  <c r="N1671" i="1" a="1"/>
  <c r="N1671" i="1" s="1"/>
  <c r="N1672" i="1" a="1"/>
  <c r="N1672" i="1" s="1"/>
  <c r="N1680" i="1" a="1"/>
  <c r="N1680" i="1" s="1"/>
  <c r="N1682" i="1" a="1"/>
  <c r="N1682" i="1" s="1"/>
  <c r="N1684" i="1" a="1"/>
  <c r="N1684" i="1" s="1"/>
  <c r="N1690" i="1" a="1"/>
  <c r="N1690" i="1" s="1"/>
  <c r="N1691" i="1" a="1"/>
  <c r="N1691" i="1" s="1"/>
  <c r="N1692" i="1" a="1"/>
  <c r="N1692" i="1" s="1"/>
  <c r="N1695" i="1" a="1"/>
  <c r="N1695" i="1" s="1"/>
  <c r="N1702" i="1" a="1"/>
  <c r="N1702" i="1" s="1"/>
  <c r="N1704" i="1" a="1"/>
  <c r="N1704" i="1" s="1"/>
  <c r="N1705" i="1" a="1"/>
  <c r="N1705" i="1" s="1"/>
  <c r="N1708" i="1" a="1"/>
  <c r="N1708" i="1" s="1"/>
  <c r="N1709" i="1" a="1"/>
  <c r="N1709" i="1" s="1"/>
  <c r="N1715" i="1" a="1"/>
  <c r="N1715" i="1" s="1"/>
  <c r="N1719" i="1" a="1"/>
  <c r="N1719" i="1" s="1"/>
  <c r="N1721" i="1" a="1"/>
  <c r="N1721" i="1" s="1"/>
  <c r="N1722" i="1" a="1"/>
  <c r="N1722" i="1" s="1"/>
  <c r="N1727" i="1" a="1"/>
  <c r="N1727" i="1" s="1"/>
  <c r="N1728" i="1" a="1"/>
  <c r="N1728" i="1" s="1"/>
  <c r="N1731" i="1" a="1"/>
  <c r="N1731" i="1" s="1"/>
  <c r="N1733" i="1" a="1"/>
  <c r="N1733" i="1" s="1"/>
  <c r="N1739" i="1" a="1"/>
  <c r="N1739" i="1" s="1"/>
  <c r="N1740" i="1" a="1"/>
  <c r="N1740" i="1" s="1"/>
  <c r="N1741" i="1" a="1"/>
  <c r="N1741" i="1" s="1"/>
  <c r="N1742" i="1" a="1"/>
  <c r="N1742" i="1" s="1"/>
  <c r="N1749" i="1" a="1"/>
  <c r="N1749" i="1" s="1"/>
  <c r="N1751" i="1" a="1"/>
  <c r="N1751" i="1" s="1"/>
  <c r="N1753" i="1" a="1"/>
  <c r="N1753" i="1" s="1"/>
  <c r="N1754" i="1" a="1"/>
  <c r="N1754" i="1" s="1"/>
  <c r="N1755" i="1" a="1"/>
  <c r="N1755" i="1" s="1"/>
  <c r="N1760" i="1" a="1"/>
  <c r="N1760" i="1" s="1"/>
  <c r="N1763" i="1" a="1"/>
  <c r="N1763" i="1" s="1"/>
  <c r="N1765" i="1" a="1"/>
  <c r="N1765" i="1" s="1"/>
  <c r="N1771" i="1" a="1"/>
  <c r="N1771" i="1" s="1"/>
  <c r="N1772" i="1" a="1"/>
  <c r="N1772" i="1" s="1"/>
  <c r="N1773" i="1" a="1"/>
  <c r="N1773" i="1" s="1"/>
  <c r="N1774" i="1" a="1"/>
  <c r="N1774" i="1" s="1"/>
  <c r="N1778" i="1" a="1"/>
  <c r="N1778" i="1" s="1"/>
  <c r="J1387" i="1"/>
  <c r="N1500" i="1" s="1" a="1"/>
  <c r="N1500" i="1" s="1"/>
  <c r="M1387" i="1" a="1"/>
  <c r="M1387" i="1" s="1"/>
  <c r="N1274" i="1" a="1"/>
  <c r="N1274" i="1" s="1"/>
  <c r="N1302" i="1" a="1"/>
  <c r="N1302" i="1" s="1"/>
  <c r="N1303" i="1" a="1"/>
  <c r="N1303" i="1" s="1"/>
  <c r="N1308" i="1" a="1"/>
  <c r="N1308" i="1" s="1"/>
  <c r="N1320" i="1" a="1"/>
  <c r="N1320" i="1" s="1"/>
  <c r="N1344" i="1" a="1"/>
  <c r="N1344" i="1" s="1"/>
  <c r="N1352" i="1" a="1"/>
  <c r="N1352" i="1" s="1"/>
  <c r="N1353" i="1" a="1"/>
  <c r="N1353" i="1" s="1"/>
  <c r="N1359" i="1" a="1"/>
  <c r="N1359" i="1" s="1"/>
  <c r="J1170" i="1"/>
  <c r="M1170" i="1" a="1"/>
  <c r="N1246" i="1" s="1" a="1"/>
  <c r="N1246" i="1" s="1"/>
  <c r="K1170" i="1" a="1"/>
  <c r="L1180" i="1" s="1"/>
  <c r="L422" i="1"/>
  <c r="L460" i="1"/>
  <c r="L461" i="1"/>
  <c r="L482" i="1"/>
  <c r="L508" i="1"/>
  <c r="L684" i="1"/>
  <c r="L711" i="1"/>
  <c r="L79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J852" i="1"/>
  <c r="J423" i="1"/>
  <c r="K423" i="1" s="1" a="1"/>
  <c r="L727" i="1" s="1"/>
  <c r="J2" i="1"/>
  <c r="N257" i="3" l="1" a="1"/>
  <c r="N257" i="3" s="1"/>
  <c r="N267" i="3" a="1"/>
  <c r="N267" i="3" s="1"/>
  <c r="N342" i="3" a="1"/>
  <c r="N342" i="3" s="1"/>
  <c r="N394" i="3" a="1"/>
  <c r="N394" i="3" s="1"/>
  <c r="N176" i="3" a="1"/>
  <c r="N176" i="3" s="1"/>
  <c r="N188" i="3" a="1"/>
  <c r="N188" i="3" s="1"/>
  <c r="N1925" i="1" a="1"/>
  <c r="N1925" i="1" s="1"/>
  <c r="N1997" i="1" a="1"/>
  <c r="N1997" i="1" s="1"/>
  <c r="N2097" i="1" a="1"/>
  <c r="N2097" i="1" s="1"/>
  <c r="N2120" i="1" a="1"/>
  <c r="N2120" i="1" s="1"/>
  <c r="N2164" i="1" a="1"/>
  <c r="N2164" i="1" s="1"/>
  <c r="N2196" i="1" a="1"/>
  <c r="N2196" i="1" s="1"/>
  <c r="N2214" i="1" a="1"/>
  <c r="N2214" i="1" s="1"/>
  <c r="N1940" i="1" a="1"/>
  <c r="N1940" i="1" s="1"/>
  <c r="N2011" i="1" a="1"/>
  <c r="N2011" i="1" s="1"/>
  <c r="N2098" i="1" a="1"/>
  <c r="N2098" i="1" s="1"/>
  <c r="N2126" i="1" a="1"/>
  <c r="N2126" i="1" s="1"/>
  <c r="N2168" i="1" a="1"/>
  <c r="N2168" i="1" s="1"/>
  <c r="N2197" i="1" a="1"/>
  <c r="N2197" i="1" s="1"/>
  <c r="N2223" i="1" a="1"/>
  <c r="N2223" i="1" s="1"/>
  <c r="N1963" i="1" a="1"/>
  <c r="N1963" i="1" s="1"/>
  <c r="N2034" i="1" a="1"/>
  <c r="N2034" i="1" s="1"/>
  <c r="N2100" i="1" a="1"/>
  <c r="N2100" i="1" s="1"/>
  <c r="N2137" i="1" a="1"/>
  <c r="N2137" i="1" s="1"/>
  <c r="N2171" i="1" a="1"/>
  <c r="N2171" i="1" s="1"/>
  <c r="N2199" i="1" a="1"/>
  <c r="N2199" i="1" s="1"/>
  <c r="N2226" i="1" a="1"/>
  <c r="N2226" i="1" s="1"/>
  <c r="N1966" i="1" a="1"/>
  <c r="N1966" i="1" s="1"/>
  <c r="N2043" i="1" a="1"/>
  <c r="N2043" i="1" s="1"/>
  <c r="N2107" i="1" a="1"/>
  <c r="N2107" i="1" s="1"/>
  <c r="N2147" i="1" a="1"/>
  <c r="N2147" i="1" s="1"/>
  <c r="N2174" i="1" a="1"/>
  <c r="N2174" i="1" s="1"/>
  <c r="N2200" i="1" a="1"/>
  <c r="N2200" i="1" s="1"/>
  <c r="N2227" i="1" a="1"/>
  <c r="N2227" i="1" s="1"/>
  <c r="N2142" i="1" a="1"/>
  <c r="N2142" i="1" s="1"/>
  <c r="N2064" i="1" a="1"/>
  <c r="N2064" i="1" s="1"/>
  <c r="N2188" i="1" a="1"/>
  <c r="N2188" i="1" s="1"/>
  <c r="N2135" i="1" a="1"/>
  <c r="N2135" i="1" s="1"/>
  <c r="N2056" i="1" a="1"/>
  <c r="N2056" i="1" s="1"/>
  <c r="N2182" i="1" a="1"/>
  <c r="N2182" i="1" s="1"/>
  <c r="N2119" i="1" a="1"/>
  <c r="N2119" i="1" s="1"/>
  <c r="N2035" i="1" a="1"/>
  <c r="N2035" i="1" s="1"/>
  <c r="N1051" i="1" a="1"/>
  <c r="N1051" i="1" s="1"/>
  <c r="N1109" i="1" a="1"/>
  <c r="N1109" i="1" s="1"/>
  <c r="N1111" i="1" a="1"/>
  <c r="N1111" i="1" s="1"/>
  <c r="N1024" i="1" a="1"/>
  <c r="N1024" i="1" s="1"/>
  <c r="L669" i="1"/>
  <c r="N1212" i="1" a="1"/>
  <c r="N1212" i="1" s="1"/>
  <c r="N1292" i="1" a="1"/>
  <c r="N1292" i="1" s="1"/>
  <c r="N1325" i="1" a="1"/>
  <c r="N1325" i="1" s="1"/>
  <c r="N1369" i="1" a="1"/>
  <c r="N1369" i="1" s="1"/>
  <c r="N1242" i="1" a="1"/>
  <c r="N1242" i="1" s="1"/>
  <c r="N1298" i="1" a="1"/>
  <c r="N1298" i="1" s="1"/>
  <c r="N1330" i="1" a="1"/>
  <c r="N1330" i="1" s="1"/>
  <c r="N1370" i="1" a="1"/>
  <c r="N1370" i="1" s="1"/>
  <c r="N1343" i="1" a="1"/>
  <c r="N1343" i="1" s="1"/>
  <c r="N1288" i="1" a="1"/>
  <c r="N1288" i="1" s="1"/>
  <c r="N1172" i="1" a="1"/>
  <c r="N1172" i="1" s="1"/>
  <c r="N2225" i="1" a="1"/>
  <c r="N2225" i="1" s="1"/>
  <c r="N2181" i="1" a="1"/>
  <c r="N2181" i="1" s="1"/>
  <c r="N2118" i="1" a="1"/>
  <c r="N2118" i="1" s="1"/>
  <c r="N2013" i="1" a="1"/>
  <c r="N2013" i="1" s="1"/>
  <c r="N1211" i="1" a="1"/>
  <c r="N1211" i="1" s="1"/>
  <c r="L630" i="1"/>
  <c r="N2213" i="1" a="1"/>
  <c r="N2213" i="1" s="1"/>
  <c r="N2173" i="1" a="1"/>
  <c r="N2173" i="1" s="1"/>
  <c r="N2117" i="1" a="1"/>
  <c r="N2117" i="1" s="1"/>
  <c r="N1989" i="1" a="1"/>
  <c r="N1989" i="1" s="1"/>
  <c r="N2211" i="1" a="1"/>
  <c r="N2211" i="1" s="1"/>
  <c r="N2169" i="1" a="1"/>
  <c r="N2169" i="1" s="1"/>
  <c r="N2111" i="1" a="1"/>
  <c r="N2111" i="1" s="1"/>
  <c r="N1988" i="1" a="1"/>
  <c r="N1988" i="1" s="1"/>
  <c r="N1210" i="1" a="1"/>
  <c r="N1210" i="1" s="1"/>
  <c r="L610" i="1"/>
  <c r="N985" i="1" a="1"/>
  <c r="N985" i="1" s="1"/>
  <c r="N1386" i="1" a="1"/>
  <c r="N1386" i="1" s="1"/>
  <c r="N1341" i="1" a="1"/>
  <c r="N1341" i="1" s="1"/>
  <c r="N1280" i="1" a="1"/>
  <c r="N1280" i="1" s="1"/>
  <c r="N1171" i="1" a="1"/>
  <c r="N1171" i="1" s="1"/>
  <c r="N2209" i="1" a="1"/>
  <c r="N2209" i="1" s="1"/>
  <c r="N2161" i="1" a="1"/>
  <c r="N2161" i="1" s="1"/>
  <c r="N2101" i="1" a="1"/>
  <c r="N2101" i="1" s="1"/>
  <c r="N1987" i="1" a="1"/>
  <c r="N1987" i="1" s="1"/>
  <c r="L583" i="1"/>
  <c r="N982" i="1" a="1"/>
  <c r="N982" i="1" s="1"/>
  <c r="N1375" i="1" a="1"/>
  <c r="N1375" i="1" s="1"/>
  <c r="N1324" i="1" a="1"/>
  <c r="N1324" i="1" s="1"/>
  <c r="N1279" i="1" a="1"/>
  <c r="N1279" i="1" s="1"/>
  <c r="L1195" i="1"/>
  <c r="L566" i="1"/>
  <c r="N957" i="1" a="1"/>
  <c r="N957" i="1" s="1"/>
  <c r="N1374" i="1" a="1"/>
  <c r="N1374" i="1" s="1"/>
  <c r="N1323" i="1" a="1"/>
  <c r="N1323" i="1" s="1"/>
  <c r="N1278" i="1" a="1"/>
  <c r="N1278" i="1" s="1"/>
  <c r="L840" i="1"/>
  <c r="L524" i="1"/>
  <c r="N952" i="1" a="1"/>
  <c r="N952" i="1" s="1"/>
  <c r="N1368" i="1" a="1"/>
  <c r="N1368" i="1" s="1"/>
  <c r="N1322" i="1" a="1"/>
  <c r="N1322" i="1" s="1"/>
  <c r="N1276" i="1" a="1"/>
  <c r="N1276" i="1" s="1"/>
  <c r="N2207" i="1" a="1"/>
  <c r="N2207" i="1" s="1"/>
  <c r="N2155" i="1" a="1"/>
  <c r="N2155" i="1" s="1"/>
  <c r="N1971" i="1" a="1"/>
  <c r="N1971" i="1" s="1"/>
  <c r="N2154" i="1" a="1"/>
  <c r="N2154" i="1" s="1"/>
  <c r="N2087" i="1" a="1"/>
  <c r="N2087" i="1" s="1"/>
  <c r="N1964" i="1" a="1"/>
  <c r="N1964" i="1" s="1"/>
  <c r="N1138" i="1" a="1"/>
  <c r="N1138" i="1" s="1"/>
  <c r="L761" i="1"/>
  <c r="L506" i="1"/>
  <c r="N1084" i="1" a="1"/>
  <c r="N1084" i="1" s="1"/>
  <c r="N1354" i="1" a="1"/>
  <c r="N1354" i="1" s="1"/>
  <c r="N1309" i="1" a="1"/>
  <c r="N1309" i="1" s="1"/>
  <c r="N1255" i="1" a="1"/>
  <c r="N1255" i="1" s="1"/>
  <c r="N1490" i="1" a="1"/>
  <c r="N1490" i="1" s="1"/>
  <c r="N2198" i="1" a="1"/>
  <c r="N2198" i="1" s="1"/>
  <c r="N2153" i="1" a="1"/>
  <c r="N2153" i="1" s="1"/>
  <c r="N2078" i="1" a="1"/>
  <c r="N2078" i="1" s="1"/>
  <c r="N1941" i="1" a="1"/>
  <c r="N1941" i="1" s="1"/>
  <c r="K1387" i="1" a="1"/>
  <c r="N1767" i="1" a="1"/>
  <c r="N1767" i="1" s="1"/>
  <c r="N1752" i="1" a="1"/>
  <c r="N1752" i="1" s="1"/>
  <c r="N1738" i="1" a="1"/>
  <c r="N1738" i="1" s="1"/>
  <c r="N1720" i="1" a="1"/>
  <c r="N1720" i="1" s="1"/>
  <c r="N1703" i="1" a="1"/>
  <c r="N1703" i="1" s="1"/>
  <c r="N1683" i="1" a="1"/>
  <c r="N1683" i="1" s="1"/>
  <c r="N1668" i="1" a="1"/>
  <c r="N1668" i="1" s="1"/>
  <c r="N1648" i="1" a="1"/>
  <c r="N1648" i="1" s="1"/>
  <c r="N1631" i="1" a="1"/>
  <c r="N1631" i="1" s="1"/>
  <c r="N1612" i="1" a="1"/>
  <c r="N1612" i="1" s="1"/>
  <c r="N1590" i="1" a="1"/>
  <c r="N1590" i="1" s="1"/>
  <c r="N1571" i="1" a="1"/>
  <c r="N1571" i="1" s="1"/>
  <c r="N1549" i="1" a="1"/>
  <c r="N1549" i="1" s="1"/>
  <c r="N1530" i="1" a="1"/>
  <c r="N1530" i="1" s="1"/>
  <c r="N1505" i="1" a="1"/>
  <c r="N1505" i="1" s="1"/>
  <c r="N605" i="2" a="1"/>
  <c r="N605" i="2" s="1"/>
  <c r="N297" i="3" a="1"/>
  <c r="N297" i="3" s="1"/>
  <c r="N1914" i="3" a="1"/>
  <c r="N1914" i="3" s="1"/>
  <c r="N1764" i="1" a="1"/>
  <c r="N1764" i="1" s="1"/>
  <c r="N1750" i="1" a="1"/>
  <c r="N1750" i="1" s="1"/>
  <c r="N1732" i="1" a="1"/>
  <c r="N1732" i="1" s="1"/>
  <c r="N1718" i="1" a="1"/>
  <c r="N1718" i="1" s="1"/>
  <c r="N1698" i="1" a="1"/>
  <c r="N1698" i="1" s="1"/>
  <c r="N1681" i="1" a="1"/>
  <c r="N1681" i="1" s="1"/>
  <c r="N1664" i="1" a="1"/>
  <c r="N1664" i="1" s="1"/>
  <c r="N1644" i="1" a="1"/>
  <c r="N1644" i="1" s="1"/>
  <c r="N1629" i="1" a="1"/>
  <c r="N1629" i="1" s="1"/>
  <c r="N1604" i="1" a="1"/>
  <c r="N1604" i="1" s="1"/>
  <c r="N1585" i="1" a="1"/>
  <c r="N1585" i="1" s="1"/>
  <c r="N1563" i="1" a="1"/>
  <c r="N1563" i="1" s="1"/>
  <c r="N1544" i="1" a="1"/>
  <c r="N1544" i="1" s="1"/>
  <c r="N1525" i="1" a="1"/>
  <c r="N1525" i="1" s="1"/>
  <c r="N1503" i="1" a="1"/>
  <c r="N1503" i="1" s="1"/>
  <c r="N686" i="2" a="1"/>
  <c r="N686" i="2" s="1"/>
  <c r="N368" i="3" a="1"/>
  <c r="N368" i="3" s="1"/>
  <c r="N1777" i="1" a="1"/>
  <c r="N1777" i="1" s="1"/>
  <c r="N1762" i="1" a="1"/>
  <c r="N1762" i="1" s="1"/>
  <c r="N1744" i="1" a="1"/>
  <c r="N1744" i="1" s="1"/>
  <c r="N1730" i="1" a="1"/>
  <c r="N1730" i="1" s="1"/>
  <c r="N1714" i="1" a="1"/>
  <c r="N1714" i="1" s="1"/>
  <c r="N1694" i="1" a="1"/>
  <c r="N1694" i="1" s="1"/>
  <c r="N1679" i="1" a="1"/>
  <c r="N1679" i="1" s="1"/>
  <c r="N1659" i="1" a="1"/>
  <c r="N1659" i="1" s="1"/>
  <c r="N1642" i="1" a="1"/>
  <c r="N1642" i="1" s="1"/>
  <c r="N1621" i="1" a="1"/>
  <c r="N1621" i="1" s="1"/>
  <c r="N1602" i="1" a="1"/>
  <c r="N1602" i="1" s="1"/>
  <c r="N1583" i="1" a="1"/>
  <c r="N1583" i="1" s="1"/>
  <c r="N1561" i="1" a="1"/>
  <c r="N1561" i="1" s="1"/>
  <c r="N1542" i="1" a="1"/>
  <c r="N1542" i="1" s="1"/>
  <c r="N1520" i="1" a="1"/>
  <c r="N1520" i="1" s="1"/>
  <c r="N1501" i="1" a="1"/>
  <c r="N1501" i="1" s="1"/>
  <c r="N703" i="2" a="1"/>
  <c r="N703" i="2" s="1"/>
  <c r="N1775" i="1" a="1"/>
  <c r="N1775" i="1" s="1"/>
  <c r="N1761" i="1" a="1"/>
  <c r="N1761" i="1" s="1"/>
  <c r="N1743" i="1" a="1"/>
  <c r="N1743" i="1" s="1"/>
  <c r="N1729" i="1" a="1"/>
  <c r="N1729" i="1" s="1"/>
  <c r="N1710" i="1" a="1"/>
  <c r="N1710" i="1" s="1"/>
  <c r="N1693" i="1" a="1"/>
  <c r="N1693" i="1" s="1"/>
  <c r="N1678" i="1" a="1"/>
  <c r="N1678" i="1" s="1"/>
  <c r="N1658" i="1" a="1"/>
  <c r="N1658" i="1" s="1"/>
  <c r="N1641" i="1" a="1"/>
  <c r="N1641" i="1" s="1"/>
  <c r="N1620" i="1" a="1"/>
  <c r="N1620" i="1" s="1"/>
  <c r="N1601" i="1" a="1"/>
  <c r="N1601" i="1" s="1"/>
  <c r="N1579" i="1" a="1"/>
  <c r="N1579" i="1" s="1"/>
  <c r="N1560" i="1" a="1"/>
  <c r="N1560" i="1" s="1"/>
  <c r="N1541" i="1" a="1"/>
  <c r="N1541" i="1" s="1"/>
  <c r="N1519" i="1" a="1"/>
  <c r="N1519" i="1" s="1"/>
  <c r="N741" i="2" a="1"/>
  <c r="N741" i="2" s="1"/>
  <c r="N2024" i="3" a="1"/>
  <c r="N2024" i="3" s="1"/>
  <c r="N3995" i="3" a="1"/>
  <c r="N3995" i="3" s="1"/>
  <c r="N3873" i="3" a="1"/>
  <c r="N3873" i="3" s="1"/>
  <c r="N1746" i="3" a="1"/>
  <c r="N1746" i="3" s="1"/>
  <c r="N2114" i="3" a="1"/>
  <c r="N2114" i="3" s="1"/>
  <c r="K2990" i="3" a="1"/>
  <c r="N3066" i="3" a="1"/>
  <c r="N3066" i="3" s="1"/>
  <c r="N3076" i="3" a="1"/>
  <c r="N3076" i="3" s="1"/>
  <c r="N3086" i="3" a="1"/>
  <c r="N3086" i="3" s="1"/>
  <c r="N3096" i="3" a="1"/>
  <c r="N3096" i="3" s="1"/>
  <c r="N3106" i="3" a="1"/>
  <c r="N3106" i="3" s="1"/>
  <c r="N3116" i="3" a="1"/>
  <c r="N3116" i="3" s="1"/>
  <c r="N3126" i="3" a="1"/>
  <c r="N3126" i="3" s="1"/>
  <c r="N3136" i="3" a="1"/>
  <c r="N3136" i="3" s="1"/>
  <c r="N3146" i="3" a="1"/>
  <c r="N3146" i="3" s="1"/>
  <c r="N3156" i="3" a="1"/>
  <c r="N3156" i="3" s="1"/>
  <c r="N3166" i="3" a="1"/>
  <c r="N3166" i="3" s="1"/>
  <c r="N3068" i="3" a="1"/>
  <c r="N3068" i="3" s="1"/>
  <c r="N3078" i="3" a="1"/>
  <c r="N3078" i="3" s="1"/>
  <c r="N3088" i="3" a="1"/>
  <c r="N3088" i="3" s="1"/>
  <c r="N3098" i="3" a="1"/>
  <c r="N3098" i="3" s="1"/>
  <c r="N3108" i="3" a="1"/>
  <c r="N3108" i="3" s="1"/>
  <c r="N3118" i="3" a="1"/>
  <c r="N3118" i="3" s="1"/>
  <c r="N3071" i="3" a="1"/>
  <c r="N3071" i="3" s="1"/>
  <c r="N3081" i="3" a="1"/>
  <c r="N3081" i="3" s="1"/>
  <c r="N3091" i="3" a="1"/>
  <c r="N3091" i="3" s="1"/>
  <c r="N3101" i="3" a="1"/>
  <c r="N3101" i="3" s="1"/>
  <c r="N3111" i="3" a="1"/>
  <c r="N3111" i="3" s="1"/>
  <c r="N3159" i="3" a="1"/>
  <c r="N3159" i="3" s="1"/>
  <c r="N3148" i="3" a="1"/>
  <c r="N3148" i="3" s="1"/>
  <c r="N3137" i="3" a="1"/>
  <c r="N3137" i="3" s="1"/>
  <c r="N3125" i="3" a="1"/>
  <c r="N3125" i="3" s="1"/>
  <c r="N3113" i="3" a="1"/>
  <c r="N3113" i="3" s="1"/>
  <c r="N3099" i="3" a="1"/>
  <c r="N3099" i="3" s="1"/>
  <c r="N3084" i="3" a="1"/>
  <c r="N3084" i="3" s="1"/>
  <c r="N3070" i="3" a="1"/>
  <c r="N3070" i="3" s="1"/>
  <c r="K3653" i="3" a="1"/>
  <c r="N3786" i="3" a="1"/>
  <c r="N3786" i="3" s="1"/>
  <c r="N3796" i="3" a="1"/>
  <c r="N3796" i="3" s="1"/>
  <c r="N3806" i="3" a="1"/>
  <c r="N3806" i="3" s="1"/>
  <c r="N3816" i="3" a="1"/>
  <c r="N3816" i="3" s="1"/>
  <c r="N3826" i="3" a="1"/>
  <c r="N3826" i="3" s="1"/>
  <c r="N3836" i="3" a="1"/>
  <c r="N3836" i="3" s="1"/>
  <c r="N3846" i="3" a="1"/>
  <c r="N3846" i="3" s="1"/>
  <c r="N3856" i="3" a="1"/>
  <c r="N3856" i="3" s="1"/>
  <c r="N3866" i="3" a="1"/>
  <c r="N3866" i="3" s="1"/>
  <c r="N3747" i="3" a="1"/>
  <c r="N3747" i="3" s="1"/>
  <c r="N3791" i="3" a="1"/>
  <c r="N3791" i="3" s="1"/>
  <c r="N3802" i="3" a="1"/>
  <c r="N3802" i="3" s="1"/>
  <c r="N3813" i="3" a="1"/>
  <c r="N3813" i="3" s="1"/>
  <c r="N3824" i="3" a="1"/>
  <c r="N3824" i="3" s="1"/>
  <c r="N3835" i="3" a="1"/>
  <c r="N3835" i="3" s="1"/>
  <c r="N3847" i="3" a="1"/>
  <c r="N3847" i="3" s="1"/>
  <c r="N3858" i="3" a="1"/>
  <c r="N3858" i="3" s="1"/>
  <c r="N3869" i="3" a="1"/>
  <c r="N3869" i="3" s="1"/>
  <c r="N3879" i="3" a="1"/>
  <c r="N3879" i="3" s="1"/>
  <c r="N3889" i="3" a="1"/>
  <c r="N3889" i="3" s="1"/>
  <c r="N3899" i="3" a="1"/>
  <c r="N3899" i="3" s="1"/>
  <c r="N3909" i="3" a="1"/>
  <c r="N3909" i="3" s="1"/>
  <c r="N3919" i="3" a="1"/>
  <c r="N3919" i="3" s="1"/>
  <c r="N3929" i="3" a="1"/>
  <c r="N3929" i="3" s="1"/>
  <c r="N3939" i="3" a="1"/>
  <c r="N3939" i="3" s="1"/>
  <c r="N3949" i="3" a="1"/>
  <c r="N3949" i="3" s="1"/>
  <c r="N3959" i="3" a="1"/>
  <c r="N3959" i="3" s="1"/>
  <c r="N3969" i="3" a="1"/>
  <c r="N3969" i="3" s="1"/>
  <c r="N3979" i="3" a="1"/>
  <c r="N3979" i="3" s="1"/>
  <c r="N3989" i="3" a="1"/>
  <c r="N3989" i="3" s="1"/>
  <c r="N3705" i="3" a="1"/>
  <c r="N3705" i="3" s="1"/>
  <c r="N3794" i="3" a="1"/>
  <c r="N3794" i="3" s="1"/>
  <c r="N3805" i="3" a="1"/>
  <c r="N3805" i="3" s="1"/>
  <c r="N3817" i="3" a="1"/>
  <c r="N3817" i="3" s="1"/>
  <c r="N3828" i="3" a="1"/>
  <c r="N3828" i="3" s="1"/>
  <c r="N3839" i="3" a="1"/>
  <c r="N3839" i="3" s="1"/>
  <c r="N3850" i="3" a="1"/>
  <c r="N3850" i="3" s="1"/>
  <c r="N3861" i="3" a="1"/>
  <c r="N3861" i="3" s="1"/>
  <c r="N3872" i="3" a="1"/>
  <c r="N3872" i="3" s="1"/>
  <c r="N3882" i="3" a="1"/>
  <c r="N3882" i="3" s="1"/>
  <c r="N3892" i="3" a="1"/>
  <c r="N3892" i="3" s="1"/>
  <c r="N3902" i="3" a="1"/>
  <c r="N3902" i="3" s="1"/>
  <c r="N3912" i="3" a="1"/>
  <c r="N3912" i="3" s="1"/>
  <c r="N3922" i="3" a="1"/>
  <c r="N3922" i="3" s="1"/>
  <c r="N3932" i="3" a="1"/>
  <c r="N3932" i="3" s="1"/>
  <c r="N3942" i="3" a="1"/>
  <c r="N3942" i="3" s="1"/>
  <c r="N3952" i="3" a="1"/>
  <c r="N3952" i="3" s="1"/>
  <c r="N3962" i="3" a="1"/>
  <c r="N3962" i="3" s="1"/>
  <c r="N3972" i="3" a="1"/>
  <c r="N3972" i="3" s="1"/>
  <c r="N3982" i="3" a="1"/>
  <c r="N3982" i="3" s="1"/>
  <c r="N3992" i="3" a="1"/>
  <c r="N3992" i="3" s="1"/>
  <c r="N3684" i="3" a="1"/>
  <c r="N3684" i="3" s="1"/>
  <c r="N3795" i="3" a="1"/>
  <c r="N3795" i="3" s="1"/>
  <c r="N3807" i="3" a="1"/>
  <c r="N3807" i="3" s="1"/>
  <c r="N3818" i="3" a="1"/>
  <c r="N3818" i="3" s="1"/>
  <c r="N3679" i="3" a="1"/>
  <c r="N3679" i="3" s="1"/>
  <c r="N3790" i="3" a="1"/>
  <c r="N3790" i="3" s="1"/>
  <c r="N3801" i="3" a="1"/>
  <c r="N3801" i="3" s="1"/>
  <c r="N3812" i="3" a="1"/>
  <c r="N3812" i="3" s="1"/>
  <c r="N3823" i="3" a="1"/>
  <c r="N3823" i="3" s="1"/>
  <c r="N3834" i="3" a="1"/>
  <c r="N3834" i="3" s="1"/>
  <c r="N3845" i="3" a="1"/>
  <c r="N3845" i="3" s="1"/>
  <c r="N3857" i="3" a="1"/>
  <c r="N3857" i="3" s="1"/>
  <c r="N3868" i="3" a="1"/>
  <c r="N3868" i="3" s="1"/>
  <c r="N3878" i="3" a="1"/>
  <c r="N3878" i="3" s="1"/>
  <c r="N3888" i="3" a="1"/>
  <c r="N3888" i="3" s="1"/>
  <c r="N3898" i="3" a="1"/>
  <c r="N3898" i="3" s="1"/>
  <c r="N3908" i="3" a="1"/>
  <c r="N3908" i="3" s="1"/>
  <c r="N3918" i="3" a="1"/>
  <c r="N3918" i="3" s="1"/>
  <c r="N3928" i="3" a="1"/>
  <c r="N3928" i="3" s="1"/>
  <c r="N3938" i="3" a="1"/>
  <c r="N3938" i="3" s="1"/>
  <c r="N3948" i="3" a="1"/>
  <c r="N3948" i="3" s="1"/>
  <c r="N3958" i="3" a="1"/>
  <c r="N3958" i="3" s="1"/>
  <c r="N3968" i="3" a="1"/>
  <c r="N3968" i="3" s="1"/>
  <c r="N3978" i="3" a="1"/>
  <c r="N3978" i="3" s="1"/>
  <c r="N3988" i="3" a="1"/>
  <c r="N3988" i="3" s="1"/>
  <c r="N3998" i="3" a="1"/>
  <c r="N3998" i="3" s="1"/>
  <c r="N3800" i="3" a="1"/>
  <c r="N3800" i="3" s="1"/>
  <c r="N3820" i="3" a="1"/>
  <c r="N3820" i="3" s="1"/>
  <c r="N3837" i="3" a="1"/>
  <c r="N3837" i="3" s="1"/>
  <c r="N3852" i="3" a="1"/>
  <c r="N3852" i="3" s="1"/>
  <c r="N3867" i="3" a="1"/>
  <c r="N3867" i="3" s="1"/>
  <c r="N3883" i="3" a="1"/>
  <c r="N3883" i="3" s="1"/>
  <c r="N3896" i="3" a="1"/>
  <c r="N3896" i="3" s="1"/>
  <c r="N3911" i="3" a="1"/>
  <c r="N3911" i="3" s="1"/>
  <c r="N3925" i="3" a="1"/>
  <c r="N3925" i="3" s="1"/>
  <c r="N3940" i="3" a="1"/>
  <c r="N3940" i="3" s="1"/>
  <c r="N3954" i="3" a="1"/>
  <c r="N3954" i="3" s="1"/>
  <c r="N3967" i="3" a="1"/>
  <c r="N3967" i="3" s="1"/>
  <c r="N3983" i="3" a="1"/>
  <c r="N3983" i="3" s="1"/>
  <c r="N3996" i="3" a="1"/>
  <c r="N3996" i="3" s="1"/>
  <c r="N3785" i="3" a="1"/>
  <c r="N3785" i="3" s="1"/>
  <c r="N3803" i="3" a="1"/>
  <c r="N3803" i="3" s="1"/>
  <c r="N3821" i="3" a="1"/>
  <c r="N3821" i="3" s="1"/>
  <c r="N3838" i="3" a="1"/>
  <c r="N3838" i="3" s="1"/>
  <c r="N3853" i="3" a="1"/>
  <c r="N3853" i="3" s="1"/>
  <c r="N3787" i="3" a="1"/>
  <c r="N3787" i="3" s="1"/>
  <c r="N3804" i="3" a="1"/>
  <c r="N3804" i="3" s="1"/>
  <c r="N3822" i="3" a="1"/>
  <c r="N3822" i="3" s="1"/>
  <c r="N3840" i="3" a="1"/>
  <c r="N3840" i="3" s="1"/>
  <c r="N3854" i="3" a="1"/>
  <c r="N3854" i="3" s="1"/>
  <c r="N3810" i="3" a="1"/>
  <c r="N3810" i="3" s="1"/>
  <c r="N3832" i="3" a="1"/>
  <c r="N3832" i="3" s="1"/>
  <c r="N3859" i="3" a="1"/>
  <c r="N3859" i="3" s="1"/>
  <c r="N3875" i="3" a="1"/>
  <c r="N3875" i="3" s="1"/>
  <c r="N3891" i="3" a="1"/>
  <c r="N3891" i="3" s="1"/>
  <c r="N3906" i="3" a="1"/>
  <c r="N3906" i="3" s="1"/>
  <c r="N3923" i="3" a="1"/>
  <c r="N3923" i="3" s="1"/>
  <c r="N3937" i="3" a="1"/>
  <c r="N3937" i="3" s="1"/>
  <c r="N3955" i="3" a="1"/>
  <c r="N3955" i="3" s="1"/>
  <c r="N3971" i="3" a="1"/>
  <c r="N3971" i="3" s="1"/>
  <c r="N3986" i="3" a="1"/>
  <c r="N3986" i="3" s="1"/>
  <c r="N3675" i="3" a="1"/>
  <c r="N3675" i="3" s="1"/>
  <c r="N3788" i="3" a="1"/>
  <c r="N3788" i="3" s="1"/>
  <c r="N3811" i="3" a="1"/>
  <c r="N3811" i="3" s="1"/>
  <c r="N3833" i="3" a="1"/>
  <c r="N3833" i="3" s="1"/>
  <c r="N3860" i="3" a="1"/>
  <c r="N3860" i="3" s="1"/>
  <c r="N3876" i="3" a="1"/>
  <c r="N3876" i="3" s="1"/>
  <c r="N3893" i="3" a="1"/>
  <c r="N3893" i="3" s="1"/>
  <c r="N3907" i="3" a="1"/>
  <c r="N3907" i="3" s="1"/>
  <c r="N3924" i="3" a="1"/>
  <c r="N3924" i="3" s="1"/>
  <c r="N3941" i="3" a="1"/>
  <c r="N3941" i="3" s="1"/>
  <c r="N3956" i="3" a="1"/>
  <c r="N3956" i="3" s="1"/>
  <c r="N3973" i="3" a="1"/>
  <c r="N3973" i="3" s="1"/>
  <c r="N3987" i="3" a="1"/>
  <c r="N3987" i="3" s="1"/>
  <c r="N3789" i="3" a="1"/>
  <c r="N3789" i="3" s="1"/>
  <c r="N3814" i="3" a="1"/>
  <c r="N3814" i="3" s="1"/>
  <c r="N3841" i="3" a="1"/>
  <c r="N3841" i="3" s="1"/>
  <c r="N3862" i="3" a="1"/>
  <c r="N3862" i="3" s="1"/>
  <c r="N3877" i="3" a="1"/>
  <c r="N3877" i="3" s="1"/>
  <c r="N3894" i="3" a="1"/>
  <c r="N3894" i="3" s="1"/>
  <c r="N3910" i="3" a="1"/>
  <c r="N3910" i="3" s="1"/>
  <c r="N3926" i="3" a="1"/>
  <c r="N3926" i="3" s="1"/>
  <c r="N3943" i="3" a="1"/>
  <c r="N3943" i="3" s="1"/>
  <c r="N3957" i="3" a="1"/>
  <c r="N3957" i="3" s="1"/>
  <c r="N3974" i="3" a="1"/>
  <c r="N3974" i="3" s="1"/>
  <c r="N3990" i="3" a="1"/>
  <c r="N3990" i="3" s="1"/>
  <c r="N3792" i="3" a="1"/>
  <c r="N3792" i="3" s="1"/>
  <c r="N3815" i="3" a="1"/>
  <c r="N3815" i="3" s="1"/>
  <c r="N3842" i="3" a="1"/>
  <c r="N3842" i="3" s="1"/>
  <c r="N3863" i="3" a="1"/>
  <c r="N3863" i="3" s="1"/>
  <c r="N3880" i="3" a="1"/>
  <c r="N3880" i="3" s="1"/>
  <c r="N3895" i="3" a="1"/>
  <c r="N3895" i="3" s="1"/>
  <c r="N3913" i="3" a="1"/>
  <c r="N3913" i="3" s="1"/>
  <c r="N3927" i="3" a="1"/>
  <c r="N3927" i="3" s="1"/>
  <c r="N3944" i="3" a="1"/>
  <c r="N3944" i="3" s="1"/>
  <c r="N3960" i="3" a="1"/>
  <c r="N3960" i="3" s="1"/>
  <c r="N3975" i="3" a="1"/>
  <c r="N3975" i="3" s="1"/>
  <c r="N3991" i="3" a="1"/>
  <c r="N3991" i="3" s="1"/>
  <c r="N3741" i="3" a="1"/>
  <c r="N3741" i="3" s="1"/>
  <c r="N3793" i="3" a="1"/>
  <c r="N3793" i="3" s="1"/>
  <c r="N3819" i="3" a="1"/>
  <c r="N3819" i="3" s="1"/>
  <c r="N3843" i="3" a="1"/>
  <c r="N3843" i="3" s="1"/>
  <c r="N3864" i="3" a="1"/>
  <c r="N3864" i="3" s="1"/>
  <c r="N3881" i="3" a="1"/>
  <c r="N3881" i="3" s="1"/>
  <c r="N3897" i="3" a="1"/>
  <c r="N3897" i="3" s="1"/>
  <c r="N3914" i="3" a="1"/>
  <c r="N3914" i="3" s="1"/>
  <c r="N3930" i="3" a="1"/>
  <c r="N3930" i="3" s="1"/>
  <c r="N3945" i="3" a="1"/>
  <c r="N3945" i="3" s="1"/>
  <c r="N3961" i="3" a="1"/>
  <c r="N3961" i="3" s="1"/>
  <c r="N3976" i="3" a="1"/>
  <c r="N3976" i="3" s="1"/>
  <c r="N3993" i="3" a="1"/>
  <c r="N3993" i="3" s="1"/>
  <c r="N3831" i="3" a="1"/>
  <c r="N3831" i="3" s="1"/>
  <c r="N3874" i="3" a="1"/>
  <c r="N3874" i="3" s="1"/>
  <c r="N3905" i="3" a="1"/>
  <c r="N3905" i="3" s="1"/>
  <c r="N3936" i="3" a="1"/>
  <c r="N3936" i="3" s="1"/>
  <c r="N3970" i="3" a="1"/>
  <c r="N3970" i="3" s="1"/>
  <c r="N3797" i="3" a="1"/>
  <c r="N3797" i="3" s="1"/>
  <c r="N3844" i="3" a="1"/>
  <c r="N3844" i="3" s="1"/>
  <c r="N3884" i="3" a="1"/>
  <c r="N3884" i="3" s="1"/>
  <c r="N3915" i="3" a="1"/>
  <c r="N3915" i="3" s="1"/>
  <c r="N3946" i="3" a="1"/>
  <c r="N3946" i="3" s="1"/>
  <c r="N3977" i="3" a="1"/>
  <c r="N3977" i="3" s="1"/>
  <c r="N3692" i="3" a="1"/>
  <c r="N3692" i="3" s="1"/>
  <c r="N3798" i="3" a="1"/>
  <c r="N3798" i="3" s="1"/>
  <c r="N3848" i="3" a="1"/>
  <c r="N3848" i="3" s="1"/>
  <c r="N3885" i="3" a="1"/>
  <c r="N3885" i="3" s="1"/>
  <c r="N3916" i="3" a="1"/>
  <c r="N3916" i="3" s="1"/>
  <c r="N3947" i="3" a="1"/>
  <c r="N3947" i="3" s="1"/>
  <c r="N3980" i="3" a="1"/>
  <c r="N3980" i="3" s="1"/>
  <c r="N3799" i="3" a="1"/>
  <c r="N3799" i="3" s="1"/>
  <c r="N3849" i="3" a="1"/>
  <c r="N3849" i="3" s="1"/>
  <c r="N3886" i="3" a="1"/>
  <c r="N3886" i="3" s="1"/>
  <c r="N3917" i="3" a="1"/>
  <c r="N3917" i="3" s="1"/>
  <c r="N3950" i="3" a="1"/>
  <c r="N3950" i="3" s="1"/>
  <c r="N3981" i="3" a="1"/>
  <c r="N3981" i="3" s="1"/>
  <c r="N3808" i="3" a="1"/>
  <c r="N3808" i="3" s="1"/>
  <c r="N3851" i="3" a="1"/>
  <c r="N3851" i="3" s="1"/>
  <c r="N3887" i="3" a="1"/>
  <c r="N3887" i="3" s="1"/>
  <c r="N3920" i="3" a="1"/>
  <c r="N3920" i="3" s="1"/>
  <c r="N3951" i="3" a="1"/>
  <c r="N3951" i="3" s="1"/>
  <c r="N3984" i="3" a="1"/>
  <c r="N3984" i="3" s="1"/>
  <c r="N3809" i="3" a="1"/>
  <c r="N3809" i="3" s="1"/>
  <c r="N3855" i="3" a="1"/>
  <c r="N3855" i="3" s="1"/>
  <c r="N3890" i="3" a="1"/>
  <c r="N3890" i="3" s="1"/>
  <c r="N3921" i="3" a="1"/>
  <c r="N3921" i="3" s="1"/>
  <c r="N3953" i="3" a="1"/>
  <c r="N3953" i="3" s="1"/>
  <c r="N3985" i="3" a="1"/>
  <c r="N3985" i="3" s="1"/>
  <c r="N3825" i="3" a="1"/>
  <c r="N3825" i="3" s="1"/>
  <c r="N3865" i="3" a="1"/>
  <c r="N3865" i="3" s="1"/>
  <c r="N3900" i="3" a="1"/>
  <c r="N3900" i="3" s="1"/>
  <c r="N3931" i="3" a="1"/>
  <c r="N3931" i="3" s="1"/>
  <c r="N3963" i="3" a="1"/>
  <c r="N3963" i="3" s="1"/>
  <c r="N3994" i="3" a="1"/>
  <c r="N3994" i="3" s="1"/>
  <c r="N3966" i="3" a="1"/>
  <c r="N3966" i="3" s="1"/>
  <c r="N3871" i="3" a="1"/>
  <c r="N3871" i="3" s="1"/>
  <c r="N1587" i="3" a="1"/>
  <c r="N1587" i="3" s="1"/>
  <c r="N2405" i="3" a="1"/>
  <c r="N2405" i="3" s="1"/>
  <c r="N3158" i="3" a="1"/>
  <c r="N3158" i="3" s="1"/>
  <c r="N3147" i="3" a="1"/>
  <c r="N3147" i="3" s="1"/>
  <c r="N3135" i="3" a="1"/>
  <c r="N3135" i="3" s="1"/>
  <c r="N3124" i="3" a="1"/>
  <c r="N3124" i="3" s="1"/>
  <c r="N3112" i="3" a="1"/>
  <c r="N3112" i="3" s="1"/>
  <c r="N3097" i="3" a="1"/>
  <c r="N3097" i="3" s="1"/>
  <c r="N3083" i="3" a="1"/>
  <c r="N3083" i="3" s="1"/>
  <c r="N3069" i="3" a="1"/>
  <c r="N3069" i="3" s="1"/>
  <c r="N3965" i="3" a="1"/>
  <c r="N3965" i="3" s="1"/>
  <c r="N3870" i="3" a="1"/>
  <c r="N3870" i="3" s="1"/>
  <c r="N3662" i="3" a="1"/>
  <c r="N3662" i="3" s="1"/>
  <c r="N3245" i="3" a="1"/>
  <c r="N3245" i="3" s="1"/>
  <c r="N3647" i="3" a="1"/>
  <c r="N3647" i="3" s="1"/>
  <c r="N3631" i="3" a="1"/>
  <c r="N3631" i="3" s="1"/>
  <c r="N3615" i="3" a="1"/>
  <c r="N3615" i="3" s="1"/>
  <c r="N3601" i="3" a="1"/>
  <c r="N3601" i="3" s="1"/>
  <c r="N3586" i="3" a="1"/>
  <c r="N3586" i="3" s="1"/>
  <c r="N3567" i="3" a="1"/>
  <c r="N3567" i="3" s="1"/>
  <c r="N3551" i="3" a="1"/>
  <c r="N3551" i="3" s="1"/>
  <c r="N3531" i="3" a="1"/>
  <c r="N3531" i="3" s="1"/>
  <c r="N3511" i="3" a="1"/>
  <c r="N3511" i="3" s="1"/>
  <c r="N3491" i="3" a="1"/>
  <c r="N3491" i="3" s="1"/>
  <c r="N3354" i="3" a="1"/>
  <c r="N3354" i="3" s="1"/>
  <c r="N3344" i="3" a="1"/>
  <c r="N3344" i="3" s="1"/>
  <c r="N3334" i="3" a="1"/>
  <c r="N3334" i="3" s="1"/>
  <c r="N3324" i="3" a="1"/>
  <c r="N3324" i="3" s="1"/>
  <c r="N3314" i="3" a="1"/>
  <c r="N3314" i="3" s="1"/>
  <c r="N3304" i="3" a="1"/>
  <c r="N3304" i="3" s="1"/>
  <c r="N3294" i="3" a="1"/>
  <c r="N3294" i="3" s="1"/>
  <c r="N3284" i="3" a="1"/>
  <c r="N3284" i="3" s="1"/>
  <c r="N3274" i="3" a="1"/>
  <c r="N3274" i="3" s="1"/>
  <c r="N3264" i="3" a="1"/>
  <c r="N3264" i="3" s="1"/>
  <c r="N3254" i="3" a="1"/>
  <c r="N3254" i="3" s="1"/>
  <c r="N3244" i="3" a="1"/>
  <c r="N3244" i="3" s="1"/>
  <c r="N3646" i="3" a="1"/>
  <c r="N3646" i="3" s="1"/>
  <c r="N3630" i="3" a="1"/>
  <c r="N3630" i="3" s="1"/>
  <c r="N3614" i="3" a="1"/>
  <c r="N3614" i="3" s="1"/>
  <c r="N3600" i="3" a="1"/>
  <c r="N3600" i="3" s="1"/>
  <c r="N3585" i="3" a="1"/>
  <c r="N3585" i="3" s="1"/>
  <c r="N3566" i="3" a="1"/>
  <c r="N3566" i="3" s="1"/>
  <c r="N3550" i="3" a="1"/>
  <c r="N3550" i="3" s="1"/>
  <c r="N3526" i="3" a="1"/>
  <c r="N3526" i="3" s="1"/>
  <c r="N3507" i="3" a="1"/>
  <c r="N3507" i="3" s="1"/>
  <c r="N3490" i="3" a="1"/>
  <c r="N3490" i="3" s="1"/>
  <c r="N3466" i="3" a="1"/>
  <c r="N3466" i="3" s="1"/>
  <c r="N3442" i="3" a="1"/>
  <c r="N3442" i="3" s="1"/>
  <c r="N3643" i="3" a="1"/>
  <c r="N3643" i="3" s="1"/>
  <c r="N3628" i="3" a="1"/>
  <c r="N3628" i="3" s="1"/>
  <c r="N3613" i="3" a="1"/>
  <c r="N3613" i="3" s="1"/>
  <c r="N3598" i="3" a="1"/>
  <c r="N3598" i="3" s="1"/>
  <c r="N3581" i="3" a="1"/>
  <c r="N3581" i="3" s="1"/>
  <c r="N3565" i="3" a="1"/>
  <c r="N3565" i="3" s="1"/>
  <c r="N3545" i="3" a="1"/>
  <c r="N3545" i="3" s="1"/>
  <c r="N3525" i="3" a="1"/>
  <c r="N3525" i="3" s="1"/>
  <c r="N3506" i="3" a="1"/>
  <c r="N3506" i="3" s="1"/>
  <c r="N3485" i="3" a="1"/>
  <c r="N3485" i="3" s="1"/>
  <c r="N3642" i="3" a="1"/>
  <c r="N3642" i="3" s="1"/>
  <c r="N3626" i="3" a="1"/>
  <c r="N3626" i="3" s="1"/>
  <c r="N3612" i="3" a="1"/>
  <c r="N3612" i="3" s="1"/>
  <c r="N3597" i="3" a="1"/>
  <c r="N3597" i="3" s="1"/>
  <c r="N3580" i="3" a="1"/>
  <c r="N3580" i="3" s="1"/>
  <c r="N3564" i="3" a="1"/>
  <c r="N3564" i="3" s="1"/>
  <c r="N3544" i="3" a="1"/>
  <c r="N3544" i="3" s="1"/>
  <c r="N3524" i="3" a="1"/>
  <c r="N3524" i="3" s="1"/>
  <c r="N3504" i="3" a="1"/>
  <c r="N3504" i="3" s="1"/>
  <c r="N3483" i="3" a="1"/>
  <c r="N3483" i="3" s="1"/>
  <c r="N3463" i="3" a="1"/>
  <c r="N3463" i="3" s="1"/>
  <c r="N3440" i="3" a="1"/>
  <c r="N3440" i="3" s="1"/>
  <c r="N3361" i="3" a="1"/>
  <c r="N3361" i="3" s="1"/>
  <c r="N3351" i="3" a="1"/>
  <c r="N3351" i="3" s="1"/>
  <c r="N3341" i="3" a="1"/>
  <c r="N3341" i="3" s="1"/>
  <c r="N3331" i="3" a="1"/>
  <c r="N3331" i="3" s="1"/>
  <c r="N3321" i="3" a="1"/>
  <c r="N3321" i="3" s="1"/>
  <c r="N3311" i="3" a="1"/>
  <c r="N3311" i="3" s="1"/>
  <c r="N3301" i="3" a="1"/>
  <c r="N3301" i="3" s="1"/>
  <c r="N3291" i="3" a="1"/>
  <c r="N3291" i="3" s="1"/>
  <c r="N3281" i="3" a="1"/>
  <c r="N3281" i="3" s="1"/>
  <c r="N3271" i="3" a="1"/>
  <c r="N3271" i="3" s="1"/>
  <c r="N3261" i="3" a="1"/>
  <c r="N3261" i="3" s="1"/>
  <c r="N3251" i="3" a="1"/>
  <c r="N3251" i="3" s="1"/>
  <c r="K3362" i="3" a="1"/>
  <c r="N3399" i="3" a="1"/>
  <c r="N3399" i="3" s="1"/>
  <c r="N3409" i="3" a="1"/>
  <c r="N3409" i="3" s="1"/>
  <c r="N3479" i="3" a="1"/>
  <c r="N3479" i="3" s="1"/>
  <c r="N3489" i="3" a="1"/>
  <c r="N3489" i="3" s="1"/>
  <c r="N3499" i="3" a="1"/>
  <c r="N3499" i="3" s="1"/>
  <c r="N3509" i="3" a="1"/>
  <c r="N3509" i="3" s="1"/>
  <c r="N3519" i="3" a="1"/>
  <c r="N3519" i="3" s="1"/>
  <c r="N3529" i="3" a="1"/>
  <c r="N3529" i="3" s="1"/>
  <c r="N3539" i="3" a="1"/>
  <c r="N3539" i="3" s="1"/>
  <c r="N3549" i="3" a="1"/>
  <c r="N3549" i="3" s="1"/>
  <c r="N3559" i="3" a="1"/>
  <c r="N3559" i="3" s="1"/>
  <c r="N3569" i="3" a="1"/>
  <c r="N3569" i="3" s="1"/>
  <c r="N3579" i="3" a="1"/>
  <c r="N3579" i="3" s="1"/>
  <c r="N3589" i="3" a="1"/>
  <c r="N3589" i="3" s="1"/>
  <c r="N3599" i="3" a="1"/>
  <c r="N3599" i="3" s="1"/>
  <c r="N3609" i="3" a="1"/>
  <c r="N3609" i="3" s="1"/>
  <c r="N3619" i="3" a="1"/>
  <c r="N3619" i="3" s="1"/>
  <c r="N3629" i="3" a="1"/>
  <c r="N3629" i="3" s="1"/>
  <c r="N3639" i="3" a="1"/>
  <c r="N3639" i="3" s="1"/>
  <c r="N3649" i="3" a="1"/>
  <c r="N3649" i="3" s="1"/>
  <c r="N3652" i="3" a="1"/>
  <c r="N3652" i="3" s="1"/>
  <c r="N3398" i="3" a="1"/>
  <c r="N3398" i="3" s="1"/>
  <c r="N3408" i="3" a="1"/>
  <c r="N3408" i="3" s="1"/>
  <c r="N3478" i="3" a="1"/>
  <c r="N3478" i="3" s="1"/>
  <c r="N3488" i="3" a="1"/>
  <c r="N3488" i="3" s="1"/>
  <c r="N3498" i="3" a="1"/>
  <c r="N3498" i="3" s="1"/>
  <c r="N3508" i="3" a="1"/>
  <c r="N3508" i="3" s="1"/>
  <c r="N3518" i="3" a="1"/>
  <c r="N3518" i="3" s="1"/>
  <c r="N3528" i="3" a="1"/>
  <c r="N3528" i="3" s="1"/>
  <c r="N3538" i="3" a="1"/>
  <c r="N3538" i="3" s="1"/>
  <c r="N3548" i="3" a="1"/>
  <c r="N3548" i="3" s="1"/>
  <c r="N3558" i="3" a="1"/>
  <c r="N3558" i="3" s="1"/>
  <c r="N3568" i="3" a="1"/>
  <c r="N3568" i="3" s="1"/>
  <c r="N3385" i="3" a="1"/>
  <c r="N3385" i="3" s="1"/>
  <c r="N3396" i="3" a="1"/>
  <c r="N3396" i="3" s="1"/>
  <c r="N3472" i="3" a="1"/>
  <c r="N3472" i="3" s="1"/>
  <c r="N3484" i="3" a="1"/>
  <c r="N3484" i="3" s="1"/>
  <c r="N3496" i="3" a="1"/>
  <c r="N3496" i="3" s="1"/>
  <c r="N3510" i="3" a="1"/>
  <c r="N3510" i="3" s="1"/>
  <c r="N3522" i="3" a="1"/>
  <c r="N3522" i="3" s="1"/>
  <c r="N3534" i="3" a="1"/>
  <c r="N3534" i="3" s="1"/>
  <c r="N3546" i="3" a="1"/>
  <c r="N3546" i="3" s="1"/>
  <c r="N3560" i="3" a="1"/>
  <c r="N3560" i="3" s="1"/>
  <c r="N3572" i="3" a="1"/>
  <c r="N3572" i="3" s="1"/>
  <c r="N3583" i="3" a="1"/>
  <c r="N3583" i="3" s="1"/>
  <c r="N3594" i="3" a="1"/>
  <c r="N3594" i="3" s="1"/>
  <c r="N3605" i="3" a="1"/>
  <c r="N3605" i="3" s="1"/>
  <c r="N3616" i="3" a="1"/>
  <c r="N3616" i="3" s="1"/>
  <c r="N3627" i="3" a="1"/>
  <c r="N3627" i="3" s="1"/>
  <c r="N3638" i="3" a="1"/>
  <c r="N3638" i="3" s="1"/>
  <c r="N3650" i="3" a="1"/>
  <c r="N3650" i="3" s="1"/>
  <c r="N3457" i="3" a="1"/>
  <c r="N3457" i="3" s="1"/>
  <c r="N3473" i="3" a="1"/>
  <c r="N3473" i="3" s="1"/>
  <c r="N3486" i="3" a="1"/>
  <c r="N3486" i="3" s="1"/>
  <c r="N3501" i="3" a="1"/>
  <c r="N3501" i="3" s="1"/>
  <c r="N3514" i="3" a="1"/>
  <c r="N3514" i="3" s="1"/>
  <c r="N3527" i="3" a="1"/>
  <c r="N3527" i="3" s="1"/>
  <c r="N3542" i="3" a="1"/>
  <c r="N3542" i="3" s="1"/>
  <c r="N3555" i="3" a="1"/>
  <c r="N3555" i="3" s="1"/>
  <c r="N3570" i="3" a="1"/>
  <c r="N3570" i="3" s="1"/>
  <c r="N3582" i="3" a="1"/>
  <c r="N3582" i="3" s="1"/>
  <c r="N3595" i="3" a="1"/>
  <c r="N3595" i="3" s="1"/>
  <c r="N3607" i="3" a="1"/>
  <c r="N3607" i="3" s="1"/>
  <c r="N3620" i="3" a="1"/>
  <c r="N3620" i="3" s="1"/>
  <c r="N3632" i="3" a="1"/>
  <c r="N3632" i="3" s="1"/>
  <c r="N3644" i="3" a="1"/>
  <c r="N3644" i="3" s="1"/>
  <c r="N3445" i="3" a="1"/>
  <c r="N3445" i="3" s="1"/>
  <c r="N3461" i="3" a="1"/>
  <c r="N3461" i="3" s="1"/>
  <c r="N3474" i="3" a="1"/>
  <c r="N3474" i="3" s="1"/>
  <c r="N3487" i="3" a="1"/>
  <c r="N3487" i="3" s="1"/>
  <c r="N3502" i="3" a="1"/>
  <c r="N3502" i="3" s="1"/>
  <c r="N3515" i="3" a="1"/>
  <c r="N3515" i="3" s="1"/>
  <c r="N3530" i="3" a="1"/>
  <c r="N3530" i="3" s="1"/>
  <c r="N3543" i="3" a="1"/>
  <c r="N3543" i="3" s="1"/>
  <c r="N3556" i="3" a="1"/>
  <c r="N3556" i="3" s="1"/>
  <c r="N3571" i="3" a="1"/>
  <c r="N3571" i="3" s="1"/>
  <c r="N3584" i="3" a="1"/>
  <c r="N3584" i="3" s="1"/>
  <c r="N3596" i="3" a="1"/>
  <c r="N3596" i="3" s="1"/>
  <c r="N3608" i="3" a="1"/>
  <c r="N3608" i="3" s="1"/>
  <c r="N3621" i="3" a="1"/>
  <c r="N3621" i="3" s="1"/>
  <c r="N3633" i="3" a="1"/>
  <c r="N3633" i="3" s="1"/>
  <c r="N3645" i="3" a="1"/>
  <c r="N3645" i="3" s="1"/>
  <c r="N3433" i="3" a="1"/>
  <c r="N3433" i="3" s="1"/>
  <c r="N3447" i="3" a="1"/>
  <c r="N3447" i="3" s="1"/>
  <c r="N3475" i="3" a="1"/>
  <c r="N3475" i="3" s="1"/>
  <c r="N3451" i="3" a="1"/>
  <c r="N3451" i="3" s="1"/>
  <c r="N3464" i="3" a="1"/>
  <c r="N3464" i="3" s="1"/>
  <c r="N3477" i="3" a="1"/>
  <c r="N3477" i="3" s="1"/>
  <c r="N3492" i="3" a="1"/>
  <c r="N3492" i="3" s="1"/>
  <c r="N3505" i="3" a="1"/>
  <c r="N3505" i="3" s="1"/>
  <c r="N3520" i="3" a="1"/>
  <c r="N3520" i="3" s="1"/>
  <c r="N3533" i="3" a="1"/>
  <c r="N3533" i="3" s="1"/>
  <c r="N3547" i="3" a="1"/>
  <c r="N3547" i="3" s="1"/>
  <c r="N3562" i="3" a="1"/>
  <c r="N3562" i="3" s="1"/>
  <c r="N3641" i="3" a="1"/>
  <c r="N3641" i="3" s="1"/>
  <c r="N3625" i="3" a="1"/>
  <c r="N3625" i="3" s="1"/>
  <c r="N3611" i="3" a="1"/>
  <c r="N3611" i="3" s="1"/>
  <c r="N3593" i="3" a="1"/>
  <c r="N3593" i="3" s="1"/>
  <c r="N3578" i="3" a="1"/>
  <c r="N3578" i="3" s="1"/>
  <c r="N3563" i="3" a="1"/>
  <c r="N3563" i="3" s="1"/>
  <c r="N3541" i="3" a="1"/>
  <c r="N3541" i="3" s="1"/>
  <c r="N3523" i="3" a="1"/>
  <c r="N3523" i="3" s="1"/>
  <c r="N3503" i="3" a="1"/>
  <c r="N3503" i="3" s="1"/>
  <c r="N3482" i="3" a="1"/>
  <c r="N3482" i="3" s="1"/>
  <c r="N3437" i="3" a="1"/>
  <c r="N3437" i="3" s="1"/>
  <c r="N3413" i="3" a="1"/>
  <c r="N3413" i="3" s="1"/>
  <c r="N3640" i="3" a="1"/>
  <c r="N3640" i="3" s="1"/>
  <c r="N3624" i="3" a="1"/>
  <c r="N3624" i="3" s="1"/>
  <c r="N3610" i="3" a="1"/>
  <c r="N3610" i="3" s="1"/>
  <c r="N3592" i="3" a="1"/>
  <c r="N3592" i="3" s="1"/>
  <c r="N3577" i="3" a="1"/>
  <c r="N3577" i="3" s="1"/>
  <c r="N3561" i="3" a="1"/>
  <c r="N3561" i="3" s="1"/>
  <c r="N3540" i="3" a="1"/>
  <c r="N3540" i="3" s="1"/>
  <c r="N3521" i="3" a="1"/>
  <c r="N3521" i="3" s="1"/>
  <c r="N3500" i="3" a="1"/>
  <c r="N3500" i="3" s="1"/>
  <c r="N3481" i="3" a="1"/>
  <c r="N3481" i="3" s="1"/>
  <c r="N3412" i="3" a="1"/>
  <c r="N3412" i="3" s="1"/>
  <c r="N3359" i="3" a="1"/>
  <c r="N3359" i="3" s="1"/>
  <c r="N3349" i="3" a="1"/>
  <c r="N3349" i="3" s="1"/>
  <c r="N3339" i="3" a="1"/>
  <c r="N3339" i="3" s="1"/>
  <c r="N3329" i="3" a="1"/>
  <c r="N3329" i="3" s="1"/>
  <c r="N3319" i="3" a="1"/>
  <c r="N3319" i="3" s="1"/>
  <c r="N3309" i="3" a="1"/>
  <c r="N3309" i="3" s="1"/>
  <c r="N3299" i="3" a="1"/>
  <c r="N3299" i="3" s="1"/>
  <c r="N3289" i="3" a="1"/>
  <c r="N3289" i="3" s="1"/>
  <c r="N3279" i="3" a="1"/>
  <c r="N3279" i="3" s="1"/>
  <c r="N3269" i="3" a="1"/>
  <c r="N3269" i="3" s="1"/>
  <c r="N3259" i="3" a="1"/>
  <c r="N3259" i="3" s="1"/>
  <c r="N3637" i="3" a="1"/>
  <c r="N3637" i="3" s="1"/>
  <c r="N3623" i="3" a="1"/>
  <c r="N3623" i="3" s="1"/>
  <c r="N3606" i="3" a="1"/>
  <c r="N3606" i="3" s="1"/>
  <c r="N3591" i="3" a="1"/>
  <c r="N3591" i="3" s="1"/>
  <c r="N3576" i="3" a="1"/>
  <c r="N3576" i="3" s="1"/>
  <c r="N3557" i="3" a="1"/>
  <c r="N3557" i="3" s="1"/>
  <c r="N3537" i="3" a="1"/>
  <c r="N3537" i="3" s="1"/>
  <c r="N3517" i="3" a="1"/>
  <c r="N3517" i="3" s="1"/>
  <c r="N3497" i="3" a="1"/>
  <c r="N3497" i="3" s="1"/>
  <c r="N3480" i="3" a="1"/>
  <c r="N3480" i="3" s="1"/>
  <c r="N3430" i="3" a="1"/>
  <c r="N3430" i="3" s="1"/>
  <c r="N3411" i="3" a="1"/>
  <c r="N3411" i="3" s="1"/>
  <c r="N4214" i="3" a="1"/>
  <c r="N4214" i="3" s="1"/>
  <c r="N4199" i="3" a="1"/>
  <c r="N4199" i="3" s="1"/>
  <c r="N4184" i="3" a="1"/>
  <c r="N4184" i="3" s="1"/>
  <c r="N4289" i="3" a="1"/>
  <c r="N4289" i="3" s="1"/>
  <c r="K4059" i="3" a="1"/>
  <c r="N4060" i="3" a="1"/>
  <c r="N4060" i="3" s="1"/>
  <c r="N4135" i="3" a="1"/>
  <c r="N4135" i="3" s="1"/>
  <c r="N4144" i="3" a="1"/>
  <c r="N4144" i="3" s="1"/>
  <c r="N4177" i="3" a="1"/>
  <c r="N4177" i="3" s="1"/>
  <c r="N4185" i="3" a="1"/>
  <c r="N4185" i="3" s="1"/>
  <c r="N4194" i="3" a="1"/>
  <c r="N4194" i="3" s="1"/>
  <c r="N4202" i="3" a="1"/>
  <c r="N4202" i="3" s="1"/>
  <c r="N4210" i="3" a="1"/>
  <c r="N4210" i="3" s="1"/>
  <c r="N4219" i="3" a="1"/>
  <c r="N4219" i="3" s="1"/>
  <c r="N4227" i="3" a="1"/>
  <c r="N4227" i="3" s="1"/>
  <c r="N4235" i="3" a="1"/>
  <c r="N4235" i="3" s="1"/>
  <c r="N4244" i="3" a="1"/>
  <c r="N4244" i="3" s="1"/>
  <c r="N4252" i="3" a="1"/>
  <c r="N4252" i="3" s="1"/>
  <c r="N4260" i="3" a="1"/>
  <c r="N4260" i="3" s="1"/>
  <c r="N4269" i="3" a="1"/>
  <c r="N4269" i="3" s="1"/>
  <c r="N4277" i="3" a="1"/>
  <c r="N4277" i="3" s="1"/>
  <c r="N4285" i="3" a="1"/>
  <c r="N4285" i="3" s="1"/>
  <c r="N4294" i="3" a="1"/>
  <c r="N4294" i="3" s="1"/>
  <c r="N4302" i="3" a="1"/>
  <c r="N4302" i="3" s="1"/>
  <c r="N4310" i="3" a="1"/>
  <c r="N4310" i="3" s="1"/>
  <c r="N4161" i="3" a="1"/>
  <c r="N4161" i="3" s="1"/>
  <c r="N4178" i="3" a="1"/>
  <c r="N4178" i="3" s="1"/>
  <c r="N4186" i="3" a="1"/>
  <c r="N4186" i="3" s="1"/>
  <c r="N4203" i="3" a="1"/>
  <c r="N4203" i="3" s="1"/>
  <c r="N4211" i="3" a="1"/>
  <c r="N4211" i="3" s="1"/>
  <c r="N4228" i="3" a="1"/>
  <c r="N4228" i="3" s="1"/>
  <c r="N4236" i="3" a="1"/>
  <c r="N4236" i="3" s="1"/>
  <c r="N4253" i="3" a="1"/>
  <c r="N4253" i="3" s="1"/>
  <c r="N4261" i="3" a="1"/>
  <c r="N4261" i="3" s="1"/>
  <c r="N4278" i="3" a="1"/>
  <c r="N4278" i="3" s="1"/>
  <c r="N4286" i="3" a="1"/>
  <c r="N4286" i="3" s="1"/>
  <c r="N4303" i="3" a="1"/>
  <c r="N4303" i="3" s="1"/>
  <c r="N4311" i="3" a="1"/>
  <c r="N4311" i="3" s="1"/>
  <c r="N4120" i="3" a="1"/>
  <c r="N4120" i="3" s="1"/>
  <c r="N4129" i="3" a="1"/>
  <c r="N4129" i="3" s="1"/>
  <c r="N4179" i="3" a="1"/>
  <c r="N4179" i="3" s="1"/>
  <c r="N4187" i="3" a="1"/>
  <c r="N4187" i="3" s="1"/>
  <c r="N4195" i="3" a="1"/>
  <c r="N4195" i="3" s="1"/>
  <c r="N4204" i="3" a="1"/>
  <c r="N4204" i="3" s="1"/>
  <c r="N4212" i="3" a="1"/>
  <c r="N4212" i="3" s="1"/>
  <c r="N4220" i="3" a="1"/>
  <c r="N4220" i="3" s="1"/>
  <c r="N4229" i="3" a="1"/>
  <c r="N4229" i="3" s="1"/>
  <c r="N4237" i="3" a="1"/>
  <c r="N4237" i="3" s="1"/>
  <c r="N4245" i="3" a="1"/>
  <c r="N4245" i="3" s="1"/>
  <c r="N4254" i="3" a="1"/>
  <c r="N4254" i="3" s="1"/>
  <c r="N4262" i="3" a="1"/>
  <c r="N4262" i="3" s="1"/>
  <c r="N4270" i="3" a="1"/>
  <c r="N4270" i="3" s="1"/>
  <c r="N4279" i="3" a="1"/>
  <c r="N4279" i="3" s="1"/>
  <c r="N4287" i="3" a="1"/>
  <c r="N4287" i="3" s="1"/>
  <c r="N4295" i="3" a="1"/>
  <c r="N4295" i="3" s="1"/>
  <c r="N4304" i="3" a="1"/>
  <c r="N4304" i="3" s="1"/>
  <c r="N4312" i="3" a="1"/>
  <c r="N4312" i="3" s="1"/>
  <c r="N4142" i="3" a="1"/>
  <c r="N4142" i="3" s="1"/>
  <c r="N4155" i="3" a="1"/>
  <c r="N4155" i="3" s="1"/>
  <c r="N4190" i="3" a="1"/>
  <c r="N4190" i="3" s="1"/>
  <c r="N4201" i="3" a="1"/>
  <c r="N4201" i="3" s="1"/>
  <c r="N4225" i="3" a="1"/>
  <c r="N4225" i="3" s="1"/>
  <c r="N4239" i="3" a="1"/>
  <c r="N4239" i="3" s="1"/>
  <c r="N4263" i="3" a="1"/>
  <c r="N4263" i="3" s="1"/>
  <c r="N4274" i="3" a="1"/>
  <c r="N4274" i="3" s="1"/>
  <c r="N4298" i="3" a="1"/>
  <c r="N4298" i="3" s="1"/>
  <c r="N4309" i="3" a="1"/>
  <c r="N4309" i="3" s="1"/>
  <c r="N4064" i="3" a="1"/>
  <c r="N4064" i="3" s="1"/>
  <c r="N4182" i="3" a="1"/>
  <c r="N4182" i="3" s="1"/>
  <c r="N4193" i="3" a="1"/>
  <c r="N4193" i="3" s="1"/>
  <c r="N4206" i="3" a="1"/>
  <c r="N4206" i="3" s="1"/>
  <c r="N4217" i="3" a="1"/>
  <c r="N4217" i="3" s="1"/>
  <c r="N4230" i="3" a="1"/>
  <c r="N4230" i="3" s="1"/>
  <c r="N4241" i="3" a="1"/>
  <c r="N4241" i="3" s="1"/>
  <c r="N4265" i="3" a="1"/>
  <c r="N4265" i="3" s="1"/>
  <c r="N4276" i="3" a="1"/>
  <c r="N4276" i="3" s="1"/>
  <c r="N4300" i="3" a="1"/>
  <c r="N4300" i="3" s="1"/>
  <c r="N4100" i="3" a="1"/>
  <c r="N4100" i="3" s="1"/>
  <c r="N4115" i="3" a="1"/>
  <c r="N4115" i="3" s="1"/>
  <c r="N4205" i="3" a="1"/>
  <c r="N4205" i="3" s="1"/>
  <c r="N4221" i="3" a="1"/>
  <c r="N4221" i="3" s="1"/>
  <c r="N4234" i="3" a="1"/>
  <c r="N4234" i="3" s="1"/>
  <c r="N4249" i="3" a="1"/>
  <c r="N4249" i="3" s="1"/>
  <c r="N4280" i="3" a="1"/>
  <c r="N4280" i="3" s="1"/>
  <c r="N4293" i="3" a="1"/>
  <c r="N4293" i="3" s="1"/>
  <c r="N4308" i="3" a="1"/>
  <c r="N4308" i="3" s="1"/>
  <c r="N4073" i="3" a="1"/>
  <c r="N4073" i="3" s="1"/>
  <c r="N4191" i="3" a="1"/>
  <c r="N4191" i="3" s="1"/>
  <c r="N4207" i="3" a="1"/>
  <c r="N4207" i="3" s="1"/>
  <c r="N4222" i="3" a="1"/>
  <c r="N4222" i="3" s="1"/>
  <c r="N4250" i="3" a="1"/>
  <c r="N4250" i="3" s="1"/>
  <c r="N4266" i="3" a="1"/>
  <c r="N4266" i="3" s="1"/>
  <c r="N4281" i="3" a="1"/>
  <c r="N4281" i="3" s="1"/>
  <c r="N4296" i="3" a="1"/>
  <c r="N4296" i="3" s="1"/>
  <c r="N4164" i="3" a="1"/>
  <c r="N4164" i="3" s="1"/>
  <c r="N4176" i="3" a="1"/>
  <c r="N4176" i="3" s="1"/>
  <c r="N4192" i="3" a="1"/>
  <c r="N4192" i="3" s="1"/>
  <c r="N4208" i="3" a="1"/>
  <c r="N4208" i="3" s="1"/>
  <c r="N4223" i="3" a="1"/>
  <c r="N4223" i="3" s="1"/>
  <c r="N4238" i="3" a="1"/>
  <c r="N4238" i="3" s="1"/>
  <c r="N4251" i="3" a="1"/>
  <c r="N4251" i="3" s="1"/>
  <c r="N4267" i="3" a="1"/>
  <c r="N4267" i="3" s="1"/>
  <c r="N4282" i="3" a="1"/>
  <c r="N4282" i="3" s="1"/>
  <c r="N4297" i="3" a="1"/>
  <c r="N4297" i="3" s="1"/>
  <c r="N4313" i="3" a="1"/>
  <c r="N4313" i="3" s="1"/>
  <c r="N4075" i="3" a="1"/>
  <c r="N4075" i="3" s="1"/>
  <c r="N4180" i="3" a="1"/>
  <c r="N4180" i="3" s="1"/>
  <c r="N4196" i="3" a="1"/>
  <c r="N4196" i="3" s="1"/>
  <c r="N4209" i="3" a="1"/>
  <c r="N4209" i="3" s="1"/>
  <c r="N4224" i="3" a="1"/>
  <c r="N4224" i="3" s="1"/>
  <c r="N4255" i="3" a="1"/>
  <c r="N4255" i="3" s="1"/>
  <c r="N4268" i="3" a="1"/>
  <c r="N4268" i="3" s="1"/>
  <c r="N4283" i="3" a="1"/>
  <c r="N4283" i="3" s="1"/>
  <c r="N4299" i="3" a="1"/>
  <c r="N4299" i="3" s="1"/>
  <c r="N4165" i="3" a="1"/>
  <c r="N4165" i="3" s="1"/>
  <c r="N4181" i="3" a="1"/>
  <c r="N4181" i="3" s="1"/>
  <c r="N4197" i="3" a="1"/>
  <c r="N4197" i="3" s="1"/>
  <c r="N4240" i="3" a="1"/>
  <c r="N4240" i="3" s="1"/>
  <c r="N4256" i="3" a="1"/>
  <c r="N4256" i="3" s="1"/>
  <c r="N4271" i="3" a="1"/>
  <c r="N4271" i="3" s="1"/>
  <c r="N4284" i="3" a="1"/>
  <c r="N4284" i="3" s="1"/>
  <c r="N4139" i="3" a="1"/>
  <c r="N4139" i="3" s="1"/>
  <c r="N4151" i="3" a="1"/>
  <c r="N4151" i="3" s="1"/>
  <c r="N4183" i="3" a="1"/>
  <c r="N4183" i="3" s="1"/>
  <c r="N4198" i="3" a="1"/>
  <c r="N4198" i="3" s="1"/>
  <c r="N4213" i="3" a="1"/>
  <c r="N4213" i="3" s="1"/>
  <c r="N4226" i="3" a="1"/>
  <c r="N4226" i="3" s="1"/>
  <c r="N4242" i="3" a="1"/>
  <c r="N4242" i="3" s="1"/>
  <c r="N4257" i="3" a="1"/>
  <c r="N4257" i="3" s="1"/>
  <c r="N4272" i="3" a="1"/>
  <c r="N4272" i="3" s="1"/>
  <c r="N4288" i="3" a="1"/>
  <c r="N4288" i="3" s="1"/>
  <c r="N4301" i="3" a="1"/>
  <c r="N4301" i="3" s="1"/>
  <c r="N4140" i="3" a="1"/>
  <c r="N4140" i="3" s="1"/>
  <c r="N4156" i="3" a="1"/>
  <c r="N4156" i="3" s="1"/>
  <c r="N4215" i="3" a="1"/>
  <c r="N4215" i="3" s="1"/>
  <c r="N4231" i="3" a="1"/>
  <c r="N4231" i="3" s="1"/>
  <c r="N4246" i="3" a="1"/>
  <c r="N4246" i="3" s="1"/>
  <c r="N4259" i="3" a="1"/>
  <c r="N4259" i="3" s="1"/>
  <c r="N4290" i="3" a="1"/>
  <c r="N4290" i="3" s="1"/>
  <c r="N4305" i="3" a="1"/>
  <c r="N4305" i="3" s="1"/>
  <c r="N4082" i="3" a="1"/>
  <c r="N4082" i="3" s="1"/>
  <c r="N4098" i="3" a="1"/>
  <c r="N4098" i="3" s="1"/>
  <c r="N4188" i="3" a="1"/>
  <c r="N4188" i="3" s="1"/>
  <c r="N4200" i="3" a="1"/>
  <c r="N4200" i="3" s="1"/>
  <c r="N4216" i="3" a="1"/>
  <c r="N4216" i="3" s="1"/>
  <c r="N4232" i="3" a="1"/>
  <c r="N4232" i="3" s="1"/>
  <c r="N4247" i="3" a="1"/>
  <c r="N4247" i="3" s="1"/>
  <c r="N4275" i="3" a="1"/>
  <c r="N4275" i="3" s="1"/>
  <c r="N4291" i="3" a="1"/>
  <c r="N4291" i="3" s="1"/>
  <c r="N4306" i="3" a="1"/>
  <c r="N4306" i="3" s="1"/>
  <c r="N4189" i="3" a="1"/>
  <c r="N4189" i="3" s="1"/>
  <c r="N4218" i="3" a="1"/>
  <c r="N4218" i="3" s="1"/>
  <c r="N4233" i="3" a="1"/>
  <c r="N4233" i="3" s="1"/>
  <c r="N4248" i="3" a="1"/>
  <c r="N4248" i="3" s="1"/>
  <c r="N4264" i="3" a="1"/>
  <c r="N4264" i="3" s="1"/>
  <c r="N4292" i="3" a="1"/>
  <c r="N4292" i="3" s="1"/>
  <c r="N4307" i="3" a="1"/>
  <c r="N4307" i="3" s="1"/>
  <c r="N4258" i="3" a="1"/>
  <c r="N4258" i="3" s="1"/>
  <c r="N4057" i="3" a="1"/>
  <c r="N4057" i="3" s="1"/>
  <c r="N4046" i="3" a="1"/>
  <c r="N4046" i="3" s="1"/>
  <c r="N4036" i="3" a="1"/>
  <c r="N4036" i="3" s="1"/>
  <c r="N4025" i="3" a="1"/>
  <c r="N4025" i="3" s="1"/>
  <c r="N4016" i="3" a="1"/>
  <c r="N4016" i="3" s="1"/>
  <c r="N4051" i="3" a="1"/>
  <c r="N4051" i="3" s="1"/>
  <c r="N4041" i="3" a="1"/>
  <c r="N4041" i="3" s="1"/>
  <c r="N4050" i="3" a="1"/>
  <c r="N4050" i="3" s="1"/>
  <c r="N4040" i="3" a="1"/>
  <c r="N4040" i="3" s="1"/>
  <c r="N4030" i="3" a="1"/>
  <c r="N4030" i="3" s="1"/>
  <c r="N4021" i="3" a="1"/>
  <c r="N4021" i="3" s="1"/>
  <c r="N4012" i="3" a="1"/>
  <c r="N4012" i="3" s="1"/>
  <c r="N4049" i="3" a="1"/>
  <c r="N4049" i="3" s="1"/>
  <c r="N4039" i="3" a="1"/>
  <c r="N4039" i="3" s="1"/>
  <c r="N4048" i="3" a="1"/>
  <c r="N4048" i="3" s="1"/>
  <c r="N4038" i="3" a="1"/>
  <c r="N4038" i="3" s="1"/>
  <c r="N4028" i="3" a="1"/>
  <c r="N4028" i="3" s="1"/>
  <c r="K3999" i="3" a="1"/>
  <c r="N4000" i="3" a="1"/>
  <c r="N4000" i="3" s="1"/>
  <c r="N4019" i="3" a="1"/>
  <c r="N4019" i="3" s="1"/>
  <c r="N4043" i="3" a="1"/>
  <c r="N4043" i="3" s="1"/>
  <c r="N4052" i="3" a="1"/>
  <c r="N4052" i="3" s="1"/>
  <c r="N4024" i="3" a="1"/>
  <c r="N4024" i="3" s="1"/>
  <c r="N4033" i="3" a="1"/>
  <c r="N4033" i="3" s="1"/>
  <c r="N4042" i="3" a="1"/>
  <c r="N4042" i="3" s="1"/>
  <c r="N4053" i="3" a="1"/>
  <c r="N4053" i="3" s="1"/>
  <c r="N4047" i="3" a="1"/>
  <c r="N4047" i="3" s="1"/>
  <c r="N4037" i="3" a="1"/>
  <c r="N4037" i="3" s="1"/>
  <c r="N4002" i="3" a="1"/>
  <c r="N4002" i="3" s="1"/>
  <c r="N4058" i="3" a="1"/>
  <c r="N4058" i="3" s="1"/>
  <c r="N4026" i="3" a="1"/>
  <c r="N4026" i="3" s="1"/>
  <c r="N4017" i="3" a="1"/>
  <c r="N4017" i="3" s="1"/>
  <c r="M4059" i="3" a="1"/>
  <c r="M4059" i="3" s="1"/>
  <c r="N4059" i="3" s="1" a="1"/>
  <c r="N4059" i="3" s="1"/>
  <c r="M3999" i="3" a="1"/>
  <c r="N4031" i="3" s="1" a="1"/>
  <c r="N4031" i="3" s="1"/>
  <c r="M3653" i="3" a="1"/>
  <c r="N3746" i="3" s="1" a="1"/>
  <c r="N3746" i="3" s="1"/>
  <c r="M3362" i="3" a="1"/>
  <c r="N3421" i="3" s="1" a="1"/>
  <c r="N3421" i="3" s="1"/>
  <c r="K3167" i="3"/>
  <c r="L3167" i="3" s="1"/>
  <c r="L3169" i="3"/>
  <c r="L3179" i="3"/>
  <c r="L3189" i="3"/>
  <c r="L3199" i="3"/>
  <c r="L3209" i="3"/>
  <c r="L3219" i="3"/>
  <c r="L3229" i="3"/>
  <c r="L3239" i="3"/>
  <c r="L3249" i="3"/>
  <c r="L3259" i="3"/>
  <c r="L3269" i="3"/>
  <c r="L3279" i="3"/>
  <c r="L3289" i="3"/>
  <c r="L3299" i="3"/>
  <c r="L3309" i="3"/>
  <c r="L3319" i="3"/>
  <c r="L3329" i="3"/>
  <c r="L3339" i="3"/>
  <c r="L3349" i="3"/>
  <c r="L3359" i="3"/>
  <c r="L3170" i="3"/>
  <c r="L3180" i="3"/>
  <c r="L3190" i="3"/>
  <c r="L3200" i="3"/>
  <c r="L3210" i="3"/>
  <c r="L3220" i="3"/>
  <c r="L3230" i="3"/>
  <c r="L3240" i="3"/>
  <c r="L3250" i="3"/>
  <c r="L3260" i="3"/>
  <c r="L3270" i="3"/>
  <c r="L3280" i="3"/>
  <c r="L3290" i="3"/>
  <c r="L3300" i="3"/>
  <c r="L3310" i="3"/>
  <c r="L3320" i="3"/>
  <c r="L3330" i="3"/>
  <c r="L3340" i="3"/>
  <c r="L3350" i="3"/>
  <c r="L3360" i="3"/>
  <c r="L3173" i="3"/>
  <c r="L3183" i="3"/>
  <c r="L3193" i="3"/>
  <c r="L3203" i="3"/>
  <c r="L3213" i="3"/>
  <c r="L3223" i="3"/>
  <c r="L3233" i="3"/>
  <c r="L3243" i="3"/>
  <c r="L3253" i="3"/>
  <c r="L3263" i="3"/>
  <c r="L3273" i="3"/>
  <c r="L3283" i="3"/>
  <c r="L3293" i="3"/>
  <c r="L3303" i="3"/>
  <c r="L3313" i="3"/>
  <c r="L3323" i="3"/>
  <c r="L3333" i="3"/>
  <c r="L3343" i="3"/>
  <c r="L3353" i="3"/>
  <c r="L3171" i="3"/>
  <c r="L3191" i="3"/>
  <c r="L3221" i="3"/>
  <c r="L3251" i="3"/>
  <c r="L3291" i="3"/>
  <c r="L3331" i="3"/>
  <c r="L3351" i="3"/>
  <c r="L3242" i="3"/>
  <c r="L3282" i="3"/>
  <c r="L3322" i="3"/>
  <c r="L3358" i="3"/>
  <c r="L3348" i="3"/>
  <c r="L3338" i="3"/>
  <c r="L3328" i="3"/>
  <c r="L3318" i="3"/>
  <c r="L3308" i="3"/>
  <c r="L3298" i="3"/>
  <c r="L3288" i="3"/>
  <c r="L3278" i="3"/>
  <c r="L3268" i="3"/>
  <c r="L3258" i="3"/>
  <c r="L3248" i="3"/>
  <c r="L3238" i="3"/>
  <c r="L3228" i="3"/>
  <c r="L3218" i="3"/>
  <c r="L3208" i="3"/>
  <c r="L3198" i="3"/>
  <c r="L3188" i="3"/>
  <c r="L3178" i="3"/>
  <c r="L3168" i="3"/>
  <c r="L3357" i="3"/>
  <c r="L3347" i="3"/>
  <c r="L3337" i="3"/>
  <c r="L3327" i="3"/>
  <c r="L3317" i="3"/>
  <c r="L3307" i="3"/>
  <c r="L3297" i="3"/>
  <c r="L3287" i="3"/>
  <c r="L3277" i="3"/>
  <c r="L3267" i="3"/>
  <c r="L3257" i="3"/>
  <c r="L3247" i="3"/>
  <c r="L3237" i="3"/>
  <c r="L3227" i="3"/>
  <c r="L3217" i="3"/>
  <c r="L3207" i="3"/>
  <c r="L3197" i="3"/>
  <c r="L3187" i="3"/>
  <c r="L3177" i="3"/>
  <c r="L3342" i="3"/>
  <c r="L3312" i="3"/>
  <c r="L3292" i="3"/>
  <c r="L3262" i="3"/>
  <c r="L3232" i="3"/>
  <c r="L3222" i="3"/>
  <c r="L3202" i="3"/>
  <c r="L3182" i="3"/>
  <c r="L3361" i="3"/>
  <c r="L3321" i="3"/>
  <c r="L3301" i="3"/>
  <c r="L3281" i="3"/>
  <c r="L3261" i="3"/>
  <c r="L3231" i="3"/>
  <c r="L3201" i="3"/>
  <c r="L3356" i="3"/>
  <c r="L3346" i="3"/>
  <c r="L3336" i="3"/>
  <c r="L3326" i="3"/>
  <c r="L3316" i="3"/>
  <c r="L3306" i="3"/>
  <c r="L3296" i="3"/>
  <c r="L3286" i="3"/>
  <c r="L3276" i="3"/>
  <c r="L3266" i="3"/>
  <c r="L3256" i="3"/>
  <c r="L3246" i="3"/>
  <c r="L3236" i="3"/>
  <c r="L3226" i="3"/>
  <c r="L3216" i="3"/>
  <c r="L3206" i="3"/>
  <c r="L3196" i="3"/>
  <c r="L3186" i="3"/>
  <c r="L3176" i="3"/>
  <c r="L3355" i="3"/>
  <c r="L3345" i="3"/>
  <c r="L3335" i="3"/>
  <c r="L3325" i="3"/>
  <c r="L3315" i="3"/>
  <c r="L3305" i="3"/>
  <c r="L3295" i="3"/>
  <c r="L3285" i="3"/>
  <c r="L3275" i="3"/>
  <c r="L3265" i="3"/>
  <c r="L3255" i="3"/>
  <c r="L3245" i="3"/>
  <c r="L3235" i="3"/>
  <c r="L3225" i="3"/>
  <c r="L3215" i="3"/>
  <c r="L3205" i="3"/>
  <c r="L3195" i="3"/>
  <c r="L3185" i="3"/>
  <c r="L3175" i="3"/>
  <c r="L3352" i="3"/>
  <c r="L3332" i="3"/>
  <c r="L3302" i="3"/>
  <c r="L3272" i="3"/>
  <c r="L3252" i="3"/>
  <c r="L3212" i="3"/>
  <c r="L3192" i="3"/>
  <c r="L3172" i="3"/>
  <c r="L3341" i="3"/>
  <c r="L3311" i="3"/>
  <c r="L3271" i="3"/>
  <c r="L3241" i="3"/>
  <c r="L3211" i="3"/>
  <c r="L3181" i="3"/>
  <c r="L3354" i="3"/>
  <c r="L3344" i="3"/>
  <c r="L3334" i="3"/>
  <c r="L3324" i="3"/>
  <c r="L3314" i="3"/>
  <c r="L3304" i="3"/>
  <c r="L3294" i="3"/>
  <c r="L3284" i="3"/>
  <c r="L3274" i="3"/>
  <c r="L3264" i="3"/>
  <c r="L3254" i="3"/>
  <c r="L3244" i="3"/>
  <c r="L3234" i="3"/>
  <c r="L3224" i="3"/>
  <c r="L3214" i="3"/>
  <c r="L3204" i="3"/>
  <c r="L3194" i="3"/>
  <c r="L3184" i="3"/>
  <c r="L3174" i="3"/>
  <c r="M3167" i="3" a="1"/>
  <c r="N2978" i="3" a="1"/>
  <c r="N2978" i="3" s="1"/>
  <c r="N2962" i="3" a="1"/>
  <c r="N2962" i="3" s="1"/>
  <c r="N2948" i="3" a="1"/>
  <c r="N2948" i="3" s="1"/>
  <c r="N2935" i="3" a="1"/>
  <c r="N2935" i="3" s="1"/>
  <c r="N2920" i="3" a="1"/>
  <c r="N2920" i="3" s="1"/>
  <c r="N2909" i="3" a="1"/>
  <c r="N2909" i="3" s="1"/>
  <c r="N2883" i="3" a="1"/>
  <c r="N2883" i="3" s="1"/>
  <c r="N2872" i="3" a="1"/>
  <c r="N2872" i="3" s="1"/>
  <c r="N2829" i="3" a="1"/>
  <c r="N2829" i="3" s="1"/>
  <c r="N2804" i="3" a="1"/>
  <c r="N2804" i="3" s="1"/>
  <c r="N2790" i="3" a="1"/>
  <c r="N2790" i="3" s="1"/>
  <c r="N2778" i="3" a="1"/>
  <c r="N2778" i="3" s="1"/>
  <c r="N2768" i="3" a="1"/>
  <c r="N2768" i="3" s="1"/>
  <c r="N2742" i="3" a="1"/>
  <c r="N2742" i="3" s="1"/>
  <c r="N2727" i="3" a="1"/>
  <c r="N2727" i="3" s="1"/>
  <c r="N2703" i="3" a="1"/>
  <c r="N2703" i="3" s="1"/>
  <c r="N2683" i="3" a="1"/>
  <c r="N2683" i="3" s="1"/>
  <c r="N2657" i="3" a="1"/>
  <c r="N2657" i="3" s="1"/>
  <c r="N2961" i="3" a="1"/>
  <c r="N2961" i="3" s="1"/>
  <c r="N2931" i="3" a="1"/>
  <c r="N2931" i="3" s="1"/>
  <c r="N2919" i="3" a="1"/>
  <c r="N2919" i="3" s="1"/>
  <c r="N2908" i="3" a="1"/>
  <c r="N2908" i="3" s="1"/>
  <c r="N2894" i="3" a="1"/>
  <c r="N2894" i="3" s="1"/>
  <c r="N2871" i="3" a="1"/>
  <c r="N2871" i="3" s="1"/>
  <c r="N2849" i="3" a="1"/>
  <c r="N2849" i="3" s="1"/>
  <c r="N2838" i="3" a="1"/>
  <c r="N2838" i="3" s="1"/>
  <c r="N2828" i="3" a="1"/>
  <c r="N2828" i="3" s="1"/>
  <c r="N2815" i="3" a="1"/>
  <c r="N2815" i="3" s="1"/>
  <c r="N2789" i="3" a="1"/>
  <c r="N2789" i="3" s="1"/>
  <c r="N2765" i="3" a="1"/>
  <c r="N2765" i="3" s="1"/>
  <c r="N2753" i="3" a="1"/>
  <c r="N2753" i="3" s="1"/>
  <c r="N2741" i="3" a="1"/>
  <c r="N2741" i="3" s="1"/>
  <c r="N2702" i="3" a="1"/>
  <c r="N2702" i="3" s="1"/>
  <c r="N2682" i="3" a="1"/>
  <c r="N2682" i="3" s="1"/>
  <c r="N2656" i="3" a="1"/>
  <c r="N2656" i="3" s="1"/>
  <c r="N2989" i="3" a="1"/>
  <c r="N2989" i="3" s="1"/>
  <c r="N2977" i="3" a="1"/>
  <c r="N2977" i="3" s="1"/>
  <c r="N2960" i="3" a="1"/>
  <c r="N2960" i="3" s="1"/>
  <c r="N2946" i="3" a="1"/>
  <c r="N2946" i="3" s="1"/>
  <c r="N2930" i="3" a="1"/>
  <c r="N2930" i="3" s="1"/>
  <c r="N2918" i="3" a="1"/>
  <c r="N2918" i="3" s="1"/>
  <c r="N2904" i="3" a="1"/>
  <c r="N2904" i="3" s="1"/>
  <c r="N2893" i="3" a="1"/>
  <c r="N2893" i="3" s="1"/>
  <c r="N2882" i="3" a="1"/>
  <c r="N2882" i="3" s="1"/>
  <c r="N2861" i="3" a="1"/>
  <c r="N2861" i="3" s="1"/>
  <c r="N2824" i="3" a="1"/>
  <c r="N2824" i="3" s="1"/>
  <c r="N2777" i="3" a="1"/>
  <c r="N2777" i="3" s="1"/>
  <c r="N2763" i="3" a="1"/>
  <c r="N2763" i="3" s="1"/>
  <c r="N2752" i="3" a="1"/>
  <c r="N2752" i="3" s="1"/>
  <c r="N2720" i="3" a="1"/>
  <c r="N2720" i="3" s="1"/>
  <c r="N2701" i="3" a="1"/>
  <c r="N2701" i="3" s="1"/>
  <c r="N2676" i="3" a="1"/>
  <c r="N2676" i="3" s="1"/>
  <c r="N2649" i="3" a="1"/>
  <c r="N2649" i="3" s="1"/>
  <c r="N1112" i="3" a="1"/>
  <c r="N1112" i="3" s="1"/>
  <c r="N1593" i="3" a="1"/>
  <c r="N1593" i="3" s="1"/>
  <c r="M852" i="3" a="1"/>
  <c r="M852" i="3" s="1"/>
  <c r="N852" i="3" s="1" a="1"/>
  <c r="N852" i="3" s="1"/>
  <c r="M1387" i="3" a="1"/>
  <c r="M1387" i="3" s="1"/>
  <c r="N1387" i="3" s="1" a="1"/>
  <c r="N1387" i="3" s="1"/>
  <c r="N2232" i="3" a="1"/>
  <c r="N2232" i="3" s="1"/>
  <c r="N2988" i="3" a="1"/>
  <c r="N2988" i="3" s="1"/>
  <c r="N2972" i="3" a="1"/>
  <c r="N2972" i="3" s="1"/>
  <c r="N2958" i="3" a="1"/>
  <c r="N2958" i="3" s="1"/>
  <c r="N2945" i="3" a="1"/>
  <c r="N2945" i="3" s="1"/>
  <c r="N2903" i="3" a="1"/>
  <c r="N2903" i="3" s="1"/>
  <c r="N2879" i="3" a="1"/>
  <c r="N2879" i="3" s="1"/>
  <c r="N2870" i="3" a="1"/>
  <c r="N2870" i="3" s="1"/>
  <c r="N2859" i="3" a="1"/>
  <c r="N2859" i="3" s="1"/>
  <c r="N2837" i="3" a="1"/>
  <c r="N2837" i="3" s="1"/>
  <c r="N2823" i="3" a="1"/>
  <c r="N2823" i="3" s="1"/>
  <c r="N2813" i="3" a="1"/>
  <c r="N2813" i="3" s="1"/>
  <c r="N2799" i="3" a="1"/>
  <c r="N2799" i="3" s="1"/>
  <c r="N2788" i="3" a="1"/>
  <c r="N2788" i="3" s="1"/>
  <c r="N2762" i="3" a="1"/>
  <c r="N2762" i="3" s="1"/>
  <c r="N2751" i="3" a="1"/>
  <c r="N2751" i="3" s="1"/>
  <c r="N2737" i="3" a="1"/>
  <c r="N2737" i="3" s="1"/>
  <c r="N2719" i="3" a="1"/>
  <c r="N2719" i="3" s="1"/>
  <c r="N2699" i="3" a="1"/>
  <c r="N2699" i="3" s="1"/>
  <c r="N2675" i="3" a="1"/>
  <c r="N2675" i="3" s="1"/>
  <c r="N2971" i="3" a="1"/>
  <c r="N2971" i="3" s="1"/>
  <c r="N2941" i="3" a="1"/>
  <c r="N2941" i="3" s="1"/>
  <c r="N2928" i="3" a="1"/>
  <c r="N2928" i="3" s="1"/>
  <c r="N2917" i="3" a="1"/>
  <c r="N2917" i="3" s="1"/>
  <c r="N2892" i="3" a="1"/>
  <c r="N2892" i="3" s="1"/>
  <c r="N2869" i="3" a="1"/>
  <c r="N2869" i="3" s="1"/>
  <c r="N2856" i="3" a="1"/>
  <c r="N2856" i="3" s="1"/>
  <c r="N2846" i="3" a="1"/>
  <c r="N2846" i="3" s="1"/>
  <c r="N2836" i="3" a="1"/>
  <c r="N2836" i="3" s="1"/>
  <c r="N2812" i="3" a="1"/>
  <c r="N2812" i="3" s="1"/>
  <c r="N2787" i="3" a="1"/>
  <c r="N2787" i="3" s="1"/>
  <c r="N2773" i="3" a="1"/>
  <c r="N2773" i="3" s="1"/>
  <c r="N2750" i="3" a="1"/>
  <c r="N2750" i="3" s="1"/>
  <c r="N2694" i="3" a="1"/>
  <c r="N2694" i="3" s="1"/>
  <c r="N2674" i="3" a="1"/>
  <c r="N2674" i="3" s="1"/>
  <c r="N2987" i="3" a="1"/>
  <c r="N2987" i="3" s="1"/>
  <c r="N2970" i="3" a="1"/>
  <c r="N2970" i="3" s="1"/>
  <c r="N2957" i="3" a="1"/>
  <c r="N2957" i="3" s="1"/>
  <c r="N2940" i="3" a="1"/>
  <c r="N2940" i="3" s="1"/>
  <c r="N2914" i="3" a="1"/>
  <c r="N2914" i="3" s="1"/>
  <c r="N2902" i="3" a="1"/>
  <c r="N2902" i="3" s="1"/>
  <c r="N2890" i="3" a="1"/>
  <c r="N2890" i="3" s="1"/>
  <c r="N2868" i="3" a="1"/>
  <c r="N2868" i="3" s="1"/>
  <c r="N2845" i="3" a="1"/>
  <c r="N2845" i="3" s="1"/>
  <c r="N2832" i="3" a="1"/>
  <c r="N2832" i="3" s="1"/>
  <c r="N2822" i="3" a="1"/>
  <c r="N2822" i="3" s="1"/>
  <c r="N2798" i="3" a="1"/>
  <c r="N2798" i="3" s="1"/>
  <c r="N2761" i="3" a="1"/>
  <c r="N2761" i="3" s="1"/>
  <c r="N2735" i="3" a="1"/>
  <c r="N2735" i="3" s="1"/>
  <c r="N2718" i="3" a="1"/>
  <c r="N2718" i="3" s="1"/>
  <c r="N2673" i="3" a="1"/>
  <c r="N2673" i="3" s="1"/>
  <c r="K2448" i="3" a="1"/>
  <c r="N2672" i="3" a="1"/>
  <c r="N2672" i="3" s="1"/>
  <c r="N2679" i="3" a="1"/>
  <c r="N2679" i="3" s="1"/>
  <c r="N2686" i="3" a="1"/>
  <c r="N2686" i="3" s="1"/>
  <c r="N2693" i="3" a="1"/>
  <c r="N2693" i="3" s="1"/>
  <c r="N2722" i="3" a="1"/>
  <c r="N2722" i="3" s="1"/>
  <c r="N2729" i="3" a="1"/>
  <c r="N2729" i="3" s="1"/>
  <c r="N2736" i="3" a="1"/>
  <c r="N2736" i="3" s="1"/>
  <c r="N2743" i="3" a="1"/>
  <c r="N2743" i="3" s="1"/>
  <c r="N2772" i="3" a="1"/>
  <c r="N2772" i="3" s="1"/>
  <c r="N2779" i="3" a="1"/>
  <c r="N2779" i="3" s="1"/>
  <c r="N2786" i="3" a="1"/>
  <c r="N2786" i="3" s="1"/>
  <c r="N2793" i="3" a="1"/>
  <c r="N2793" i="3" s="1"/>
  <c r="N2807" i="3" a="1"/>
  <c r="N2807" i="3" s="1"/>
  <c r="N2814" i="3" a="1"/>
  <c r="N2814" i="3" s="1"/>
  <c r="N2834" i="3" a="1"/>
  <c r="N2834" i="3" s="1"/>
  <c r="N2847" i="3" a="1"/>
  <c r="N2847" i="3" s="1"/>
  <c r="N2853" i="3" a="1"/>
  <c r="N2853" i="3" s="1"/>
  <c r="N2860" i="3" a="1"/>
  <c r="N2860" i="3" s="1"/>
  <c r="N2866" i="3" a="1"/>
  <c r="N2866" i="3" s="1"/>
  <c r="N2878" i="3" a="1"/>
  <c r="N2878" i="3" s="1"/>
  <c r="N2884" i="3" a="1"/>
  <c r="N2884" i="3" s="1"/>
  <c r="N2891" i="3" a="1"/>
  <c r="N2891" i="3" s="1"/>
  <c r="N2898" i="3" a="1"/>
  <c r="N2898" i="3" s="1"/>
  <c r="N2905" i="3" a="1"/>
  <c r="N2905" i="3" s="1"/>
  <c r="N2927" i="3" a="1"/>
  <c r="N2927" i="3" s="1"/>
  <c r="N2934" i="3" a="1"/>
  <c r="N2934" i="3" s="1"/>
  <c r="N2951" i="3" a="1"/>
  <c r="N2951" i="3" s="1"/>
  <c r="N2959" i="3" a="1"/>
  <c r="N2959" i="3" s="1"/>
  <c r="N2976" i="3" a="1"/>
  <c r="N2976" i="3" s="1"/>
  <c r="N2984" i="3" a="1"/>
  <c r="N2984" i="3" s="1"/>
  <c r="N2653" i="3" a="1"/>
  <c r="N2653" i="3" s="1"/>
  <c r="N2661" i="3" a="1"/>
  <c r="N2661" i="3" s="1"/>
  <c r="N2684" i="3" a="1"/>
  <c r="N2684" i="3" s="1"/>
  <c r="N2692" i="3" a="1"/>
  <c r="N2692" i="3" s="1"/>
  <c r="N2700" i="3" a="1"/>
  <c r="N2700" i="3" s="1"/>
  <c r="N2708" i="3" a="1"/>
  <c r="N2708" i="3" s="1"/>
  <c r="N2724" i="3" a="1"/>
  <c r="N2724" i="3" s="1"/>
  <c r="N2732" i="3" a="1"/>
  <c r="N2732" i="3" s="1"/>
  <c r="N2739" i="3" a="1"/>
  <c r="N2739" i="3" s="1"/>
  <c r="N2748" i="3" a="1"/>
  <c r="N2748" i="3" s="1"/>
  <c r="N2764" i="3" a="1"/>
  <c r="N2764" i="3" s="1"/>
  <c r="N2771" i="3" a="1"/>
  <c r="N2771" i="3" s="1"/>
  <c r="N2780" i="3" a="1"/>
  <c r="N2780" i="3" s="1"/>
  <c r="N2796" i="3" a="1"/>
  <c r="N2796" i="3" s="1"/>
  <c r="N2803" i="3" a="1"/>
  <c r="N2803" i="3" s="1"/>
  <c r="N2811" i="3" a="1"/>
  <c r="N2811" i="3" s="1"/>
  <c r="N2818" i="3" a="1"/>
  <c r="N2818" i="3" s="1"/>
  <c r="N2826" i="3" a="1"/>
  <c r="N2826" i="3" s="1"/>
  <c r="N2833" i="3" a="1"/>
  <c r="N2833" i="3" s="1"/>
  <c r="N2840" i="3" a="1"/>
  <c r="N2840" i="3" s="1"/>
  <c r="N2848" i="3" a="1"/>
  <c r="N2848" i="3" s="1"/>
  <c r="N2854" i="3" a="1"/>
  <c r="N2854" i="3" s="1"/>
  <c r="N2862" i="3" a="1"/>
  <c r="N2862" i="3" s="1"/>
  <c r="N2875" i="3" a="1"/>
  <c r="N2875" i="3" s="1"/>
  <c r="N2881" i="3" a="1"/>
  <c r="N2881" i="3" s="1"/>
  <c r="N2889" i="3" a="1"/>
  <c r="N2889" i="3" s="1"/>
  <c r="N2897" i="3" a="1"/>
  <c r="N2897" i="3" s="1"/>
  <c r="N2913" i="3" a="1"/>
  <c r="N2913" i="3" s="1"/>
  <c r="N2921" i="3" a="1"/>
  <c r="N2921" i="3" s="1"/>
  <c r="N2929" i="3" a="1"/>
  <c r="N2929" i="3" s="1"/>
  <c r="N2947" i="3" a="1"/>
  <c r="N2947" i="3" s="1"/>
  <c r="N2956" i="3" a="1"/>
  <c r="N2956" i="3" s="1"/>
  <c r="N2965" i="3" a="1"/>
  <c r="N2965" i="3" s="1"/>
  <c r="N2974" i="3" a="1"/>
  <c r="N2974" i="3" s="1"/>
  <c r="N2983" i="3" a="1"/>
  <c r="N2983" i="3" s="1"/>
  <c r="N2650" i="3" a="1"/>
  <c r="N2650" i="3" s="1"/>
  <c r="N2659" i="3" a="1"/>
  <c r="N2659" i="3" s="1"/>
  <c r="N2668" i="3" a="1"/>
  <c r="N2668" i="3" s="1"/>
  <c r="N2677" i="3" a="1"/>
  <c r="N2677" i="3" s="1"/>
  <c r="N2695" i="3" a="1"/>
  <c r="N2695" i="3" s="1"/>
  <c r="N2712" i="3" a="1"/>
  <c r="N2712" i="3" s="1"/>
  <c r="N2730" i="3" a="1"/>
  <c r="N2730" i="3" s="1"/>
  <c r="N2738" i="3" a="1"/>
  <c r="N2738" i="3" s="1"/>
  <c r="N2747" i="3" a="1"/>
  <c r="N2747" i="3" s="1"/>
  <c r="N2756" i="3" a="1"/>
  <c r="N2756" i="3" s="1"/>
  <c r="N2766" i="3" a="1"/>
  <c r="N2766" i="3" s="1"/>
  <c r="N2774" i="3" a="1"/>
  <c r="N2774" i="3" s="1"/>
  <c r="N2783" i="3" a="1"/>
  <c r="N2783" i="3" s="1"/>
  <c r="N2791" i="3" a="1"/>
  <c r="N2791" i="3" s="1"/>
  <c r="N2800" i="3" a="1"/>
  <c r="N2800" i="3" s="1"/>
  <c r="N2808" i="3" a="1"/>
  <c r="N2808" i="3" s="1"/>
  <c r="N2825" i="3" a="1"/>
  <c r="N2825" i="3" s="1"/>
  <c r="N2850" i="3" a="1"/>
  <c r="N2850" i="3" s="1"/>
  <c r="N2857" i="3" a="1"/>
  <c r="N2857" i="3" s="1"/>
  <c r="N2865" i="3" a="1"/>
  <c r="N2865" i="3" s="1"/>
  <c r="N2873" i="3" a="1"/>
  <c r="N2873" i="3" s="1"/>
  <c r="N2896" i="3" a="1"/>
  <c r="N2896" i="3" s="1"/>
  <c r="N2906" i="3" a="1"/>
  <c r="N2906" i="3" s="1"/>
  <c r="N2923" i="3" a="1"/>
  <c r="N2923" i="3" s="1"/>
  <c r="N2932" i="3" a="1"/>
  <c r="N2932" i="3" s="1"/>
  <c r="N2942" i="3" a="1"/>
  <c r="N2942" i="3" s="1"/>
  <c r="N2651" i="3" a="1"/>
  <c r="N2651" i="3" s="1"/>
  <c r="N2660" i="3" a="1"/>
  <c r="N2660" i="3" s="1"/>
  <c r="N2669" i="3" a="1"/>
  <c r="N2669" i="3" s="1"/>
  <c r="N2687" i="3" a="1"/>
  <c r="N2687" i="3" s="1"/>
  <c r="N2696" i="3" a="1"/>
  <c r="N2696" i="3" s="1"/>
  <c r="N2704" i="3" a="1"/>
  <c r="N2704" i="3" s="1"/>
  <c r="N2713" i="3" a="1"/>
  <c r="N2713" i="3" s="1"/>
  <c r="N2721" i="3" a="1"/>
  <c r="N2721" i="3" s="1"/>
  <c r="N2731" i="3" a="1"/>
  <c r="N2731" i="3" s="1"/>
  <c r="N2757" i="3" a="1"/>
  <c r="N2757" i="3" s="1"/>
  <c r="N2775" i="3" a="1"/>
  <c r="N2775" i="3" s="1"/>
  <c r="N2792" i="3" a="1"/>
  <c r="N2792" i="3" s="1"/>
  <c r="N2801" i="3" a="1"/>
  <c r="N2801" i="3" s="1"/>
  <c r="N2809" i="3" a="1"/>
  <c r="N2809" i="3" s="1"/>
  <c r="N2817" i="3" a="1"/>
  <c r="N2817" i="3" s="1"/>
  <c r="N2835" i="3" a="1"/>
  <c r="N2835" i="3" s="1"/>
  <c r="N2842" i="3" a="1"/>
  <c r="N2842" i="3" s="1"/>
  <c r="N2880" i="3" a="1"/>
  <c r="N2880" i="3" s="1"/>
  <c r="N2888" i="3" a="1"/>
  <c r="N2888" i="3" s="1"/>
  <c r="N2907" i="3" a="1"/>
  <c r="N2907" i="3" s="1"/>
  <c r="N2915" i="3" a="1"/>
  <c r="N2915" i="3" s="1"/>
  <c r="N2924" i="3" a="1"/>
  <c r="N2924" i="3" s="1"/>
  <c r="N2943" i="3" a="1"/>
  <c r="N2943" i="3" s="1"/>
  <c r="N2953" i="3" a="1"/>
  <c r="N2953" i="3" s="1"/>
  <c r="N2963" i="3" a="1"/>
  <c r="N2963" i="3" s="1"/>
  <c r="N2973" i="3" a="1"/>
  <c r="N2973" i="3" s="1"/>
  <c r="N2985" i="3" a="1"/>
  <c r="N2985" i="3" s="1"/>
  <c r="N2652" i="3" a="1"/>
  <c r="N2652" i="3" s="1"/>
  <c r="N2670" i="3" a="1"/>
  <c r="N2670" i="3" s="1"/>
  <c r="N2678" i="3" a="1"/>
  <c r="N2678" i="3" s="1"/>
  <c r="N2705" i="3" a="1"/>
  <c r="N2705" i="3" s="1"/>
  <c r="N2714" i="3" a="1"/>
  <c r="N2714" i="3" s="1"/>
  <c r="N2740" i="3" a="1"/>
  <c r="N2740" i="3" s="1"/>
  <c r="N2749" i="3" a="1"/>
  <c r="N2749" i="3" s="1"/>
  <c r="N2758" i="3" a="1"/>
  <c r="N2758" i="3" s="1"/>
  <c r="N2767" i="3" a="1"/>
  <c r="N2767" i="3" s="1"/>
  <c r="N2776" i="3" a="1"/>
  <c r="N2776" i="3" s="1"/>
  <c r="N2784" i="3" a="1"/>
  <c r="N2784" i="3" s="1"/>
  <c r="N2802" i="3" a="1"/>
  <c r="N2802" i="3" s="1"/>
  <c r="N2810" i="3" a="1"/>
  <c r="N2810" i="3" s="1"/>
  <c r="N2827" i="3" a="1"/>
  <c r="N2827" i="3" s="1"/>
  <c r="N2851" i="3" a="1"/>
  <c r="N2851" i="3" s="1"/>
  <c r="N2858" i="3" a="1"/>
  <c r="N2858" i="3" s="1"/>
  <c r="N2874" i="3" a="1"/>
  <c r="N2874" i="3" s="1"/>
  <c r="N2899" i="3" a="1"/>
  <c r="N2899" i="3" s="1"/>
  <c r="N2916" i="3" a="1"/>
  <c r="N2916" i="3" s="1"/>
  <c r="N2933" i="3" a="1"/>
  <c r="N2933" i="3" s="1"/>
  <c r="N2944" i="3" a="1"/>
  <c r="N2944" i="3" s="1"/>
  <c r="N2954" i="3" a="1"/>
  <c r="N2954" i="3" s="1"/>
  <c r="N2964" i="3" a="1"/>
  <c r="N2964" i="3" s="1"/>
  <c r="N2975" i="3" a="1"/>
  <c r="N2975" i="3" s="1"/>
  <c r="N2986" i="3" a="1"/>
  <c r="N2986" i="3" s="1"/>
  <c r="N2553" i="3" a="1"/>
  <c r="N2553" i="3" s="1"/>
  <c r="N2662" i="3" a="1"/>
  <c r="N2662" i="3" s="1"/>
  <c r="N2680" i="3" a="1"/>
  <c r="N2680" i="3" s="1"/>
  <c r="N2688" i="3" a="1"/>
  <c r="N2688" i="3" s="1"/>
  <c r="N2697" i="3" a="1"/>
  <c r="N2697" i="3" s="1"/>
  <c r="N2715" i="3" a="1"/>
  <c r="N2715" i="3" s="1"/>
  <c r="N2723" i="3" a="1"/>
  <c r="N2723" i="3" s="1"/>
  <c r="N2733" i="3" a="1"/>
  <c r="N2733" i="3" s="1"/>
  <c r="N2610" i="3" a="1"/>
  <c r="N2610" i="3" s="1"/>
  <c r="N2654" i="3" a="1"/>
  <c r="N2654" i="3" s="1"/>
  <c r="N2663" i="3" a="1"/>
  <c r="N2663" i="3" s="1"/>
  <c r="N2671" i="3" a="1"/>
  <c r="N2671" i="3" s="1"/>
  <c r="N2681" i="3" a="1"/>
  <c r="N2681" i="3" s="1"/>
  <c r="N2698" i="3" a="1"/>
  <c r="N2698" i="3" s="1"/>
  <c r="N2706" i="3" a="1"/>
  <c r="N2706" i="3" s="1"/>
  <c r="N2716" i="3" a="1"/>
  <c r="N2716" i="3" s="1"/>
  <c r="N2725" i="3" a="1"/>
  <c r="N2725" i="3" s="1"/>
  <c r="N2655" i="3" a="1"/>
  <c r="N2655" i="3" s="1"/>
  <c r="N2664" i="3" a="1"/>
  <c r="N2664" i="3" s="1"/>
  <c r="N2689" i="3" a="1"/>
  <c r="N2689" i="3" s="1"/>
  <c r="N2707" i="3" a="1"/>
  <c r="N2707" i="3" s="1"/>
  <c r="N2717" i="3" a="1"/>
  <c r="N2717" i="3" s="1"/>
  <c r="N2726" i="3" a="1"/>
  <c r="N2726" i="3" s="1"/>
  <c r="N2473" i="3" a="1"/>
  <c r="N2473" i="3" s="1"/>
  <c r="N2665" i="3" a="1"/>
  <c r="N2665" i="3" s="1"/>
  <c r="N2982" i="3" a="1"/>
  <c r="N2982" i="3" s="1"/>
  <c r="N2969" i="3" a="1"/>
  <c r="N2969" i="3" s="1"/>
  <c r="N2955" i="3" a="1"/>
  <c r="N2955" i="3" s="1"/>
  <c r="N2939" i="3" a="1"/>
  <c r="N2939" i="3" s="1"/>
  <c r="N2926" i="3" a="1"/>
  <c r="N2926" i="3" s="1"/>
  <c r="N2912" i="3" a="1"/>
  <c r="N2912" i="3" s="1"/>
  <c r="N2901" i="3" a="1"/>
  <c r="N2901" i="3" s="1"/>
  <c r="N2887" i="3" a="1"/>
  <c r="N2887" i="3" s="1"/>
  <c r="N2877" i="3" a="1"/>
  <c r="N2877" i="3" s="1"/>
  <c r="N2867" i="3" a="1"/>
  <c r="N2867" i="3" s="1"/>
  <c r="N2855" i="3" a="1"/>
  <c r="N2855" i="3" s="1"/>
  <c r="N2844" i="3" a="1"/>
  <c r="N2844" i="3" s="1"/>
  <c r="N2821" i="3" a="1"/>
  <c r="N2821" i="3" s="1"/>
  <c r="N2797" i="3" a="1"/>
  <c r="N2797" i="3" s="1"/>
  <c r="N2785" i="3" a="1"/>
  <c r="N2785" i="3" s="1"/>
  <c r="N2760" i="3" a="1"/>
  <c r="N2760" i="3" s="1"/>
  <c r="N2746" i="3" a="1"/>
  <c r="N2746" i="3" s="1"/>
  <c r="N2734" i="3" a="1"/>
  <c r="N2734" i="3" s="1"/>
  <c r="N2691" i="3" a="1"/>
  <c r="N2691" i="3" s="1"/>
  <c r="N2667" i="3" a="1"/>
  <c r="N2667" i="3" s="1"/>
  <c r="K1780" i="3" a="1"/>
  <c r="K1780" i="3" s="1"/>
  <c r="L1780" i="3" s="1"/>
  <c r="N2981" i="3" a="1"/>
  <c r="N2981" i="3" s="1"/>
  <c r="N2968" i="3" a="1"/>
  <c r="N2968" i="3" s="1"/>
  <c r="N2952" i="3" a="1"/>
  <c r="N2952" i="3" s="1"/>
  <c r="N2938" i="3" a="1"/>
  <c r="N2938" i="3" s="1"/>
  <c r="N2925" i="3" a="1"/>
  <c r="N2925" i="3" s="1"/>
  <c r="N2911" i="3" a="1"/>
  <c r="N2911" i="3" s="1"/>
  <c r="N2900" i="3" a="1"/>
  <c r="N2900" i="3" s="1"/>
  <c r="N2886" i="3" a="1"/>
  <c r="N2886" i="3" s="1"/>
  <c r="N2876" i="3" a="1"/>
  <c r="N2876" i="3" s="1"/>
  <c r="N2864" i="3" a="1"/>
  <c r="N2864" i="3" s="1"/>
  <c r="N2843" i="3" a="1"/>
  <c r="N2843" i="3" s="1"/>
  <c r="N2831" i="3" a="1"/>
  <c r="N2831" i="3" s="1"/>
  <c r="N2820" i="3" a="1"/>
  <c r="N2820" i="3" s="1"/>
  <c r="N2806" i="3" a="1"/>
  <c r="N2806" i="3" s="1"/>
  <c r="N2782" i="3" a="1"/>
  <c r="N2782" i="3" s="1"/>
  <c r="N2770" i="3" a="1"/>
  <c r="N2770" i="3" s="1"/>
  <c r="N2759" i="3" a="1"/>
  <c r="N2759" i="3" s="1"/>
  <c r="N2745" i="3" a="1"/>
  <c r="N2745" i="3" s="1"/>
  <c r="N2711" i="3" a="1"/>
  <c r="N2711" i="3" s="1"/>
  <c r="N2690" i="3" a="1"/>
  <c r="N2690" i="3" s="1"/>
  <c r="K1170" i="3" a="1"/>
  <c r="K1170" i="3" s="1"/>
  <c r="L1170" i="3" s="1"/>
  <c r="M1780" i="3" a="1"/>
  <c r="N1884" i="3" s="1" a="1"/>
  <c r="N1884" i="3" s="1"/>
  <c r="N2980" i="3" a="1"/>
  <c r="N2980" i="3" s="1"/>
  <c r="N2967" i="3" a="1"/>
  <c r="N2967" i="3" s="1"/>
  <c r="N2950" i="3" a="1"/>
  <c r="N2950" i="3" s="1"/>
  <c r="N2937" i="3" a="1"/>
  <c r="N2937" i="3" s="1"/>
  <c r="N2910" i="3" a="1"/>
  <c r="N2910" i="3" s="1"/>
  <c r="N2885" i="3" a="1"/>
  <c r="N2885" i="3" s="1"/>
  <c r="N2841" i="3" a="1"/>
  <c r="N2841" i="3" s="1"/>
  <c r="N2819" i="3" a="1"/>
  <c r="N2819" i="3" s="1"/>
  <c r="N2795" i="3" a="1"/>
  <c r="N2795" i="3" s="1"/>
  <c r="N2769" i="3" a="1"/>
  <c r="N2769" i="3" s="1"/>
  <c r="N2755" i="3" a="1"/>
  <c r="N2755" i="3" s="1"/>
  <c r="N2744" i="3" a="1"/>
  <c r="N2744" i="3" s="1"/>
  <c r="N2728" i="3" a="1"/>
  <c r="N2728" i="3" s="1"/>
  <c r="N2710" i="3" a="1"/>
  <c r="N2710" i="3" s="1"/>
  <c r="N2685" i="3" a="1"/>
  <c r="N2685" i="3" s="1"/>
  <c r="N2666" i="3" a="1"/>
  <c r="N2666" i="3" s="1"/>
  <c r="N330" i="3" a="1"/>
  <c r="N330" i="3" s="1"/>
  <c r="N577" i="3" a="1"/>
  <c r="N577" i="3" s="1"/>
  <c r="N836" i="3" a="1"/>
  <c r="N836" i="3" s="1"/>
  <c r="N1286" i="3" a="1"/>
  <c r="N1286" i="3" s="1"/>
  <c r="N1369" i="3" a="1"/>
  <c r="N1369" i="3" s="1"/>
  <c r="N1941" i="3" a="1"/>
  <c r="N1941" i="3" s="1"/>
  <c r="M423" i="3" a="1"/>
  <c r="M423" i="3" s="1"/>
  <c r="N423" i="3" s="1" a="1"/>
  <c r="N423" i="3" s="1"/>
  <c r="N2979" i="3" a="1"/>
  <c r="N2979" i="3" s="1"/>
  <c r="N2966" i="3" a="1"/>
  <c r="N2966" i="3" s="1"/>
  <c r="N2949" i="3" a="1"/>
  <c r="N2949" i="3" s="1"/>
  <c r="N2936" i="3" a="1"/>
  <c r="N2936" i="3" s="1"/>
  <c r="N2922" i="3" a="1"/>
  <c r="N2922" i="3" s="1"/>
  <c r="N2895" i="3" a="1"/>
  <c r="N2895" i="3" s="1"/>
  <c r="N2863" i="3" a="1"/>
  <c r="N2863" i="3" s="1"/>
  <c r="N2852" i="3" a="1"/>
  <c r="N2852" i="3" s="1"/>
  <c r="N2839" i="3" a="1"/>
  <c r="N2839" i="3" s="1"/>
  <c r="N2830" i="3" a="1"/>
  <c r="N2830" i="3" s="1"/>
  <c r="N2816" i="3" a="1"/>
  <c r="N2816" i="3" s="1"/>
  <c r="N2805" i="3" a="1"/>
  <c r="N2805" i="3" s="1"/>
  <c r="N2794" i="3" a="1"/>
  <c r="N2794" i="3" s="1"/>
  <c r="N2781" i="3" a="1"/>
  <c r="N2781" i="3" s="1"/>
  <c r="N2754" i="3" a="1"/>
  <c r="N2754" i="3" s="1"/>
  <c r="N2709" i="3" a="1"/>
  <c r="N2709" i="3" s="1"/>
  <c r="N2658" i="3" a="1"/>
  <c r="N2658" i="3" s="1"/>
  <c r="M2990" i="3" a="1"/>
  <c r="N3026" i="3" s="1" a="1"/>
  <c r="N3026" i="3" s="1"/>
  <c r="M2448" i="3" a="1"/>
  <c r="M2448" i="3" s="1"/>
  <c r="N2448" i="3" s="1" a="1"/>
  <c r="N2448" i="3" s="1"/>
  <c r="N1943" i="3" a="1"/>
  <c r="N1943" i="3" s="1"/>
  <c r="N1961" i="3" a="1"/>
  <c r="N1961" i="3" s="1"/>
  <c r="N1291" i="3" a="1"/>
  <c r="N1291" i="3" s="1"/>
  <c r="N1324" i="3" a="1"/>
  <c r="N1324" i="3" s="1"/>
  <c r="N1346" i="3" a="1"/>
  <c r="N1346" i="3" s="1"/>
  <c r="N1372" i="3" a="1"/>
  <c r="N1372" i="3" s="1"/>
  <c r="M1170" i="3" a="1"/>
  <c r="M1170" i="3" s="1"/>
  <c r="N1170" i="3" s="1" a="1"/>
  <c r="N1170" i="3" s="1"/>
  <c r="N1272" i="3" a="1"/>
  <c r="N1272" i="3" s="1"/>
  <c r="N1297" i="3" a="1"/>
  <c r="N1297" i="3" s="1"/>
  <c r="N1326" i="3" a="1"/>
  <c r="N1326" i="3" s="1"/>
  <c r="N1348" i="3" a="1"/>
  <c r="N1348" i="3" s="1"/>
  <c r="N1373" i="3" a="1"/>
  <c r="N1373" i="3" s="1"/>
  <c r="N1273" i="3" a="1"/>
  <c r="N1273" i="3" s="1"/>
  <c r="N1299" i="3" a="1"/>
  <c r="N1299" i="3" s="1"/>
  <c r="N1329" i="3" a="1"/>
  <c r="N1329" i="3" s="1"/>
  <c r="N1352" i="3" a="1"/>
  <c r="N1352" i="3" s="1"/>
  <c r="N1378" i="3" a="1"/>
  <c r="N1378" i="3" s="1"/>
  <c r="N1274" i="3" a="1"/>
  <c r="N1274" i="3" s="1"/>
  <c r="N1302" i="3" a="1"/>
  <c r="N1302" i="3" s="1"/>
  <c r="N1331" i="3" a="1"/>
  <c r="N1331" i="3" s="1"/>
  <c r="N1353" i="3" a="1"/>
  <c r="N1353" i="3" s="1"/>
  <c r="N1379" i="3" a="1"/>
  <c r="N1379" i="3" s="1"/>
  <c r="N1276" i="3" a="1"/>
  <c r="N1276" i="3" s="1"/>
  <c r="N1303" i="3" a="1"/>
  <c r="N1303" i="3" s="1"/>
  <c r="N1332" i="3" a="1"/>
  <c r="N1332" i="3" s="1"/>
  <c r="N1357" i="3" a="1"/>
  <c r="N1357" i="3" s="1"/>
  <c r="N1384" i="3" a="1"/>
  <c r="N1384" i="3" s="1"/>
  <c r="N1377" i="3" a="1"/>
  <c r="N1377" i="3" s="1"/>
  <c r="N1277" i="3" a="1"/>
  <c r="N1277" i="3" s="1"/>
  <c r="N1309" i="3" a="1"/>
  <c r="N1309" i="3" s="1"/>
  <c r="N1337" i="3" a="1"/>
  <c r="N1337" i="3" s="1"/>
  <c r="N1358" i="3" a="1"/>
  <c r="N1358" i="3" s="1"/>
  <c r="N1386" i="3" a="1"/>
  <c r="N1386" i="3" s="1"/>
  <c r="N1287" i="3" a="1"/>
  <c r="N1287" i="3" s="1"/>
  <c r="N1316" i="3" a="1"/>
  <c r="N1316" i="3" s="1"/>
  <c r="N1339" i="3" a="1"/>
  <c r="N1339" i="3" s="1"/>
  <c r="N1362" i="3" a="1"/>
  <c r="N1362" i="3" s="1"/>
  <c r="N1144" i="3" a="1"/>
  <c r="N1144" i="3" s="1"/>
  <c r="N1010" i="3" a="1"/>
  <c r="N1010" i="3" s="1"/>
  <c r="N1033" i="3" a="1"/>
  <c r="N1033" i="3" s="1"/>
  <c r="N582" i="3" a="1"/>
  <c r="N582" i="3" s="1"/>
  <c r="N786" i="3" a="1"/>
  <c r="N786" i="3" s="1"/>
  <c r="N597" i="3" a="1"/>
  <c r="N597" i="3" s="1"/>
  <c r="N819" i="3" a="1"/>
  <c r="N819" i="3" s="1"/>
  <c r="N1598" i="3" a="1"/>
  <c r="N1598" i="3" s="1"/>
  <c r="N1509" i="3" a="1"/>
  <c r="N1509" i="3" s="1"/>
  <c r="N1601" i="3" a="1"/>
  <c r="N1601" i="3" s="1"/>
  <c r="N955" i="3" a="1"/>
  <c r="N955" i="3" s="1"/>
  <c r="N1126" i="3" a="1"/>
  <c r="N1126" i="3" s="1"/>
  <c r="N1526" i="3" a="1"/>
  <c r="N1526" i="3" s="1"/>
  <c r="N1607" i="3" a="1"/>
  <c r="N1607" i="3" s="1"/>
  <c r="N1538" i="3" a="1"/>
  <c r="N1538" i="3" s="1"/>
  <c r="N1672" i="3" a="1"/>
  <c r="N1672" i="3" s="1"/>
  <c r="N1543" i="3" a="1"/>
  <c r="N1543" i="3" s="1"/>
  <c r="N1683" i="3" a="1"/>
  <c r="N1683" i="3" s="1"/>
  <c r="N421" i="3" a="1"/>
  <c r="N421" i="3" s="1"/>
  <c r="N591" i="3" a="1"/>
  <c r="N591" i="3" s="1"/>
  <c r="N782" i="3" a="1"/>
  <c r="N782" i="3" s="1"/>
  <c r="N1085" i="3" a="1"/>
  <c r="N1085" i="3" s="1"/>
  <c r="N1161" i="3" a="1"/>
  <c r="N1161" i="3" s="1"/>
  <c r="N1281" i="3" a="1"/>
  <c r="N1281" i="3" s="1"/>
  <c r="N1294" i="3" a="1"/>
  <c r="N1294" i="3" s="1"/>
  <c r="N1304" i="3" a="1"/>
  <c r="N1304" i="3" s="1"/>
  <c r="N1318" i="3" a="1"/>
  <c r="N1318" i="3" s="1"/>
  <c r="N1334" i="3" a="1"/>
  <c r="N1334" i="3" s="1"/>
  <c r="N1349" i="3" a="1"/>
  <c r="N1349" i="3" s="1"/>
  <c r="N1364" i="3" a="1"/>
  <c r="N1364" i="3" s="1"/>
  <c r="N1560" i="3" a="1"/>
  <c r="N1560" i="3" s="1"/>
  <c r="N1696" i="3" a="1"/>
  <c r="N1696" i="3" s="1"/>
  <c r="N1946" i="3" a="1"/>
  <c r="N1946" i="3" s="1"/>
  <c r="N2136" i="3" a="1"/>
  <c r="N2136" i="3" s="1"/>
  <c r="N973" i="3" a="1"/>
  <c r="N973" i="3" s="1"/>
  <c r="N1070" i="3" a="1"/>
  <c r="N1070" i="3" s="1"/>
  <c r="N1149" i="3" a="1"/>
  <c r="N1149" i="3" s="1"/>
  <c r="N975" i="3" a="1"/>
  <c r="N975" i="3" s="1"/>
  <c r="N1086" i="3" a="1"/>
  <c r="N1086" i="3" s="1"/>
  <c r="N1282" i="3" a="1"/>
  <c r="N1282" i="3" s="1"/>
  <c r="N1307" i="3" a="1"/>
  <c r="N1307" i="3" s="1"/>
  <c r="N1321" i="3" a="1"/>
  <c r="N1321" i="3" s="1"/>
  <c r="N1336" i="3" a="1"/>
  <c r="N1336" i="3" s="1"/>
  <c r="N1351" i="3" a="1"/>
  <c r="N1351" i="3" s="1"/>
  <c r="N1366" i="3" a="1"/>
  <c r="N1366" i="3" s="1"/>
  <c r="N1381" i="3" a="1"/>
  <c r="N1381" i="3" s="1"/>
  <c r="N1568" i="3" a="1"/>
  <c r="N1568" i="3" s="1"/>
  <c r="N1955" i="3" a="1"/>
  <c r="N1955" i="3" s="1"/>
  <c r="N1047" i="3" a="1"/>
  <c r="N1047" i="3" s="1"/>
  <c r="N1123" i="3" a="1"/>
  <c r="N1123" i="3" s="1"/>
  <c r="N964" i="3" a="1"/>
  <c r="N964" i="3" s="1"/>
  <c r="N1066" i="3" a="1"/>
  <c r="N1066" i="3" s="1"/>
  <c r="N1140" i="3" a="1"/>
  <c r="N1140" i="3" s="1"/>
  <c r="N631" i="3" a="1"/>
  <c r="N631" i="3" s="1"/>
  <c r="N799" i="3" a="1"/>
  <c r="N799" i="3" s="1"/>
  <c r="N984" i="3" a="1"/>
  <c r="N984" i="3" s="1"/>
  <c r="N1089" i="3" a="1"/>
  <c r="N1089" i="3" s="1"/>
  <c r="N1269" i="3" a="1"/>
  <c r="N1269" i="3" s="1"/>
  <c r="N1283" i="3" a="1"/>
  <c r="N1283" i="3" s="1"/>
  <c r="N1296" i="3" a="1"/>
  <c r="N1296" i="3" s="1"/>
  <c r="N1308" i="3" a="1"/>
  <c r="N1308" i="3" s="1"/>
  <c r="N1322" i="3" a="1"/>
  <c r="N1322" i="3" s="1"/>
  <c r="N1367" i="3" a="1"/>
  <c r="N1367" i="3" s="1"/>
  <c r="N1383" i="3" a="1"/>
  <c r="N1383" i="3" s="1"/>
  <c r="N1579" i="3" a="1"/>
  <c r="N1579" i="3" s="1"/>
  <c r="N1956" i="3" a="1"/>
  <c r="N1956" i="3" s="1"/>
  <c r="N201" i="3" a="1"/>
  <c r="N201" i="3" s="1"/>
  <c r="N236" i="3" a="1"/>
  <c r="N236" i="3" s="1"/>
  <c r="N296" i="3" a="1"/>
  <c r="N296" i="3" s="1"/>
  <c r="N306" i="3" a="1"/>
  <c r="N306" i="3" s="1"/>
  <c r="N352" i="3" a="1"/>
  <c r="N352" i="3" s="1"/>
  <c r="N392" i="3" a="1"/>
  <c r="N392" i="3" s="1"/>
  <c r="M2" i="3" a="1"/>
  <c r="N92" i="3" s="1" a="1"/>
  <c r="N92" i="3" s="1"/>
  <c r="N181" i="3" a="1"/>
  <c r="N181" i="3" s="1"/>
  <c r="N194" i="3" a="1"/>
  <c r="N194" i="3" s="1"/>
  <c r="N210" i="3" a="1"/>
  <c r="N210" i="3" s="1"/>
  <c r="N227" i="3" a="1"/>
  <c r="N227" i="3" s="1"/>
  <c r="N237" i="3" a="1"/>
  <c r="N237" i="3" s="1"/>
  <c r="N256" i="3" a="1"/>
  <c r="N256" i="3" s="1"/>
  <c r="N308" i="3" a="1"/>
  <c r="N308" i="3" s="1"/>
  <c r="N341" i="3" a="1"/>
  <c r="N341" i="3" s="1"/>
  <c r="N367" i="3" a="1"/>
  <c r="N367" i="3" s="1"/>
  <c r="N407" i="3" a="1"/>
  <c r="N407" i="3" s="1"/>
  <c r="N182" i="3" a="1"/>
  <c r="N182" i="3" s="1"/>
  <c r="N203" i="3" a="1"/>
  <c r="N203" i="3" s="1"/>
  <c r="N211" i="3" a="1"/>
  <c r="N211" i="3" s="1"/>
  <c r="N230" i="3" a="1"/>
  <c r="N230" i="3" s="1"/>
  <c r="N310" i="3" a="1"/>
  <c r="N310" i="3" s="1"/>
  <c r="N410" i="3" a="1"/>
  <c r="N410" i="3" s="1"/>
  <c r="N204" i="3" a="1"/>
  <c r="N204" i="3" s="1"/>
  <c r="N221" i="3" a="1"/>
  <c r="N221" i="3" s="1"/>
  <c r="N268" i="3" a="1"/>
  <c r="N268" i="3" s="1"/>
  <c r="N288" i="3" a="1"/>
  <c r="N288" i="3" s="1"/>
  <c r="N322" i="3" a="1"/>
  <c r="N322" i="3" s="1"/>
  <c r="N333" i="3" a="1"/>
  <c r="N333" i="3" s="1"/>
  <c r="N371" i="3" a="1"/>
  <c r="N371" i="3" s="1"/>
  <c r="N411" i="3" a="1"/>
  <c r="N411" i="3" s="1"/>
  <c r="N171" i="3" a="1"/>
  <c r="N171" i="3" s="1"/>
  <c r="N177" i="3" a="1"/>
  <c r="N177" i="3" s="1"/>
  <c r="N184" i="3" a="1"/>
  <c r="N184" i="3" s="1"/>
  <c r="N222" i="3" a="1"/>
  <c r="N222" i="3" s="1"/>
  <c r="N231" i="3" a="1"/>
  <c r="N231" i="3" s="1"/>
  <c r="N241" i="3" a="1"/>
  <c r="N241" i="3" s="1"/>
  <c r="N260" i="3" a="1"/>
  <c r="N260" i="3" s="1"/>
  <c r="N290" i="3" a="1"/>
  <c r="N290" i="3" s="1"/>
  <c r="N301" i="3" a="1"/>
  <c r="N301" i="3" s="1"/>
  <c r="N311" i="3" a="1"/>
  <c r="N311" i="3" s="1"/>
  <c r="N334" i="3" a="1"/>
  <c r="N334" i="3" s="1"/>
  <c r="N346" i="3" a="1"/>
  <c r="N346" i="3" s="1"/>
  <c r="N398" i="3" a="1"/>
  <c r="N398" i="3" s="1"/>
  <c r="N412" i="3" a="1"/>
  <c r="N412" i="3" s="1"/>
  <c r="N214" i="3" a="1"/>
  <c r="N214" i="3" s="1"/>
  <c r="N271" i="3" a="1"/>
  <c r="N271" i="3" s="1"/>
  <c r="N291" i="3" a="1"/>
  <c r="N291" i="3" s="1"/>
  <c r="N419" i="3" a="1"/>
  <c r="N419" i="3" s="1"/>
  <c r="N409" i="3" a="1"/>
  <c r="N409" i="3" s="1"/>
  <c r="N399" i="3" a="1"/>
  <c r="N399" i="3" s="1"/>
  <c r="N389" i="3" a="1"/>
  <c r="N389" i="3" s="1"/>
  <c r="N379" i="3" a="1"/>
  <c r="N379" i="3" s="1"/>
  <c r="N369" i="3" a="1"/>
  <c r="N369" i="3" s="1"/>
  <c r="N359" i="3" a="1"/>
  <c r="N359" i="3" s="1"/>
  <c r="N349" i="3" a="1"/>
  <c r="N349" i="3" s="1"/>
  <c r="N339" i="3" a="1"/>
  <c r="N339" i="3" s="1"/>
  <c r="N329" i="3" a="1"/>
  <c r="N329" i="3" s="1"/>
  <c r="N319" i="3" a="1"/>
  <c r="N319" i="3" s="1"/>
  <c r="N309" i="3" a="1"/>
  <c r="N309" i="3" s="1"/>
  <c r="N299" i="3" a="1"/>
  <c r="N299" i="3" s="1"/>
  <c r="N289" i="3" a="1"/>
  <c r="N289" i="3" s="1"/>
  <c r="N279" i="3" a="1"/>
  <c r="N279" i="3" s="1"/>
  <c r="N269" i="3" a="1"/>
  <c r="N269" i="3" s="1"/>
  <c r="N259" i="3" a="1"/>
  <c r="N259" i="3" s="1"/>
  <c r="N249" i="3" a="1"/>
  <c r="N249" i="3" s="1"/>
  <c r="N239" i="3" a="1"/>
  <c r="N239" i="3" s="1"/>
  <c r="N229" i="3" a="1"/>
  <c r="N229" i="3" s="1"/>
  <c r="N219" i="3" a="1"/>
  <c r="N219" i="3" s="1"/>
  <c r="N209" i="3" a="1"/>
  <c r="N209" i="3" s="1"/>
  <c r="N199" i="3" a="1"/>
  <c r="N199" i="3" s="1"/>
  <c r="N189" i="3" a="1"/>
  <c r="N189" i="3" s="1"/>
  <c r="N179" i="3" a="1"/>
  <c r="N179" i="3" s="1"/>
  <c r="N169" i="3" a="1"/>
  <c r="N169" i="3" s="1"/>
  <c r="N129" i="3" a="1"/>
  <c r="N129" i="3" s="1"/>
  <c r="N415" i="3" a="1"/>
  <c r="N415" i="3" s="1"/>
  <c r="N405" i="3" a="1"/>
  <c r="N405" i="3" s="1"/>
  <c r="N395" i="3" a="1"/>
  <c r="N395" i="3" s="1"/>
  <c r="N385" i="3" a="1"/>
  <c r="N385" i="3" s="1"/>
  <c r="N375" i="3" a="1"/>
  <c r="N375" i="3" s="1"/>
  <c r="N365" i="3" a="1"/>
  <c r="N365" i="3" s="1"/>
  <c r="N355" i="3" a="1"/>
  <c r="N355" i="3" s="1"/>
  <c r="N345" i="3" a="1"/>
  <c r="N345" i="3" s="1"/>
  <c r="N335" i="3" a="1"/>
  <c r="N335" i="3" s="1"/>
  <c r="N325" i="3" a="1"/>
  <c r="N325" i="3" s="1"/>
  <c r="N315" i="3" a="1"/>
  <c r="N315" i="3" s="1"/>
  <c r="N305" i="3" a="1"/>
  <c r="N305" i="3" s="1"/>
  <c r="N295" i="3" a="1"/>
  <c r="N295" i="3" s="1"/>
  <c r="N285" i="3" a="1"/>
  <c r="N285" i="3" s="1"/>
  <c r="N275" i="3" a="1"/>
  <c r="N275" i="3" s="1"/>
  <c r="N265" i="3" a="1"/>
  <c r="N265" i="3" s="1"/>
  <c r="N255" i="3" a="1"/>
  <c r="N255" i="3" s="1"/>
  <c r="N245" i="3" a="1"/>
  <c r="N245" i="3" s="1"/>
  <c r="N235" i="3" a="1"/>
  <c r="N235" i="3" s="1"/>
  <c r="N225" i="3" a="1"/>
  <c r="N225" i="3" s="1"/>
  <c r="N215" i="3" a="1"/>
  <c r="N215" i="3" s="1"/>
  <c r="N205" i="3" a="1"/>
  <c r="N205" i="3" s="1"/>
  <c r="N195" i="3" a="1"/>
  <c r="N195" i="3" s="1"/>
  <c r="N185" i="3" a="1"/>
  <c r="N185" i="3" s="1"/>
  <c r="N175" i="3" a="1"/>
  <c r="N175" i="3" s="1"/>
  <c r="N125" i="3" a="1"/>
  <c r="N125" i="3" s="1"/>
  <c r="N35" i="3" a="1"/>
  <c r="N35" i="3" s="1"/>
  <c r="N420" i="3" a="1"/>
  <c r="N420" i="3" s="1"/>
  <c r="N416" i="3" a="1"/>
  <c r="N416" i="3" s="1"/>
  <c r="N378" i="3" a="1"/>
  <c r="N378" i="3" s="1"/>
  <c r="N374" i="3" a="1"/>
  <c r="N374" i="3" s="1"/>
  <c r="N370" i="3" a="1"/>
  <c r="N370" i="3" s="1"/>
  <c r="N366" i="3" a="1"/>
  <c r="N366" i="3" s="1"/>
  <c r="N328" i="3" a="1"/>
  <c r="N328" i="3" s="1"/>
  <c r="N324" i="3" a="1"/>
  <c r="N324" i="3" s="1"/>
  <c r="N320" i="3" a="1"/>
  <c r="N320" i="3" s="1"/>
  <c r="N316" i="3" a="1"/>
  <c r="N316" i="3" s="1"/>
  <c r="N278" i="3" a="1"/>
  <c r="N278" i="3" s="1"/>
  <c r="N274" i="3" a="1"/>
  <c r="N274" i="3" s="1"/>
  <c r="N270" i="3" a="1"/>
  <c r="N270" i="3" s="1"/>
  <c r="N266" i="3" a="1"/>
  <c r="N266" i="3" s="1"/>
  <c r="N228" i="3" a="1"/>
  <c r="N228" i="3" s="1"/>
  <c r="N397" i="3" a="1"/>
  <c r="N397" i="3" s="1"/>
  <c r="N360" i="3" a="1"/>
  <c r="N360" i="3" s="1"/>
  <c r="N337" i="3" a="1"/>
  <c r="N337" i="3" s="1"/>
  <c r="N332" i="3" a="1"/>
  <c r="N332" i="3" s="1"/>
  <c r="N323" i="3" a="1"/>
  <c r="N323" i="3" s="1"/>
  <c r="N318" i="3" a="1"/>
  <c r="N318" i="3" s="1"/>
  <c r="N300" i="3" a="1"/>
  <c r="N300" i="3" s="1"/>
  <c r="N286" i="3" a="1"/>
  <c r="N286" i="3" s="1"/>
  <c r="N414" i="3" a="1"/>
  <c r="N414" i="3" s="1"/>
  <c r="N396" i="3" a="1"/>
  <c r="N396" i="3" s="1"/>
  <c r="N391" i="3" a="1"/>
  <c r="N391" i="3" s="1"/>
  <c r="N377" i="3" a="1"/>
  <c r="N377" i="3" s="1"/>
  <c r="N354" i="3" a="1"/>
  <c r="N354" i="3" s="1"/>
  <c r="N340" i="3" a="1"/>
  <c r="N340" i="3" s="1"/>
  <c r="N317" i="3" a="1"/>
  <c r="N317" i="3" s="1"/>
  <c r="N303" i="3" a="1"/>
  <c r="N303" i="3" s="1"/>
  <c r="N298" i="3" a="1"/>
  <c r="N298" i="3" s="1"/>
  <c r="N280" i="3" a="1"/>
  <c r="N280" i="3" s="1"/>
  <c r="N261" i="3" a="1"/>
  <c r="N261" i="3" s="1"/>
  <c r="N252" i="3" a="1"/>
  <c r="N252" i="3" s="1"/>
  <c r="N243" i="3" a="1"/>
  <c r="N243" i="3" s="1"/>
  <c r="N238" i="3" a="1"/>
  <c r="N238" i="3" s="1"/>
  <c r="N212" i="3" a="1"/>
  <c r="N212" i="3" s="1"/>
  <c r="N191" i="3" a="1"/>
  <c r="N191" i="3" s="1"/>
  <c r="N187" i="3" a="1"/>
  <c r="N187" i="3" s="1"/>
  <c r="N183" i="3" a="1"/>
  <c r="N183" i="3" s="1"/>
  <c r="N38" i="3" a="1"/>
  <c r="N38" i="3" s="1"/>
  <c r="N418" i="3" a="1"/>
  <c r="N418" i="3" s="1"/>
  <c r="N400" i="3" a="1"/>
  <c r="N400" i="3" s="1"/>
  <c r="N386" i="3" a="1"/>
  <c r="N386" i="3" s="1"/>
  <c r="N381" i="3" a="1"/>
  <c r="N381" i="3" s="1"/>
  <c r="N372" i="3" a="1"/>
  <c r="N372" i="3" s="1"/>
  <c r="N363" i="3" a="1"/>
  <c r="N363" i="3" s="1"/>
  <c r="N358" i="3" a="1"/>
  <c r="N358" i="3" s="1"/>
  <c r="N344" i="3" a="1"/>
  <c r="N344" i="3" s="1"/>
  <c r="N326" i="3" a="1"/>
  <c r="N326" i="3" s="1"/>
  <c r="N321" i="3" a="1"/>
  <c r="N321" i="3" s="1"/>
  <c r="N312" i="3" a="1"/>
  <c r="N312" i="3" s="1"/>
  <c r="N307" i="3" a="1"/>
  <c r="N307" i="3" s="1"/>
  <c r="N284" i="3" a="1"/>
  <c r="N284" i="3" s="1"/>
  <c r="N247" i="3" a="1"/>
  <c r="N247" i="3" s="1"/>
  <c r="N224" i="3" a="1"/>
  <c r="N224" i="3" s="1"/>
  <c r="N220" i="3" a="1"/>
  <c r="N220" i="3" s="1"/>
  <c r="N216" i="3" a="1"/>
  <c r="N216" i="3" s="1"/>
  <c r="N178" i="3" a="1"/>
  <c r="N178" i="3" s="1"/>
  <c r="N174" i="3" a="1"/>
  <c r="N174" i="3" s="1"/>
  <c r="N170" i="3" a="1"/>
  <c r="N170" i="3" s="1"/>
  <c r="N120" i="3" a="1"/>
  <c r="N120" i="3" s="1"/>
  <c r="N86" i="3" a="1"/>
  <c r="N86" i="3" s="1"/>
  <c r="N23" i="3" a="1"/>
  <c r="N23" i="3" s="1"/>
  <c r="N406" i="3" a="1"/>
  <c r="N406" i="3" s="1"/>
  <c r="N393" i="3" a="1"/>
  <c r="N393" i="3" s="1"/>
  <c r="N373" i="3" a="1"/>
  <c r="N373" i="3" s="1"/>
  <c r="N293" i="3" a="1"/>
  <c r="N293" i="3" s="1"/>
  <c r="N287" i="3" a="1"/>
  <c r="N287" i="3" s="1"/>
  <c r="N251" i="3" a="1"/>
  <c r="N251" i="3" s="1"/>
  <c r="N246" i="3" a="1"/>
  <c r="N246" i="3" s="1"/>
  <c r="N240" i="3" a="1"/>
  <c r="N240" i="3" s="1"/>
  <c r="N223" i="3" a="1"/>
  <c r="N223" i="3" s="1"/>
  <c r="N213" i="3" a="1"/>
  <c r="N213" i="3" s="1"/>
  <c r="N207" i="3" a="1"/>
  <c r="N207" i="3" s="1"/>
  <c r="N202" i="3" a="1"/>
  <c r="N202" i="3" s="1"/>
  <c r="N197" i="3" a="1"/>
  <c r="N197" i="3" s="1"/>
  <c r="N417" i="3" a="1"/>
  <c r="N417" i="3" s="1"/>
  <c r="N390" i="3" a="1"/>
  <c r="N390" i="3" s="1"/>
  <c r="N384" i="3" a="1"/>
  <c r="N384" i="3" s="1"/>
  <c r="N364" i="3" a="1"/>
  <c r="N364" i="3" s="1"/>
  <c r="N357" i="3" a="1"/>
  <c r="N357" i="3" s="1"/>
  <c r="N351" i="3" a="1"/>
  <c r="N351" i="3" s="1"/>
  <c r="N331" i="3" a="1"/>
  <c r="N331" i="3" s="1"/>
  <c r="N273" i="3" a="1"/>
  <c r="N273" i="3" s="1"/>
  <c r="N262" i="3" a="1"/>
  <c r="N262" i="3" s="1"/>
  <c r="N250" i="3" a="1"/>
  <c r="N250" i="3" s="1"/>
  <c r="N244" i="3" a="1"/>
  <c r="N244" i="3" s="1"/>
  <c r="N232" i="3" a="1"/>
  <c r="N232" i="3" s="1"/>
  <c r="N206" i="3" a="1"/>
  <c r="N206" i="3" s="1"/>
  <c r="N196" i="3" a="1"/>
  <c r="N196" i="3" s="1"/>
  <c r="N190" i="3" a="1"/>
  <c r="N190" i="3" s="1"/>
  <c r="N180" i="3" a="1"/>
  <c r="N180" i="3" s="1"/>
  <c r="N164" i="3" a="1"/>
  <c r="N164" i="3" s="1"/>
  <c r="N154" i="3" a="1"/>
  <c r="N154" i="3" s="1"/>
  <c r="N89" i="3" a="1"/>
  <c r="N89" i="3" s="1"/>
  <c r="N80" i="3" a="1"/>
  <c r="N80" i="3" s="1"/>
  <c r="N52" i="3" a="1"/>
  <c r="N52" i="3" s="1"/>
  <c r="N43" i="3" a="1"/>
  <c r="N43" i="3" s="1"/>
  <c r="N29" i="3" a="1"/>
  <c r="N29" i="3" s="1"/>
  <c r="N383" i="3" a="1"/>
  <c r="N383" i="3" s="1"/>
  <c r="N376" i="3" a="1"/>
  <c r="N376" i="3" s="1"/>
  <c r="N350" i="3" a="1"/>
  <c r="N350" i="3" s="1"/>
  <c r="N343" i="3" a="1"/>
  <c r="N343" i="3" s="1"/>
  <c r="N408" i="3" a="1"/>
  <c r="N408" i="3" s="1"/>
  <c r="N402" i="3" a="1"/>
  <c r="N402" i="3" s="1"/>
  <c r="N382" i="3" a="1"/>
  <c r="N382" i="3" s="1"/>
  <c r="N362" i="3" a="1"/>
  <c r="N362" i="3" s="1"/>
  <c r="N356" i="3" a="1"/>
  <c r="N356" i="3" s="1"/>
  <c r="N348" i="3" a="1"/>
  <c r="N348" i="3" s="1"/>
  <c r="N336" i="3" a="1"/>
  <c r="N336" i="3" s="1"/>
  <c r="N302" i="3" a="1"/>
  <c r="N302" i="3" s="1"/>
  <c r="N283" i="3" a="1"/>
  <c r="N283" i="3" s="1"/>
  <c r="N277" i="3" a="1"/>
  <c r="N277" i="3" s="1"/>
  <c r="N254" i="3" a="1"/>
  <c r="N254" i="3" s="1"/>
  <c r="N248" i="3" a="1"/>
  <c r="N248" i="3" s="1"/>
  <c r="N242" i="3" a="1"/>
  <c r="N242" i="3" s="1"/>
  <c r="N173" i="3" a="1"/>
  <c r="N173" i="3" s="1"/>
  <c r="N163" i="3" a="1"/>
  <c r="N163" i="3" s="1"/>
  <c r="N142" i="3" a="1"/>
  <c r="N142" i="3" s="1"/>
  <c r="N131" i="3" a="1"/>
  <c r="N131" i="3" s="1"/>
  <c r="N121" i="3" a="1"/>
  <c r="N121" i="3" s="1"/>
  <c r="N78" i="3" a="1"/>
  <c r="N78" i="3" s="1"/>
  <c r="N41" i="3" a="1"/>
  <c r="N41" i="3" s="1"/>
  <c r="N12" i="3" a="1"/>
  <c r="N12" i="3" s="1"/>
  <c r="N413" i="3" a="1"/>
  <c r="N413" i="3" s="1"/>
  <c r="N387" i="3" a="1"/>
  <c r="N387" i="3" s="1"/>
  <c r="N380" i="3" a="1"/>
  <c r="N380" i="3" s="1"/>
  <c r="N353" i="3" a="1"/>
  <c r="N353" i="3" s="1"/>
  <c r="N347" i="3" a="1"/>
  <c r="N347" i="3" s="1"/>
  <c r="N327" i="3" a="1"/>
  <c r="N327" i="3" s="1"/>
  <c r="N314" i="3" a="1"/>
  <c r="N314" i="3" s="1"/>
  <c r="N294" i="3" a="1"/>
  <c r="N294" i="3" s="1"/>
  <c r="N281" i="3" a="1"/>
  <c r="N281" i="3" s="1"/>
  <c r="N276" i="3" a="1"/>
  <c r="N276" i="3" s="1"/>
  <c r="N258" i="3" a="1"/>
  <c r="N258" i="3" s="1"/>
  <c r="N218" i="3" a="1"/>
  <c r="N218" i="3" s="1"/>
  <c r="N208" i="3" a="1"/>
  <c r="N208" i="3" s="1"/>
  <c r="N3" i="3" a="1"/>
  <c r="N3" i="3" s="1"/>
  <c r="N17" i="3" a="1"/>
  <c r="N17" i="3" s="1"/>
  <c r="N44" i="3" a="1"/>
  <c r="N44" i="3" s="1"/>
  <c r="N50" i="3" a="1"/>
  <c r="N50" i="3" s="1"/>
  <c r="N62" i="3" a="1"/>
  <c r="N62" i="3" s="1"/>
  <c r="N172" i="3" a="1"/>
  <c r="N172" i="3" s="1"/>
  <c r="N192" i="3" a="1"/>
  <c r="N192" i="3" s="1"/>
  <c r="N198" i="3" a="1"/>
  <c r="N198" i="3" s="1"/>
  <c r="N233" i="3" a="1"/>
  <c r="N233" i="3" s="1"/>
  <c r="N253" i="3" a="1"/>
  <c r="N253" i="3" s="1"/>
  <c r="N272" i="3" a="1"/>
  <c r="N272" i="3" s="1"/>
  <c r="N292" i="3" a="1"/>
  <c r="N292" i="3" s="1"/>
  <c r="N361" i="3" a="1"/>
  <c r="N361" i="3" s="1"/>
  <c r="N388" i="3" a="1"/>
  <c r="N388" i="3" s="1"/>
  <c r="N401" i="3" a="1"/>
  <c r="N401" i="3" s="1"/>
  <c r="K2" i="3" a="1"/>
  <c r="N22" i="3" a="1"/>
  <c r="N22" i="3" s="1"/>
  <c r="N33" i="3" a="1"/>
  <c r="N33" i="3" s="1"/>
  <c r="N68" i="3" a="1"/>
  <c r="N68" i="3" s="1"/>
  <c r="N91" i="3" a="1"/>
  <c r="N91" i="3" s="1"/>
  <c r="N109" i="3" a="1"/>
  <c r="N109" i="3" s="1"/>
  <c r="N140" i="3" a="1"/>
  <c r="N140" i="3" s="1"/>
  <c r="N153" i="3" a="1"/>
  <c r="N153" i="3" s="1"/>
  <c r="N160" i="3" a="1"/>
  <c r="N160" i="3" s="1"/>
  <c r="N186" i="3" a="1"/>
  <c r="N186" i="3" s="1"/>
  <c r="N200" i="3" a="1"/>
  <c r="N200" i="3" s="1"/>
  <c r="N234" i="3" a="1"/>
  <c r="N234" i="3" s="1"/>
  <c r="N263" i="3" a="1"/>
  <c r="N263" i="3" s="1"/>
  <c r="N282" i="3" a="1"/>
  <c r="N282" i="3" s="1"/>
  <c r="N304" i="3" a="1"/>
  <c r="N304" i="3" s="1"/>
  <c r="N403" i="3" a="1"/>
  <c r="N403" i="3" s="1"/>
  <c r="N28" i="3" a="1"/>
  <c r="N28" i="3" s="1"/>
  <c r="N51" i="3" a="1"/>
  <c r="N51" i="3" s="1"/>
  <c r="N74" i="3" a="1"/>
  <c r="N74" i="3" s="1"/>
  <c r="N193" i="3" a="1"/>
  <c r="N193" i="3" s="1"/>
  <c r="N217" i="3" a="1"/>
  <c r="N217" i="3" s="1"/>
  <c r="N226" i="3" a="1"/>
  <c r="N226" i="3" s="1"/>
  <c r="N264" i="3" a="1"/>
  <c r="N264" i="3" s="1"/>
  <c r="N338" i="3" a="1"/>
  <c r="N338" i="3" s="1"/>
  <c r="N404" i="3" a="1"/>
  <c r="N404" i="3" s="1"/>
  <c r="N549" i="3" a="1"/>
  <c r="N549" i="3" s="1"/>
  <c r="N565" i="3" a="1"/>
  <c r="N565" i="3" s="1"/>
  <c r="N634" i="3" a="1"/>
  <c r="N634" i="3" s="1"/>
  <c r="N664" i="3" a="1"/>
  <c r="N664" i="3" s="1"/>
  <c r="N674" i="3" a="1"/>
  <c r="N674" i="3" s="1"/>
  <c r="N694" i="3" a="1"/>
  <c r="N694" i="3" s="1"/>
  <c r="N714" i="3" a="1"/>
  <c r="N714" i="3" s="1"/>
  <c r="N848" i="3" a="1"/>
  <c r="N848" i="3" s="1"/>
  <c r="N559" i="3" a="1"/>
  <c r="N559" i="3" s="1"/>
  <c r="N627" i="3" a="1"/>
  <c r="N627" i="3" s="1"/>
  <c r="N647" i="3" a="1"/>
  <c r="N647" i="3" s="1"/>
  <c r="N687" i="3" a="1"/>
  <c r="N687" i="3" s="1"/>
  <c r="N801" i="3" a="1"/>
  <c r="N801" i="3" s="1"/>
  <c r="N552" i="3" a="1"/>
  <c r="N552" i="3" s="1"/>
  <c r="N561" i="3" a="1"/>
  <c r="N561" i="3" s="1"/>
  <c r="N569" i="3" a="1"/>
  <c r="N569" i="3" s="1"/>
  <c r="N578" i="3" a="1"/>
  <c r="N578" i="3" s="1"/>
  <c r="N589" i="3" a="1"/>
  <c r="N589" i="3" s="1"/>
  <c r="N608" i="3" a="1"/>
  <c r="N608" i="3" s="1"/>
  <c r="N618" i="3" a="1"/>
  <c r="N618" i="3" s="1"/>
  <c r="N638" i="3" a="1"/>
  <c r="N638" i="3" s="1"/>
  <c r="N658" i="3" a="1"/>
  <c r="N658" i="3" s="1"/>
  <c r="N678" i="3" a="1"/>
  <c r="N678" i="3" s="1"/>
  <c r="N844" i="3" a="1"/>
  <c r="N844" i="3" s="1"/>
  <c r="N834" i="3" a="1"/>
  <c r="N834" i="3" s="1"/>
  <c r="N824" i="3" a="1"/>
  <c r="N824" i="3" s="1"/>
  <c r="N814" i="3" a="1"/>
  <c r="N814" i="3" s="1"/>
  <c r="N804" i="3" a="1"/>
  <c r="N804" i="3" s="1"/>
  <c r="N794" i="3" a="1"/>
  <c r="N794" i="3" s="1"/>
  <c r="N784" i="3" a="1"/>
  <c r="N784" i="3" s="1"/>
  <c r="N774" i="3" a="1"/>
  <c r="N774" i="3" s="1"/>
  <c r="N764" i="3" a="1"/>
  <c r="N764" i="3" s="1"/>
  <c r="N754" i="3" a="1"/>
  <c r="N754" i="3" s="1"/>
  <c r="N850" i="3" a="1"/>
  <c r="N850" i="3" s="1"/>
  <c r="N839" i="3" a="1"/>
  <c r="N839" i="3" s="1"/>
  <c r="N828" i="3" a="1"/>
  <c r="N828" i="3" s="1"/>
  <c r="N813" i="3" a="1"/>
  <c r="N813" i="3" s="1"/>
  <c r="N802" i="3" a="1"/>
  <c r="N802" i="3" s="1"/>
  <c r="N791" i="3" a="1"/>
  <c r="N791" i="3" s="1"/>
  <c r="N787" i="3" a="1"/>
  <c r="N787" i="3" s="1"/>
  <c r="N776" i="3" a="1"/>
  <c r="N776" i="3" s="1"/>
  <c r="N765" i="3" a="1"/>
  <c r="N765" i="3" s="1"/>
  <c r="N750" i="3" a="1"/>
  <c r="N750" i="3" s="1"/>
  <c r="N740" i="3" a="1"/>
  <c r="N740" i="3" s="1"/>
  <c r="N730" i="3" a="1"/>
  <c r="N730" i="3" s="1"/>
  <c r="N720" i="3" a="1"/>
  <c r="N720" i="3" s="1"/>
  <c r="N710" i="3" a="1"/>
  <c r="N710" i="3" s="1"/>
  <c r="N700" i="3" a="1"/>
  <c r="N700" i="3" s="1"/>
  <c r="N690" i="3" a="1"/>
  <c r="N690" i="3" s="1"/>
  <c r="N680" i="3" a="1"/>
  <c r="N680" i="3" s="1"/>
  <c r="N670" i="3" a="1"/>
  <c r="N670" i="3" s="1"/>
  <c r="N660" i="3" a="1"/>
  <c r="N660" i="3" s="1"/>
  <c r="N650" i="3" a="1"/>
  <c r="N650" i="3" s="1"/>
  <c r="N640" i="3" a="1"/>
  <c r="N640" i="3" s="1"/>
  <c r="N630" i="3" a="1"/>
  <c r="N630" i="3" s="1"/>
  <c r="N620" i="3" a="1"/>
  <c r="N620" i="3" s="1"/>
  <c r="N610" i="3" a="1"/>
  <c r="N610" i="3" s="1"/>
  <c r="N600" i="3" a="1"/>
  <c r="N600" i="3" s="1"/>
  <c r="N590" i="3" a="1"/>
  <c r="N590" i="3" s="1"/>
  <c r="N580" i="3" a="1"/>
  <c r="N580" i="3" s="1"/>
  <c r="N570" i="3" a="1"/>
  <c r="N570" i="3" s="1"/>
  <c r="N560" i="3" a="1"/>
  <c r="N560" i="3" s="1"/>
  <c r="N550" i="3" a="1"/>
  <c r="N550" i="3" s="1"/>
  <c r="N540" i="3" a="1"/>
  <c r="N540" i="3" s="1"/>
  <c r="N520" i="3" a="1"/>
  <c r="N520" i="3" s="1"/>
  <c r="N846" i="3" a="1"/>
  <c r="N846" i="3" s="1"/>
  <c r="N835" i="3" a="1"/>
  <c r="N835" i="3" s="1"/>
  <c r="N820" i="3" a="1"/>
  <c r="N820" i="3" s="1"/>
  <c r="N809" i="3" a="1"/>
  <c r="N809" i="3" s="1"/>
  <c r="N798" i="3" a="1"/>
  <c r="N798" i="3" s="1"/>
  <c r="N783" i="3" a="1"/>
  <c r="N783" i="3" s="1"/>
  <c r="N772" i="3" a="1"/>
  <c r="N772" i="3" s="1"/>
  <c r="N761" i="3" a="1"/>
  <c r="N761" i="3" s="1"/>
  <c r="N757" i="3" a="1"/>
  <c r="N757" i="3" s="1"/>
  <c r="N743" i="3" a="1"/>
  <c r="N743" i="3" s="1"/>
  <c r="N733" i="3" a="1"/>
  <c r="N733" i="3" s="1"/>
  <c r="N723" i="3" a="1"/>
  <c r="N723" i="3" s="1"/>
  <c r="N713" i="3" a="1"/>
  <c r="N713" i="3" s="1"/>
  <c r="N703" i="3" a="1"/>
  <c r="N703" i="3" s="1"/>
  <c r="N693" i="3" a="1"/>
  <c r="N693" i="3" s="1"/>
  <c r="N683" i="3" a="1"/>
  <c r="N683" i="3" s="1"/>
  <c r="N673" i="3" a="1"/>
  <c r="N673" i="3" s="1"/>
  <c r="N663" i="3" a="1"/>
  <c r="N663" i="3" s="1"/>
  <c r="N653" i="3" a="1"/>
  <c r="N653" i="3" s="1"/>
  <c r="N643" i="3" a="1"/>
  <c r="N643" i="3" s="1"/>
  <c r="N633" i="3" a="1"/>
  <c r="N633" i="3" s="1"/>
  <c r="N623" i="3" a="1"/>
  <c r="N623" i="3" s="1"/>
  <c r="N613" i="3" a="1"/>
  <c r="N613" i="3" s="1"/>
  <c r="N603" i="3" a="1"/>
  <c r="N603" i="3" s="1"/>
  <c r="N593" i="3" a="1"/>
  <c r="N593" i="3" s="1"/>
  <c r="N583" i="3" a="1"/>
  <c r="N583" i="3" s="1"/>
  <c r="N573" i="3" a="1"/>
  <c r="N573" i="3" s="1"/>
  <c r="N563" i="3" a="1"/>
  <c r="N563" i="3" s="1"/>
  <c r="N553" i="3" a="1"/>
  <c r="N553" i="3" s="1"/>
  <c r="N543" i="3" a="1"/>
  <c r="N543" i="3" s="1"/>
  <c r="N842" i="3" a="1"/>
  <c r="N842" i="3" s="1"/>
  <c r="N831" i="3" a="1"/>
  <c r="N831" i="3" s="1"/>
  <c r="N827" i="3" a="1"/>
  <c r="N827" i="3" s="1"/>
  <c r="N816" i="3" a="1"/>
  <c r="N816" i="3" s="1"/>
  <c r="N805" i="3" a="1"/>
  <c r="N805" i="3" s="1"/>
  <c r="N790" i="3" a="1"/>
  <c r="N790" i="3" s="1"/>
  <c r="N779" i="3" a="1"/>
  <c r="N779" i="3" s="1"/>
  <c r="N768" i="3" a="1"/>
  <c r="N768" i="3" s="1"/>
  <c r="N753" i="3" a="1"/>
  <c r="N753" i="3" s="1"/>
  <c r="N746" i="3" a="1"/>
  <c r="N746" i="3" s="1"/>
  <c r="N736" i="3" a="1"/>
  <c r="N736" i="3" s="1"/>
  <c r="N726" i="3" a="1"/>
  <c r="N726" i="3" s="1"/>
  <c r="N716" i="3" a="1"/>
  <c r="N716" i="3" s="1"/>
  <c r="N706" i="3" a="1"/>
  <c r="N706" i="3" s="1"/>
  <c r="N696" i="3" a="1"/>
  <c r="N696" i="3" s="1"/>
  <c r="N686" i="3" a="1"/>
  <c r="N686" i="3" s="1"/>
  <c r="N676" i="3" a="1"/>
  <c r="N676" i="3" s="1"/>
  <c r="N666" i="3" a="1"/>
  <c r="N666" i="3" s="1"/>
  <c r="N656" i="3" a="1"/>
  <c r="N656" i="3" s="1"/>
  <c r="N646" i="3" a="1"/>
  <c r="N646" i="3" s="1"/>
  <c r="N636" i="3" a="1"/>
  <c r="N636" i="3" s="1"/>
  <c r="N626" i="3" a="1"/>
  <c r="N626" i="3" s="1"/>
  <c r="N616" i="3" a="1"/>
  <c r="N616" i="3" s="1"/>
  <c r="N606" i="3" a="1"/>
  <c r="N606" i="3" s="1"/>
  <c r="N596" i="3" a="1"/>
  <c r="N596" i="3" s="1"/>
  <c r="N586" i="3" a="1"/>
  <c r="N586" i="3" s="1"/>
  <c r="N576" i="3" a="1"/>
  <c r="N576" i="3" s="1"/>
  <c r="N566" i="3" a="1"/>
  <c r="N566" i="3" s="1"/>
  <c r="N556" i="3" a="1"/>
  <c r="N556" i="3" s="1"/>
  <c r="N546" i="3" a="1"/>
  <c r="N546" i="3" s="1"/>
  <c r="N841" i="3" a="1"/>
  <c r="N841" i="3" s="1"/>
  <c r="N837" i="3" a="1"/>
  <c r="N837" i="3" s="1"/>
  <c r="N826" i="3" a="1"/>
  <c r="N826" i="3" s="1"/>
  <c r="N815" i="3" a="1"/>
  <c r="N815" i="3" s="1"/>
  <c r="N800" i="3" a="1"/>
  <c r="N800" i="3" s="1"/>
  <c r="N789" i="3" a="1"/>
  <c r="N789" i="3" s="1"/>
  <c r="N778" i="3" a="1"/>
  <c r="N778" i="3" s="1"/>
  <c r="N763" i="3" a="1"/>
  <c r="N763" i="3" s="1"/>
  <c r="N752" i="3" a="1"/>
  <c r="N752" i="3" s="1"/>
  <c r="N745" i="3" a="1"/>
  <c r="N745" i="3" s="1"/>
  <c r="N735" i="3" a="1"/>
  <c r="N735" i="3" s="1"/>
  <c r="N725" i="3" a="1"/>
  <c r="N725" i="3" s="1"/>
  <c r="N715" i="3" a="1"/>
  <c r="N715" i="3" s="1"/>
  <c r="N705" i="3" a="1"/>
  <c r="N705" i="3" s="1"/>
  <c r="N695" i="3" a="1"/>
  <c r="N695" i="3" s="1"/>
  <c r="N685" i="3" a="1"/>
  <c r="N685" i="3" s="1"/>
  <c r="N675" i="3" a="1"/>
  <c r="N675" i="3" s="1"/>
  <c r="N665" i="3" a="1"/>
  <c r="N665" i="3" s="1"/>
  <c r="N655" i="3" a="1"/>
  <c r="N655" i="3" s="1"/>
  <c r="N645" i="3" a="1"/>
  <c r="N645" i="3" s="1"/>
  <c r="N635" i="3" a="1"/>
  <c r="N635" i="3" s="1"/>
  <c r="N625" i="3" a="1"/>
  <c r="N625" i="3" s="1"/>
  <c r="N615" i="3" a="1"/>
  <c r="N615" i="3" s="1"/>
  <c r="N605" i="3" a="1"/>
  <c r="N605" i="3" s="1"/>
  <c r="N595" i="3" a="1"/>
  <c r="N595" i="3" s="1"/>
  <c r="N585" i="3" a="1"/>
  <c r="N585" i="3" s="1"/>
  <c r="N575" i="3" a="1"/>
  <c r="N575" i="3" s="1"/>
  <c r="N849" i="3" a="1"/>
  <c r="N849" i="3" s="1"/>
  <c r="N843" i="3" a="1"/>
  <c r="N843" i="3" s="1"/>
  <c r="N830" i="3" a="1"/>
  <c r="N830" i="3" s="1"/>
  <c r="N818" i="3" a="1"/>
  <c r="N818" i="3" s="1"/>
  <c r="N806" i="3" a="1"/>
  <c r="N806" i="3" s="1"/>
  <c r="N793" i="3" a="1"/>
  <c r="N793" i="3" s="1"/>
  <c r="N781" i="3" a="1"/>
  <c r="N781" i="3" s="1"/>
  <c r="N769" i="3" a="1"/>
  <c r="N769" i="3" s="1"/>
  <c r="N756" i="3" a="1"/>
  <c r="N756" i="3" s="1"/>
  <c r="N722" i="3" a="1"/>
  <c r="N722" i="3" s="1"/>
  <c r="N717" i="3" a="1"/>
  <c r="N717" i="3" s="1"/>
  <c r="N711" i="3" a="1"/>
  <c r="N711" i="3" s="1"/>
  <c r="N672" i="3" a="1"/>
  <c r="N672" i="3" s="1"/>
  <c r="N667" i="3" a="1"/>
  <c r="N667" i="3" s="1"/>
  <c r="N661" i="3" a="1"/>
  <c r="N661" i="3" s="1"/>
  <c r="N622" i="3" a="1"/>
  <c r="N622" i="3" s="1"/>
  <c r="N617" i="3" a="1"/>
  <c r="N617" i="3" s="1"/>
  <c r="N611" i="3" a="1"/>
  <c r="N611" i="3" s="1"/>
  <c r="N572" i="3" a="1"/>
  <c r="N572" i="3" s="1"/>
  <c r="N558" i="3" a="1"/>
  <c r="N558" i="3" s="1"/>
  <c r="N544" i="3" a="1"/>
  <c r="N544" i="3" s="1"/>
  <c r="N847" i="3" a="1"/>
  <c r="N847" i="3" s="1"/>
  <c r="N822" i="3" a="1"/>
  <c r="N822" i="3" s="1"/>
  <c r="N810" i="3" a="1"/>
  <c r="N810" i="3" s="1"/>
  <c r="N797" i="3" a="1"/>
  <c r="N797" i="3" s="1"/>
  <c r="N785" i="3" a="1"/>
  <c r="N785" i="3" s="1"/>
  <c r="N773" i="3" a="1"/>
  <c r="N773" i="3" s="1"/>
  <c r="N760" i="3" a="1"/>
  <c r="N760" i="3" s="1"/>
  <c r="N748" i="3" a="1"/>
  <c r="N748" i="3" s="1"/>
  <c r="N709" i="3" a="1"/>
  <c r="N709" i="3" s="1"/>
  <c r="N704" i="3" a="1"/>
  <c r="N704" i="3" s="1"/>
  <c r="N698" i="3" a="1"/>
  <c r="N698" i="3" s="1"/>
  <c r="N659" i="3" a="1"/>
  <c r="N659" i="3" s="1"/>
  <c r="N654" i="3" a="1"/>
  <c r="N654" i="3" s="1"/>
  <c r="N648" i="3" a="1"/>
  <c r="N648" i="3" s="1"/>
  <c r="N609" i="3" a="1"/>
  <c r="N609" i="3" s="1"/>
  <c r="N604" i="3" a="1"/>
  <c r="N604" i="3" s="1"/>
  <c r="N598" i="3" a="1"/>
  <c r="N598" i="3" s="1"/>
  <c r="N571" i="3" a="1"/>
  <c r="N571" i="3" s="1"/>
  <c r="N557" i="3" a="1"/>
  <c r="N557" i="3" s="1"/>
  <c r="N542" i="3" a="1"/>
  <c r="N542" i="3" s="1"/>
  <c r="N851" i="3" a="1"/>
  <c r="N851" i="3" s="1"/>
  <c r="N825" i="3" a="1"/>
  <c r="N825" i="3" s="1"/>
  <c r="N812" i="3" a="1"/>
  <c r="N812" i="3" s="1"/>
  <c r="N788" i="3" a="1"/>
  <c r="N788" i="3" s="1"/>
  <c r="N775" i="3" a="1"/>
  <c r="N775" i="3" s="1"/>
  <c r="N751" i="3" a="1"/>
  <c r="N751" i="3" s="1"/>
  <c r="N739" i="3" a="1"/>
  <c r="N739" i="3" s="1"/>
  <c r="N734" i="3" a="1"/>
  <c r="N734" i="3" s="1"/>
  <c r="N728" i="3" a="1"/>
  <c r="N728" i="3" s="1"/>
  <c r="N823" i="3" a="1"/>
  <c r="N823" i="3" s="1"/>
  <c r="N780" i="3" a="1"/>
  <c r="N780" i="3" s="1"/>
  <c r="N771" i="3" a="1"/>
  <c r="N771" i="3" s="1"/>
  <c r="N762" i="3" a="1"/>
  <c r="N762" i="3" s="1"/>
  <c r="N737" i="3" a="1"/>
  <c r="N737" i="3" s="1"/>
  <c r="N729" i="3" a="1"/>
  <c r="N729" i="3" s="1"/>
  <c r="N721" i="3" a="1"/>
  <c r="N721" i="3" s="1"/>
  <c r="N707" i="3" a="1"/>
  <c r="N707" i="3" s="1"/>
  <c r="N699" i="3" a="1"/>
  <c r="N699" i="3" s="1"/>
  <c r="N692" i="3" a="1"/>
  <c r="N692" i="3" s="1"/>
  <c r="N651" i="3" a="1"/>
  <c r="N651" i="3" s="1"/>
  <c r="N644" i="3" a="1"/>
  <c r="N644" i="3" s="1"/>
  <c r="N637" i="3" a="1"/>
  <c r="N637" i="3" s="1"/>
  <c r="N602" i="3" a="1"/>
  <c r="N602" i="3" s="1"/>
  <c r="N588" i="3" a="1"/>
  <c r="N588" i="3" s="1"/>
  <c r="N581" i="3" a="1"/>
  <c r="N581" i="3" s="1"/>
  <c r="N562" i="3" a="1"/>
  <c r="N562" i="3" s="1"/>
  <c r="N803" i="3" a="1"/>
  <c r="N803" i="3" s="1"/>
  <c r="N777" i="3" a="1"/>
  <c r="N777" i="3" s="1"/>
  <c r="N759" i="3" a="1"/>
  <c r="N759" i="3" s="1"/>
  <c r="N742" i="3" a="1"/>
  <c r="N742" i="3" s="1"/>
  <c r="N727" i="3" a="1"/>
  <c r="N727" i="3" s="1"/>
  <c r="N684" i="3" a="1"/>
  <c r="N684" i="3" s="1"/>
  <c r="N677" i="3" a="1"/>
  <c r="N677" i="3" s="1"/>
  <c r="N669" i="3" a="1"/>
  <c r="N669" i="3" s="1"/>
  <c r="N628" i="3" a="1"/>
  <c r="N628" i="3" s="1"/>
  <c r="N621" i="3" a="1"/>
  <c r="N621" i="3" s="1"/>
  <c r="N614" i="3" a="1"/>
  <c r="N614" i="3" s="1"/>
  <c r="N579" i="3" a="1"/>
  <c r="N579" i="3" s="1"/>
  <c r="N567" i="3" a="1"/>
  <c r="N567" i="3" s="1"/>
  <c r="N531" i="3" a="1"/>
  <c r="N531" i="3" s="1"/>
  <c r="N838" i="3" a="1"/>
  <c r="N838" i="3" s="1"/>
  <c r="N829" i="3" a="1"/>
  <c r="N829" i="3" s="1"/>
  <c r="N821" i="3" a="1"/>
  <c r="N821" i="3" s="1"/>
  <c r="N811" i="3" a="1"/>
  <c r="N811" i="3" s="1"/>
  <c r="N795" i="3" a="1"/>
  <c r="N795" i="3" s="1"/>
  <c r="N767" i="3" a="1"/>
  <c r="N767" i="3" s="1"/>
  <c r="N749" i="3" a="1"/>
  <c r="N749" i="3" s="1"/>
  <c r="N718" i="3" a="1"/>
  <c r="N718" i="3" s="1"/>
  <c r="N697" i="3" a="1"/>
  <c r="N697" i="3" s="1"/>
  <c r="N662" i="3" a="1"/>
  <c r="N662" i="3" s="1"/>
  <c r="N641" i="3" a="1"/>
  <c r="N641" i="3" s="1"/>
  <c r="N607" i="3" a="1"/>
  <c r="N607" i="3" s="1"/>
  <c r="N599" i="3" a="1"/>
  <c r="N599" i="3" s="1"/>
  <c r="N592" i="3" a="1"/>
  <c r="N592" i="3" s="1"/>
  <c r="N548" i="3" a="1"/>
  <c r="N548" i="3" s="1"/>
  <c r="N519" i="3" a="1"/>
  <c r="N519" i="3" s="1"/>
  <c r="N545" i="3" a="1"/>
  <c r="N545" i="3" s="1"/>
  <c r="N629" i="3" a="1"/>
  <c r="N629" i="3" s="1"/>
  <c r="N639" i="3" a="1"/>
  <c r="N639" i="3" s="1"/>
  <c r="N649" i="3" a="1"/>
  <c r="N649" i="3" s="1"/>
  <c r="N668" i="3" a="1"/>
  <c r="N668" i="3" s="1"/>
  <c r="N679" i="3" a="1"/>
  <c r="N679" i="3" s="1"/>
  <c r="N688" i="3" a="1"/>
  <c r="N688" i="3" s="1"/>
  <c r="N708" i="3" a="1"/>
  <c r="N708" i="3" s="1"/>
  <c r="N719" i="3" a="1"/>
  <c r="N719" i="3" s="1"/>
  <c r="N741" i="3" a="1"/>
  <c r="N741" i="3" s="1"/>
  <c r="N817" i="3" a="1"/>
  <c r="N817" i="3" s="1"/>
  <c r="N424" i="3" a="1"/>
  <c r="N424" i="3" s="1"/>
  <c r="N554" i="3" a="1"/>
  <c r="N554" i="3" s="1"/>
  <c r="N601" i="3" a="1"/>
  <c r="N601" i="3" s="1"/>
  <c r="N619" i="3" a="1"/>
  <c r="N619" i="3" s="1"/>
  <c r="N689" i="3" a="1"/>
  <c r="N689" i="3" s="1"/>
  <c r="N731" i="3" a="1"/>
  <c r="N731" i="3" s="1"/>
  <c r="N755" i="3" a="1"/>
  <c r="N755" i="3" s="1"/>
  <c r="N766" i="3" a="1"/>
  <c r="N766" i="3" s="1"/>
  <c r="N792" i="3" a="1"/>
  <c r="N792" i="3" s="1"/>
  <c r="N832" i="3" a="1"/>
  <c r="N832" i="3" s="1"/>
  <c r="N479" i="3" a="1"/>
  <c r="N479" i="3" s="1"/>
  <c r="N547" i="3" a="1"/>
  <c r="N547" i="3" s="1"/>
  <c r="N612" i="3" a="1"/>
  <c r="N612" i="3" s="1"/>
  <c r="N632" i="3" a="1"/>
  <c r="N632" i="3" s="1"/>
  <c r="N642" i="3" a="1"/>
  <c r="N642" i="3" s="1"/>
  <c r="N652" i="3" a="1"/>
  <c r="N652" i="3" s="1"/>
  <c r="N681" i="3" a="1"/>
  <c r="N681" i="3" s="1"/>
  <c r="N712" i="3" a="1"/>
  <c r="N712" i="3" s="1"/>
  <c r="N758" i="3" a="1"/>
  <c r="N758" i="3" s="1"/>
  <c r="N770" i="3" a="1"/>
  <c r="N770" i="3" s="1"/>
  <c r="N808" i="3" a="1"/>
  <c r="N808" i="3" s="1"/>
  <c r="N833" i="3" a="1"/>
  <c r="N833" i="3" s="1"/>
  <c r="N845" i="3" a="1"/>
  <c r="N845" i="3" s="1"/>
  <c r="N574" i="3" a="1"/>
  <c r="N574" i="3" s="1"/>
  <c r="N584" i="3" a="1"/>
  <c r="N584" i="3" s="1"/>
  <c r="N594" i="3" a="1"/>
  <c r="N594" i="3" s="1"/>
  <c r="N624" i="3" a="1"/>
  <c r="N624" i="3" s="1"/>
  <c r="N682" i="3" a="1"/>
  <c r="N682" i="3" s="1"/>
  <c r="N702" i="3" a="1"/>
  <c r="N702" i="3" s="1"/>
  <c r="N724" i="3" a="1"/>
  <c r="N724" i="3" s="1"/>
  <c r="N747" i="3" a="1"/>
  <c r="N747" i="3" s="1"/>
  <c r="N796" i="3" a="1"/>
  <c r="N796" i="3" s="1"/>
  <c r="N1160" i="3" a="1"/>
  <c r="N1160" i="3" s="1"/>
  <c r="N1049" i="3" a="1"/>
  <c r="N1049" i="3" s="1"/>
  <c r="N1075" i="3" a="1"/>
  <c r="N1075" i="3" s="1"/>
  <c r="N874" i="3" a="1"/>
  <c r="N874" i="3" s="1"/>
  <c r="N1029" i="3" a="1"/>
  <c r="N1029" i="3" s="1"/>
  <c r="N1052" i="3" a="1"/>
  <c r="N1052" i="3" s="1"/>
  <c r="N1122" i="3" a="1"/>
  <c r="N1122" i="3" s="1"/>
  <c r="N1168" i="3" a="1"/>
  <c r="N1168" i="3" s="1"/>
  <c r="N1158" i="3" a="1"/>
  <c r="N1158" i="3" s="1"/>
  <c r="N1159" i="3" a="1"/>
  <c r="N1159" i="3" s="1"/>
  <c r="N1148" i="3" a="1"/>
  <c r="N1148" i="3" s="1"/>
  <c r="N1138" i="3" a="1"/>
  <c r="N1138" i="3" s="1"/>
  <c r="N1128" i="3" a="1"/>
  <c r="N1128" i="3" s="1"/>
  <c r="N1118" i="3" a="1"/>
  <c r="N1118" i="3" s="1"/>
  <c r="N1108" i="3" a="1"/>
  <c r="N1108" i="3" s="1"/>
  <c r="N1098" i="3" a="1"/>
  <c r="N1098" i="3" s="1"/>
  <c r="N1088" i="3" a="1"/>
  <c r="N1088" i="3" s="1"/>
  <c r="N1078" i="3" a="1"/>
  <c r="N1078" i="3" s="1"/>
  <c r="N1068" i="3" a="1"/>
  <c r="N1068" i="3" s="1"/>
  <c r="N1058" i="3" a="1"/>
  <c r="N1058" i="3" s="1"/>
  <c r="N1048" i="3" a="1"/>
  <c r="N1048" i="3" s="1"/>
  <c r="N1038" i="3" a="1"/>
  <c r="N1038" i="3" s="1"/>
  <c r="N1028" i="3" a="1"/>
  <c r="N1028" i="3" s="1"/>
  <c r="N1018" i="3" a="1"/>
  <c r="N1018" i="3" s="1"/>
  <c r="N1008" i="3" a="1"/>
  <c r="N1008" i="3" s="1"/>
  <c r="N998" i="3" a="1"/>
  <c r="N998" i="3" s="1"/>
  <c r="N988" i="3" a="1"/>
  <c r="N988" i="3" s="1"/>
  <c r="N978" i="3" a="1"/>
  <c r="N978" i="3" s="1"/>
  <c r="N968" i="3" a="1"/>
  <c r="N968" i="3" s="1"/>
  <c r="N958" i="3" a="1"/>
  <c r="N958" i="3" s="1"/>
  <c r="N1166" i="3" a="1"/>
  <c r="N1166" i="3" s="1"/>
  <c r="N1155" i="3" a="1"/>
  <c r="N1155" i="3" s="1"/>
  <c r="N1151" i="3" a="1"/>
  <c r="N1151" i="3" s="1"/>
  <c r="N1141" i="3" a="1"/>
  <c r="N1141" i="3" s="1"/>
  <c r="N1131" i="3" a="1"/>
  <c r="N1131" i="3" s="1"/>
  <c r="N1121" i="3" a="1"/>
  <c r="N1121" i="3" s="1"/>
  <c r="N1111" i="3" a="1"/>
  <c r="N1111" i="3" s="1"/>
  <c r="N1101" i="3" a="1"/>
  <c r="N1101" i="3" s="1"/>
  <c r="N1091" i="3" a="1"/>
  <c r="N1091" i="3" s="1"/>
  <c r="N1081" i="3" a="1"/>
  <c r="N1081" i="3" s="1"/>
  <c r="N1071" i="3" a="1"/>
  <c r="N1071" i="3" s="1"/>
  <c r="N1061" i="3" a="1"/>
  <c r="N1061" i="3" s="1"/>
  <c r="N1051" i="3" a="1"/>
  <c r="N1051" i="3" s="1"/>
  <c r="N1041" i="3" a="1"/>
  <c r="N1041" i="3" s="1"/>
  <c r="N1031" i="3" a="1"/>
  <c r="N1031" i="3" s="1"/>
  <c r="N1021" i="3" a="1"/>
  <c r="N1021" i="3" s="1"/>
  <c r="N1011" i="3" a="1"/>
  <c r="N1011" i="3" s="1"/>
  <c r="N1001" i="3" a="1"/>
  <c r="N1001" i="3" s="1"/>
  <c r="N991" i="3" a="1"/>
  <c r="N991" i="3" s="1"/>
  <c r="N981" i="3" a="1"/>
  <c r="N981" i="3" s="1"/>
  <c r="N971" i="3" a="1"/>
  <c r="N971" i="3" s="1"/>
  <c r="N961" i="3" a="1"/>
  <c r="N961" i="3" s="1"/>
  <c r="N951" i="3" a="1"/>
  <c r="N951" i="3" s="1"/>
  <c r="N1164" i="3" a="1"/>
  <c r="N1164" i="3" s="1"/>
  <c r="N1150" i="3" a="1"/>
  <c r="N1150" i="3" s="1"/>
  <c r="N1146" i="3" a="1"/>
  <c r="N1146" i="3" s="1"/>
  <c r="N1142" i="3" a="1"/>
  <c r="N1142" i="3" s="1"/>
  <c r="N1104" i="3" a="1"/>
  <c r="N1104" i="3" s="1"/>
  <c r="N1100" i="3" a="1"/>
  <c r="N1100" i="3" s="1"/>
  <c r="N1096" i="3" a="1"/>
  <c r="N1096" i="3" s="1"/>
  <c r="N1092" i="3" a="1"/>
  <c r="N1092" i="3" s="1"/>
  <c r="N1054" i="3" a="1"/>
  <c r="N1054" i="3" s="1"/>
  <c r="N1050" i="3" a="1"/>
  <c r="N1050" i="3" s="1"/>
  <c r="N1046" i="3" a="1"/>
  <c r="N1046" i="3" s="1"/>
  <c r="N1042" i="3" a="1"/>
  <c r="N1042" i="3" s="1"/>
  <c r="N1004" i="3" a="1"/>
  <c r="N1004" i="3" s="1"/>
  <c r="N1000" i="3" a="1"/>
  <c r="N1000" i="3" s="1"/>
  <c r="N996" i="3" a="1"/>
  <c r="N996" i="3" s="1"/>
  <c r="N992" i="3" a="1"/>
  <c r="N992" i="3" s="1"/>
  <c r="N954" i="3" a="1"/>
  <c r="N954" i="3" s="1"/>
  <c r="N946" i="3" a="1"/>
  <c r="N946" i="3" s="1"/>
  <c r="N913" i="3" a="1"/>
  <c r="N913" i="3" s="1"/>
  <c r="N1163" i="3" a="1"/>
  <c r="N1163" i="3" s="1"/>
  <c r="N1143" i="3" a="1"/>
  <c r="N1143" i="3" s="1"/>
  <c r="N1129" i="3" a="1"/>
  <c r="N1129" i="3" s="1"/>
  <c r="N1124" i="3" a="1"/>
  <c r="N1124" i="3" s="1"/>
  <c r="N1106" i="3" a="1"/>
  <c r="N1106" i="3" s="1"/>
  <c r="N1087" i="3" a="1"/>
  <c r="N1087" i="3" s="1"/>
  <c r="N1069" i="3" a="1"/>
  <c r="N1069" i="3" s="1"/>
  <c r="N1064" i="3" a="1"/>
  <c r="N1064" i="3" s="1"/>
  <c r="N1032" i="3" a="1"/>
  <c r="N1032" i="3" s="1"/>
  <c r="N1027" i="3" a="1"/>
  <c r="N1027" i="3" s="1"/>
  <c r="N1009" i="3" a="1"/>
  <c r="N1009" i="3" s="1"/>
  <c r="N995" i="3" a="1"/>
  <c r="N995" i="3" s="1"/>
  <c r="N990" i="3" a="1"/>
  <c r="N990" i="3" s="1"/>
  <c r="N972" i="3" a="1"/>
  <c r="N972" i="3" s="1"/>
  <c r="N967" i="3" a="1"/>
  <c r="N967" i="3" s="1"/>
  <c r="N953" i="3" a="1"/>
  <c r="N953" i="3" s="1"/>
  <c r="N1162" i="3" a="1"/>
  <c r="N1162" i="3" s="1"/>
  <c r="N1157" i="3" a="1"/>
  <c r="N1157" i="3" s="1"/>
  <c r="N1147" i="3" a="1"/>
  <c r="N1147" i="3" s="1"/>
  <c r="N1133" i="3" a="1"/>
  <c r="N1133" i="3" s="1"/>
  <c r="N1115" i="3" a="1"/>
  <c r="N1115" i="3" s="1"/>
  <c r="N1110" i="3" a="1"/>
  <c r="N1110" i="3" s="1"/>
  <c r="N1073" i="3" a="1"/>
  <c r="N1073" i="3" s="1"/>
  <c r="N1055" i="3" a="1"/>
  <c r="N1055" i="3" s="1"/>
  <c r="N1036" i="3" a="1"/>
  <c r="N1036" i="3" s="1"/>
  <c r="N1013" i="3" a="1"/>
  <c r="N1013" i="3" s="1"/>
  <c r="N999" i="3" a="1"/>
  <c r="N999" i="3" s="1"/>
  <c r="N994" i="3" a="1"/>
  <c r="N994" i="3" s="1"/>
  <c r="N976" i="3" a="1"/>
  <c r="N976" i="3" s="1"/>
  <c r="N962" i="3" a="1"/>
  <c r="N962" i="3" s="1"/>
  <c r="N957" i="3" a="1"/>
  <c r="N957" i="3" s="1"/>
  <c r="N1167" i="3" a="1"/>
  <c r="N1167" i="3" s="1"/>
  <c r="N1152" i="3" a="1"/>
  <c r="N1152" i="3" s="1"/>
  <c r="N1137" i="3" a="1"/>
  <c r="N1137" i="3" s="1"/>
  <c r="N1119" i="3" a="1"/>
  <c r="N1119" i="3" s="1"/>
  <c r="N1114" i="3" a="1"/>
  <c r="N1114" i="3" s="1"/>
  <c r="N1082" i="3" a="1"/>
  <c r="N1082" i="3" s="1"/>
  <c r="N1077" i="3" a="1"/>
  <c r="N1077" i="3" s="1"/>
  <c r="N1059" i="3" a="1"/>
  <c r="N1059" i="3" s="1"/>
  <c r="N1045" i="3" a="1"/>
  <c r="N1045" i="3" s="1"/>
  <c r="N1040" i="3" a="1"/>
  <c r="N1040" i="3" s="1"/>
  <c r="N1022" i="3" a="1"/>
  <c r="N1022" i="3" s="1"/>
  <c r="N1017" i="3" a="1"/>
  <c r="N1017" i="3" s="1"/>
  <c r="N1003" i="3" a="1"/>
  <c r="N1003" i="3" s="1"/>
  <c r="N985" i="3" a="1"/>
  <c r="N985" i="3" s="1"/>
  <c r="N980" i="3" a="1"/>
  <c r="N980" i="3" s="1"/>
  <c r="N966" i="3" a="1"/>
  <c r="N966" i="3" s="1"/>
  <c r="N876" i="3" a="1"/>
  <c r="N876" i="3" s="1"/>
  <c r="N865" i="3" a="1"/>
  <c r="N865" i="3" s="1"/>
  <c r="N908" i="3" a="1"/>
  <c r="N908" i="3" s="1"/>
  <c r="N1156" i="3" a="1"/>
  <c r="N1156" i="3" s="1"/>
  <c r="N1132" i="3" a="1"/>
  <c r="N1132" i="3" s="1"/>
  <c r="N1127" i="3" a="1"/>
  <c r="N1127" i="3" s="1"/>
  <c r="N1109" i="3" a="1"/>
  <c r="N1109" i="3" s="1"/>
  <c r="N1095" i="3" a="1"/>
  <c r="N1095" i="3" s="1"/>
  <c r="N1090" i="3" a="1"/>
  <c r="N1090" i="3" s="1"/>
  <c r="N1072" i="3" a="1"/>
  <c r="N1072" i="3" s="1"/>
  <c r="N1067" i="3" a="1"/>
  <c r="N1067" i="3" s="1"/>
  <c r="N1053" i="3" a="1"/>
  <c r="N1053" i="3" s="1"/>
  <c r="N1035" i="3" a="1"/>
  <c r="N1035" i="3" s="1"/>
  <c r="N1030" i="3" a="1"/>
  <c r="N1030" i="3" s="1"/>
  <c r="N1016" i="3" a="1"/>
  <c r="N1016" i="3" s="1"/>
  <c r="N993" i="3" a="1"/>
  <c r="N993" i="3" s="1"/>
  <c r="N979" i="3" a="1"/>
  <c r="N979" i="3" s="1"/>
  <c r="N974" i="3" a="1"/>
  <c r="N974" i="3" s="1"/>
  <c r="N956" i="3" a="1"/>
  <c r="N956" i="3" s="1"/>
  <c r="N919" i="3" a="1"/>
  <c r="N919" i="3" s="1"/>
  <c r="N890" i="3" a="1"/>
  <c r="N890" i="3" s="1"/>
  <c r="N879" i="3" a="1"/>
  <c r="N879" i="3" s="1"/>
  <c r="N1136" i="3" a="1"/>
  <c r="N1136" i="3" s="1"/>
  <c r="N1113" i="3" a="1"/>
  <c r="N1113" i="3" s="1"/>
  <c r="N1099" i="3" a="1"/>
  <c r="N1099" i="3" s="1"/>
  <c r="N1094" i="3" a="1"/>
  <c r="N1094" i="3" s="1"/>
  <c r="N1076" i="3" a="1"/>
  <c r="N1076" i="3" s="1"/>
  <c r="N1062" i="3" a="1"/>
  <c r="N1062" i="3" s="1"/>
  <c r="N1057" i="3" a="1"/>
  <c r="N1057" i="3" s="1"/>
  <c r="N1039" i="3" a="1"/>
  <c r="N1039" i="3" s="1"/>
  <c r="N1034" i="3" a="1"/>
  <c r="N1034" i="3" s="1"/>
  <c r="N1025" i="3" a="1"/>
  <c r="N1025" i="3" s="1"/>
  <c r="N1020" i="3" a="1"/>
  <c r="N1020" i="3" s="1"/>
  <c r="N1002" i="3" a="1"/>
  <c r="N1002" i="3" s="1"/>
  <c r="N997" i="3" a="1"/>
  <c r="N997" i="3" s="1"/>
  <c r="N983" i="3" a="1"/>
  <c r="N983" i="3" s="1"/>
  <c r="N965" i="3" a="1"/>
  <c r="N965" i="3" s="1"/>
  <c r="N960" i="3" a="1"/>
  <c r="N960" i="3" s="1"/>
  <c r="N923" i="3" a="1"/>
  <c r="N923" i="3" s="1"/>
  <c r="N1063" i="3" a="1"/>
  <c r="N1063" i="3" s="1"/>
  <c r="N1044" i="3" a="1"/>
  <c r="N1044" i="3" s="1"/>
  <c r="N1026" i="3" a="1"/>
  <c r="N1026" i="3" s="1"/>
  <c r="N1007" i="3" a="1"/>
  <c r="N1007" i="3" s="1"/>
  <c r="N989" i="3" a="1"/>
  <c r="N989" i="3" s="1"/>
  <c r="N970" i="3" a="1"/>
  <c r="N970" i="3" s="1"/>
  <c r="N952" i="3" a="1"/>
  <c r="N952" i="3" s="1"/>
  <c r="N1165" i="3" a="1"/>
  <c r="N1165" i="3" s="1"/>
  <c r="N1154" i="3" a="1"/>
  <c r="N1154" i="3" s="1"/>
  <c r="N1145" i="3" a="1"/>
  <c r="N1145" i="3" s="1"/>
  <c r="N1117" i="3" a="1"/>
  <c r="N1117" i="3" s="1"/>
  <c r="N1080" i="3" a="1"/>
  <c r="N1080" i="3" s="1"/>
  <c r="N1043" i="3" a="1"/>
  <c r="N1043" i="3" s="1"/>
  <c r="N1024" i="3" a="1"/>
  <c r="N1024" i="3" s="1"/>
  <c r="N1006" i="3" a="1"/>
  <c r="N1006" i="3" s="1"/>
  <c r="N987" i="3" a="1"/>
  <c r="N987" i="3" s="1"/>
  <c r="N969" i="3" a="1"/>
  <c r="N969" i="3" s="1"/>
  <c r="N1135" i="3" a="1"/>
  <c r="N1135" i="3" s="1"/>
  <c r="N1116" i="3" a="1"/>
  <c r="N1116" i="3" s="1"/>
  <c r="N1079" i="3" a="1"/>
  <c r="N1079" i="3" s="1"/>
  <c r="N1014" i="3" a="1"/>
  <c r="N1014" i="3" s="1"/>
  <c r="N977" i="3" a="1"/>
  <c r="N977" i="3" s="1"/>
  <c r="N959" i="3" a="1"/>
  <c r="N959" i="3" s="1"/>
  <c r="N1153" i="3" a="1"/>
  <c r="N1153" i="3" s="1"/>
  <c r="N1134" i="3" a="1"/>
  <c r="N1134" i="3" s="1"/>
  <c r="N1125" i="3" a="1"/>
  <c r="N1125" i="3" s="1"/>
  <c r="N1097" i="3" a="1"/>
  <c r="N1097" i="3" s="1"/>
  <c r="N1060" i="3" a="1"/>
  <c r="N1060" i="3" s="1"/>
  <c r="N1023" i="3" a="1"/>
  <c r="N1023" i="3" s="1"/>
  <c r="N1005" i="3" a="1"/>
  <c r="N1005" i="3" s="1"/>
  <c r="N986" i="3" a="1"/>
  <c r="N986" i="3" s="1"/>
  <c r="N866" i="3" a="1"/>
  <c r="N866" i="3" s="1"/>
  <c r="N1169" i="3" a="1"/>
  <c r="N1169" i="3" s="1"/>
  <c r="N1130" i="3" a="1"/>
  <c r="N1130" i="3" s="1"/>
  <c r="N1093" i="3" a="1"/>
  <c r="N1093" i="3" s="1"/>
  <c r="N1074" i="3" a="1"/>
  <c r="N1074" i="3" s="1"/>
  <c r="N1056" i="3" a="1"/>
  <c r="N1056" i="3" s="1"/>
  <c r="N1037" i="3" a="1"/>
  <c r="N1037" i="3" s="1"/>
  <c r="N1019" i="3" a="1"/>
  <c r="N1019" i="3" s="1"/>
  <c r="N982" i="3" a="1"/>
  <c r="N982" i="3" s="1"/>
  <c r="N917" i="3" a="1"/>
  <c r="N917" i="3" s="1"/>
  <c r="N885" i="3" a="1"/>
  <c r="N885" i="3" s="1"/>
  <c r="N870" i="3" a="1"/>
  <c r="N870" i="3" s="1"/>
  <c r="N1139" i="3" a="1"/>
  <c r="N1139" i="3" s="1"/>
  <c r="N1120" i="3" a="1"/>
  <c r="N1120" i="3" s="1"/>
  <c r="N1102" i="3" a="1"/>
  <c r="N1102" i="3" s="1"/>
  <c r="N1083" i="3" a="1"/>
  <c r="N1083" i="3" s="1"/>
  <c r="N1065" i="3" a="1"/>
  <c r="N1065" i="3" s="1"/>
  <c r="N963" i="3" a="1"/>
  <c r="N963" i="3" s="1"/>
  <c r="N926" i="3" a="1"/>
  <c r="N926" i="3" s="1"/>
  <c r="N900" i="3" a="1"/>
  <c r="N900" i="3" s="1"/>
  <c r="N892" i="3" a="1"/>
  <c r="N892" i="3" s="1"/>
  <c r="N1012" i="3" a="1"/>
  <c r="N1012" i="3" s="1"/>
  <c r="N1084" i="3" a="1"/>
  <c r="N1084" i="3" s="1"/>
  <c r="N1105" i="3" a="1"/>
  <c r="N1105" i="3" s="1"/>
  <c r="N1188" i="3" a="1"/>
  <c r="N1188" i="3" s="1"/>
  <c r="N1227" i="3" a="1"/>
  <c r="N1227" i="3" s="1"/>
  <c r="N1202" i="3" a="1"/>
  <c r="N1202" i="3" s="1"/>
  <c r="N1230" i="3" a="1"/>
  <c r="N1230" i="3" s="1"/>
  <c r="N1214" i="3" a="1"/>
  <c r="N1214" i="3" s="1"/>
  <c r="N1199" i="3" a="1"/>
  <c r="N1199" i="3" s="1"/>
  <c r="N1224" i="3" a="1"/>
  <c r="N1224" i="3" s="1"/>
  <c r="N1219" i="3" a="1"/>
  <c r="N1219" i="3" s="1"/>
  <c r="N1262" i="3" a="1"/>
  <c r="N1262" i="3" s="1"/>
  <c r="N1242" i="3" a="1"/>
  <c r="N1242" i="3" s="1"/>
  <c r="N1196" i="3" a="1"/>
  <c r="N1196" i="3" s="1"/>
  <c r="N1232" i="3" a="1"/>
  <c r="N1232" i="3" s="1"/>
  <c r="N1191" i="3" a="1"/>
  <c r="N1191" i="3" s="1"/>
  <c r="N1203" i="3" a="1"/>
  <c r="N1203" i="3" s="1"/>
  <c r="N1194" i="3" a="1"/>
  <c r="N1194" i="3" s="1"/>
  <c r="N1209" i="3" a="1"/>
  <c r="N1209" i="3" s="1"/>
  <c r="N1241" i="3" a="1"/>
  <c r="N1241" i="3" s="1"/>
  <c r="N1186" i="3" a="1"/>
  <c r="N1186" i="3" s="1"/>
  <c r="N1501" i="3" a="1"/>
  <c r="N1501" i="3" s="1"/>
  <c r="N1510" i="3" a="1"/>
  <c r="N1510" i="3" s="1"/>
  <c r="N1518" i="3" a="1"/>
  <c r="N1518" i="3" s="1"/>
  <c r="N1536" i="3" a="1"/>
  <c r="N1536" i="3" s="1"/>
  <c r="N1659" i="3" a="1"/>
  <c r="N1659" i="3" s="1"/>
  <c r="N1733" i="3" a="1"/>
  <c r="N1733" i="3" s="1"/>
  <c r="N1775" i="3" a="1"/>
  <c r="N1775" i="3" s="1"/>
  <c r="N1765" i="3" a="1"/>
  <c r="N1765" i="3" s="1"/>
  <c r="N1779" i="3" a="1"/>
  <c r="N1779" i="3" s="1"/>
  <c r="N1764" i="3" a="1"/>
  <c r="N1764" i="3" s="1"/>
  <c r="N1757" i="3" a="1"/>
  <c r="N1757" i="3" s="1"/>
  <c r="N1747" i="3" a="1"/>
  <c r="N1747" i="3" s="1"/>
  <c r="N1737" i="3" a="1"/>
  <c r="N1737" i="3" s="1"/>
  <c r="N1778" i="3" a="1"/>
  <c r="N1778" i="3" s="1"/>
  <c r="N1767" i="3" a="1"/>
  <c r="N1767" i="3" s="1"/>
  <c r="N1753" i="3" a="1"/>
  <c r="N1753" i="3" s="1"/>
  <c r="N1743" i="3" a="1"/>
  <c r="N1743" i="3" s="1"/>
  <c r="N1774" i="3" a="1"/>
  <c r="N1774" i="3" s="1"/>
  <c r="N1756" i="3" a="1"/>
  <c r="N1756" i="3" s="1"/>
  <c r="N1752" i="3" a="1"/>
  <c r="N1752" i="3" s="1"/>
  <c r="N1748" i="3" a="1"/>
  <c r="N1748" i="3" s="1"/>
  <c r="N1744" i="3" a="1"/>
  <c r="N1744" i="3" s="1"/>
  <c r="N1725" i="3" a="1"/>
  <c r="N1725" i="3" s="1"/>
  <c r="N1715" i="3" a="1"/>
  <c r="N1715" i="3" s="1"/>
  <c r="N1705" i="3" a="1"/>
  <c r="N1705" i="3" s="1"/>
  <c r="N1695" i="3" a="1"/>
  <c r="N1695" i="3" s="1"/>
  <c r="N1685" i="3" a="1"/>
  <c r="N1685" i="3" s="1"/>
  <c r="N1675" i="3" a="1"/>
  <c r="N1675" i="3" s="1"/>
  <c r="N1665" i="3" a="1"/>
  <c r="N1665" i="3" s="1"/>
  <c r="N1655" i="3" a="1"/>
  <c r="N1655" i="3" s="1"/>
  <c r="N1645" i="3" a="1"/>
  <c r="N1645" i="3" s="1"/>
  <c r="N1635" i="3" a="1"/>
  <c r="N1635" i="3" s="1"/>
  <c r="N1625" i="3" a="1"/>
  <c r="N1625" i="3" s="1"/>
  <c r="N1615" i="3" a="1"/>
  <c r="N1615" i="3" s="1"/>
  <c r="N1605" i="3" a="1"/>
  <c r="N1605" i="3" s="1"/>
  <c r="N1595" i="3" a="1"/>
  <c r="N1595" i="3" s="1"/>
  <c r="N1585" i="3" a="1"/>
  <c r="N1585" i="3" s="1"/>
  <c r="N1575" i="3" a="1"/>
  <c r="N1575" i="3" s="1"/>
  <c r="N1565" i="3" a="1"/>
  <c r="N1565" i="3" s="1"/>
  <c r="N1760" i="3" a="1"/>
  <c r="N1760" i="3" s="1"/>
  <c r="N1739" i="3" a="1"/>
  <c r="N1739" i="3" s="1"/>
  <c r="N1735" i="3" a="1"/>
  <c r="N1735" i="3" s="1"/>
  <c r="N1728" i="3" a="1"/>
  <c r="N1728" i="3" s="1"/>
  <c r="N1718" i="3" a="1"/>
  <c r="N1718" i="3" s="1"/>
  <c r="N1708" i="3" a="1"/>
  <c r="N1708" i="3" s="1"/>
  <c r="N1698" i="3" a="1"/>
  <c r="N1698" i="3" s="1"/>
  <c r="N1688" i="3" a="1"/>
  <c r="N1688" i="3" s="1"/>
  <c r="N1678" i="3" a="1"/>
  <c r="N1678" i="3" s="1"/>
  <c r="N1668" i="3" a="1"/>
  <c r="N1668" i="3" s="1"/>
  <c r="N1658" i="3" a="1"/>
  <c r="N1658" i="3" s="1"/>
  <c r="N1648" i="3" a="1"/>
  <c r="N1648" i="3" s="1"/>
  <c r="N1638" i="3" a="1"/>
  <c r="N1638" i="3" s="1"/>
  <c r="N1776" i="3" a="1"/>
  <c r="N1776" i="3" s="1"/>
  <c r="N1769" i="3" a="1"/>
  <c r="N1769" i="3" s="1"/>
  <c r="N1763" i="3" a="1"/>
  <c r="N1763" i="3" s="1"/>
  <c r="N1758" i="3" a="1"/>
  <c r="N1758" i="3" s="1"/>
  <c r="N1742" i="3" a="1"/>
  <c r="N1742" i="3" s="1"/>
  <c r="N1711" i="3" a="1"/>
  <c r="N1711" i="3" s="1"/>
  <c r="N1707" i="3" a="1"/>
  <c r="N1707" i="3" s="1"/>
  <c r="N1703" i="3" a="1"/>
  <c r="N1703" i="3" s="1"/>
  <c r="N1699" i="3" a="1"/>
  <c r="N1699" i="3" s="1"/>
  <c r="N1661" i="3" a="1"/>
  <c r="N1661" i="3" s="1"/>
  <c r="N1657" i="3" a="1"/>
  <c r="N1657" i="3" s="1"/>
  <c r="N1653" i="3" a="1"/>
  <c r="N1653" i="3" s="1"/>
  <c r="N1649" i="3" a="1"/>
  <c r="N1649" i="3" s="1"/>
  <c r="N1621" i="3" a="1"/>
  <c r="N1621" i="3" s="1"/>
  <c r="N1610" i="3" a="1"/>
  <c r="N1610" i="3" s="1"/>
  <c r="N1599" i="3" a="1"/>
  <c r="N1599" i="3" s="1"/>
  <c r="N1584" i="3" a="1"/>
  <c r="N1584" i="3" s="1"/>
  <c r="N1573" i="3" a="1"/>
  <c r="N1573" i="3" s="1"/>
  <c r="N1562" i="3" a="1"/>
  <c r="N1562" i="3" s="1"/>
  <c r="N1552" i="3" a="1"/>
  <c r="N1552" i="3" s="1"/>
  <c r="N1542" i="3" a="1"/>
  <c r="N1542" i="3" s="1"/>
  <c r="N1532" i="3" a="1"/>
  <c r="N1532" i="3" s="1"/>
  <c r="N1522" i="3" a="1"/>
  <c r="N1522" i="3" s="1"/>
  <c r="N1512" i="3" a="1"/>
  <c r="N1512" i="3" s="1"/>
  <c r="N1502" i="3" a="1"/>
  <c r="N1502" i="3" s="1"/>
  <c r="N1732" i="3" a="1"/>
  <c r="N1732" i="3" s="1"/>
  <c r="N1694" i="3" a="1"/>
  <c r="N1694" i="3" s="1"/>
  <c r="N1690" i="3" a="1"/>
  <c r="N1690" i="3" s="1"/>
  <c r="N1686" i="3" a="1"/>
  <c r="N1686" i="3" s="1"/>
  <c r="N1682" i="3" a="1"/>
  <c r="N1682" i="3" s="1"/>
  <c r="N1644" i="3" a="1"/>
  <c r="N1644" i="3" s="1"/>
  <c r="N1640" i="3" a="1"/>
  <c r="N1640" i="3" s="1"/>
  <c r="N1636" i="3" a="1"/>
  <c r="N1636" i="3" s="1"/>
  <c r="N1632" i="3" a="1"/>
  <c r="N1632" i="3" s="1"/>
  <c r="N1628" i="3" a="1"/>
  <c r="N1628" i="3" s="1"/>
  <c r="N1617" i="3" a="1"/>
  <c r="N1617" i="3" s="1"/>
  <c r="N1606" i="3" a="1"/>
  <c r="N1606" i="3" s="1"/>
  <c r="N1591" i="3" a="1"/>
  <c r="N1591" i="3" s="1"/>
  <c r="N1580" i="3" a="1"/>
  <c r="N1580" i="3" s="1"/>
  <c r="N1569" i="3" a="1"/>
  <c r="N1569" i="3" s="1"/>
  <c r="N1555" i="3" a="1"/>
  <c r="N1555" i="3" s="1"/>
  <c r="N1545" i="3" a="1"/>
  <c r="N1545" i="3" s="1"/>
  <c r="N1535" i="3" a="1"/>
  <c r="N1535" i="3" s="1"/>
  <c r="N1525" i="3" a="1"/>
  <c r="N1525" i="3" s="1"/>
  <c r="N1515" i="3" a="1"/>
  <c r="N1515" i="3" s="1"/>
  <c r="N1505" i="3" a="1"/>
  <c r="N1505" i="3" s="1"/>
  <c r="N1495" i="3" a="1"/>
  <c r="N1495" i="3" s="1"/>
  <c r="N1701" i="3" a="1"/>
  <c r="N1701" i="3" s="1"/>
  <c r="N1697" i="3" a="1"/>
  <c r="N1697" i="3" s="1"/>
  <c r="N1693" i="3" a="1"/>
  <c r="N1693" i="3" s="1"/>
  <c r="N1689" i="3" a="1"/>
  <c r="N1689" i="3" s="1"/>
  <c r="N1651" i="3" a="1"/>
  <c r="N1651" i="3" s="1"/>
  <c r="N1647" i="3" a="1"/>
  <c r="N1647" i="3" s="1"/>
  <c r="N1777" i="3" a="1"/>
  <c r="N1777" i="3" s="1"/>
  <c r="N1768" i="3" a="1"/>
  <c r="N1768" i="3" s="1"/>
  <c r="N1745" i="3" a="1"/>
  <c r="N1745" i="3" s="1"/>
  <c r="N1738" i="3" a="1"/>
  <c r="N1738" i="3" s="1"/>
  <c r="N1719" i="3" a="1"/>
  <c r="N1719" i="3" s="1"/>
  <c r="N1713" i="3" a="1"/>
  <c r="N1713" i="3" s="1"/>
  <c r="N1677" i="3" a="1"/>
  <c r="N1677" i="3" s="1"/>
  <c r="N1671" i="3" a="1"/>
  <c r="N1671" i="3" s="1"/>
  <c r="N1666" i="3" a="1"/>
  <c r="N1666" i="3" s="1"/>
  <c r="N1637" i="3" a="1"/>
  <c r="N1637" i="3" s="1"/>
  <c r="N1627" i="3" a="1"/>
  <c r="N1627" i="3" s="1"/>
  <c r="N1618" i="3" a="1"/>
  <c r="N1618" i="3" s="1"/>
  <c r="N1613" i="3" a="1"/>
  <c r="N1613" i="3" s="1"/>
  <c r="N1604" i="3" a="1"/>
  <c r="N1604" i="3" s="1"/>
  <c r="N1590" i="3" a="1"/>
  <c r="N1590" i="3" s="1"/>
  <c r="N1581" i="3" a="1"/>
  <c r="N1581" i="3" s="1"/>
  <c r="N1576" i="3" a="1"/>
  <c r="N1576" i="3" s="1"/>
  <c r="N1567" i="3" a="1"/>
  <c r="N1567" i="3" s="1"/>
  <c r="N1558" i="3" a="1"/>
  <c r="N1558" i="3" s="1"/>
  <c r="N1554" i="3" a="1"/>
  <c r="N1554" i="3" s="1"/>
  <c r="N1550" i="3" a="1"/>
  <c r="N1550" i="3" s="1"/>
  <c r="N1546" i="3" a="1"/>
  <c r="N1546" i="3" s="1"/>
  <c r="N1508" i="3" a="1"/>
  <c r="N1508" i="3" s="1"/>
  <c r="N1504" i="3" a="1"/>
  <c r="N1504" i="3" s="1"/>
  <c r="N1500" i="3" a="1"/>
  <c r="N1500" i="3" s="1"/>
  <c r="N1496" i="3" a="1"/>
  <c r="N1496" i="3" s="1"/>
  <c r="N1766" i="3" a="1"/>
  <c r="N1766" i="3" s="1"/>
  <c r="N1750" i="3" a="1"/>
  <c r="N1750" i="3" s="1"/>
  <c r="N1723" i="3" a="1"/>
  <c r="N1723" i="3" s="1"/>
  <c r="N1717" i="3" a="1"/>
  <c r="N1717" i="3" s="1"/>
  <c r="N1712" i="3" a="1"/>
  <c r="N1712" i="3" s="1"/>
  <c r="N1681" i="3" a="1"/>
  <c r="N1681" i="3" s="1"/>
  <c r="N1670" i="3" a="1"/>
  <c r="N1670" i="3" s="1"/>
  <c r="N1652" i="3" a="1"/>
  <c r="N1652" i="3" s="1"/>
  <c r="N1646" i="3" a="1"/>
  <c r="N1646" i="3" s="1"/>
  <c r="N1626" i="3" a="1"/>
  <c r="N1626" i="3" s="1"/>
  <c r="N1612" i="3" a="1"/>
  <c r="N1612" i="3" s="1"/>
  <c r="N1603" i="3" a="1"/>
  <c r="N1603" i="3" s="1"/>
  <c r="N1589" i="3" a="1"/>
  <c r="N1589" i="3" s="1"/>
  <c r="N1566" i="3" a="1"/>
  <c r="N1566" i="3" s="1"/>
  <c r="N1561" i="3" a="1"/>
  <c r="N1561" i="3" s="1"/>
  <c r="N1557" i="3" a="1"/>
  <c r="N1557" i="3" s="1"/>
  <c r="N1553" i="3" a="1"/>
  <c r="N1553" i="3" s="1"/>
  <c r="N1549" i="3" a="1"/>
  <c r="N1549" i="3" s="1"/>
  <c r="N1511" i="3" a="1"/>
  <c r="N1511" i="3" s="1"/>
  <c r="N1507" i="3" a="1"/>
  <c r="N1507" i="3" s="1"/>
  <c r="N1503" i="3" a="1"/>
  <c r="N1503" i="3" s="1"/>
  <c r="N1499" i="3" a="1"/>
  <c r="N1499" i="3" s="1"/>
  <c r="N1749" i="3" a="1"/>
  <c r="N1749" i="3" s="1"/>
  <c r="N1734" i="3" a="1"/>
  <c r="N1734" i="3" s="1"/>
  <c r="N1722" i="3" a="1"/>
  <c r="N1722" i="3" s="1"/>
  <c r="N1710" i="3" a="1"/>
  <c r="N1710" i="3" s="1"/>
  <c r="N1704" i="3" a="1"/>
  <c r="N1704" i="3" s="1"/>
  <c r="N1680" i="3" a="1"/>
  <c r="N1680" i="3" s="1"/>
  <c r="N1634" i="3" a="1"/>
  <c r="N1634" i="3" s="1"/>
  <c r="N1620" i="3" a="1"/>
  <c r="N1620" i="3" s="1"/>
  <c r="N1611" i="3" a="1"/>
  <c r="N1611" i="3" s="1"/>
  <c r="N1597" i="3" a="1"/>
  <c r="N1597" i="3" s="1"/>
  <c r="N1588" i="3" a="1"/>
  <c r="N1588" i="3" s="1"/>
  <c r="N1583" i="3" a="1"/>
  <c r="N1583" i="3" s="1"/>
  <c r="N1574" i="3" a="1"/>
  <c r="N1574" i="3" s="1"/>
  <c r="N1531" i="3" a="1"/>
  <c r="N1531" i="3" s="1"/>
  <c r="N1527" i="3" a="1"/>
  <c r="N1527" i="3" s="1"/>
  <c r="N1523" i="3" a="1"/>
  <c r="N1523" i="3" s="1"/>
  <c r="N1519" i="3" a="1"/>
  <c r="N1519" i="3" s="1"/>
  <c r="N1771" i="3" a="1"/>
  <c r="N1771" i="3" s="1"/>
  <c r="N1759" i="3" a="1"/>
  <c r="N1759" i="3" s="1"/>
  <c r="N1729" i="3" a="1"/>
  <c r="N1729" i="3" s="1"/>
  <c r="N1669" i="3" a="1"/>
  <c r="N1669" i="3" s="1"/>
  <c r="N1623" i="3" a="1"/>
  <c r="N1623" i="3" s="1"/>
  <c r="N1616" i="3" a="1"/>
  <c r="N1616" i="3" s="1"/>
  <c r="N1577" i="3" a="1"/>
  <c r="N1577" i="3" s="1"/>
  <c r="N1570" i="3" a="1"/>
  <c r="N1570" i="3" s="1"/>
  <c r="N1551" i="3" a="1"/>
  <c r="N1551" i="3" s="1"/>
  <c r="N1516" i="3" a="1"/>
  <c r="N1516" i="3" s="1"/>
  <c r="N1434" i="3" a="1"/>
  <c r="N1434" i="3" s="1"/>
  <c r="N1727" i="3" a="1"/>
  <c r="N1727" i="3" s="1"/>
  <c r="N1720" i="3" a="1"/>
  <c r="N1720" i="3" s="1"/>
  <c r="N1660" i="3" a="1"/>
  <c r="N1660" i="3" s="1"/>
  <c r="N1643" i="3" a="1"/>
  <c r="N1643" i="3" s="1"/>
  <c r="N1629" i="3" a="1"/>
  <c r="N1629" i="3" s="1"/>
  <c r="N1609" i="3" a="1"/>
  <c r="N1609" i="3" s="1"/>
  <c r="N1602" i="3" a="1"/>
  <c r="N1602" i="3" s="1"/>
  <c r="N1596" i="3" a="1"/>
  <c r="N1596" i="3" s="1"/>
  <c r="N1563" i="3" a="1"/>
  <c r="N1563" i="3" s="1"/>
  <c r="N1539" i="3" a="1"/>
  <c r="N1539" i="3" s="1"/>
  <c r="N1533" i="3" a="1"/>
  <c r="N1533" i="3" s="1"/>
  <c r="N1521" i="3" a="1"/>
  <c r="N1521" i="3" s="1"/>
  <c r="N1497" i="3" a="1"/>
  <c r="N1497" i="3" s="1"/>
  <c r="N1773" i="3" a="1"/>
  <c r="N1773" i="3" s="1"/>
  <c r="N1762" i="3" a="1"/>
  <c r="N1762" i="3" s="1"/>
  <c r="N1751" i="3" a="1"/>
  <c r="N1751" i="3" s="1"/>
  <c r="N1740" i="3" a="1"/>
  <c r="N1740" i="3" s="1"/>
  <c r="N1730" i="3" a="1"/>
  <c r="N1730" i="3" s="1"/>
  <c r="N1721" i="3" a="1"/>
  <c r="N1721" i="3" s="1"/>
  <c r="N1654" i="3" a="1"/>
  <c r="N1654" i="3" s="1"/>
  <c r="N1571" i="3" a="1"/>
  <c r="N1571" i="3" s="1"/>
  <c r="N1564" i="3" a="1"/>
  <c r="N1564" i="3" s="1"/>
  <c r="N1559" i="3" a="1"/>
  <c r="N1559" i="3" s="1"/>
  <c r="N1529" i="3" a="1"/>
  <c r="N1529" i="3" s="1"/>
  <c r="N1517" i="3" a="1"/>
  <c r="N1517" i="3" s="1"/>
  <c r="N1493" i="3" a="1"/>
  <c r="N1493" i="3" s="1"/>
  <c r="N1494" i="3" a="1"/>
  <c r="N1494" i="3" s="1"/>
  <c r="N1528" i="3" a="1"/>
  <c r="N1528" i="3" s="1"/>
  <c r="N1544" i="3" a="1"/>
  <c r="N1544" i="3" s="1"/>
  <c r="N1572" i="3" a="1"/>
  <c r="N1572" i="3" s="1"/>
  <c r="N1600" i="3" a="1"/>
  <c r="N1600" i="3" s="1"/>
  <c r="N1608" i="3" a="1"/>
  <c r="N1608" i="3" s="1"/>
  <c r="N1619" i="3" a="1"/>
  <c r="N1619" i="3" s="1"/>
  <c r="N1662" i="3" a="1"/>
  <c r="N1662" i="3" s="1"/>
  <c r="N1673" i="3" a="1"/>
  <c r="N1673" i="3" s="1"/>
  <c r="N1684" i="3" a="1"/>
  <c r="N1684" i="3" s="1"/>
  <c r="N1709" i="3" a="1"/>
  <c r="N1709" i="3" s="1"/>
  <c r="N1520" i="3" a="1"/>
  <c r="N1520" i="3" s="1"/>
  <c r="N1537" i="3" a="1"/>
  <c r="N1537" i="3" s="1"/>
  <c r="N1592" i="3" a="1"/>
  <c r="N1592" i="3" s="1"/>
  <c r="N1639" i="3" a="1"/>
  <c r="N1639" i="3" s="1"/>
  <c r="N1663" i="3" a="1"/>
  <c r="N1663" i="3" s="1"/>
  <c r="N1674" i="3" a="1"/>
  <c r="N1674" i="3" s="1"/>
  <c r="N1687" i="3" a="1"/>
  <c r="N1687" i="3" s="1"/>
  <c r="N1724" i="3" a="1"/>
  <c r="N1724" i="3" s="1"/>
  <c r="N1513" i="3" a="1"/>
  <c r="N1513" i="3" s="1"/>
  <c r="N1530" i="3" a="1"/>
  <c r="N1530" i="3" s="1"/>
  <c r="N1547" i="3" a="1"/>
  <c r="N1547" i="3" s="1"/>
  <c r="N1582" i="3" a="1"/>
  <c r="N1582" i="3" s="1"/>
  <c r="N1630" i="3" a="1"/>
  <c r="N1630" i="3" s="1"/>
  <c r="N1650" i="3" a="1"/>
  <c r="N1650" i="3" s="1"/>
  <c r="N1664" i="3" a="1"/>
  <c r="N1664" i="3" s="1"/>
  <c r="N1700" i="3" a="1"/>
  <c r="N1700" i="3" s="1"/>
  <c r="N1736" i="3" a="1"/>
  <c r="N1736" i="3" s="1"/>
  <c r="N1754" i="3" a="1"/>
  <c r="N1754" i="3" s="1"/>
  <c r="N1631" i="3" a="1"/>
  <c r="N1631" i="3" s="1"/>
  <c r="N1641" i="3" a="1"/>
  <c r="N1641" i="3" s="1"/>
  <c r="N1676" i="3" a="1"/>
  <c r="N1676" i="3" s="1"/>
  <c r="N1714" i="3" a="1"/>
  <c r="N1714" i="3" s="1"/>
  <c r="N1770" i="3" a="1"/>
  <c r="N1770" i="3" s="1"/>
  <c r="N1506" i="3" a="1"/>
  <c r="N1506" i="3" s="1"/>
  <c r="N1540" i="3" a="1"/>
  <c r="N1540" i="3" s="1"/>
  <c r="N1548" i="3" a="1"/>
  <c r="N1548" i="3" s="1"/>
  <c r="N1556" i="3" a="1"/>
  <c r="N1556" i="3" s="1"/>
  <c r="N1622" i="3" a="1"/>
  <c r="N1622" i="3" s="1"/>
  <c r="N1642" i="3" a="1"/>
  <c r="N1642" i="3" s="1"/>
  <c r="N1679" i="3" a="1"/>
  <c r="N1679" i="3" s="1"/>
  <c r="N1702" i="3" a="1"/>
  <c r="N1702" i="3" s="1"/>
  <c r="N1726" i="3" a="1"/>
  <c r="N1726" i="3" s="1"/>
  <c r="N1741" i="3" a="1"/>
  <c r="N1741" i="3" s="1"/>
  <c r="N1772" i="3" a="1"/>
  <c r="N1772" i="3" s="1"/>
  <c r="N1498" i="3" a="1"/>
  <c r="N1498" i="3" s="1"/>
  <c r="N1514" i="3" a="1"/>
  <c r="N1514" i="3" s="1"/>
  <c r="N1524" i="3" a="1"/>
  <c r="N1524" i="3" s="1"/>
  <c r="N1541" i="3" a="1"/>
  <c r="N1541" i="3" s="1"/>
  <c r="N1586" i="3" a="1"/>
  <c r="N1586" i="3" s="1"/>
  <c r="N1594" i="3" a="1"/>
  <c r="N1594" i="3" s="1"/>
  <c r="N1614" i="3" a="1"/>
  <c r="N1614" i="3" s="1"/>
  <c r="N1633" i="3" a="1"/>
  <c r="N1633" i="3" s="1"/>
  <c r="N1691" i="3" a="1"/>
  <c r="N1691" i="3" s="1"/>
  <c r="N1716" i="3" a="1"/>
  <c r="N1716" i="3" s="1"/>
  <c r="N1755" i="3" a="1"/>
  <c r="N1755" i="3" s="1"/>
  <c r="N1624" i="3" a="1"/>
  <c r="N1624" i="3" s="1"/>
  <c r="N1656" i="3" a="1"/>
  <c r="N1656" i="3" s="1"/>
  <c r="N1667" i="3" a="1"/>
  <c r="N1667" i="3" s="1"/>
  <c r="N1692" i="3" a="1"/>
  <c r="N1692" i="3" s="1"/>
  <c r="N1706" i="3" a="1"/>
  <c r="N1706" i="3" s="1"/>
  <c r="N1534" i="3" a="1"/>
  <c r="N1534" i="3" s="1"/>
  <c r="N1578" i="3" a="1"/>
  <c r="N1578" i="3" s="1"/>
  <c r="N1731" i="3" a="1"/>
  <c r="N1731" i="3" s="1"/>
  <c r="N1761" i="3" a="1"/>
  <c r="N1761" i="3" s="1"/>
  <c r="N1279" i="3" a="1"/>
  <c r="N1279" i="3" s="1"/>
  <c r="N1293" i="3" a="1"/>
  <c r="N1293" i="3" s="1"/>
  <c r="N1301" i="3" a="1"/>
  <c r="N1301" i="3" s="1"/>
  <c r="N1314" i="3" a="1"/>
  <c r="N1314" i="3" s="1"/>
  <c r="N1328" i="3" a="1"/>
  <c r="N1328" i="3" s="1"/>
  <c r="N1342" i="3" a="1"/>
  <c r="N1342" i="3" s="1"/>
  <c r="N1356" i="3" a="1"/>
  <c r="N1356" i="3" s="1"/>
  <c r="N1363" i="3" a="1"/>
  <c r="N1363" i="3" s="1"/>
  <c r="L2228" i="3"/>
  <c r="L2218" i="3"/>
  <c r="L2208" i="3"/>
  <c r="L2188" i="3"/>
  <c r="L2226" i="3"/>
  <c r="L2215" i="3"/>
  <c r="L2211" i="3"/>
  <c r="L2200" i="3"/>
  <c r="L2189" i="3"/>
  <c r="L2174" i="3"/>
  <c r="L2167" i="3"/>
  <c r="L2147" i="3"/>
  <c r="L2127" i="3"/>
  <c r="L2117" i="3"/>
  <c r="L2107" i="3"/>
  <c r="L2097" i="3"/>
  <c r="L2087" i="3"/>
  <c r="L2077" i="3"/>
  <c r="L2067" i="3"/>
  <c r="L2047" i="3"/>
  <c r="L2027" i="3"/>
  <c r="L2017" i="3"/>
  <c r="L2007" i="3"/>
  <c r="L1997" i="3"/>
  <c r="L1987" i="3"/>
  <c r="L1977" i="3"/>
  <c r="L1967" i="3"/>
  <c r="L1947" i="3"/>
  <c r="L1927" i="3"/>
  <c r="L1917" i="3"/>
  <c r="L1907" i="3"/>
  <c r="L2222" i="3"/>
  <c r="L2207" i="3"/>
  <c r="L2196" i="3"/>
  <c r="L2185" i="3"/>
  <c r="L2170" i="3"/>
  <c r="L2150" i="3"/>
  <c r="L2140" i="3"/>
  <c r="L2225" i="3"/>
  <c r="L2221" i="3"/>
  <c r="L2210" i="3"/>
  <c r="L2199" i="3"/>
  <c r="L2184" i="3"/>
  <c r="L2166" i="3"/>
  <c r="L2146" i="3"/>
  <c r="L2136" i="3"/>
  <c r="L2126" i="3"/>
  <c r="L2116" i="3"/>
  <c r="L2229" i="3"/>
  <c r="L2219" i="3"/>
  <c r="L2213" i="3"/>
  <c r="L2182" i="3"/>
  <c r="L2171" i="3"/>
  <c r="L2142" i="3"/>
  <c r="L2129" i="3"/>
  <c r="L2125" i="3"/>
  <c r="L2121" i="3"/>
  <c r="L2105" i="3"/>
  <c r="L2094" i="3"/>
  <c r="L2079" i="3"/>
  <c r="L2053" i="3"/>
  <c r="L2042" i="3"/>
  <c r="L2031" i="3"/>
  <c r="L2016" i="3"/>
  <c r="L2005" i="3"/>
  <c r="L1994" i="3"/>
  <c r="L1990" i="3"/>
  <c r="L1968" i="3"/>
  <c r="L1942" i="3"/>
  <c r="L1931" i="3"/>
  <c r="L1916" i="3"/>
  <c r="L1905" i="3"/>
  <c r="L1895" i="3"/>
  <c r="L1885" i="3"/>
  <c r="L1875" i="3"/>
  <c r="L1855" i="3"/>
  <c r="L1845" i="3"/>
  <c r="L1835" i="3"/>
  <c r="L1825" i="3"/>
  <c r="L1815" i="3"/>
  <c r="L1805" i="3"/>
  <c r="L1795" i="3"/>
  <c r="L1785" i="3"/>
  <c r="L2202" i="3"/>
  <c r="L2191" i="3"/>
  <c r="L2133" i="3"/>
  <c r="L2112" i="3"/>
  <c r="L2101" i="3"/>
  <c r="L2086" i="3"/>
  <c r="L2075" i="3"/>
  <c r="L2064" i="3"/>
  <c r="L2060" i="3"/>
  <c r="L2038" i="3"/>
  <c r="L2012" i="3"/>
  <c r="L2223" i="3"/>
  <c r="L2217" i="3"/>
  <c r="L2186" i="3"/>
  <c r="L2180" i="3"/>
  <c r="L2165" i="3"/>
  <c r="L2151" i="3"/>
  <c r="L2108" i="3"/>
  <c r="L2082" i="3"/>
  <c r="L2071" i="3"/>
  <c r="L2056" i="3"/>
  <c r="L2045" i="3"/>
  <c r="L2034" i="3"/>
  <c r="L2030" i="3"/>
  <c r="L2019" i="3"/>
  <c r="L2216" i="3"/>
  <c r="L2205" i="3"/>
  <c r="L2220" i="3"/>
  <c r="L2183" i="3"/>
  <c r="L2158" i="3"/>
  <c r="L2153" i="3"/>
  <c r="L2144" i="3"/>
  <c r="L2122" i="3"/>
  <c r="L2114" i="3"/>
  <c r="L2095" i="3"/>
  <c r="L2084" i="3"/>
  <c r="L2080" i="3"/>
  <c r="L2069" i="3"/>
  <c r="L2058" i="3"/>
  <c r="L2043" i="3"/>
  <c r="L2179" i="3"/>
  <c r="L2162" i="3"/>
  <c r="L2104" i="3"/>
  <c r="L2092" i="3"/>
  <c r="L2055" i="3"/>
  <c r="L2032" i="3"/>
  <c r="L2026" i="3"/>
  <c r="L2001" i="3"/>
  <c r="L2206" i="3"/>
  <c r="L2187" i="3"/>
  <c r="L2145" i="3"/>
  <c r="L2138" i="3"/>
  <c r="L2131" i="3"/>
  <c r="L2110" i="3"/>
  <c r="L2098" i="3"/>
  <c r="L2085" i="3"/>
  <c r="L2073" i="3"/>
  <c r="L2048" i="3"/>
  <c r="L2015" i="3"/>
  <c r="L2010" i="3"/>
  <c r="L2000" i="3"/>
  <c r="L1996" i="3"/>
  <c r="L2204" i="3"/>
  <c r="L2194" i="3"/>
  <c r="L2168" i="3"/>
  <c r="L2152" i="3"/>
  <c r="L2109" i="3"/>
  <c r="L2096" i="3"/>
  <c r="L2072" i="3"/>
  <c r="L2059" i="3"/>
  <c r="L2025" i="3"/>
  <c r="L2020" i="3"/>
  <c r="L2004" i="3"/>
  <c r="L1950" i="3"/>
  <c r="L1946" i="3"/>
  <c r="L1913" i="3"/>
  <c r="L1909" i="3"/>
  <c r="L1901" i="3"/>
  <c r="L1890" i="3"/>
  <c r="L1879" i="3"/>
  <c r="L1864" i="3"/>
  <c r="L1853" i="3"/>
  <c r="L1838" i="3"/>
  <c r="L1827" i="3"/>
  <c r="L1816" i="3"/>
  <c r="L2224" i="3"/>
  <c r="L2172" i="3"/>
  <c r="L2164" i="3"/>
  <c r="L2155" i="3"/>
  <c r="L2148" i="3"/>
  <c r="L2132" i="3"/>
  <c r="L2050" i="3"/>
  <c r="L2028" i="3"/>
  <c r="L2022" i="3"/>
  <c r="L2002" i="3"/>
  <c r="L1993" i="3"/>
  <c r="L1989" i="3"/>
  <c r="L2139" i="3"/>
  <c r="L2074" i="3"/>
  <c r="L2052" i="3"/>
  <c r="L1988" i="3"/>
  <c r="L1974" i="3"/>
  <c r="L1965" i="3"/>
  <c r="L1960" i="3"/>
  <c r="L1924" i="3"/>
  <c r="L1919" i="3"/>
  <c r="L1910" i="3"/>
  <c r="L1893" i="3"/>
  <c r="L1889" i="3"/>
  <c r="L1860" i="3"/>
  <c r="L1856" i="3"/>
  <c r="L1852" i="3"/>
  <c r="L1823" i="3"/>
  <c r="L1819" i="3"/>
  <c r="L1803" i="3"/>
  <c r="L1792" i="3"/>
  <c r="L2230" i="3"/>
  <c r="L2175" i="3"/>
  <c r="L2163" i="3"/>
  <c r="L2149" i="3"/>
  <c r="L2102" i="3"/>
  <c r="L2062" i="3"/>
  <c r="L2040" i="3"/>
  <c r="L2024" i="3"/>
  <c r="L2006" i="3"/>
  <c r="L1982" i="3"/>
  <c r="L1973" i="3"/>
  <c r="L1964" i="3"/>
  <c r="L1955" i="3"/>
  <c r="L1941" i="3"/>
  <c r="L1932" i="3"/>
  <c r="L1914" i="3"/>
  <c r="L1884" i="3"/>
  <c r="L2135" i="3"/>
  <c r="L2123" i="3"/>
  <c r="L2113" i="3"/>
  <c r="L2091" i="3"/>
  <c r="L2070" i="3"/>
  <c r="L2051" i="3"/>
  <c r="L1998" i="3"/>
  <c r="L1959" i="3"/>
  <c r="L1945" i="3"/>
  <c r="L1936" i="3"/>
  <c r="L1918" i="3"/>
  <c r="L1904" i="3"/>
  <c r="L1900" i="3"/>
  <c r="L1896" i="3"/>
  <c r="L1892" i="3"/>
  <c r="L1871" i="3"/>
  <c r="L1863" i="3"/>
  <c r="L1859" i="3"/>
  <c r="L1834" i="3"/>
  <c r="L1830" i="3"/>
  <c r="L1826" i="3"/>
  <c r="L1822" i="3"/>
  <c r="L1802" i="3"/>
  <c r="L1798" i="3"/>
  <c r="L1787" i="3"/>
  <c r="L2203" i="3"/>
  <c r="L2100" i="3"/>
  <c r="L2089" i="3"/>
  <c r="L2013" i="3"/>
  <c r="L1991" i="3"/>
  <c r="L1963" i="3"/>
  <c r="L1954" i="3"/>
  <c r="L1949" i="3"/>
  <c r="L1922" i="3"/>
  <c r="L1908" i="3"/>
  <c r="L1794" i="3"/>
  <c r="L1783" i="3"/>
  <c r="L2201" i="3"/>
  <c r="L2134" i="3"/>
  <c r="L2078" i="3"/>
  <c r="L2039" i="3"/>
  <c r="L2029" i="3"/>
  <c r="L1981" i="3"/>
  <c r="L1972" i="3"/>
  <c r="L1958" i="3"/>
  <c r="L1926" i="3"/>
  <c r="L1912" i="3"/>
  <c r="L1891" i="3"/>
  <c r="L1887" i="3"/>
  <c r="L1883" i="3"/>
  <c r="L1858" i="3"/>
  <c r="L1850" i="3"/>
  <c r="L1846" i="3"/>
  <c r="L1821" i="3"/>
  <c r="L1817" i="3"/>
  <c r="L1813" i="3"/>
  <c r="L1809" i="3"/>
  <c r="L1801" i="3"/>
  <c r="L1790" i="3"/>
  <c r="L2143" i="3"/>
  <c r="L2011" i="3"/>
  <c r="L1995" i="3"/>
  <c r="L1985" i="3"/>
  <c r="L1976" i="3"/>
  <c r="L1962" i="3"/>
  <c r="L1944" i="3"/>
  <c r="L1935" i="3"/>
  <c r="L1930" i="3"/>
  <c r="L1921" i="3"/>
  <c r="L1899" i="3"/>
  <c r="L1878" i="3"/>
  <c r="L1874" i="3"/>
  <c r="L1870" i="3"/>
  <c r="L1866" i="3"/>
  <c r="L1862" i="3"/>
  <c r="L1841" i="3"/>
  <c r="L1837" i="3"/>
  <c r="L1833" i="3"/>
  <c r="L1808" i="3"/>
  <c r="L1797" i="3"/>
  <c r="L1786" i="3"/>
  <c r="L2130" i="3"/>
  <c r="L2119" i="3"/>
  <c r="L2088" i="3"/>
  <c r="L2066" i="3"/>
  <c r="L2046" i="3"/>
  <c r="L2036" i="3"/>
  <c r="L2128" i="3"/>
  <c r="L2065" i="3"/>
  <c r="L2018" i="3"/>
  <c r="L2009" i="3"/>
  <c r="L2214" i="3"/>
  <c r="L2054" i="3"/>
  <c r="L2035" i="3"/>
  <c r="L1984" i="3"/>
  <c r="L1956" i="3"/>
  <c r="L1938" i="3"/>
  <c r="L1933" i="3"/>
  <c r="L1915" i="3"/>
  <c r="L1906" i="3"/>
  <c r="L1902" i="3"/>
  <c r="L1881" i="3"/>
  <c r="L1877" i="3"/>
  <c r="L1969" i="3"/>
  <c r="L1894" i="3"/>
  <c r="L1872" i="3"/>
  <c r="L1847" i="3"/>
  <c r="L1839" i="3"/>
  <c r="L1814" i="3"/>
  <c r="L1806" i="3"/>
  <c r="L1791" i="3"/>
  <c r="L2212" i="3"/>
  <c r="L2083" i="3"/>
  <c r="L1952" i="3"/>
  <c r="L1880" i="3"/>
  <c r="L1812" i="3"/>
  <c r="L1804" i="3"/>
  <c r="L1782" i="3"/>
  <c r="L2193" i="3"/>
  <c r="L1980" i="3"/>
  <c r="L1951" i="3"/>
  <c r="L1920" i="3"/>
  <c r="L1828" i="3"/>
  <c r="L1820" i="3"/>
  <c r="L1789" i="3"/>
  <c r="L2177" i="3"/>
  <c r="L1948" i="3"/>
  <c r="L1934" i="3"/>
  <c r="L1869" i="3"/>
  <c r="L1844" i="3"/>
  <c r="L1836" i="3"/>
  <c r="L1796" i="3"/>
  <c r="L1781" i="3"/>
  <c r="L1978" i="3"/>
  <c r="L1868" i="3"/>
  <c r="L1970" i="3"/>
  <c r="L1939" i="3"/>
  <c r="L1831" i="3"/>
  <c r="L1799" i="3"/>
  <c r="L1784" i="3"/>
  <c r="L1843" i="3"/>
  <c r="L1810" i="3"/>
  <c r="L1929" i="3"/>
  <c r="L1928" i="3"/>
  <c r="L1898" i="3"/>
  <c r="L1857" i="3"/>
  <c r="L1824" i="3"/>
  <c r="L1925" i="3"/>
  <c r="L1873" i="3"/>
  <c r="L1807" i="3"/>
  <c r="L2041" i="3"/>
  <c r="L1886" i="3"/>
  <c r="L2033" i="3"/>
  <c r="L1975" i="3"/>
  <c r="L1849" i="3"/>
  <c r="L1911" i="3"/>
  <c r="L1832" i="3"/>
  <c r="L1882" i="3"/>
  <c r="L1818" i="3"/>
  <c r="L1943" i="3"/>
  <c r="L1851" i="3"/>
  <c r="N1255" i="3" a="1"/>
  <c r="N1255" i="3" s="1"/>
  <c r="N1245" i="3" a="1"/>
  <c r="N1245" i="3" s="1"/>
  <c r="N1235" i="3" a="1"/>
  <c r="N1235" i="3" s="1"/>
  <c r="N1195" i="3" a="1"/>
  <c r="N1195" i="3" s="1"/>
  <c r="N1185" i="3" a="1"/>
  <c r="N1185" i="3" s="1"/>
  <c r="N1175" i="3" a="1"/>
  <c r="N1175" i="3" s="1"/>
  <c r="N1385" i="3" a="1"/>
  <c r="N1385" i="3" s="1"/>
  <c r="N1380" i="3" a="1"/>
  <c r="N1380" i="3" s="1"/>
  <c r="N1375" i="3" a="1"/>
  <c r="N1375" i="3" s="1"/>
  <c r="N1370" i="3" a="1"/>
  <c r="N1370" i="3" s="1"/>
  <c r="N1365" i="3" a="1"/>
  <c r="N1365" i="3" s="1"/>
  <c r="N1360" i="3" a="1"/>
  <c r="N1360" i="3" s="1"/>
  <c r="N1355" i="3" a="1"/>
  <c r="N1355" i="3" s="1"/>
  <c r="N1350" i="3" a="1"/>
  <c r="N1350" i="3" s="1"/>
  <c r="N1345" i="3" a="1"/>
  <c r="N1345" i="3" s="1"/>
  <c r="N1340" i="3" a="1"/>
  <c r="N1340" i="3" s="1"/>
  <c r="N1335" i="3" a="1"/>
  <c r="N1335" i="3" s="1"/>
  <c r="N1330" i="3" a="1"/>
  <c r="N1330" i="3" s="1"/>
  <c r="N1325" i="3" a="1"/>
  <c r="N1325" i="3" s="1"/>
  <c r="N1320" i="3" a="1"/>
  <c r="N1320" i="3" s="1"/>
  <c r="N1315" i="3" a="1"/>
  <c r="N1315" i="3" s="1"/>
  <c r="N1310" i="3" a="1"/>
  <c r="N1310" i="3" s="1"/>
  <c r="N1305" i="3" a="1"/>
  <c r="N1305" i="3" s="1"/>
  <c r="N1300" i="3" a="1"/>
  <c r="N1300" i="3" s="1"/>
  <c r="N1295" i="3" a="1"/>
  <c r="N1295" i="3" s="1"/>
  <c r="N1290" i="3" a="1"/>
  <c r="N1290" i="3" s="1"/>
  <c r="N1285" i="3" a="1"/>
  <c r="N1285" i="3" s="1"/>
  <c r="N1280" i="3" a="1"/>
  <c r="N1280" i="3" s="1"/>
  <c r="N1275" i="3" a="1"/>
  <c r="N1275" i="3" s="1"/>
  <c r="N1270" i="3" a="1"/>
  <c r="N1270" i="3" s="1"/>
  <c r="N1263" i="3" a="1"/>
  <c r="N1263" i="3" s="1"/>
  <c r="N1174" i="3" a="1"/>
  <c r="N1174" i="3" s="1"/>
  <c r="N1189" i="3" a="1"/>
  <c r="N1189" i="3" s="1"/>
  <c r="N1211" i="3" a="1"/>
  <c r="N1211" i="3" s="1"/>
  <c r="N1218" i="3" a="1"/>
  <c r="N1218" i="3" s="1"/>
  <c r="N1229" i="3" a="1"/>
  <c r="N1229" i="3" s="1"/>
  <c r="N1271" i="3" a="1"/>
  <c r="N1271" i="3" s="1"/>
  <c r="N1284" i="3" a="1"/>
  <c r="N1284" i="3" s="1"/>
  <c r="N1298" i="3" a="1"/>
  <c r="N1298" i="3" s="1"/>
  <c r="N1312" i="3" a="1"/>
  <c r="N1312" i="3" s="1"/>
  <c r="N1319" i="3" a="1"/>
  <c r="N1319" i="3" s="1"/>
  <c r="N1333" i="3" a="1"/>
  <c r="N1333" i="3" s="1"/>
  <c r="N1347" i="3" a="1"/>
  <c r="N1347" i="3" s="1"/>
  <c r="N1361" i="3" a="1"/>
  <c r="N1361" i="3" s="1"/>
  <c r="N1374" i="3" a="1"/>
  <c r="N1374" i="3" s="1"/>
  <c r="N1382" i="3" a="1"/>
  <c r="N1382" i="3" s="1"/>
  <c r="N1178" i="3" a="1"/>
  <c r="N1178" i="3" s="1"/>
  <c r="N1182" i="3" a="1"/>
  <c r="N1182" i="3" s="1"/>
  <c r="N1193" i="3" a="1"/>
  <c r="N1193" i="3" s="1"/>
  <c r="N1222" i="3" a="1"/>
  <c r="N1222" i="3" s="1"/>
  <c r="N1240" i="3" a="1"/>
  <c r="N1240" i="3" s="1"/>
  <c r="N1247" i="3" a="1"/>
  <c r="N1247" i="3" s="1"/>
  <c r="N1278" i="3" a="1"/>
  <c r="N1278" i="3" s="1"/>
  <c r="N1292" i="3" a="1"/>
  <c r="N1292" i="3" s="1"/>
  <c r="N1306" i="3" a="1"/>
  <c r="N1306" i="3" s="1"/>
  <c r="N1313" i="3" a="1"/>
  <c r="N1313" i="3" s="1"/>
  <c r="N1327" i="3" a="1"/>
  <c r="N1327" i="3" s="1"/>
  <c r="N1341" i="3" a="1"/>
  <c r="N1341" i="3" s="1"/>
  <c r="N1354" i="3" a="1"/>
  <c r="N1354" i="3" s="1"/>
  <c r="N1368" i="3" a="1"/>
  <c r="N1368" i="3" s="1"/>
  <c r="N1376" i="3" a="1"/>
  <c r="N1376" i="3" s="1"/>
  <c r="L1848" i="3"/>
  <c r="N1816" i="3" a="1"/>
  <c r="N1816" i="3" s="1"/>
  <c r="N1867" i="3" a="1"/>
  <c r="N1867" i="3" s="1"/>
  <c r="N1839" i="3" a="1"/>
  <c r="N1839" i="3" s="1"/>
  <c r="N1894" i="3" a="1"/>
  <c r="N1894" i="3" s="1"/>
  <c r="N1792" i="3" a="1"/>
  <c r="N1792" i="3" s="1"/>
  <c r="N1856" i="3" a="1"/>
  <c r="N1856" i="3" s="1"/>
  <c r="N1824" i="3" a="1"/>
  <c r="N1824" i="3" s="1"/>
  <c r="N1857" i="3" a="1"/>
  <c r="N1857" i="3" s="1"/>
  <c r="N1826" i="3" a="1"/>
  <c r="N1826" i="3" s="1"/>
  <c r="N1814" i="3" a="1"/>
  <c r="N1814" i="3" s="1"/>
  <c r="N1847" i="3" a="1"/>
  <c r="N1847" i="3" s="1"/>
  <c r="N1795" i="3" a="1"/>
  <c r="N1795" i="3" s="1"/>
  <c r="N1851" i="3" a="1"/>
  <c r="N1851" i="3" s="1"/>
  <c r="N1876" i="3" a="1"/>
  <c r="N1876" i="3" s="1"/>
  <c r="N1902" i="3" a="1"/>
  <c r="N1902" i="3" s="1"/>
  <c r="N1932" i="3" a="1"/>
  <c r="N1932" i="3" s="1"/>
  <c r="N1994" i="3" a="1"/>
  <c r="N1994" i="3" s="1"/>
  <c r="N2164" i="3" a="1"/>
  <c r="N2164" i="3" s="1"/>
  <c r="N1803" i="3" a="1"/>
  <c r="N1803" i="3" s="1"/>
  <c r="N1781" i="3" a="1"/>
  <c r="N1781" i="3" s="1"/>
  <c r="N1796" i="3" a="1"/>
  <c r="N1796" i="3" s="1"/>
  <c r="N1811" i="3" a="1"/>
  <c r="N1811" i="3" s="1"/>
  <c r="N1844" i="3" a="1"/>
  <c r="N1844" i="3" s="1"/>
  <c r="N1869" i="3" a="1"/>
  <c r="N1869" i="3" s="1"/>
  <c r="N1890" i="3" a="1"/>
  <c r="N1890" i="3" s="1"/>
  <c r="N1905" i="3" a="1"/>
  <c r="N1905" i="3" s="1"/>
  <c r="N1934" i="3" a="1"/>
  <c r="N1934" i="3" s="1"/>
  <c r="N2072" i="3" a="1"/>
  <c r="N2072" i="3" s="1"/>
  <c r="N1789" i="3" a="1"/>
  <c r="N1789" i="3" s="1"/>
  <c r="N1820" i="3" a="1"/>
  <c r="N1820" i="3" s="1"/>
  <c r="N1853" i="3" a="1"/>
  <c r="N1853" i="3" s="1"/>
  <c r="N1906" i="3" a="1"/>
  <c r="N1906" i="3" s="1"/>
  <c r="N2231" i="3" a="1"/>
  <c r="N2231" i="3" s="1"/>
  <c r="N2221" i="3" a="1"/>
  <c r="N2221" i="3" s="1"/>
  <c r="N2211" i="3" a="1"/>
  <c r="N2211" i="3" s="1"/>
  <c r="N2201" i="3" a="1"/>
  <c r="N2201" i="3" s="1"/>
  <c r="N2191" i="3" a="1"/>
  <c r="N2191" i="3" s="1"/>
  <c r="N2181" i="3" a="1"/>
  <c r="N2181" i="3" s="1"/>
  <c r="N2171" i="3" a="1"/>
  <c r="N2171" i="3" s="1"/>
  <c r="N2222" i="3" a="1"/>
  <c r="N2222" i="3" s="1"/>
  <c r="N2207" i="3" a="1"/>
  <c r="N2207" i="3" s="1"/>
  <c r="N2196" i="3" a="1"/>
  <c r="N2196" i="3" s="1"/>
  <c r="N2185" i="3" a="1"/>
  <c r="N2185" i="3" s="1"/>
  <c r="N2170" i="3" a="1"/>
  <c r="N2170" i="3" s="1"/>
  <c r="N2160" i="3" a="1"/>
  <c r="N2160" i="3" s="1"/>
  <c r="N2150" i="3" a="1"/>
  <c r="N2150" i="3" s="1"/>
  <c r="N2140" i="3" a="1"/>
  <c r="N2140" i="3" s="1"/>
  <c r="N2130" i="3" a="1"/>
  <c r="N2130" i="3" s="1"/>
  <c r="N2120" i="3" a="1"/>
  <c r="N2120" i="3" s="1"/>
  <c r="N2110" i="3" a="1"/>
  <c r="N2110" i="3" s="1"/>
  <c r="N2100" i="3" a="1"/>
  <c r="N2100" i="3" s="1"/>
  <c r="N2090" i="3" a="1"/>
  <c r="N2090" i="3" s="1"/>
  <c r="N2080" i="3" a="1"/>
  <c r="N2080" i="3" s="1"/>
  <c r="N2070" i="3" a="1"/>
  <c r="N2070" i="3" s="1"/>
  <c r="N2060" i="3" a="1"/>
  <c r="N2060" i="3" s="1"/>
  <c r="N2050" i="3" a="1"/>
  <c r="N2050" i="3" s="1"/>
  <c r="N2040" i="3" a="1"/>
  <c r="N2040" i="3" s="1"/>
  <c r="N2030" i="3" a="1"/>
  <c r="N2030" i="3" s="1"/>
  <c r="N2020" i="3" a="1"/>
  <c r="N2020" i="3" s="1"/>
  <c r="N2010" i="3" a="1"/>
  <c r="N2010" i="3" s="1"/>
  <c r="N2000" i="3" a="1"/>
  <c r="N2000" i="3" s="1"/>
  <c r="N1990" i="3" a="1"/>
  <c r="N1990" i="3" s="1"/>
  <c r="N1980" i="3" a="1"/>
  <c r="N1980" i="3" s="1"/>
  <c r="N1970" i="3" a="1"/>
  <c r="N1970" i="3" s="1"/>
  <c r="N1960" i="3" a="1"/>
  <c r="N1960" i="3" s="1"/>
  <c r="N1950" i="3" a="1"/>
  <c r="N1950" i="3" s="1"/>
  <c r="N1940" i="3" a="1"/>
  <c r="N1940" i="3" s="1"/>
  <c r="N1930" i="3" a="1"/>
  <c r="N1930" i="3" s="1"/>
  <c r="N1920" i="3" a="1"/>
  <c r="N1920" i="3" s="1"/>
  <c r="N1910" i="3" a="1"/>
  <c r="N1910" i="3" s="1"/>
  <c r="N2229" i="3" a="1"/>
  <c r="N2229" i="3" s="1"/>
  <c r="N2218" i="3" a="1"/>
  <c r="N2218" i="3" s="1"/>
  <c r="N2214" i="3" a="1"/>
  <c r="N2214" i="3" s="1"/>
  <c r="N2203" i="3" a="1"/>
  <c r="N2203" i="3" s="1"/>
  <c r="N2192" i="3" a="1"/>
  <c r="N2192" i="3" s="1"/>
  <c r="N2177" i="3" a="1"/>
  <c r="N2177" i="3" s="1"/>
  <c r="N2163" i="3" a="1"/>
  <c r="N2163" i="3" s="1"/>
  <c r="N2153" i="3" a="1"/>
  <c r="N2153" i="3" s="1"/>
  <c r="N2143" i="3" a="1"/>
  <c r="N2143" i="3" s="1"/>
  <c r="N2217" i="3" a="1"/>
  <c r="N2217" i="3" s="1"/>
  <c r="N2206" i="3" a="1"/>
  <c r="N2206" i="3" s="1"/>
  <c r="N2195" i="3" a="1"/>
  <c r="N2195" i="3" s="1"/>
  <c r="N2180" i="3" a="1"/>
  <c r="N2180" i="3" s="1"/>
  <c r="N2169" i="3" a="1"/>
  <c r="N2169" i="3" s="1"/>
  <c r="N2159" i="3" a="1"/>
  <c r="N2159" i="3" s="1"/>
  <c r="N2149" i="3" a="1"/>
  <c r="N2149" i="3" s="1"/>
  <c r="N2139" i="3" a="1"/>
  <c r="N2139" i="3" s="1"/>
  <c r="N2129" i="3" a="1"/>
  <c r="N2129" i="3" s="1"/>
  <c r="N2119" i="3" a="1"/>
  <c r="N2119" i="3" s="1"/>
  <c r="N2208" i="3" a="1"/>
  <c r="N2208" i="3" s="1"/>
  <c r="N2202" i="3" a="1"/>
  <c r="N2202" i="3" s="1"/>
  <c r="N2197" i="3" a="1"/>
  <c r="N2197" i="3" s="1"/>
  <c r="N2161" i="3" a="1"/>
  <c r="N2161" i="3" s="1"/>
  <c r="N2156" i="3" a="1"/>
  <c r="N2156" i="3" s="1"/>
  <c r="N2147" i="3" a="1"/>
  <c r="N2147" i="3" s="1"/>
  <c r="N2133" i="3" a="1"/>
  <c r="N2133" i="3" s="1"/>
  <c r="N2112" i="3" a="1"/>
  <c r="N2112" i="3" s="1"/>
  <c r="N2101" i="3" a="1"/>
  <c r="N2101" i="3" s="1"/>
  <c r="N2086" i="3" a="1"/>
  <c r="N2086" i="3" s="1"/>
  <c r="N2075" i="3" a="1"/>
  <c r="N2075" i="3" s="1"/>
  <c r="N2064" i="3" a="1"/>
  <c r="N2064" i="3" s="1"/>
  <c r="N2049" i="3" a="1"/>
  <c r="N2049" i="3" s="1"/>
  <c r="N2038" i="3" a="1"/>
  <c r="N2038" i="3" s="1"/>
  <c r="N2027" i="3" a="1"/>
  <c r="N2027" i="3" s="1"/>
  <c r="N2023" i="3" a="1"/>
  <c r="N2023" i="3" s="1"/>
  <c r="N2012" i="3" a="1"/>
  <c r="N2012" i="3" s="1"/>
  <c r="N2001" i="3" a="1"/>
  <c r="N2001" i="3" s="1"/>
  <c r="N1986" i="3" a="1"/>
  <c r="N1986" i="3" s="1"/>
  <c r="N1975" i="3" a="1"/>
  <c r="N1975" i="3" s="1"/>
  <c r="N1964" i="3" a="1"/>
  <c r="N1964" i="3" s="1"/>
  <c r="N1949" i="3" a="1"/>
  <c r="N1949" i="3" s="1"/>
  <c r="N1938" i="3" a="1"/>
  <c r="N1938" i="3" s="1"/>
  <c r="N1927" i="3" a="1"/>
  <c r="N1927" i="3" s="1"/>
  <c r="N1923" i="3" a="1"/>
  <c r="N1923" i="3" s="1"/>
  <c r="N1912" i="3" a="1"/>
  <c r="N1912" i="3" s="1"/>
  <c r="N1878" i="3" a="1"/>
  <c r="N1878" i="3" s="1"/>
  <c r="N1868" i="3" a="1"/>
  <c r="N1868" i="3" s="1"/>
  <c r="N1858" i="3" a="1"/>
  <c r="N1858" i="3" s="1"/>
  <c r="N1838" i="3" a="1"/>
  <c r="N1838" i="3" s="1"/>
  <c r="N1828" i="3" a="1"/>
  <c r="N1828" i="3" s="1"/>
  <c r="N1818" i="3" a="1"/>
  <c r="N1818" i="3" s="1"/>
  <c r="N1808" i="3" a="1"/>
  <c r="N1808" i="3" s="1"/>
  <c r="N2228" i="3" a="1"/>
  <c r="N2228" i="3" s="1"/>
  <c r="N2223" i="3" a="1"/>
  <c r="N2223" i="3" s="1"/>
  <c r="N2186" i="3" a="1"/>
  <c r="N2186" i="3" s="1"/>
  <c r="N2165" i="3" a="1"/>
  <c r="N2165" i="3" s="1"/>
  <c r="N2151" i="3" a="1"/>
  <c r="N2151" i="3" s="1"/>
  <c r="N2146" i="3" a="1"/>
  <c r="N2146" i="3" s="1"/>
  <c r="N2137" i="3" a="1"/>
  <c r="N2137" i="3" s="1"/>
  <c r="N2116" i="3" a="1"/>
  <c r="N2116" i="3" s="1"/>
  <c r="N2108" i="3" a="1"/>
  <c r="N2108" i="3" s="1"/>
  <c r="N2097" i="3" a="1"/>
  <c r="N2097" i="3" s="1"/>
  <c r="N2093" i="3" a="1"/>
  <c r="N2093" i="3" s="1"/>
  <c r="N2082" i="3" a="1"/>
  <c r="N2082" i="3" s="1"/>
  <c r="N2071" i="3" a="1"/>
  <c r="N2071" i="3" s="1"/>
  <c r="N2056" i="3" a="1"/>
  <c r="N2056" i="3" s="1"/>
  <c r="N2045" i="3" a="1"/>
  <c r="N2045" i="3" s="1"/>
  <c r="N2034" i="3" a="1"/>
  <c r="N2034" i="3" s="1"/>
  <c r="N2019" i="3" a="1"/>
  <c r="N2019" i="3" s="1"/>
  <c r="N2008" i="3" a="1"/>
  <c r="N2008" i="3" s="1"/>
  <c r="N2212" i="3" a="1"/>
  <c r="N2212" i="3" s="1"/>
  <c r="N2175" i="3" a="1"/>
  <c r="N2175" i="3" s="1"/>
  <c r="N2155" i="3" a="1"/>
  <c r="N2155" i="3" s="1"/>
  <c r="N2141" i="3" a="1"/>
  <c r="N2141" i="3" s="1"/>
  <c r="N2132" i="3" a="1"/>
  <c r="N2132" i="3" s="1"/>
  <c r="N2128" i="3" a="1"/>
  <c r="N2128" i="3" s="1"/>
  <c r="N2124" i="3" a="1"/>
  <c r="N2124" i="3" s="1"/>
  <c r="N2104" i="3" a="1"/>
  <c r="N2104" i="3" s="1"/>
  <c r="N2089" i="3" a="1"/>
  <c r="N2089" i="3" s="1"/>
  <c r="N2078" i="3" a="1"/>
  <c r="N2078" i="3" s="1"/>
  <c r="N2067" i="3" a="1"/>
  <c r="N2067" i="3" s="1"/>
  <c r="N2063" i="3" a="1"/>
  <c r="N2063" i="3" s="1"/>
  <c r="N2052" i="3" a="1"/>
  <c r="N2052" i="3" s="1"/>
  <c r="N2041" i="3" a="1"/>
  <c r="N2041" i="3" s="1"/>
  <c r="N2026" i="3" a="1"/>
  <c r="N2026" i="3" s="1"/>
  <c r="N2015" i="3" a="1"/>
  <c r="N2015" i="3" s="1"/>
  <c r="N2004" i="3" a="1"/>
  <c r="N2004" i="3" s="1"/>
  <c r="N2210" i="3" a="1"/>
  <c r="N2210" i="3" s="1"/>
  <c r="N2205" i="3" a="1"/>
  <c r="N2205" i="3" s="1"/>
  <c r="N2200" i="3" a="1"/>
  <c r="N2200" i="3" s="1"/>
  <c r="N2226" i="3" a="1"/>
  <c r="N2226" i="3" s="1"/>
  <c r="N2220" i="3" a="1"/>
  <c r="N2220" i="3" s="1"/>
  <c r="N2225" i="3" a="1"/>
  <c r="N2225" i="3" s="1"/>
  <c r="N2215" i="3" a="1"/>
  <c r="N2215" i="3" s="1"/>
  <c r="N2209" i="3" a="1"/>
  <c r="N2209" i="3" s="1"/>
  <c r="N2204" i="3" a="1"/>
  <c r="N2204" i="3" s="1"/>
  <c r="N2188" i="3" a="1"/>
  <c r="N2188" i="3" s="1"/>
  <c r="N2178" i="3" a="1"/>
  <c r="N2178" i="3" s="1"/>
  <c r="N2172" i="3" a="1"/>
  <c r="N2172" i="3" s="1"/>
  <c r="N2162" i="3" a="1"/>
  <c r="N2162" i="3" s="1"/>
  <c r="N2148" i="3" a="1"/>
  <c r="N2148" i="3" s="1"/>
  <c r="N2126" i="3" a="1"/>
  <c r="N2126" i="3" s="1"/>
  <c r="N2102" i="3" a="1"/>
  <c r="N2102" i="3" s="1"/>
  <c r="N2091" i="3" a="1"/>
  <c r="N2091" i="3" s="1"/>
  <c r="N2076" i="3" a="1"/>
  <c r="N2076" i="3" s="1"/>
  <c r="N2065" i="3" a="1"/>
  <c r="N2065" i="3" s="1"/>
  <c r="N2054" i="3" a="1"/>
  <c r="N2054" i="3" s="1"/>
  <c r="N2187" i="3" a="1"/>
  <c r="N2187" i="3" s="1"/>
  <c r="N2154" i="3" a="1"/>
  <c r="N2154" i="3" s="1"/>
  <c r="N2145" i="3" a="1"/>
  <c r="N2145" i="3" s="1"/>
  <c r="N2138" i="3" a="1"/>
  <c r="N2138" i="3" s="1"/>
  <c r="N2131" i="3" a="1"/>
  <c r="N2131" i="3" s="1"/>
  <c r="N2098" i="3" a="1"/>
  <c r="N2098" i="3" s="1"/>
  <c r="N2085" i="3" a="1"/>
  <c r="N2085" i="3" s="1"/>
  <c r="N2073" i="3" a="1"/>
  <c r="N2073" i="3" s="1"/>
  <c r="N2061" i="3" a="1"/>
  <c r="N2061" i="3" s="1"/>
  <c r="N2048" i="3" a="1"/>
  <c r="N2048" i="3" s="1"/>
  <c r="N2021" i="3" a="1"/>
  <c r="N2021" i="3" s="1"/>
  <c r="N2016" i="3" a="1"/>
  <c r="N2016" i="3" s="1"/>
  <c r="N1996" i="3" a="1"/>
  <c r="N1996" i="3" s="1"/>
  <c r="N2123" i="3" a="1"/>
  <c r="N2123" i="3" s="1"/>
  <c r="N2117" i="3" a="1"/>
  <c r="N2117" i="3" s="1"/>
  <c r="N2103" i="3" a="1"/>
  <c r="N2103" i="3" s="1"/>
  <c r="N2079" i="3" a="1"/>
  <c r="N2079" i="3" s="1"/>
  <c r="N2066" i="3" a="1"/>
  <c r="N2066" i="3" s="1"/>
  <c r="N2042" i="3" a="1"/>
  <c r="N2042" i="3" s="1"/>
  <c r="N2036" i="3" a="1"/>
  <c r="N2036" i="3" s="1"/>
  <c r="N2005" i="3" a="1"/>
  <c r="N2005" i="3" s="1"/>
  <c r="N2230" i="3" a="1"/>
  <c r="N2230" i="3" s="1"/>
  <c r="N2184" i="3" a="1"/>
  <c r="N2184" i="3" s="1"/>
  <c r="N2176" i="3" a="1"/>
  <c r="N2176" i="3" s="1"/>
  <c r="N2144" i="3" a="1"/>
  <c r="N2144" i="3" s="1"/>
  <c r="N2122" i="3" a="1"/>
  <c r="N2122" i="3" s="1"/>
  <c r="N2084" i="3" a="1"/>
  <c r="N2084" i="3" s="1"/>
  <c r="N2053" i="3" a="1"/>
  <c r="N2053" i="3" s="1"/>
  <c r="N2047" i="3" a="1"/>
  <c r="N2047" i="3" s="1"/>
  <c r="N2014" i="3" a="1"/>
  <c r="N2014" i="3" s="1"/>
  <c r="N2009" i="3" a="1"/>
  <c r="N2009" i="3" s="1"/>
  <c r="N1999" i="3" a="1"/>
  <c r="N1999" i="3" s="1"/>
  <c r="N1995" i="3" a="1"/>
  <c r="N1995" i="3" s="1"/>
  <c r="N1991" i="3" a="1"/>
  <c r="N1991" i="3" s="1"/>
  <c r="N1987" i="3" a="1"/>
  <c r="N1987" i="3" s="1"/>
  <c r="N1966" i="3" a="1"/>
  <c r="N1966" i="3" s="1"/>
  <c r="N1962" i="3" a="1"/>
  <c r="N1962" i="3" s="1"/>
  <c r="N1958" i="3" a="1"/>
  <c r="N1958" i="3" s="1"/>
  <c r="N1954" i="3" a="1"/>
  <c r="N1954" i="3" s="1"/>
  <c r="N1933" i="3" a="1"/>
  <c r="N1933" i="3" s="1"/>
  <c r="N1929" i="3" a="1"/>
  <c r="N1929" i="3" s="1"/>
  <c r="N1925" i="3" a="1"/>
  <c r="N1925" i="3" s="1"/>
  <c r="N1921" i="3" a="1"/>
  <c r="N1921" i="3" s="1"/>
  <c r="N1917" i="3" a="1"/>
  <c r="N1917" i="3" s="1"/>
  <c r="N1886" i="3" a="1"/>
  <c r="N1886" i="3" s="1"/>
  <c r="N1875" i="3" a="1"/>
  <c r="N1875" i="3" s="1"/>
  <c r="N1871" i="3" a="1"/>
  <c r="N1871" i="3" s="1"/>
  <c r="N1860" i="3" a="1"/>
  <c r="N1860" i="3" s="1"/>
  <c r="N1849" i="3" a="1"/>
  <c r="N1849" i="3" s="1"/>
  <c r="N1834" i="3" a="1"/>
  <c r="N1834" i="3" s="1"/>
  <c r="N1823" i="3" a="1"/>
  <c r="N1823" i="3" s="1"/>
  <c r="N1812" i="3" a="1"/>
  <c r="N1812" i="3" s="1"/>
  <c r="N2198" i="3" a="1"/>
  <c r="N2198" i="3" s="1"/>
  <c r="N2111" i="3" a="1"/>
  <c r="N2111" i="3" s="1"/>
  <c r="N2099" i="3" a="1"/>
  <c r="N2099" i="3" s="1"/>
  <c r="N2087" i="3" a="1"/>
  <c r="N2087" i="3" s="1"/>
  <c r="N2074" i="3" a="1"/>
  <c r="N2074" i="3" s="1"/>
  <c r="N2062" i="3" a="1"/>
  <c r="N2062" i="3" s="1"/>
  <c r="N2017" i="3" a="1"/>
  <c r="N2017" i="3" s="1"/>
  <c r="N2011" i="3" a="1"/>
  <c r="N2011" i="3" s="1"/>
  <c r="N2006" i="3" a="1"/>
  <c r="N2006" i="3" s="1"/>
  <c r="N1997" i="3" a="1"/>
  <c r="N1997" i="3" s="1"/>
  <c r="N2213" i="3" a="1"/>
  <c r="N2213" i="3" s="1"/>
  <c r="N2193" i="3" a="1"/>
  <c r="N2193" i="3" s="1"/>
  <c r="N2179" i="3" a="1"/>
  <c r="N2179" i="3" s="1"/>
  <c r="N2127" i="3" a="1"/>
  <c r="N2127" i="3" s="1"/>
  <c r="N2105" i="3" a="1"/>
  <c r="N2105" i="3" s="1"/>
  <c r="N2083" i="3" a="1"/>
  <c r="N2083" i="3" s="1"/>
  <c r="N2043" i="3" a="1"/>
  <c r="N2043" i="3" s="1"/>
  <c r="N2033" i="3" a="1"/>
  <c r="N2033" i="3" s="1"/>
  <c r="N2007" i="3" a="1"/>
  <c r="N2007" i="3" s="1"/>
  <c r="N1983" i="3" a="1"/>
  <c r="N1983" i="3" s="1"/>
  <c r="N1978" i="3" a="1"/>
  <c r="N1978" i="3" s="1"/>
  <c r="N1969" i="3" a="1"/>
  <c r="N1969" i="3" s="1"/>
  <c r="N1951" i="3" a="1"/>
  <c r="N1951" i="3" s="1"/>
  <c r="N1942" i="3" a="1"/>
  <c r="N1942" i="3" s="1"/>
  <c r="N1937" i="3" a="1"/>
  <c r="N1937" i="3" s="1"/>
  <c r="N1928" i="3" a="1"/>
  <c r="N1928" i="3" s="1"/>
  <c r="N1901" i="3" a="1"/>
  <c r="N1901" i="3" s="1"/>
  <c r="N1864" i="3" a="1"/>
  <c r="N1864" i="3" s="1"/>
  <c r="N1831" i="3" a="1"/>
  <c r="N1831" i="3" s="1"/>
  <c r="N1827" i="3" a="1"/>
  <c r="N1827" i="3" s="1"/>
  <c r="N2190" i="3" a="1"/>
  <c r="N2190" i="3" s="1"/>
  <c r="N2135" i="3" a="1"/>
  <c r="N2135" i="3" s="1"/>
  <c r="N2125" i="3" a="1"/>
  <c r="N2125" i="3" s="1"/>
  <c r="N2113" i="3" a="1"/>
  <c r="N2113" i="3" s="1"/>
  <c r="N2092" i="3" a="1"/>
  <c r="N2092" i="3" s="1"/>
  <c r="N2051" i="3" a="1"/>
  <c r="N2051" i="3" s="1"/>
  <c r="N2032" i="3" a="1"/>
  <c r="N2032" i="3" s="1"/>
  <c r="N1998" i="3" a="1"/>
  <c r="N1998" i="3" s="1"/>
  <c r="N1959" i="3" a="1"/>
  <c r="N1959" i="3" s="1"/>
  <c r="N1945" i="3" a="1"/>
  <c r="N1945" i="3" s="1"/>
  <c r="N1936" i="3" a="1"/>
  <c r="N1936" i="3" s="1"/>
  <c r="N1918" i="3" a="1"/>
  <c r="N1918" i="3" s="1"/>
  <c r="N1909" i="3" a="1"/>
  <c r="N1909" i="3" s="1"/>
  <c r="N1904" i="3" a="1"/>
  <c r="N1904" i="3" s="1"/>
  <c r="N1900" i="3" a="1"/>
  <c r="N1900" i="3" s="1"/>
  <c r="N1896" i="3" a="1"/>
  <c r="N1896" i="3" s="1"/>
  <c r="N1892" i="3" a="1"/>
  <c r="N1892" i="3" s="1"/>
  <c r="N2227" i="3" a="1"/>
  <c r="N2227" i="3" s="1"/>
  <c r="N2174" i="3" a="1"/>
  <c r="N2174" i="3" s="1"/>
  <c r="N2081" i="3" a="1"/>
  <c r="N2081" i="3" s="1"/>
  <c r="N2059" i="3" a="1"/>
  <c r="N2059" i="3" s="1"/>
  <c r="N2031" i="3" a="1"/>
  <c r="N2031" i="3" s="1"/>
  <c r="N2022" i="3" a="1"/>
  <c r="N2022" i="3" s="1"/>
  <c r="N2013" i="3" a="1"/>
  <c r="N2013" i="3" s="1"/>
  <c r="N1977" i="3" a="1"/>
  <c r="N1977" i="3" s="1"/>
  <c r="N1968" i="3" a="1"/>
  <c r="N1968" i="3" s="1"/>
  <c r="N1963" i="3" a="1"/>
  <c r="N1963" i="3" s="1"/>
  <c r="N1922" i="3" a="1"/>
  <c r="N1922" i="3" s="1"/>
  <c r="N1913" i="3" a="1"/>
  <c r="N1913" i="3" s="1"/>
  <c r="N1908" i="3" a="1"/>
  <c r="N1908" i="3" s="1"/>
  <c r="N1794" i="3" a="1"/>
  <c r="N1794" i="3" s="1"/>
  <c r="N1783" i="3" a="1"/>
  <c r="N1783" i="3" s="1"/>
  <c r="N2189" i="3" a="1"/>
  <c r="N2189" i="3" s="1"/>
  <c r="N2173" i="3" a="1"/>
  <c r="N2173" i="3" s="1"/>
  <c r="N2134" i="3" a="1"/>
  <c r="N2134" i="3" s="1"/>
  <c r="N2039" i="3" a="1"/>
  <c r="N2039" i="3" s="1"/>
  <c r="N2029" i="3" a="1"/>
  <c r="N2029" i="3" s="1"/>
  <c r="N2003" i="3" a="1"/>
  <c r="N2003" i="3" s="1"/>
  <c r="N1981" i="3" a="1"/>
  <c r="N1981" i="3" s="1"/>
  <c r="N1972" i="3" a="1"/>
  <c r="N1972" i="3" s="1"/>
  <c r="N1931" i="3" a="1"/>
  <c r="N1931" i="3" s="1"/>
  <c r="N1926" i="3" a="1"/>
  <c r="N1926" i="3" s="1"/>
  <c r="N1891" i="3" a="1"/>
  <c r="N1891" i="3" s="1"/>
  <c r="N1887" i="3" a="1"/>
  <c r="N1887" i="3" s="1"/>
  <c r="N1883" i="3" a="1"/>
  <c r="N1883" i="3" s="1"/>
  <c r="N1879" i="3" a="1"/>
  <c r="N1879" i="3" s="1"/>
  <c r="N1854" i="3" a="1"/>
  <c r="N1854" i="3" s="1"/>
  <c r="N1850" i="3" a="1"/>
  <c r="N1850" i="3" s="1"/>
  <c r="N1846" i="3" a="1"/>
  <c r="N1846" i="3" s="1"/>
  <c r="N1821" i="3" a="1"/>
  <c r="N1821" i="3" s="1"/>
  <c r="N1817" i="3" a="1"/>
  <c r="N1817" i="3" s="1"/>
  <c r="N1813" i="3" a="1"/>
  <c r="N1813" i="3" s="1"/>
  <c r="N1809" i="3" a="1"/>
  <c r="N1809" i="3" s="1"/>
  <c r="N1805" i="3" a="1"/>
  <c r="N1805" i="3" s="1"/>
  <c r="N1801" i="3" a="1"/>
  <c r="N1801" i="3" s="1"/>
  <c r="N1790" i="3" a="1"/>
  <c r="N1790" i="3" s="1"/>
  <c r="N2224" i="3" a="1"/>
  <c r="N2224" i="3" s="1"/>
  <c r="N2158" i="3" a="1"/>
  <c r="N2158" i="3" s="1"/>
  <c r="N2121" i="3" a="1"/>
  <c r="N2121" i="3" s="1"/>
  <c r="N2109" i="3" a="1"/>
  <c r="N2109" i="3" s="1"/>
  <c r="N2069" i="3" a="1"/>
  <c r="N2069" i="3" s="1"/>
  <c r="N2058" i="3" a="1"/>
  <c r="N2058" i="3" s="1"/>
  <c r="N1985" i="3" a="1"/>
  <c r="N1985" i="3" s="1"/>
  <c r="N1976" i="3" a="1"/>
  <c r="N1976" i="3" s="1"/>
  <c r="N1967" i="3" a="1"/>
  <c r="N1967" i="3" s="1"/>
  <c r="N1953" i="3" a="1"/>
  <c r="N1953" i="3" s="1"/>
  <c r="N1944" i="3" a="1"/>
  <c r="N1944" i="3" s="1"/>
  <c r="N1935" i="3" a="1"/>
  <c r="N1935" i="3" s="1"/>
  <c r="N1903" i="3" a="1"/>
  <c r="N1903" i="3" s="1"/>
  <c r="N1899" i="3" a="1"/>
  <c r="N1899" i="3" s="1"/>
  <c r="N1895" i="3" a="1"/>
  <c r="N1895" i="3" s="1"/>
  <c r="N1874" i="3" a="1"/>
  <c r="N1874" i="3" s="1"/>
  <c r="N1870" i="3" a="1"/>
  <c r="N1870" i="3" s="1"/>
  <c r="N1866" i="3" a="1"/>
  <c r="N1866" i="3" s="1"/>
  <c r="N1862" i="3" a="1"/>
  <c r="N1862" i="3" s="1"/>
  <c r="N1841" i="3" a="1"/>
  <c r="N1841" i="3" s="1"/>
  <c r="N1837" i="3" a="1"/>
  <c r="N1837" i="3" s="1"/>
  <c r="N1833" i="3" a="1"/>
  <c r="N1833" i="3" s="1"/>
  <c r="N1825" i="3" a="1"/>
  <c r="N1825" i="3" s="1"/>
  <c r="N1797" i="3" a="1"/>
  <c r="N1797" i="3" s="1"/>
  <c r="N1786" i="3" a="1"/>
  <c r="N1786" i="3" s="1"/>
  <c r="N2088" i="3" a="1"/>
  <c r="N2088" i="3" s="1"/>
  <c r="N2077" i="3" a="1"/>
  <c r="N2077" i="3" s="1"/>
  <c r="N2068" i="3" a="1"/>
  <c r="N2068" i="3" s="1"/>
  <c r="N2046" i="3" a="1"/>
  <c r="N2046" i="3" s="1"/>
  <c r="N2037" i="3" a="1"/>
  <c r="N2037" i="3" s="1"/>
  <c r="N1971" i="3" a="1"/>
  <c r="N1971" i="3" s="1"/>
  <c r="N1948" i="3" a="1"/>
  <c r="N1948" i="3" s="1"/>
  <c r="N1939" i="3" a="1"/>
  <c r="N1939" i="3" s="1"/>
  <c r="N1916" i="3" a="1"/>
  <c r="N1916" i="3" s="1"/>
  <c r="N1907" i="3" a="1"/>
  <c r="N1907" i="3" s="1"/>
  <c r="N1882" i="3" a="1"/>
  <c r="N1882" i="3" s="1"/>
  <c r="N1845" i="3" a="1"/>
  <c r="N1845" i="3" s="1"/>
  <c r="N1804" i="3" a="1"/>
  <c r="N1804" i="3" s="1"/>
  <c r="N1793" i="3" a="1"/>
  <c r="N1793" i="3" s="1"/>
  <c r="N1782" i="3" a="1"/>
  <c r="N1782" i="3" s="1"/>
  <c r="N2219" i="3" a="1"/>
  <c r="N2219" i="3" s="1"/>
  <c r="N2199" i="3" a="1"/>
  <c r="N2199" i="3" s="1"/>
  <c r="N2183" i="3" a="1"/>
  <c r="N2183" i="3" s="1"/>
  <c r="N2168" i="3" a="1"/>
  <c r="N2168" i="3" s="1"/>
  <c r="N2157" i="3" a="1"/>
  <c r="N2157" i="3" s="1"/>
  <c r="N2142" i="3" a="1"/>
  <c r="N2142" i="3" s="1"/>
  <c r="N2107" i="3" a="1"/>
  <c r="N2107" i="3" s="1"/>
  <c r="N2096" i="3" a="1"/>
  <c r="N2096" i="3" s="1"/>
  <c r="N2057" i="3" a="1"/>
  <c r="N2057" i="3" s="1"/>
  <c r="N2028" i="3" a="1"/>
  <c r="N2028" i="3" s="1"/>
  <c r="N2018" i="3" a="1"/>
  <c r="N2018" i="3" s="1"/>
  <c r="N2216" i="3" a="1"/>
  <c r="N2216" i="3" s="1"/>
  <c r="N2167" i="3" a="1"/>
  <c r="N2167" i="3" s="1"/>
  <c r="N2118" i="3" a="1"/>
  <c r="N2118" i="3" s="1"/>
  <c r="N2055" i="3" a="1"/>
  <c r="N2055" i="3" s="1"/>
  <c r="N2035" i="3" a="1"/>
  <c r="N2035" i="3" s="1"/>
  <c r="N2194" i="3" a="1"/>
  <c r="N2194" i="3" s="1"/>
  <c r="N2182" i="3" a="1"/>
  <c r="N2182" i="3" s="1"/>
  <c r="N2166" i="3" a="1"/>
  <c r="N2166" i="3" s="1"/>
  <c r="N2152" i="3" a="1"/>
  <c r="N2152" i="3" s="1"/>
  <c r="N2115" i="3" a="1"/>
  <c r="N2115" i="3" s="1"/>
  <c r="N2106" i="3" a="1"/>
  <c r="N2106" i="3" s="1"/>
  <c r="N2095" i="3" a="1"/>
  <c r="N2095" i="3" s="1"/>
  <c r="N2044" i="3" a="1"/>
  <c r="N2044" i="3" s="1"/>
  <c r="N2025" i="3" a="1"/>
  <c r="N2025" i="3" s="1"/>
  <c r="N1993" i="3" a="1"/>
  <c r="N1993" i="3" s="1"/>
  <c r="N1988" i="3" a="1"/>
  <c r="N1988" i="3" s="1"/>
  <c r="N1979" i="3" a="1"/>
  <c r="N1979" i="3" s="1"/>
  <c r="N1974" i="3" a="1"/>
  <c r="N1974" i="3" s="1"/>
  <c r="N1965" i="3" a="1"/>
  <c r="N1965" i="3" s="1"/>
  <c r="N1947" i="3" a="1"/>
  <c r="N1947" i="3" s="1"/>
  <c r="N1924" i="3" a="1"/>
  <c r="N1924" i="3" s="1"/>
  <c r="N1919" i="3" a="1"/>
  <c r="N1919" i="3" s="1"/>
  <c r="N1893" i="3" a="1"/>
  <c r="N1893" i="3" s="1"/>
  <c r="N1889" i="3" a="1"/>
  <c r="N1889" i="3" s="1"/>
  <c r="N1885" i="3" a="1"/>
  <c r="N1885" i="3" s="1"/>
  <c r="N1822" i="3" a="1"/>
  <c r="N1822" i="3" s="1"/>
  <c r="N1830" i="3" a="1"/>
  <c r="N1830" i="3" s="1"/>
  <c r="N1855" i="3" a="1"/>
  <c r="N1855" i="3" s="1"/>
  <c r="N1863" i="3" a="1"/>
  <c r="N1863" i="3" s="1"/>
  <c r="N1880" i="3" a="1"/>
  <c r="N1880" i="3" s="1"/>
  <c r="N1952" i="3" a="1"/>
  <c r="N1952" i="3" s="1"/>
  <c r="N1984" i="3" a="1"/>
  <c r="N1984" i="3" s="1"/>
  <c r="N2002" i="3" a="1"/>
  <c r="N2002" i="3" s="1"/>
  <c r="N2094" i="3" a="1"/>
  <c r="N2094" i="3" s="1"/>
  <c r="N2336" i="3" a="1"/>
  <c r="N2336" i="3" s="1"/>
  <c r="N2368" i="3" a="1"/>
  <c r="N2368" i="3" s="1"/>
  <c r="N2376" i="3" a="1"/>
  <c r="N2376" i="3" s="1"/>
  <c r="N2401" i="3" a="1"/>
  <c r="N2401" i="3" s="1"/>
  <c r="N2431" i="3" a="1"/>
  <c r="N2431" i="3" s="1"/>
  <c r="N2329" i="3" a="1"/>
  <c r="N2329" i="3" s="1"/>
  <c r="N2338" i="3" a="1"/>
  <c r="N2338" i="3" s="1"/>
  <c r="N2345" i="3" a="1"/>
  <c r="N2345" i="3" s="1"/>
  <c r="N2411" i="3" a="1"/>
  <c r="N2411" i="3" s="1"/>
  <c r="N2322" i="3" a="1"/>
  <c r="N2322" i="3" s="1"/>
  <c r="N2353" i="3" a="1"/>
  <c r="N2353" i="3" s="1"/>
  <c r="N2362" i="3" a="1"/>
  <c r="N2362" i="3" s="1"/>
  <c r="N2393" i="3" a="1"/>
  <c r="N2393" i="3" s="1"/>
  <c r="N2402" i="3" a="1"/>
  <c r="N2402" i="3" s="1"/>
  <c r="N2433" i="3" a="1"/>
  <c r="N2433" i="3" s="1"/>
  <c r="N2323" i="3" a="1"/>
  <c r="N2323" i="3" s="1"/>
  <c r="N2331" i="3" a="1"/>
  <c r="N2331" i="3" s="1"/>
  <c r="N2386" i="3" a="1"/>
  <c r="N2386" i="3" s="1"/>
  <c r="N2395" i="3" a="1"/>
  <c r="N2395" i="3" s="1"/>
  <c r="N2423" i="3" a="1"/>
  <c r="N2423" i="3" s="1"/>
  <c r="N2339" i="3" a="1"/>
  <c r="N2339" i="3" s="1"/>
  <c r="N2348" i="3" a="1"/>
  <c r="N2348" i="3" s="1"/>
  <c r="N2379" i="3" a="1"/>
  <c r="N2379" i="3" s="1"/>
  <c r="N2444" i="3" a="1"/>
  <c r="N2444" i="3" s="1"/>
  <c r="N2434" i="3" a="1"/>
  <c r="N2434" i="3" s="1"/>
  <c r="N2424" i="3" a="1"/>
  <c r="N2424" i="3" s="1"/>
  <c r="N2414" i="3" a="1"/>
  <c r="N2414" i="3" s="1"/>
  <c r="N2404" i="3" a="1"/>
  <c r="N2404" i="3" s="1"/>
  <c r="N2394" i="3" a="1"/>
  <c r="N2394" i="3" s="1"/>
  <c r="N2384" i="3" a="1"/>
  <c r="N2384" i="3" s="1"/>
  <c r="N2374" i="3" a="1"/>
  <c r="N2374" i="3" s="1"/>
  <c r="N2364" i="3" a="1"/>
  <c r="N2364" i="3" s="1"/>
  <c r="N2354" i="3" a="1"/>
  <c r="N2354" i="3" s="1"/>
  <c r="N2344" i="3" a="1"/>
  <c r="N2344" i="3" s="1"/>
  <c r="N2334" i="3" a="1"/>
  <c r="N2334" i="3" s="1"/>
  <c r="N2324" i="3" a="1"/>
  <c r="N2324" i="3" s="1"/>
  <c r="N2447" i="3" a="1"/>
  <c r="N2447" i="3" s="1"/>
  <c r="N2437" i="3" a="1"/>
  <c r="N2437" i="3" s="1"/>
  <c r="N2427" i="3" a="1"/>
  <c r="N2427" i="3" s="1"/>
  <c r="N2417" i="3" a="1"/>
  <c r="N2417" i="3" s="1"/>
  <c r="N2407" i="3" a="1"/>
  <c r="N2407" i="3" s="1"/>
  <c r="N2397" i="3" a="1"/>
  <c r="N2397" i="3" s="1"/>
  <c r="N2387" i="3" a="1"/>
  <c r="N2387" i="3" s="1"/>
  <c r="N2377" i="3" a="1"/>
  <c r="N2377" i="3" s="1"/>
  <c r="N2367" i="3" a="1"/>
  <c r="N2367" i="3" s="1"/>
  <c r="N2357" i="3" a="1"/>
  <c r="N2357" i="3" s="1"/>
  <c r="N2347" i="3" a="1"/>
  <c r="N2347" i="3" s="1"/>
  <c r="N2337" i="3" a="1"/>
  <c r="N2337" i="3" s="1"/>
  <c r="N2327" i="3" a="1"/>
  <c r="N2327" i="3" s="1"/>
  <c r="N2440" i="3" a="1"/>
  <c r="N2440" i="3" s="1"/>
  <c r="N2430" i="3" a="1"/>
  <c r="N2430" i="3" s="1"/>
  <c r="N2420" i="3" a="1"/>
  <c r="N2420" i="3" s="1"/>
  <c r="N2410" i="3" a="1"/>
  <c r="N2410" i="3" s="1"/>
  <c r="N2400" i="3" a="1"/>
  <c r="N2400" i="3" s="1"/>
  <c r="N2390" i="3" a="1"/>
  <c r="N2390" i="3" s="1"/>
  <c r="N2380" i="3" a="1"/>
  <c r="N2380" i="3" s="1"/>
  <c r="N2370" i="3" a="1"/>
  <c r="N2370" i="3" s="1"/>
  <c r="N2360" i="3" a="1"/>
  <c r="N2360" i="3" s="1"/>
  <c r="N2350" i="3" a="1"/>
  <c r="N2350" i="3" s="1"/>
  <c r="N2340" i="3" a="1"/>
  <c r="N2340" i="3" s="1"/>
  <c r="N2330" i="3" a="1"/>
  <c r="N2330" i="3" s="1"/>
  <c r="N2442" i="3" a="1"/>
  <c r="N2442" i="3" s="1"/>
  <c r="N2428" i="3" a="1"/>
  <c r="N2428" i="3" s="1"/>
  <c r="N2413" i="3" a="1"/>
  <c r="N2413" i="3" s="1"/>
  <c r="N2399" i="3" a="1"/>
  <c r="N2399" i="3" s="1"/>
  <c r="N2385" i="3" a="1"/>
  <c r="N2385" i="3" s="1"/>
  <c r="N2371" i="3" a="1"/>
  <c r="N2371" i="3" s="1"/>
  <c r="N2356" i="3" a="1"/>
  <c r="N2356" i="3" s="1"/>
  <c r="N2342" i="3" a="1"/>
  <c r="N2342" i="3" s="1"/>
  <c r="N2328" i="3" a="1"/>
  <c r="N2328" i="3" s="1"/>
  <c r="N2288" i="3" a="1"/>
  <c r="N2288" i="3" s="1"/>
  <c r="N2446" i="3" a="1"/>
  <c r="N2446" i="3" s="1"/>
  <c r="N2432" i="3" a="1"/>
  <c r="N2432" i="3" s="1"/>
  <c r="N2418" i="3" a="1"/>
  <c r="N2418" i="3" s="1"/>
  <c r="N2403" i="3" a="1"/>
  <c r="N2403" i="3" s="1"/>
  <c r="N2389" i="3" a="1"/>
  <c r="N2389" i="3" s="1"/>
  <c r="N2375" i="3" a="1"/>
  <c r="N2375" i="3" s="1"/>
  <c r="N2361" i="3" a="1"/>
  <c r="N2361" i="3" s="1"/>
  <c r="N2346" i="3" a="1"/>
  <c r="N2346" i="3" s="1"/>
  <c r="N2332" i="3" a="1"/>
  <c r="N2332" i="3" s="1"/>
  <c r="N2436" i="3" a="1"/>
  <c r="N2436" i="3" s="1"/>
  <c r="N2422" i="3" a="1"/>
  <c r="N2422" i="3" s="1"/>
  <c r="N2408" i="3" a="1"/>
  <c r="N2408" i="3" s="1"/>
  <c r="N2441" i="3" a="1"/>
  <c r="N2441" i="3" s="1"/>
  <c r="N2426" i="3" a="1"/>
  <c r="N2426" i="3" s="1"/>
  <c r="N2412" i="3" a="1"/>
  <c r="N2412" i="3" s="1"/>
  <c r="N2398" i="3" a="1"/>
  <c r="N2398" i="3" s="1"/>
  <c r="N2383" i="3" a="1"/>
  <c r="N2383" i="3" s="1"/>
  <c r="N2369" i="3" a="1"/>
  <c r="N2369" i="3" s="1"/>
  <c r="N2355" i="3" a="1"/>
  <c r="N2355" i="3" s="1"/>
  <c r="N2341" i="3" a="1"/>
  <c r="N2341" i="3" s="1"/>
  <c r="N2326" i="3" a="1"/>
  <c r="N2326" i="3" s="1"/>
  <c r="N2445" i="3" a="1"/>
  <c r="N2445" i="3" s="1"/>
  <c r="N2435" i="3" a="1"/>
  <c r="N2435" i="3" s="1"/>
  <c r="N2421" i="3" a="1"/>
  <c r="N2421" i="3" s="1"/>
  <c r="N2406" i="3" a="1"/>
  <c r="N2406" i="3" s="1"/>
  <c r="N2392" i="3" a="1"/>
  <c r="N2392" i="3" s="1"/>
  <c r="N2378" i="3" a="1"/>
  <c r="N2378" i="3" s="1"/>
  <c r="N2363" i="3" a="1"/>
  <c r="N2363" i="3" s="1"/>
  <c r="N2349" i="3" a="1"/>
  <c r="N2349" i="3" s="1"/>
  <c r="N2335" i="3" a="1"/>
  <c r="N2335" i="3" s="1"/>
  <c r="N2321" i="3" a="1"/>
  <c r="N2321" i="3" s="1"/>
  <c r="N2439" i="3" a="1"/>
  <c r="N2439" i="3" s="1"/>
  <c r="N2425" i="3" a="1"/>
  <c r="N2425" i="3" s="1"/>
  <c r="N2443" i="3" a="1"/>
  <c r="N2443" i="3" s="1"/>
  <c r="N2372" i="3" a="1"/>
  <c r="N2372" i="3" s="1"/>
  <c r="N2381" i="3" a="1"/>
  <c r="N2381" i="3" s="1"/>
  <c r="N2388" i="3" a="1"/>
  <c r="N2388" i="3" s="1"/>
  <c r="N2415" i="3" a="1"/>
  <c r="N2415" i="3" s="1"/>
  <c r="N2438" i="3" a="1"/>
  <c r="N2438" i="3" s="1"/>
  <c r="N2325" i="3" a="1"/>
  <c r="N2325" i="3" s="1"/>
  <c r="N2333" i="3" a="1"/>
  <c r="N2333" i="3" s="1"/>
  <c r="N2365" i="3" a="1"/>
  <c r="N2365" i="3" s="1"/>
  <c r="N2396" i="3" a="1"/>
  <c r="N2396" i="3" s="1"/>
  <c r="N2358" i="3" a="1"/>
  <c r="N2358" i="3" s="1"/>
  <c r="N2366" i="3" a="1"/>
  <c r="N2366" i="3" s="1"/>
  <c r="N2373" i="3" a="1"/>
  <c r="N2373" i="3" s="1"/>
  <c r="N2416" i="3" a="1"/>
  <c r="N2416" i="3" s="1"/>
  <c r="N2351" i="3" a="1"/>
  <c r="N2351" i="3" s="1"/>
  <c r="N2382" i="3" a="1"/>
  <c r="N2382" i="3" s="1"/>
  <c r="N2391" i="3" a="1"/>
  <c r="N2391" i="3" s="1"/>
  <c r="N2409" i="3" a="1"/>
  <c r="N2409" i="3" s="1"/>
  <c r="N2343" i="3" a="1"/>
  <c r="N2343" i="3" s="1"/>
  <c r="N2352" i="3" a="1"/>
  <c r="N2352" i="3" s="1"/>
  <c r="N2359" i="3" a="1"/>
  <c r="N2359" i="3" s="1"/>
  <c r="N2419" i="3" a="1"/>
  <c r="N2419" i="3" s="1"/>
  <c r="N2429" i="3" a="1"/>
  <c r="N2429" i="3" s="1"/>
  <c r="N323" i="2" a="1"/>
  <c r="N323" i="2" s="1"/>
  <c r="N381" i="2" a="1"/>
  <c r="N381" i="2" s="1"/>
  <c r="N567" i="2" a="1"/>
  <c r="N567" i="2" s="1"/>
  <c r="N811" i="2" a="1"/>
  <c r="N811" i="2" s="1"/>
  <c r="N1088" i="2" a="1"/>
  <c r="N1088" i="2" s="1"/>
  <c r="N2" i="2" a="1"/>
  <c r="N2" i="2" s="1"/>
  <c r="N976" i="2" a="1"/>
  <c r="N976" i="2" s="1"/>
  <c r="N1084" i="2" a="1"/>
  <c r="N1084" i="2" s="1"/>
  <c r="N993" i="2" a="1"/>
  <c r="N993" i="2" s="1"/>
  <c r="N1092" i="2" a="1"/>
  <c r="N1092" i="2" s="1"/>
  <c r="N1093" i="2" a="1"/>
  <c r="N1093" i="2" s="1"/>
  <c r="N224" i="2" a="1"/>
  <c r="N224" i="2" s="1"/>
  <c r="N267" i="2" a="1"/>
  <c r="N267" i="2" s="1"/>
  <c r="N298" i="2" a="1"/>
  <c r="N298" i="2" s="1"/>
  <c r="N361" i="2" a="1"/>
  <c r="N361" i="2" s="1"/>
  <c r="N826" i="2" a="1"/>
  <c r="N826" i="2" s="1"/>
  <c r="N1108" i="2" a="1"/>
  <c r="N1108" i="2" s="1"/>
  <c r="N646" i="2" a="1"/>
  <c r="N646" i="2" s="1"/>
  <c r="N823" i="2" a="1"/>
  <c r="N823" i="2" s="1"/>
  <c r="N1002" i="2" a="1"/>
  <c r="N1002" i="2" s="1"/>
  <c r="N179" i="2" a="1"/>
  <c r="N179" i="2" s="1"/>
  <c r="N675" i="2" a="1"/>
  <c r="N675" i="2" s="1"/>
  <c r="N1023" i="2" a="1"/>
  <c r="N1023" i="2" s="1"/>
  <c r="N183" i="2" a="1"/>
  <c r="N183" i="2" s="1"/>
  <c r="N228" i="2" a="1"/>
  <c r="N228" i="2" s="1"/>
  <c r="N272" i="2" a="1"/>
  <c r="N272" i="2" s="1"/>
  <c r="N317" i="2" a="1"/>
  <c r="N317" i="2" s="1"/>
  <c r="N844" i="2" a="1"/>
  <c r="N844" i="2" s="1"/>
  <c r="N684" i="2" a="1"/>
  <c r="N684" i="2" s="1"/>
  <c r="N827" i="2" a="1"/>
  <c r="N827" i="2" s="1"/>
  <c r="N1029" i="2" a="1"/>
  <c r="N1029" i="2" s="1"/>
  <c r="N1112" i="2" a="1"/>
  <c r="N1112" i="2" s="1"/>
  <c r="N1666" i="2" a="1"/>
  <c r="N1666" i="2" s="1"/>
  <c r="L2232" i="2" a="1"/>
  <c r="N2319" i="2" s="1" a="1"/>
  <c r="N2319" i="2" s="1"/>
  <c r="N973" i="2" a="1"/>
  <c r="N973" i="2" s="1"/>
  <c r="N1054" i="2" a="1"/>
  <c r="N1054" i="2" s="1"/>
  <c r="N1141" i="2" a="1"/>
  <c r="N1141" i="2" s="1"/>
  <c r="N2322" i="2" a="1"/>
  <c r="N2322" i="2" s="1"/>
  <c r="N2333" i="2" a="1"/>
  <c r="N2333" i="2" s="1"/>
  <c r="N2347" i="2" a="1"/>
  <c r="N2347" i="2" s="1"/>
  <c r="N2387" i="2" a="1"/>
  <c r="N2387" i="2" s="1"/>
  <c r="N2392" i="2" a="1"/>
  <c r="N2392" i="2" s="1"/>
  <c r="N1149" i="2" a="1"/>
  <c r="N1149" i="2" s="1"/>
  <c r="N999" i="2" a="1"/>
  <c r="N999" i="2" s="1"/>
  <c r="N1055" i="2" a="1"/>
  <c r="N1055" i="2" s="1"/>
  <c r="N1113" i="2" a="1"/>
  <c r="N1113" i="2" s="1"/>
  <c r="N2393" i="2" a="1"/>
  <c r="N2393" i="2" s="1"/>
  <c r="N609" i="2" a="1"/>
  <c r="N609" i="2" s="1"/>
  <c r="N752" i="2" a="1"/>
  <c r="N752" i="2" s="1"/>
  <c r="N954" i="2" a="1"/>
  <c r="N954" i="2" s="1"/>
  <c r="N1000" i="2" a="1"/>
  <c r="N1000" i="2" s="1"/>
  <c r="N1060" i="2" a="1"/>
  <c r="N1060" i="2" s="1"/>
  <c r="N1114" i="2" a="1"/>
  <c r="N1114" i="2" s="1"/>
  <c r="N2396" i="2" a="1"/>
  <c r="N2396" i="2" s="1"/>
  <c r="N633" i="2" a="1"/>
  <c r="N633" i="2" s="1"/>
  <c r="N955" i="2" a="1"/>
  <c r="N955" i="2" s="1"/>
  <c r="N1001" i="2" a="1"/>
  <c r="N1001" i="2" s="1"/>
  <c r="N1064" i="2" a="1"/>
  <c r="N1064" i="2" s="1"/>
  <c r="N1118" i="2" a="1"/>
  <c r="N1118" i="2" s="1"/>
  <c r="N2435" i="2" a="1"/>
  <c r="N2435" i="2" s="1"/>
  <c r="N2350" i="2" a="1"/>
  <c r="N2350" i="2" s="1"/>
  <c r="N2401" i="2" a="1"/>
  <c r="N2401" i="2" s="1"/>
  <c r="N2355" i="2" a="1"/>
  <c r="N2355" i="2" s="1"/>
  <c r="N2415" i="2" a="1"/>
  <c r="N2415" i="2" s="1"/>
  <c r="N2356" i="2" a="1"/>
  <c r="N2356" i="2" s="1"/>
  <c r="N2419" i="2" a="1"/>
  <c r="N2419" i="2" s="1"/>
  <c r="N1533" i="2" a="1"/>
  <c r="N1533" i="2" s="1"/>
  <c r="N2359" i="2" a="1"/>
  <c r="N2359" i="2" s="1"/>
  <c r="N2429" i="2" a="1"/>
  <c r="N2429" i="2" s="1"/>
  <c r="N2370" i="2" a="1"/>
  <c r="N2370" i="2" s="1"/>
  <c r="N2430" i="2" a="1"/>
  <c r="N2430" i="2" s="1"/>
  <c r="N2445" i="2" a="1"/>
  <c r="N2445" i="2" s="1"/>
  <c r="N2382" i="2" a="1"/>
  <c r="N2382" i="2" s="1"/>
  <c r="N1278" i="2" a="1"/>
  <c r="N1278" i="2" s="1"/>
  <c r="N1295" i="2" a="1"/>
  <c r="N1295" i="2" s="1"/>
  <c r="N1323" i="2" a="1"/>
  <c r="N1323" i="2" s="1"/>
  <c r="N1347" i="2" a="1"/>
  <c r="N1347" i="2" s="1"/>
  <c r="N1384" i="2" a="1"/>
  <c r="N1384" i="2" s="1"/>
  <c r="K1170" i="2" a="1"/>
  <c r="N1280" i="2" a="1"/>
  <c r="N1280" i="2" s="1"/>
  <c r="N1298" i="2" a="1"/>
  <c r="N1298" i="2" s="1"/>
  <c r="N1324" i="2" a="1"/>
  <c r="N1324" i="2" s="1"/>
  <c r="N1496" i="2" a="1"/>
  <c r="N1496" i="2" s="1"/>
  <c r="N1680" i="2" a="1"/>
  <c r="N1680" i="2" s="1"/>
  <c r="N1282" i="2" a="1"/>
  <c r="N1282" i="2" s="1"/>
  <c r="N1299" i="2" a="1"/>
  <c r="N1299" i="2" s="1"/>
  <c r="N1327" i="2" a="1"/>
  <c r="N1327" i="2" s="1"/>
  <c r="N1349" i="2" a="1"/>
  <c r="N1349" i="2" s="1"/>
  <c r="K1387" i="2" a="1"/>
  <c r="N1504" i="2" a="1"/>
  <c r="N1504" i="2" s="1"/>
  <c r="N1537" i="2" a="1"/>
  <c r="N1537" i="2" s="1"/>
  <c r="N1616" i="2" a="1"/>
  <c r="N1616" i="2" s="1"/>
  <c r="N1301" i="2" a="1"/>
  <c r="N1301" i="2" s="1"/>
  <c r="N1328" i="2" a="1"/>
  <c r="N1328" i="2" s="1"/>
  <c r="N1358" i="2" a="1"/>
  <c r="N1358" i="2" s="1"/>
  <c r="N1508" i="2" a="1"/>
  <c r="N1508" i="2" s="1"/>
  <c r="N1550" i="2" a="1"/>
  <c r="N1550" i="2" s="1"/>
  <c r="N1620" i="2" a="1"/>
  <c r="N1620" i="2" s="1"/>
  <c r="N1706" i="2" a="1"/>
  <c r="N1706" i="2" s="1"/>
  <c r="N1284" i="2" a="1"/>
  <c r="N1284" i="2" s="1"/>
  <c r="N1306" i="2" a="1"/>
  <c r="N1306" i="2" s="1"/>
  <c r="N1329" i="2" a="1"/>
  <c r="N1329" i="2" s="1"/>
  <c r="N1368" i="2" a="1"/>
  <c r="N1368" i="2" s="1"/>
  <c r="L1387" i="2" a="1"/>
  <c r="N1713" i="2" a="1"/>
  <c r="N1713" i="2" s="1"/>
  <c r="N2239" i="2" a="1"/>
  <c r="N2239" i="2" s="1"/>
  <c r="N962" i="2" a="1"/>
  <c r="N962" i="2" s="1"/>
  <c r="N982" i="2" a="1"/>
  <c r="N982" i="2" s="1"/>
  <c r="N1006" i="2" a="1"/>
  <c r="N1006" i="2" s="1"/>
  <c r="N1039" i="2" a="1"/>
  <c r="N1039" i="2" s="1"/>
  <c r="N1070" i="2" a="1"/>
  <c r="N1070" i="2" s="1"/>
  <c r="N1095" i="2" a="1"/>
  <c r="N1095" i="2" s="1"/>
  <c r="N1119" i="2" a="1"/>
  <c r="N1119" i="2" s="1"/>
  <c r="N1270" i="2" a="1"/>
  <c r="N1270" i="2" s="1"/>
  <c r="N1285" i="2" a="1"/>
  <c r="N1285" i="2" s="1"/>
  <c r="N1312" i="2" a="1"/>
  <c r="N1312" i="2" s="1"/>
  <c r="N1332" i="2" a="1"/>
  <c r="N1332" i="2" s="1"/>
  <c r="N1512" i="2" a="1"/>
  <c r="N1512" i="2" s="1"/>
  <c r="N1565" i="2" a="1"/>
  <c r="N1565" i="2" s="1"/>
  <c r="N592" i="2" a="1"/>
  <c r="N592" i="2" s="1"/>
  <c r="N649" i="2" a="1"/>
  <c r="N649" i="2" s="1"/>
  <c r="N708" i="2" a="1"/>
  <c r="N708" i="2" s="1"/>
  <c r="N791" i="2" a="1"/>
  <c r="N791" i="2" s="1"/>
  <c r="K852" i="2" a="1"/>
  <c r="N963" i="2" a="1"/>
  <c r="N963" i="2" s="1"/>
  <c r="N986" i="2" a="1"/>
  <c r="N986" i="2" s="1"/>
  <c r="N1008" i="2" a="1"/>
  <c r="N1008" i="2" s="1"/>
  <c r="N1078" i="2" a="1"/>
  <c r="N1078" i="2" s="1"/>
  <c r="N1101" i="2" a="1"/>
  <c r="N1101" i="2" s="1"/>
  <c r="N1120" i="2" a="1"/>
  <c r="N1120" i="2" s="1"/>
  <c r="N1154" i="2" a="1"/>
  <c r="N1154" i="2" s="1"/>
  <c r="N1271" i="2" a="1"/>
  <c r="N1271" i="2" s="1"/>
  <c r="N1289" i="2" a="1"/>
  <c r="N1289" i="2" s="1"/>
  <c r="N1313" i="2" a="1"/>
  <c r="N1313" i="2" s="1"/>
  <c r="N1373" i="2" a="1"/>
  <c r="N1373" i="2" s="1"/>
  <c r="N1520" i="2" a="1"/>
  <c r="N1520" i="2" s="1"/>
  <c r="N1569" i="2" a="1"/>
  <c r="N1569" i="2" s="1"/>
  <c r="N1639" i="2" a="1"/>
  <c r="N1639" i="2" s="1"/>
  <c r="N1743" i="2" a="1"/>
  <c r="N1743" i="2" s="1"/>
  <c r="N2336" i="2" a="1"/>
  <c r="N2336" i="2" s="1"/>
  <c r="N2361" i="2" a="1"/>
  <c r="N2361" i="2" s="1"/>
  <c r="N2398" i="2" a="1"/>
  <c r="N2398" i="2" s="1"/>
  <c r="N2438" i="2" a="1"/>
  <c r="N2438" i="2" s="1"/>
  <c r="N593" i="2" a="1"/>
  <c r="N593" i="2" s="1"/>
  <c r="N658" i="2" a="1"/>
  <c r="N658" i="2" s="1"/>
  <c r="N712" i="2" a="1"/>
  <c r="N712" i="2" s="1"/>
  <c r="N794" i="2" a="1"/>
  <c r="N794" i="2" s="1"/>
  <c r="N965" i="2" a="1"/>
  <c r="N965" i="2" s="1"/>
  <c r="N1013" i="2" a="1"/>
  <c r="N1013" i="2" s="1"/>
  <c r="N1044" i="2" a="1"/>
  <c r="N1044" i="2" s="1"/>
  <c r="N1104" i="2" a="1"/>
  <c r="N1104" i="2" s="1"/>
  <c r="N1124" i="2" a="1"/>
  <c r="N1124" i="2" s="1"/>
  <c r="N1155" i="2" a="1"/>
  <c r="N1155" i="2" s="1"/>
  <c r="N1273" i="2" a="1"/>
  <c r="N1273" i="2" s="1"/>
  <c r="N1291" i="2" a="1"/>
  <c r="N1291" i="2" s="1"/>
  <c r="N1318" i="2" a="1"/>
  <c r="N1318" i="2" s="1"/>
  <c r="N1333" i="2" a="1"/>
  <c r="N1333" i="2" s="1"/>
  <c r="N1374" i="2" a="1"/>
  <c r="N1374" i="2" s="1"/>
  <c r="N1643" i="2" a="1"/>
  <c r="N1643" i="2" s="1"/>
  <c r="N1750" i="2" a="1"/>
  <c r="N1750" i="2" s="1"/>
  <c r="N548" i="2" a="1"/>
  <c r="N548" i="2" s="1"/>
  <c r="N603" i="2" a="1"/>
  <c r="N603" i="2" s="1"/>
  <c r="N659" i="2" a="1"/>
  <c r="N659" i="2" s="1"/>
  <c r="N715" i="2" a="1"/>
  <c r="N715" i="2" s="1"/>
  <c r="N795" i="2" a="1"/>
  <c r="N795" i="2" s="1"/>
  <c r="N988" i="2" a="1"/>
  <c r="N988" i="2" s="1"/>
  <c r="N1015" i="2" a="1"/>
  <c r="N1015" i="2" s="1"/>
  <c r="N1045" i="2" a="1"/>
  <c r="N1045" i="2" s="1"/>
  <c r="N1080" i="2" a="1"/>
  <c r="N1080" i="2" s="1"/>
  <c r="N1105" i="2" a="1"/>
  <c r="N1105" i="2" s="1"/>
  <c r="N1128" i="2" a="1"/>
  <c r="N1128" i="2" s="1"/>
  <c r="N1161" i="2" a="1"/>
  <c r="N1161" i="2" s="1"/>
  <c r="N1276" i="2" a="1"/>
  <c r="N1276" i="2" s="1"/>
  <c r="N1319" i="2" a="1"/>
  <c r="N1319" i="2" s="1"/>
  <c r="N1342" i="2" a="1"/>
  <c r="N1342" i="2" s="1"/>
  <c r="N1377" i="2" a="1"/>
  <c r="N1377" i="2" s="1"/>
  <c r="N1524" i="2" a="1"/>
  <c r="N1524" i="2" s="1"/>
  <c r="N1657" i="2" a="1"/>
  <c r="N1657" i="2" s="1"/>
  <c r="N2341" i="2" a="1"/>
  <c r="N2341" i="2" s="1"/>
  <c r="N2373" i="2" a="1"/>
  <c r="N2373" i="2" s="1"/>
  <c r="N2407" i="2" a="1"/>
  <c r="N2407" i="2" s="1"/>
  <c r="N604" i="2" a="1"/>
  <c r="N604" i="2" s="1"/>
  <c r="N671" i="2" a="1"/>
  <c r="N671" i="2" s="1"/>
  <c r="N724" i="2" a="1"/>
  <c r="N724" i="2" s="1"/>
  <c r="N806" i="2" a="1"/>
  <c r="N806" i="2" s="1"/>
  <c r="N968" i="2" a="1"/>
  <c r="N968" i="2" s="1"/>
  <c r="N992" i="2" a="1"/>
  <c r="N992" i="2" s="1"/>
  <c r="N1018" i="2" a="1"/>
  <c r="N1018" i="2" s="1"/>
  <c r="N1052" i="2" a="1"/>
  <c r="N1052" i="2" s="1"/>
  <c r="N1083" i="2" a="1"/>
  <c r="N1083" i="2" s="1"/>
  <c r="N1130" i="2" a="1"/>
  <c r="N1130" i="2" s="1"/>
  <c r="N1165" i="2" a="1"/>
  <c r="N1165" i="2" s="1"/>
  <c r="N1277" i="2" a="1"/>
  <c r="N1277" i="2" s="1"/>
  <c r="N1294" i="2" a="1"/>
  <c r="N1294" i="2" s="1"/>
  <c r="N1344" i="2" a="1"/>
  <c r="N1344" i="2" s="1"/>
  <c r="N1383" i="2" a="1"/>
  <c r="N1383" i="2" s="1"/>
  <c r="N1592" i="2" a="1"/>
  <c r="N1592" i="2" s="1"/>
  <c r="N2345" i="2" a="1"/>
  <c r="N2345" i="2" s="1"/>
  <c r="N2378" i="2" a="1"/>
  <c r="N2378" i="2" s="1"/>
  <c r="N2410" i="2" a="1"/>
  <c r="N2410" i="2" s="1"/>
  <c r="N184" i="2" a="1"/>
  <c r="N184" i="2" s="1"/>
  <c r="N189" i="2" a="1"/>
  <c r="N189" i="2" s="1"/>
  <c r="N198" i="2" a="1"/>
  <c r="N198" i="2" s="1"/>
  <c r="N212" i="2" a="1"/>
  <c r="N212" i="2" s="1"/>
  <c r="N230" i="2" a="1"/>
  <c r="N230" i="2" s="1"/>
  <c r="N239" i="2" a="1"/>
  <c r="N239" i="2" s="1"/>
  <c r="N244" i="2" a="1"/>
  <c r="N244" i="2" s="1"/>
  <c r="N249" i="2" a="1"/>
  <c r="N249" i="2" s="1"/>
  <c r="N254" i="2" a="1"/>
  <c r="N254" i="2" s="1"/>
  <c r="N259" i="2" a="1"/>
  <c r="N259" i="2" s="1"/>
  <c r="N274" i="2" a="1"/>
  <c r="N274" i="2" s="1"/>
  <c r="N284" i="2" a="1"/>
  <c r="N284" i="2" s="1"/>
  <c r="N295" i="2" a="1"/>
  <c r="N295" i="2" s="1"/>
  <c r="N307" i="2" a="1"/>
  <c r="N307" i="2" s="1"/>
  <c r="N313" i="2" a="1"/>
  <c r="N313" i="2" s="1"/>
  <c r="N326" i="2" a="1"/>
  <c r="N326" i="2" s="1"/>
  <c r="N332" i="2" a="1"/>
  <c r="N332" i="2" s="1"/>
  <c r="N345" i="2" a="1"/>
  <c r="N345" i="2" s="1"/>
  <c r="N377" i="2" a="1"/>
  <c r="N377" i="2" s="1"/>
  <c r="N396" i="2" a="1"/>
  <c r="N396" i="2" s="1"/>
  <c r="N402" i="2" a="1"/>
  <c r="N402" i="2" s="1"/>
  <c r="N408" i="2" a="1"/>
  <c r="N408" i="2" s="1"/>
  <c r="N544" i="2" a="1"/>
  <c r="N544" i="2" s="1"/>
  <c r="N716" i="2" a="1"/>
  <c r="N716" i="2" s="1"/>
  <c r="N784" i="2" a="1"/>
  <c r="N784" i="2" s="1"/>
  <c r="N180" i="2" a="1"/>
  <c r="N180" i="2" s="1"/>
  <c r="N185" i="2" a="1"/>
  <c r="N185" i="2" s="1"/>
  <c r="N208" i="2" a="1"/>
  <c r="N208" i="2" s="1"/>
  <c r="N226" i="2" a="1"/>
  <c r="N226" i="2" s="1"/>
  <c r="N235" i="2" a="1"/>
  <c r="N235" i="2" s="1"/>
  <c r="N265" i="2" a="1"/>
  <c r="N265" i="2" s="1"/>
  <c r="N358" i="2" a="1"/>
  <c r="N358" i="2" s="1"/>
  <c r="N364" i="2" a="1"/>
  <c r="N364" i="2" s="1"/>
  <c r="N371" i="2" a="1"/>
  <c r="N371" i="2" s="1"/>
  <c r="N403" i="2" a="1"/>
  <c r="N403" i="2" s="1"/>
  <c r="N850" i="2" a="1"/>
  <c r="N850" i="2" s="1"/>
  <c r="N840" i="2" a="1"/>
  <c r="N840" i="2" s="1"/>
  <c r="N830" i="2" a="1"/>
  <c r="N830" i="2" s="1"/>
  <c r="N820" i="2" a="1"/>
  <c r="N820" i="2" s="1"/>
  <c r="N810" i="2" a="1"/>
  <c r="N810" i="2" s="1"/>
  <c r="N800" i="2" a="1"/>
  <c r="N800" i="2" s="1"/>
  <c r="N790" i="2" a="1"/>
  <c r="N790" i="2" s="1"/>
  <c r="N780" i="2" a="1"/>
  <c r="N780" i="2" s="1"/>
  <c r="N770" i="2" a="1"/>
  <c r="N770" i="2" s="1"/>
  <c r="N760" i="2" a="1"/>
  <c r="N760" i="2" s="1"/>
  <c r="N750" i="2" a="1"/>
  <c r="N750" i="2" s="1"/>
  <c r="N740" i="2" a="1"/>
  <c r="N740" i="2" s="1"/>
  <c r="N730" i="2" a="1"/>
  <c r="N730" i="2" s="1"/>
  <c r="N720" i="2" a="1"/>
  <c r="N720" i="2" s="1"/>
  <c r="N710" i="2" a="1"/>
  <c r="N710" i="2" s="1"/>
  <c r="N700" i="2" a="1"/>
  <c r="N700" i="2" s="1"/>
  <c r="N690" i="2" a="1"/>
  <c r="N690" i="2" s="1"/>
  <c r="N680" i="2" a="1"/>
  <c r="N680" i="2" s="1"/>
  <c r="N670" i="2" a="1"/>
  <c r="N670" i="2" s="1"/>
  <c r="N660" i="2" a="1"/>
  <c r="N660" i="2" s="1"/>
  <c r="N650" i="2" a="1"/>
  <c r="N650" i="2" s="1"/>
  <c r="N640" i="2" a="1"/>
  <c r="N640" i="2" s="1"/>
  <c r="N630" i="2" a="1"/>
  <c r="N630" i="2" s="1"/>
  <c r="N620" i="2" a="1"/>
  <c r="N620" i="2" s="1"/>
  <c r="N610" i="2" a="1"/>
  <c r="N610" i="2" s="1"/>
  <c r="N600" i="2" a="1"/>
  <c r="N600" i="2" s="1"/>
  <c r="N590" i="2" a="1"/>
  <c r="N590" i="2" s="1"/>
  <c r="N580" i="2" a="1"/>
  <c r="N580" i="2" s="1"/>
  <c r="N570" i="2" a="1"/>
  <c r="N570" i="2" s="1"/>
  <c r="N560" i="2" a="1"/>
  <c r="N560" i="2" s="1"/>
  <c r="N550" i="2" a="1"/>
  <c r="N550" i="2" s="1"/>
  <c r="K423" i="2" a="1"/>
  <c r="N851" i="2" a="1"/>
  <c r="N851" i="2" s="1"/>
  <c r="N836" i="2" a="1"/>
  <c r="N836" i="2" s="1"/>
  <c r="N825" i="2" a="1"/>
  <c r="N825" i="2" s="1"/>
  <c r="N814" i="2" a="1"/>
  <c r="N814" i="2" s="1"/>
  <c r="N799" i="2" a="1"/>
  <c r="N799" i="2" s="1"/>
  <c r="N788" i="2" a="1"/>
  <c r="N788" i="2" s="1"/>
  <c r="N777" i="2" a="1"/>
  <c r="N777" i="2" s="1"/>
  <c r="N773" i="2" a="1"/>
  <c r="N773" i="2" s="1"/>
  <c r="N762" i="2" a="1"/>
  <c r="N762" i="2" s="1"/>
  <c r="N751" i="2" a="1"/>
  <c r="N751" i="2" s="1"/>
  <c r="N736" i="2" a="1"/>
  <c r="N736" i="2" s="1"/>
  <c r="N725" i="2" a="1"/>
  <c r="N725" i="2" s="1"/>
  <c r="N714" i="2" a="1"/>
  <c r="N714" i="2" s="1"/>
  <c r="N699" i="2" a="1"/>
  <c r="N699" i="2" s="1"/>
  <c r="N688" i="2" a="1"/>
  <c r="N688" i="2" s="1"/>
  <c r="N677" i="2" a="1"/>
  <c r="N677" i="2" s="1"/>
  <c r="N673" i="2" a="1"/>
  <c r="N673" i="2" s="1"/>
  <c r="N662" i="2" a="1"/>
  <c r="N662" i="2" s="1"/>
  <c r="N651" i="2" a="1"/>
  <c r="N651" i="2" s="1"/>
  <c r="N636" i="2" a="1"/>
  <c r="N636" i="2" s="1"/>
  <c r="N625" i="2" a="1"/>
  <c r="N625" i="2" s="1"/>
  <c r="N614" i="2" a="1"/>
  <c r="N614" i="2" s="1"/>
  <c r="N599" i="2" a="1"/>
  <c r="N599" i="2" s="1"/>
  <c r="N588" i="2" a="1"/>
  <c r="N588" i="2" s="1"/>
  <c r="N577" i="2" a="1"/>
  <c r="N577" i="2" s="1"/>
  <c r="N573" i="2" a="1"/>
  <c r="N573" i="2" s="1"/>
  <c r="N562" i="2" a="1"/>
  <c r="N562" i="2" s="1"/>
  <c r="N551" i="2" a="1"/>
  <c r="N551" i="2" s="1"/>
  <c r="N846" i="2" a="1"/>
  <c r="N846" i="2" s="1"/>
  <c r="N842" i="2" a="1"/>
  <c r="N842" i="2" s="1"/>
  <c r="N838" i="2" a="1"/>
  <c r="N838" i="2" s="1"/>
  <c r="N834" i="2" a="1"/>
  <c r="N834" i="2" s="1"/>
  <c r="N813" i="2" a="1"/>
  <c r="N813" i="2" s="1"/>
  <c r="N809" i="2" a="1"/>
  <c r="N809" i="2" s="1"/>
  <c r="N805" i="2" a="1"/>
  <c r="N805" i="2" s="1"/>
  <c r="N801" i="2" a="1"/>
  <c r="N801" i="2" s="1"/>
  <c r="N797" i="2" a="1"/>
  <c r="N797" i="2" s="1"/>
  <c r="N776" i="2" a="1"/>
  <c r="N776" i="2" s="1"/>
  <c r="N772" i="2" a="1"/>
  <c r="N772" i="2" s="1"/>
  <c r="N768" i="2" a="1"/>
  <c r="N768" i="2" s="1"/>
  <c r="N764" i="2" a="1"/>
  <c r="N764" i="2" s="1"/>
  <c r="N743" i="2" a="1"/>
  <c r="N743" i="2" s="1"/>
  <c r="N739" i="2" a="1"/>
  <c r="N739" i="2" s="1"/>
  <c r="N735" i="2" a="1"/>
  <c r="N735" i="2" s="1"/>
  <c r="N731" i="2" a="1"/>
  <c r="N731" i="2" s="1"/>
  <c r="N727" i="2" a="1"/>
  <c r="N727" i="2" s="1"/>
  <c r="N706" i="2" a="1"/>
  <c r="N706" i="2" s="1"/>
  <c r="N702" i="2" a="1"/>
  <c r="N702" i="2" s="1"/>
  <c r="N698" i="2" a="1"/>
  <c r="N698" i="2" s="1"/>
  <c r="N694" i="2" a="1"/>
  <c r="N694" i="2" s="1"/>
  <c r="N669" i="2" a="1"/>
  <c r="N669" i="2" s="1"/>
  <c r="N665" i="2" a="1"/>
  <c r="N665" i="2" s="1"/>
  <c r="N661" i="2" a="1"/>
  <c r="N661" i="2" s="1"/>
  <c r="N657" i="2" a="1"/>
  <c r="N657" i="2" s="1"/>
  <c r="N632" i="2" a="1"/>
  <c r="N632" i="2" s="1"/>
  <c r="N628" i="2" a="1"/>
  <c r="N628" i="2" s="1"/>
  <c r="N624" i="2" a="1"/>
  <c r="N624" i="2" s="1"/>
  <c r="N595" i="2" a="1"/>
  <c r="N595" i="2" s="1"/>
  <c r="N591" i="2" a="1"/>
  <c r="N591" i="2" s="1"/>
  <c r="N587" i="2" a="1"/>
  <c r="N587" i="2" s="1"/>
  <c r="N558" i="2" a="1"/>
  <c r="N558" i="2" s="1"/>
  <c r="N554" i="2" a="1"/>
  <c r="N554" i="2" s="1"/>
  <c r="N833" i="2" a="1"/>
  <c r="N833" i="2" s="1"/>
  <c r="N829" i="2" a="1"/>
  <c r="N829" i="2" s="1"/>
  <c r="N796" i="2" a="1"/>
  <c r="N796" i="2" s="1"/>
  <c r="N792" i="2" a="1"/>
  <c r="N792" i="2" s="1"/>
  <c r="N763" i="2" a="1"/>
  <c r="N763" i="2" s="1"/>
  <c r="N759" i="2" a="1"/>
  <c r="N759" i="2" s="1"/>
  <c r="N755" i="2" a="1"/>
  <c r="N755" i="2" s="1"/>
  <c r="N726" i="2" a="1"/>
  <c r="N726" i="2" s="1"/>
  <c r="N722" i="2" a="1"/>
  <c r="N722" i="2" s="1"/>
  <c r="N718" i="2" a="1"/>
  <c r="N718" i="2" s="1"/>
  <c r="N693" i="2" a="1"/>
  <c r="N693" i="2" s="1"/>
  <c r="N689" i="2" a="1"/>
  <c r="N689" i="2" s="1"/>
  <c r="N685" i="2" a="1"/>
  <c r="N685" i="2" s="1"/>
  <c r="N681" i="2" a="1"/>
  <c r="N681" i="2" s="1"/>
  <c r="N656" i="2" a="1"/>
  <c r="N656" i="2" s="1"/>
  <c r="N652" i="2" a="1"/>
  <c r="N652" i="2" s="1"/>
  <c r="N648" i="2" a="1"/>
  <c r="N648" i="2" s="1"/>
  <c r="N644" i="2" a="1"/>
  <c r="N644" i="2" s="1"/>
  <c r="N623" i="2" a="1"/>
  <c r="N623" i="2" s="1"/>
  <c r="N619" i="2" a="1"/>
  <c r="N619" i="2" s="1"/>
  <c r="N615" i="2" a="1"/>
  <c r="N615" i="2" s="1"/>
  <c r="N611" i="2" a="1"/>
  <c r="N611" i="2" s="1"/>
  <c r="N607" i="2" a="1"/>
  <c r="N607" i="2" s="1"/>
  <c r="N586" i="2" a="1"/>
  <c r="N586" i="2" s="1"/>
  <c r="N582" i="2" a="1"/>
  <c r="N582" i="2" s="1"/>
  <c r="N578" i="2" a="1"/>
  <c r="N578" i="2" s="1"/>
  <c r="N574" i="2" a="1"/>
  <c r="N574" i="2" s="1"/>
  <c r="N553" i="2" a="1"/>
  <c r="N553" i="2" s="1"/>
  <c r="N549" i="2" a="1"/>
  <c r="N549" i="2" s="1"/>
  <c r="N545" i="2" a="1"/>
  <c r="N545" i="2" s="1"/>
  <c r="N849" i="2" a="1"/>
  <c r="N849" i="2" s="1"/>
  <c r="N845" i="2" a="1"/>
  <c r="N845" i="2" s="1"/>
  <c r="N841" i="2" a="1"/>
  <c r="N841" i="2" s="1"/>
  <c r="N837" i="2" a="1"/>
  <c r="N837" i="2" s="1"/>
  <c r="N816" i="2" a="1"/>
  <c r="N816" i="2" s="1"/>
  <c r="N812" i="2" a="1"/>
  <c r="N812" i="2" s="1"/>
  <c r="N808" i="2" a="1"/>
  <c r="N808" i="2" s="1"/>
  <c r="N804" i="2" a="1"/>
  <c r="N804" i="2" s="1"/>
  <c r="N783" i="2" a="1"/>
  <c r="N783" i="2" s="1"/>
  <c r="N779" i="2" a="1"/>
  <c r="N779" i="2" s="1"/>
  <c r="N775" i="2" a="1"/>
  <c r="N775" i="2" s="1"/>
  <c r="N771" i="2" a="1"/>
  <c r="N771" i="2" s="1"/>
  <c r="N767" i="2" a="1"/>
  <c r="N767" i="2" s="1"/>
  <c r="N746" i="2" a="1"/>
  <c r="N746" i="2" s="1"/>
  <c r="N742" i="2" a="1"/>
  <c r="N742" i="2" s="1"/>
  <c r="N738" i="2" a="1"/>
  <c r="N738" i="2" s="1"/>
  <c r="N734" i="2" a="1"/>
  <c r="N734" i="2" s="1"/>
  <c r="N713" i="2" a="1"/>
  <c r="N713" i="2" s="1"/>
  <c r="N709" i="2" a="1"/>
  <c r="N709" i="2" s="1"/>
  <c r="N705" i="2" a="1"/>
  <c r="N705" i="2" s="1"/>
  <c r="N701" i="2" a="1"/>
  <c r="N701" i="2" s="1"/>
  <c r="N697" i="2" a="1"/>
  <c r="N697" i="2" s="1"/>
  <c r="N676" i="2" a="1"/>
  <c r="N676" i="2" s="1"/>
  <c r="N672" i="2" a="1"/>
  <c r="N672" i="2" s="1"/>
  <c r="N668" i="2" a="1"/>
  <c r="N668" i="2" s="1"/>
  <c r="N664" i="2" a="1"/>
  <c r="N664" i="2" s="1"/>
  <c r="N643" i="2" a="1"/>
  <c r="N643" i="2" s="1"/>
  <c r="N639" i="2" a="1"/>
  <c r="N639" i="2" s="1"/>
  <c r="N635" i="2" a="1"/>
  <c r="N635" i="2" s="1"/>
  <c r="N631" i="2" a="1"/>
  <c r="N631" i="2" s="1"/>
  <c r="N627" i="2" a="1"/>
  <c r="N627" i="2" s="1"/>
  <c r="N606" i="2" a="1"/>
  <c r="N606" i="2" s="1"/>
  <c r="N602" i="2" a="1"/>
  <c r="N602" i="2" s="1"/>
  <c r="N598" i="2" a="1"/>
  <c r="N598" i="2" s="1"/>
  <c r="N594" i="2" a="1"/>
  <c r="N594" i="2" s="1"/>
  <c r="N569" i="2" a="1"/>
  <c r="N569" i="2" s="1"/>
  <c r="N565" i="2" a="1"/>
  <c r="N565" i="2" s="1"/>
  <c r="N561" i="2" a="1"/>
  <c r="N561" i="2" s="1"/>
  <c r="N557" i="2" a="1"/>
  <c r="N557" i="2" s="1"/>
  <c r="N793" i="2" a="1"/>
  <c r="N793" i="2" s="1"/>
  <c r="N769" i="2" a="1"/>
  <c r="N769" i="2" s="1"/>
  <c r="N839" i="2" a="1"/>
  <c r="N839" i="2" s="1"/>
  <c r="N822" i="2" a="1"/>
  <c r="N822" i="2" s="1"/>
  <c r="N798" i="2" a="1"/>
  <c r="N798" i="2" s="1"/>
  <c r="N786" i="2" a="1"/>
  <c r="N786" i="2" s="1"/>
  <c r="N781" i="2" a="1"/>
  <c r="N781" i="2" s="1"/>
  <c r="N757" i="2" a="1"/>
  <c r="N757" i="2" s="1"/>
  <c r="N745" i="2" a="1"/>
  <c r="N745" i="2" s="1"/>
  <c r="N733" i="2" a="1"/>
  <c r="N733" i="2" s="1"/>
  <c r="N721" i="2" a="1"/>
  <c r="N721" i="2" s="1"/>
  <c r="N704" i="2" a="1"/>
  <c r="N704" i="2" s="1"/>
  <c r="N692" i="2" a="1"/>
  <c r="N692" i="2" s="1"/>
  <c r="N616" i="2" a="1"/>
  <c r="N616" i="2" s="1"/>
  <c r="N575" i="2" a="1"/>
  <c r="N575" i="2" s="1"/>
  <c r="N563" i="2" a="1"/>
  <c r="N563" i="2" s="1"/>
  <c r="N819" i="2" a="1"/>
  <c r="N819" i="2" s="1"/>
  <c r="N761" i="2" a="1"/>
  <c r="N761" i="2" s="1"/>
  <c r="N754" i="2" a="1"/>
  <c r="N754" i="2" s="1"/>
  <c r="N663" i="2" a="1"/>
  <c r="N663" i="2" s="1"/>
  <c r="N559" i="2" a="1"/>
  <c r="N559" i="2" s="1"/>
  <c r="N552" i="2" a="1"/>
  <c r="N552" i="2" s="1"/>
  <c r="N546" i="2" a="1"/>
  <c r="N546" i="2" s="1"/>
  <c r="N847" i="2" a="1"/>
  <c r="N847" i="2" s="1"/>
  <c r="N824" i="2" a="1"/>
  <c r="N824" i="2" s="1"/>
  <c r="N818" i="2" a="1"/>
  <c r="N818" i="2" s="1"/>
  <c r="N802" i="2" a="1"/>
  <c r="N802" i="2" s="1"/>
  <c r="N629" i="2" a="1"/>
  <c r="N629" i="2" s="1"/>
  <c r="N622" i="2" a="1"/>
  <c r="N622" i="2" s="1"/>
  <c r="N596" i="2" a="1"/>
  <c r="N596" i="2" s="1"/>
  <c r="N589" i="2" a="1"/>
  <c r="N589" i="2" s="1"/>
  <c r="N583" i="2" a="1"/>
  <c r="N583" i="2" s="1"/>
  <c r="N576" i="2" a="1"/>
  <c r="N576" i="2" s="1"/>
  <c r="N556" i="2" a="1"/>
  <c r="N556" i="2" s="1"/>
  <c r="N543" i="2" a="1"/>
  <c r="N543" i="2" s="1"/>
  <c r="N831" i="2" a="1"/>
  <c r="N831" i="2" s="1"/>
  <c r="N817" i="2" a="1"/>
  <c r="N817" i="2" s="1"/>
  <c r="N787" i="2" a="1"/>
  <c r="N787" i="2" s="1"/>
  <c r="N765" i="2" a="1"/>
  <c r="N765" i="2" s="1"/>
  <c r="N758" i="2" a="1"/>
  <c r="N758" i="2" s="1"/>
  <c r="N732" i="2" a="1"/>
  <c r="N732" i="2" s="1"/>
  <c r="N707" i="2" a="1"/>
  <c r="N707" i="2" s="1"/>
  <c r="N687" i="2" a="1"/>
  <c r="N687" i="2" s="1"/>
  <c r="N674" i="2" a="1"/>
  <c r="N674" i="2" s="1"/>
  <c r="N667" i="2" a="1"/>
  <c r="N667" i="2" s="1"/>
  <c r="N654" i="2" a="1"/>
  <c r="N654" i="2" s="1"/>
  <c r="N647" i="2" a="1"/>
  <c r="N647" i="2" s="1"/>
  <c r="N621" i="2" a="1"/>
  <c r="N621" i="2" s="1"/>
  <c r="N766" i="2" a="1"/>
  <c r="N766" i="2" s="1"/>
  <c r="N748" i="2" a="1"/>
  <c r="N748" i="2" s="1"/>
  <c r="N729" i="2" a="1"/>
  <c r="N729" i="2" s="1"/>
  <c r="N719" i="2" a="1"/>
  <c r="N719" i="2" s="1"/>
  <c r="N711" i="2" a="1"/>
  <c r="N711" i="2" s="1"/>
  <c r="N691" i="2" a="1"/>
  <c r="N691" i="2" s="1"/>
  <c r="N645" i="2" a="1"/>
  <c r="N645" i="2" s="1"/>
  <c r="N617" i="2" a="1"/>
  <c r="N617" i="2" s="1"/>
  <c r="N571" i="2" a="1"/>
  <c r="N571" i="2" s="1"/>
  <c r="N542" i="2" a="1"/>
  <c r="N542" i="2" s="1"/>
  <c r="N828" i="2" a="1"/>
  <c r="N828" i="2" s="1"/>
  <c r="N807" i="2" a="1"/>
  <c r="N807" i="2" s="1"/>
  <c r="N756" i="2" a="1"/>
  <c r="N756" i="2" s="1"/>
  <c r="N747" i="2" a="1"/>
  <c r="N747" i="2" s="1"/>
  <c r="N737" i="2" a="1"/>
  <c r="N737" i="2" s="1"/>
  <c r="N728" i="2" a="1"/>
  <c r="N728" i="2" s="1"/>
  <c r="N682" i="2" a="1"/>
  <c r="N682" i="2" s="1"/>
  <c r="N653" i="2" a="1"/>
  <c r="N653" i="2" s="1"/>
  <c r="N634" i="2" a="1"/>
  <c r="N634" i="2" s="1"/>
  <c r="N597" i="2" a="1"/>
  <c r="N597" i="2" s="1"/>
  <c r="N579" i="2" a="1"/>
  <c r="N579" i="2" s="1"/>
  <c r="N568" i="2" a="1"/>
  <c r="N568" i="2" s="1"/>
  <c r="N789" i="2" a="1"/>
  <c r="N789" i="2" s="1"/>
  <c r="N683" i="2" a="1"/>
  <c r="N683" i="2" s="1"/>
  <c r="N655" i="2" a="1"/>
  <c r="N655" i="2" s="1"/>
  <c r="N637" i="2" a="1"/>
  <c r="N637" i="2" s="1"/>
  <c r="N626" i="2" a="1"/>
  <c r="N626" i="2" s="1"/>
  <c r="N618" i="2" a="1"/>
  <c r="N618" i="2" s="1"/>
  <c r="N608" i="2" a="1"/>
  <c r="N608" i="2" s="1"/>
  <c r="N572" i="2" a="1"/>
  <c r="N572" i="2" s="1"/>
  <c r="N584" i="2" a="1"/>
  <c r="N584" i="2" s="1"/>
  <c r="N612" i="2" a="1"/>
  <c r="N612" i="2" s="1"/>
  <c r="N638" i="2" a="1"/>
  <c r="N638" i="2" s="1"/>
  <c r="N678" i="2" a="1"/>
  <c r="N678" i="2" s="1"/>
  <c r="N744" i="2" a="1"/>
  <c r="N744" i="2" s="1"/>
  <c r="N785" i="2" a="1"/>
  <c r="N785" i="2" s="1"/>
  <c r="N175" i="2" a="1"/>
  <c r="N175" i="2" s="1"/>
  <c r="N207" i="2" a="1"/>
  <c r="N207" i="2" s="1"/>
  <c r="N269" i="2" a="1"/>
  <c r="N269" i="2" s="1"/>
  <c r="N176" i="2" a="1"/>
  <c r="N176" i="2" s="1"/>
  <c r="N199" i="2" a="1"/>
  <c r="N199" i="2" s="1"/>
  <c r="N217" i="2" a="1"/>
  <c r="N217" i="2" s="1"/>
  <c r="N222" i="2" a="1"/>
  <c r="N222" i="2" s="1"/>
  <c r="N245" i="2" a="1"/>
  <c r="N245" i="2" s="1"/>
  <c r="N250" i="2" a="1"/>
  <c r="N250" i="2" s="1"/>
  <c r="N255" i="2" a="1"/>
  <c r="N255" i="2" s="1"/>
  <c r="N270" i="2" a="1"/>
  <c r="N270" i="2" s="1"/>
  <c r="N275" i="2" a="1"/>
  <c r="N275" i="2" s="1"/>
  <c r="N301" i="2" a="1"/>
  <c r="N301" i="2" s="1"/>
  <c r="N321" i="2" a="1"/>
  <c r="N321" i="2" s="1"/>
  <c r="N327" i="2" a="1"/>
  <c r="N327" i="2" s="1"/>
  <c r="N333" i="2" a="1"/>
  <c r="N333" i="2" s="1"/>
  <c r="N372" i="2" a="1"/>
  <c r="N372" i="2" s="1"/>
  <c r="N391" i="2" a="1"/>
  <c r="N391" i="2" s="1"/>
  <c r="N397" i="2" a="1"/>
  <c r="N397" i="2" s="1"/>
  <c r="N585" i="2" a="1"/>
  <c r="N585" i="2" s="1"/>
  <c r="N666" i="2" a="1"/>
  <c r="N666" i="2" s="1"/>
  <c r="N717" i="2" a="1"/>
  <c r="N717" i="2" s="1"/>
  <c r="N815" i="2" a="1"/>
  <c r="N815" i="2" s="1"/>
  <c r="N832" i="2" a="1"/>
  <c r="N832" i="2" s="1"/>
  <c r="N193" i="2" a="1"/>
  <c r="N193" i="2" s="1"/>
  <c r="N234" i="2" a="1"/>
  <c r="N234" i="2" s="1"/>
  <c r="N414" i="2" a="1"/>
  <c r="N414" i="2" s="1"/>
  <c r="N172" i="2" a="1"/>
  <c r="N172" i="2" s="1"/>
  <c r="N195" i="2" a="1"/>
  <c r="N195" i="2" s="1"/>
  <c r="N204" i="2" a="1"/>
  <c r="N204" i="2" s="1"/>
  <c r="N213" i="2" a="1"/>
  <c r="N213" i="2" s="1"/>
  <c r="N236" i="2" a="1"/>
  <c r="N236" i="2" s="1"/>
  <c r="N276" i="2" a="1"/>
  <c r="N276" i="2" s="1"/>
  <c r="N286" i="2" a="1"/>
  <c r="N286" i="2" s="1"/>
  <c r="N296" i="2" a="1"/>
  <c r="N296" i="2" s="1"/>
  <c r="N308" i="2" a="1"/>
  <c r="N308" i="2" s="1"/>
  <c r="N315" i="2" a="1"/>
  <c r="N315" i="2" s="1"/>
  <c r="N353" i="2" a="1"/>
  <c r="N353" i="2" s="1"/>
  <c r="N378" i="2" a="1"/>
  <c r="N378" i="2" s="1"/>
  <c r="N547" i="2" a="1"/>
  <c r="N547" i="2" s="1"/>
  <c r="N803" i="2" a="1"/>
  <c r="N803" i="2" s="1"/>
  <c r="N835" i="2" a="1"/>
  <c r="N835" i="2" s="1"/>
  <c r="N848" i="2" a="1"/>
  <c r="N848" i="2" s="1"/>
  <c r="N419" i="2" a="1"/>
  <c r="N419" i="2" s="1"/>
  <c r="N409" i="2" a="1"/>
  <c r="N409" i="2" s="1"/>
  <c r="N399" i="2" a="1"/>
  <c r="N399" i="2" s="1"/>
  <c r="N389" i="2" a="1"/>
  <c r="N389" i="2" s="1"/>
  <c r="N379" i="2" a="1"/>
  <c r="N379" i="2" s="1"/>
  <c r="N369" i="2" a="1"/>
  <c r="N369" i="2" s="1"/>
  <c r="N359" i="2" a="1"/>
  <c r="N359" i="2" s="1"/>
  <c r="N349" i="2" a="1"/>
  <c r="N349" i="2" s="1"/>
  <c r="N339" i="2" a="1"/>
  <c r="N339" i="2" s="1"/>
  <c r="N329" i="2" a="1"/>
  <c r="N329" i="2" s="1"/>
  <c r="N319" i="2" a="1"/>
  <c r="N319" i="2" s="1"/>
  <c r="N309" i="2" a="1"/>
  <c r="N309" i="2" s="1"/>
  <c r="N299" i="2" a="1"/>
  <c r="N299" i="2" s="1"/>
  <c r="N420" i="2" a="1"/>
  <c r="N420" i="2" s="1"/>
  <c r="N405" i="2" a="1"/>
  <c r="N405" i="2" s="1"/>
  <c r="N394" i="2" a="1"/>
  <c r="N394" i="2" s="1"/>
  <c r="N383" i="2" a="1"/>
  <c r="N383" i="2" s="1"/>
  <c r="N368" i="2" a="1"/>
  <c r="N368" i="2" s="1"/>
  <c r="N357" i="2" a="1"/>
  <c r="N357" i="2" s="1"/>
  <c r="N346" i="2" a="1"/>
  <c r="N346" i="2" s="1"/>
  <c r="N342" i="2" a="1"/>
  <c r="N342" i="2" s="1"/>
  <c r="N331" i="2" a="1"/>
  <c r="N331" i="2" s="1"/>
  <c r="N320" i="2" a="1"/>
  <c r="N320" i="2" s="1"/>
  <c r="N305" i="2" a="1"/>
  <c r="N305" i="2" s="1"/>
  <c r="N291" i="2" a="1"/>
  <c r="N291" i="2" s="1"/>
  <c r="N281" i="2" a="1"/>
  <c r="N281" i="2" s="1"/>
  <c r="N271" i="2" a="1"/>
  <c r="N271" i="2" s="1"/>
  <c r="N261" i="2" a="1"/>
  <c r="N261" i="2" s="1"/>
  <c r="N251" i="2" a="1"/>
  <c r="N251" i="2" s="1"/>
  <c r="N241" i="2" a="1"/>
  <c r="N241" i="2" s="1"/>
  <c r="N231" i="2" a="1"/>
  <c r="N231" i="2" s="1"/>
  <c r="N221" i="2" a="1"/>
  <c r="N221" i="2" s="1"/>
  <c r="N211" i="2" a="1"/>
  <c r="N211" i="2" s="1"/>
  <c r="N201" i="2" a="1"/>
  <c r="N201" i="2" s="1"/>
  <c r="N191" i="2" a="1"/>
  <c r="N191" i="2" s="1"/>
  <c r="N181" i="2" a="1"/>
  <c r="N181" i="2" s="1"/>
  <c r="N171" i="2" a="1"/>
  <c r="N171" i="2" s="1"/>
  <c r="N421" i="2" a="1"/>
  <c r="N421" i="2" s="1"/>
  <c r="N417" i="2" a="1"/>
  <c r="N417" i="2" s="1"/>
  <c r="N413" i="2" a="1"/>
  <c r="N413" i="2" s="1"/>
  <c r="N392" i="2" a="1"/>
  <c r="N392" i="2" s="1"/>
  <c r="N388" i="2" a="1"/>
  <c r="N388" i="2" s="1"/>
  <c r="N384" i="2" a="1"/>
  <c r="N384" i="2" s="1"/>
  <c r="N380" i="2" a="1"/>
  <c r="N380" i="2" s="1"/>
  <c r="N376" i="2" a="1"/>
  <c r="N376" i="2" s="1"/>
  <c r="N355" i="2" a="1"/>
  <c r="N355" i="2" s="1"/>
  <c r="N351" i="2" a="1"/>
  <c r="N351" i="2" s="1"/>
  <c r="N347" i="2" a="1"/>
  <c r="N347" i="2" s="1"/>
  <c r="N343" i="2" a="1"/>
  <c r="N343" i="2" s="1"/>
  <c r="N322" i="2" a="1"/>
  <c r="N322" i="2" s="1"/>
  <c r="N318" i="2" a="1"/>
  <c r="N318" i="2" s="1"/>
  <c r="N314" i="2" a="1"/>
  <c r="N314" i="2" s="1"/>
  <c r="N310" i="2" a="1"/>
  <c r="N310" i="2" s="1"/>
  <c r="N306" i="2" a="1"/>
  <c r="N306" i="2" s="1"/>
  <c r="N290" i="2" a="1"/>
  <c r="N290" i="2" s="1"/>
  <c r="N279" i="2" a="1"/>
  <c r="N279" i="2" s="1"/>
  <c r="N268" i="2" a="1"/>
  <c r="N268" i="2" s="1"/>
  <c r="N264" i="2" a="1"/>
  <c r="N264" i="2" s="1"/>
  <c r="N253" i="2" a="1"/>
  <c r="N253" i="2" s="1"/>
  <c r="N416" i="2" a="1"/>
  <c r="N416" i="2" s="1"/>
  <c r="N407" i="2" a="1"/>
  <c r="N407" i="2" s="1"/>
  <c r="N398" i="2" a="1"/>
  <c r="N398" i="2" s="1"/>
  <c r="N366" i="2" a="1"/>
  <c r="N366" i="2" s="1"/>
  <c r="N352" i="2" a="1"/>
  <c r="N352" i="2" s="1"/>
  <c r="N338" i="2" a="1"/>
  <c r="N338" i="2" s="1"/>
  <c r="N311" i="2" a="1"/>
  <c r="N311" i="2" s="1"/>
  <c r="N302" i="2" a="1"/>
  <c r="N302" i="2" s="1"/>
  <c r="N297" i="2" a="1"/>
  <c r="N297" i="2" s="1"/>
  <c r="N293" i="2" a="1"/>
  <c r="N293" i="2" s="1"/>
  <c r="N289" i="2" a="1"/>
  <c r="N289" i="2" s="1"/>
  <c r="N285" i="2" a="1"/>
  <c r="N285" i="2" s="1"/>
  <c r="N260" i="2" a="1"/>
  <c r="N260" i="2" s="1"/>
  <c r="N256" i="2" a="1"/>
  <c r="N256" i="2" s="1"/>
  <c r="N252" i="2" a="1"/>
  <c r="N252" i="2" s="1"/>
  <c r="N248" i="2" a="1"/>
  <c r="N248" i="2" s="1"/>
  <c r="N240" i="2" a="1"/>
  <c r="N240" i="2" s="1"/>
  <c r="N229" i="2" a="1"/>
  <c r="N229" i="2" s="1"/>
  <c r="N218" i="2" a="1"/>
  <c r="N218" i="2" s="1"/>
  <c r="N214" i="2" a="1"/>
  <c r="N214" i="2" s="1"/>
  <c r="N203" i="2" a="1"/>
  <c r="N203" i="2" s="1"/>
  <c r="N192" i="2" a="1"/>
  <c r="N192" i="2" s="1"/>
  <c r="N177" i="2" a="1"/>
  <c r="N177" i="2" s="1"/>
  <c r="N415" i="2" a="1"/>
  <c r="N415" i="2" s="1"/>
  <c r="N400" i="2" a="1"/>
  <c r="N400" i="2" s="1"/>
  <c r="N395" i="2" a="1"/>
  <c r="N395" i="2" s="1"/>
  <c r="N390" i="2" a="1"/>
  <c r="N390" i="2" s="1"/>
  <c r="N385" i="2" a="1"/>
  <c r="N385" i="2" s="1"/>
  <c r="N334" i="2" a="1"/>
  <c r="N334" i="2" s="1"/>
  <c r="N324" i="2" a="1"/>
  <c r="N324" i="2" s="1"/>
  <c r="N294" i="2" a="1"/>
  <c r="N294" i="2" s="1"/>
  <c r="N280" i="2" a="1"/>
  <c r="N280" i="2" s="1"/>
  <c r="N262" i="2" a="1"/>
  <c r="N262" i="2" s="1"/>
  <c r="N227" i="2" a="1"/>
  <c r="N227" i="2" s="1"/>
  <c r="N223" i="2" a="1"/>
  <c r="N223" i="2" s="1"/>
  <c r="N219" i="2" a="1"/>
  <c r="N219" i="2" s="1"/>
  <c r="N215" i="2" a="1"/>
  <c r="N215" i="2" s="1"/>
  <c r="N194" i="2" a="1"/>
  <c r="N194" i="2" s="1"/>
  <c r="N190" i="2" a="1"/>
  <c r="N190" i="2" s="1"/>
  <c r="N186" i="2" a="1"/>
  <c r="N186" i="2" s="1"/>
  <c r="N182" i="2" a="1"/>
  <c r="N182" i="2" s="1"/>
  <c r="N178" i="2" a="1"/>
  <c r="N178" i="2" s="1"/>
  <c r="N406" i="2" a="1"/>
  <c r="N406" i="2" s="1"/>
  <c r="N375" i="2" a="1"/>
  <c r="N375" i="2" s="1"/>
  <c r="N370" i="2" a="1"/>
  <c r="N370" i="2" s="1"/>
  <c r="N365" i="2" a="1"/>
  <c r="N365" i="2" s="1"/>
  <c r="N360" i="2" a="1"/>
  <c r="N360" i="2" s="1"/>
  <c r="N350" i="2" a="1"/>
  <c r="N350" i="2" s="1"/>
  <c r="N340" i="2" a="1"/>
  <c r="N340" i="2" s="1"/>
  <c r="N335" i="2" a="1"/>
  <c r="N335" i="2" s="1"/>
  <c r="N304" i="2" a="1"/>
  <c r="N304" i="2" s="1"/>
  <c r="N202" i="2" a="1"/>
  <c r="N202" i="2" s="1"/>
  <c r="N216" i="2" a="1"/>
  <c r="N216" i="2" s="1"/>
  <c r="N225" i="2" a="1"/>
  <c r="N225" i="2" s="1"/>
  <c r="N243" i="2" a="1"/>
  <c r="N243" i="2" s="1"/>
  <c r="N300" i="2" a="1"/>
  <c r="N300" i="2" s="1"/>
  <c r="N312" i="2" a="1"/>
  <c r="N312" i="2" s="1"/>
  <c r="N344" i="2" a="1"/>
  <c r="N344" i="2" s="1"/>
  <c r="N363" i="2" a="1"/>
  <c r="N363" i="2" s="1"/>
  <c r="N382" i="2" a="1"/>
  <c r="N382" i="2" s="1"/>
  <c r="N200" i="2" a="1"/>
  <c r="N200" i="2" s="1"/>
  <c r="N209" i="2" a="1"/>
  <c r="N209" i="2" s="1"/>
  <c r="N232" i="2" a="1"/>
  <c r="N232" i="2" s="1"/>
  <c r="N246" i="2" a="1"/>
  <c r="N246" i="2" s="1"/>
  <c r="N266" i="2" a="1"/>
  <c r="N266" i="2" s="1"/>
  <c r="N303" i="2" a="1"/>
  <c r="N303" i="2" s="1"/>
  <c r="N316" i="2" a="1"/>
  <c r="N316" i="2" s="1"/>
  <c r="N328" i="2" a="1"/>
  <c r="N328" i="2" s="1"/>
  <c r="N341" i="2" a="1"/>
  <c r="N341" i="2" s="1"/>
  <c r="N373" i="2" a="1"/>
  <c r="N373" i="2" s="1"/>
  <c r="N386" i="2" a="1"/>
  <c r="N386" i="2" s="1"/>
  <c r="N404" i="2" a="1"/>
  <c r="N404" i="2" s="1"/>
  <c r="N411" i="2" a="1"/>
  <c r="N411" i="2" s="1"/>
  <c r="L423" i="2" a="1"/>
  <c r="N483" i="2" s="1" a="1"/>
  <c r="N483" i="2" s="1"/>
  <c r="N601" i="2" a="1"/>
  <c r="N601" i="2" s="1"/>
  <c r="N613" i="2" a="1"/>
  <c r="N613" i="2" s="1"/>
  <c r="N641" i="2" a="1"/>
  <c r="N641" i="2" s="1"/>
  <c r="N679" i="2" a="1"/>
  <c r="N679" i="2" s="1"/>
  <c r="N695" i="2" a="1"/>
  <c r="N695" i="2" s="1"/>
  <c r="N723" i="2" a="1"/>
  <c r="N723" i="2" s="1"/>
  <c r="N749" i="2" a="1"/>
  <c r="N749" i="2" s="1"/>
  <c r="N774" i="2" a="1"/>
  <c r="N774" i="2" s="1"/>
  <c r="N821" i="2" a="1"/>
  <c r="N821" i="2" s="1"/>
  <c r="N964" i="2" a="1"/>
  <c r="N964" i="2" s="1"/>
  <c r="N991" i="2" a="1"/>
  <c r="N991" i="2" s="1"/>
  <c r="N1034" i="2" a="1"/>
  <c r="N1034" i="2" s="1"/>
  <c r="N1049" i="2" a="1"/>
  <c r="N1049" i="2" s="1"/>
  <c r="N1065" i="2" a="1"/>
  <c r="N1065" i="2" s="1"/>
  <c r="N1072" i="2" a="1"/>
  <c r="N1072" i="2" s="1"/>
  <c r="N1082" i="2" a="1"/>
  <c r="N1082" i="2" s="1"/>
  <c r="N1090" i="2" a="1"/>
  <c r="N1090" i="2" s="1"/>
  <c r="N1099" i="2" a="1"/>
  <c r="N1099" i="2" s="1"/>
  <c r="N1132" i="2" a="1"/>
  <c r="N1132" i="2" s="1"/>
  <c r="N1167" i="2" a="1"/>
  <c r="N1167" i="2" s="1"/>
  <c r="N1157" i="2" a="1"/>
  <c r="N1157" i="2" s="1"/>
  <c r="N1147" i="2" a="1"/>
  <c r="N1147" i="2" s="1"/>
  <c r="N1137" i="2" a="1"/>
  <c r="N1137" i="2" s="1"/>
  <c r="N1127" i="2" a="1"/>
  <c r="N1127" i="2" s="1"/>
  <c r="N1117" i="2" a="1"/>
  <c r="N1117" i="2" s="1"/>
  <c r="N1107" i="2" a="1"/>
  <c r="N1107" i="2" s="1"/>
  <c r="N1097" i="2" a="1"/>
  <c r="N1097" i="2" s="1"/>
  <c r="N1087" i="2" a="1"/>
  <c r="N1087" i="2" s="1"/>
  <c r="N1077" i="2" a="1"/>
  <c r="N1077" i="2" s="1"/>
  <c r="N1067" i="2" a="1"/>
  <c r="N1067" i="2" s="1"/>
  <c r="N1057" i="2" a="1"/>
  <c r="N1057" i="2" s="1"/>
  <c r="N1047" i="2" a="1"/>
  <c r="N1047" i="2" s="1"/>
  <c r="N1037" i="2" a="1"/>
  <c r="N1037" i="2" s="1"/>
  <c r="N1027" i="2" a="1"/>
  <c r="N1027" i="2" s="1"/>
  <c r="N1017" i="2" a="1"/>
  <c r="N1017" i="2" s="1"/>
  <c r="N1007" i="2" a="1"/>
  <c r="N1007" i="2" s="1"/>
  <c r="N997" i="2" a="1"/>
  <c r="N997" i="2" s="1"/>
  <c r="N987" i="2" a="1"/>
  <c r="N987" i="2" s="1"/>
  <c r="N977" i="2" a="1"/>
  <c r="N977" i="2" s="1"/>
  <c r="N967" i="2" a="1"/>
  <c r="N967" i="2" s="1"/>
  <c r="N957" i="2" a="1"/>
  <c r="N957" i="2" s="1"/>
  <c r="N1166" i="2" a="1"/>
  <c r="N1166" i="2" s="1"/>
  <c r="N1156" i="2" a="1"/>
  <c r="N1156" i="2" s="1"/>
  <c r="N1146" i="2" a="1"/>
  <c r="N1146" i="2" s="1"/>
  <c r="N1136" i="2" a="1"/>
  <c r="N1136" i="2" s="1"/>
  <c r="N1126" i="2" a="1"/>
  <c r="N1126" i="2" s="1"/>
  <c r="N1116" i="2" a="1"/>
  <c r="N1116" i="2" s="1"/>
  <c r="N1106" i="2" a="1"/>
  <c r="N1106" i="2" s="1"/>
  <c r="N1096" i="2" a="1"/>
  <c r="N1096" i="2" s="1"/>
  <c r="N1086" i="2" a="1"/>
  <c r="N1086" i="2" s="1"/>
  <c r="N1076" i="2" a="1"/>
  <c r="N1076" i="2" s="1"/>
  <c r="N1066" i="2" a="1"/>
  <c r="N1066" i="2" s="1"/>
  <c r="N1150" i="2" a="1"/>
  <c r="N1150" i="2" s="1"/>
  <c r="N1129" i="2" a="1"/>
  <c r="N1129" i="2" s="1"/>
  <c r="N1125" i="2" a="1"/>
  <c r="N1125" i="2" s="1"/>
  <c r="N1121" i="2" a="1"/>
  <c r="N1121" i="2" s="1"/>
  <c r="N1100" i="2" a="1"/>
  <c r="N1100" i="2" s="1"/>
  <c r="N1079" i="2" a="1"/>
  <c r="N1079" i="2" s="1"/>
  <c r="N1075" i="2" a="1"/>
  <c r="N1075" i="2" s="1"/>
  <c r="N1071" i="2" a="1"/>
  <c r="N1071" i="2" s="1"/>
  <c r="N1059" i="2" a="1"/>
  <c r="N1059" i="2" s="1"/>
  <c r="N1048" i="2" a="1"/>
  <c r="N1048" i="2" s="1"/>
  <c r="N1033" i="2" a="1"/>
  <c r="N1033" i="2" s="1"/>
  <c r="N1022" i="2" a="1"/>
  <c r="N1022" i="2" s="1"/>
  <c r="N1011" i="2" a="1"/>
  <c r="N1011" i="2" s="1"/>
  <c r="N996" i="2" a="1"/>
  <c r="N996" i="2" s="1"/>
  <c r="N985" i="2" a="1"/>
  <c r="N985" i="2" s="1"/>
  <c r="N974" i="2" a="1"/>
  <c r="N974" i="2" s="1"/>
  <c r="N970" i="2" a="1"/>
  <c r="N970" i="2" s="1"/>
  <c r="N959" i="2" a="1"/>
  <c r="N959" i="2" s="1"/>
  <c r="N1152" i="2" a="1"/>
  <c r="N1152" i="2" s="1"/>
  <c r="N1148" i="2" a="1"/>
  <c r="N1148" i="2" s="1"/>
  <c r="N1144" i="2" a="1"/>
  <c r="N1144" i="2" s="1"/>
  <c r="N1123" i="2" a="1"/>
  <c r="N1123" i="2" s="1"/>
  <c r="N1102" i="2" a="1"/>
  <c r="N1102" i="2" s="1"/>
  <c r="N1098" i="2" a="1"/>
  <c r="N1098" i="2" s="1"/>
  <c r="N1094" i="2" a="1"/>
  <c r="N1094" i="2" s="1"/>
  <c r="N1073" i="2" a="1"/>
  <c r="N1073" i="2" s="1"/>
  <c r="N1061" i="2" a="1"/>
  <c r="N1061" i="2" s="1"/>
  <c r="N1046" i="2" a="1"/>
  <c r="N1046" i="2" s="1"/>
  <c r="N1035" i="2" a="1"/>
  <c r="N1035" i="2" s="1"/>
  <c r="N1024" i="2" a="1"/>
  <c r="N1024" i="2" s="1"/>
  <c r="N1020" i="2" a="1"/>
  <c r="N1020" i="2" s="1"/>
  <c r="N1009" i="2" a="1"/>
  <c r="N1009" i="2" s="1"/>
  <c r="N998" i="2" a="1"/>
  <c r="N998" i="2" s="1"/>
  <c r="N983" i="2" a="1"/>
  <c r="N983" i="2" s="1"/>
  <c r="N972" i="2" a="1"/>
  <c r="N972" i="2" s="1"/>
  <c r="N961" i="2" a="1"/>
  <c r="N961" i="2" s="1"/>
  <c r="N1160" i="2" a="1"/>
  <c r="N1160" i="2" s="1"/>
  <c r="N1139" i="2" a="1"/>
  <c r="N1139" i="2" s="1"/>
  <c r="N1135" i="2" a="1"/>
  <c r="N1135" i="2" s="1"/>
  <c r="N1131" i="2" a="1"/>
  <c r="N1131" i="2" s="1"/>
  <c r="N1110" i="2" a="1"/>
  <c r="N1110" i="2" s="1"/>
  <c r="N1089" i="2" a="1"/>
  <c r="N1089" i="2" s="1"/>
  <c r="N1085" i="2" a="1"/>
  <c r="N1085" i="2" s="1"/>
  <c r="N1081" i="2" a="1"/>
  <c r="N1081" i="2" s="1"/>
  <c r="N1053" i="2" a="1"/>
  <c r="N1053" i="2" s="1"/>
  <c r="N1042" i="2" a="1"/>
  <c r="N1042" i="2" s="1"/>
  <c r="N1031" i="2" a="1"/>
  <c r="N1031" i="2" s="1"/>
  <c r="N1016" i="2" a="1"/>
  <c r="N1016" i="2" s="1"/>
  <c r="N1005" i="2" a="1"/>
  <c r="N1005" i="2" s="1"/>
  <c r="N1164" i="2" a="1"/>
  <c r="N1164" i="2" s="1"/>
  <c r="N1158" i="2" a="1"/>
  <c r="N1158" i="2" s="1"/>
  <c r="N1122" i="2" a="1"/>
  <c r="N1122" i="2" s="1"/>
  <c r="N1111" i="2" a="1"/>
  <c r="N1111" i="2" s="1"/>
  <c r="N1069" i="2" a="1"/>
  <c r="N1069" i="2" s="1"/>
  <c r="N1063" i="2" a="1"/>
  <c r="N1063" i="2" s="1"/>
  <c r="N1058" i="2" a="1"/>
  <c r="N1058" i="2" s="1"/>
  <c r="N1026" i="2" a="1"/>
  <c r="N1026" i="2" s="1"/>
  <c r="N1021" i="2" a="1"/>
  <c r="N1021" i="2" s="1"/>
  <c r="N1010" i="2" a="1"/>
  <c r="N1010" i="2" s="1"/>
  <c r="N995" i="2" a="1"/>
  <c r="N995" i="2" s="1"/>
  <c r="N990" i="2" a="1"/>
  <c r="N990" i="2" s="1"/>
  <c r="N981" i="2" a="1"/>
  <c r="N981" i="2" s="1"/>
  <c r="N958" i="2" a="1"/>
  <c r="N958" i="2" s="1"/>
  <c r="N953" i="2" a="1"/>
  <c r="N953" i="2" s="1"/>
  <c r="N1169" i="2" a="1"/>
  <c r="N1169" i="2" s="1"/>
  <c r="N1163" i="2" a="1"/>
  <c r="N1163" i="2" s="1"/>
  <c r="N1151" i="2" a="1"/>
  <c r="N1151" i="2" s="1"/>
  <c r="N1145" i="2" a="1"/>
  <c r="N1145" i="2" s="1"/>
  <c r="N1133" i="2" a="1"/>
  <c r="N1133" i="2" s="1"/>
  <c r="N1109" i="2" a="1"/>
  <c r="N1109" i="2" s="1"/>
  <c r="N1074" i="2" a="1"/>
  <c r="N1074" i="2" s="1"/>
  <c r="N1062" i="2" a="1"/>
  <c r="N1062" i="2" s="1"/>
  <c r="N1041" i="2" a="1"/>
  <c r="N1041" i="2" s="1"/>
  <c r="N1030" i="2" a="1"/>
  <c r="N1030" i="2" s="1"/>
  <c r="N1025" i="2" a="1"/>
  <c r="N1025" i="2" s="1"/>
  <c r="N1004" i="2" a="1"/>
  <c r="N1004" i="2" s="1"/>
  <c r="N994" i="2" a="1"/>
  <c r="N994" i="2" s="1"/>
  <c r="N980" i="2" a="1"/>
  <c r="N980" i="2" s="1"/>
  <c r="N971" i="2" a="1"/>
  <c r="N971" i="2" s="1"/>
  <c r="N966" i="2" a="1"/>
  <c r="N966" i="2" s="1"/>
  <c r="N1168" i="2" a="1"/>
  <c r="N1168" i="2" s="1"/>
  <c r="N1162" i="2" a="1"/>
  <c r="N1162" i="2" s="1"/>
  <c r="N1115" i="2" a="1"/>
  <c r="N1115" i="2" s="1"/>
  <c r="N1103" i="2" a="1"/>
  <c r="N1103" i="2" s="1"/>
  <c r="N1091" i="2" a="1"/>
  <c r="N1091" i="2" s="1"/>
  <c r="N1056" i="2" a="1"/>
  <c r="N1056" i="2" s="1"/>
  <c r="N1051" i="2" a="1"/>
  <c r="N1051" i="2" s="1"/>
  <c r="N1040" i="2" a="1"/>
  <c r="N1040" i="2" s="1"/>
  <c r="N1019" i="2" a="1"/>
  <c r="N1019" i="2" s="1"/>
  <c r="N1014" i="2" a="1"/>
  <c r="N1014" i="2" s="1"/>
  <c r="N1003" i="2" a="1"/>
  <c r="N1003" i="2" s="1"/>
  <c r="N989" i="2" a="1"/>
  <c r="N989" i="2" s="1"/>
  <c r="N975" i="2" a="1"/>
  <c r="N975" i="2" s="1"/>
  <c r="N952" i="2" a="1"/>
  <c r="N952" i="2" s="1"/>
  <c r="L852" i="2" a="1"/>
  <c r="N895" i="2" s="1" a="1"/>
  <c r="N895" i="2" s="1"/>
  <c r="N951" i="2" a="1"/>
  <c r="N951" i="2" s="1"/>
  <c r="N978" i="2" a="1"/>
  <c r="N978" i="2" s="1"/>
  <c r="N984" i="2" a="1"/>
  <c r="N984" i="2" s="1"/>
  <c r="N1012" i="2" a="1"/>
  <c r="N1012" i="2" s="1"/>
  <c r="N1028" i="2" a="1"/>
  <c r="N1028" i="2" s="1"/>
  <c r="N1043" i="2" a="1"/>
  <c r="N1043" i="2" s="1"/>
  <c r="N1050" i="2" a="1"/>
  <c r="N1050" i="2" s="1"/>
  <c r="N1134" i="2" a="1"/>
  <c r="N1134" i="2" s="1"/>
  <c r="N1142" i="2" a="1"/>
  <c r="N1142" i="2" s="1"/>
  <c r="N1159" i="2" a="1"/>
  <c r="N1159" i="2" s="1"/>
  <c r="M1201" i="2"/>
  <c r="M1181" i="2"/>
  <c r="M1189" i="2"/>
  <c r="M1185" i="2"/>
  <c r="M1192" i="2"/>
  <c r="M1174" i="2"/>
  <c r="M1202" i="2"/>
  <c r="N1422" i="2" a="1"/>
  <c r="N1422" i="2" s="1"/>
  <c r="N1272" i="2" a="1"/>
  <c r="N1272" i="2" s="1"/>
  <c r="N1286" i="2" a="1"/>
  <c r="N1286" i="2" s="1"/>
  <c r="N1293" i="2" a="1"/>
  <c r="N1293" i="2" s="1"/>
  <c r="N1307" i="2" a="1"/>
  <c r="N1307" i="2" s="1"/>
  <c r="N1352" i="2" a="1"/>
  <c r="N1352" i="2" s="1"/>
  <c r="N1369" i="2" a="1"/>
  <c r="N1369" i="2" s="1"/>
  <c r="N1378" i="2" a="1"/>
  <c r="N1378" i="2" s="1"/>
  <c r="N1287" i="2" a="1"/>
  <c r="N1287" i="2" s="1"/>
  <c r="N1300" i="2" a="1"/>
  <c r="N1300" i="2" s="1"/>
  <c r="N1308" i="2" a="1"/>
  <c r="N1308" i="2" s="1"/>
  <c r="N1334" i="2" a="1"/>
  <c r="N1334" i="2" s="1"/>
  <c r="N1353" i="2" a="1"/>
  <c r="N1353" i="2" s="1"/>
  <c r="N1362" i="2" a="1"/>
  <c r="N1362" i="2" s="1"/>
  <c r="N1385" i="2" a="1"/>
  <c r="N1385" i="2" s="1"/>
  <c r="N1381" i="2" a="1"/>
  <c r="N1381" i="2" s="1"/>
  <c r="N1376" i="2" a="1"/>
  <c r="N1376" i="2" s="1"/>
  <c r="N1371" i="2" a="1"/>
  <c r="N1371" i="2" s="1"/>
  <c r="N1366" i="2" a="1"/>
  <c r="N1366" i="2" s="1"/>
  <c r="N1361" i="2" a="1"/>
  <c r="N1361" i="2" s="1"/>
  <c r="N1356" i="2" a="1"/>
  <c r="N1356" i="2" s="1"/>
  <c r="N1351" i="2" a="1"/>
  <c r="N1351" i="2" s="1"/>
  <c r="N1346" i="2" a="1"/>
  <c r="N1346" i="2" s="1"/>
  <c r="N1341" i="2" a="1"/>
  <c r="N1341" i="2" s="1"/>
  <c r="N1336" i="2" a="1"/>
  <c r="N1336" i="2" s="1"/>
  <c r="N1331" i="2" a="1"/>
  <c r="N1331" i="2" s="1"/>
  <c r="N1326" i="2" a="1"/>
  <c r="N1326" i="2" s="1"/>
  <c r="N1321" i="2" a="1"/>
  <c r="N1321" i="2" s="1"/>
  <c r="N1316" i="2" a="1"/>
  <c r="N1316" i="2" s="1"/>
  <c r="N1311" i="2" a="1"/>
  <c r="N1311" i="2" s="1"/>
  <c r="N1386" i="2" a="1"/>
  <c r="N1386" i="2" s="1"/>
  <c r="N1380" i="2" a="1"/>
  <c r="N1380" i="2" s="1"/>
  <c r="N1375" i="2" a="1"/>
  <c r="N1375" i="2" s="1"/>
  <c r="N1370" i="2" a="1"/>
  <c r="N1370" i="2" s="1"/>
  <c r="N1365" i="2" a="1"/>
  <c r="N1365" i="2" s="1"/>
  <c r="N1360" i="2" a="1"/>
  <c r="N1360" i="2" s="1"/>
  <c r="N1355" i="2" a="1"/>
  <c r="N1355" i="2" s="1"/>
  <c r="N1350" i="2" a="1"/>
  <c r="N1350" i="2" s="1"/>
  <c r="N1345" i="2" a="1"/>
  <c r="N1345" i="2" s="1"/>
  <c r="N1340" i="2" a="1"/>
  <c r="N1340" i="2" s="1"/>
  <c r="N1335" i="2" a="1"/>
  <c r="N1335" i="2" s="1"/>
  <c r="N1330" i="2" a="1"/>
  <c r="N1330" i="2" s="1"/>
  <c r="N1325" i="2" a="1"/>
  <c r="N1325" i="2" s="1"/>
  <c r="N1320" i="2" a="1"/>
  <c r="N1320" i="2" s="1"/>
  <c r="N1315" i="2" a="1"/>
  <c r="N1315" i="2" s="1"/>
  <c r="N1310" i="2" a="1"/>
  <c r="N1310" i="2" s="1"/>
  <c r="N1305" i="2" a="1"/>
  <c r="N1305" i="2" s="1"/>
  <c r="N1367" i="2" a="1"/>
  <c r="N1367" i="2" s="1"/>
  <c r="N1359" i="2" a="1"/>
  <c r="N1359" i="2" s="1"/>
  <c r="N1338" i="2" a="1"/>
  <c r="N1338" i="2" s="1"/>
  <c r="N1317" i="2" a="1"/>
  <c r="N1317" i="2" s="1"/>
  <c r="N1309" i="2" a="1"/>
  <c r="N1309" i="2" s="1"/>
  <c r="N1303" i="2" a="1"/>
  <c r="N1303" i="2" s="1"/>
  <c r="N1292" i="2" a="1"/>
  <c r="N1292" i="2" s="1"/>
  <c r="N1281" i="2" a="1"/>
  <c r="N1281" i="2" s="1"/>
  <c r="N1275" i="2" a="1"/>
  <c r="N1275" i="2" s="1"/>
  <c r="N1372" i="2" a="1"/>
  <c r="N1372" i="2" s="1"/>
  <c r="N1364" i="2" a="1"/>
  <c r="N1364" i="2" s="1"/>
  <c r="N1343" i="2" a="1"/>
  <c r="N1343" i="2" s="1"/>
  <c r="N1322" i="2" a="1"/>
  <c r="N1322" i="2" s="1"/>
  <c r="N1314" i="2" a="1"/>
  <c r="N1314" i="2" s="1"/>
  <c r="N1296" i="2" a="1"/>
  <c r="N1296" i="2" s="1"/>
  <c r="N1290" i="2" a="1"/>
  <c r="N1290" i="2" s="1"/>
  <c r="N1279" i="2" a="1"/>
  <c r="N1279" i="2" s="1"/>
  <c r="N1274" i="2" a="1"/>
  <c r="N1274" i="2" s="1"/>
  <c r="N1288" i="2" a="1"/>
  <c r="N1288" i="2" s="1"/>
  <c r="N1302" i="2" a="1"/>
  <c r="N1302" i="2" s="1"/>
  <c r="N1337" i="2" a="1"/>
  <c r="N1337" i="2" s="1"/>
  <c r="N1354" i="2" a="1"/>
  <c r="N1354" i="2" s="1"/>
  <c r="N1363" i="2" a="1"/>
  <c r="N1363" i="2" s="1"/>
  <c r="N1382" i="2" a="1"/>
  <c r="N1382" i="2" s="1"/>
  <c r="L1170" i="2" a="1"/>
  <c r="N1265" i="2" s="1" a="1"/>
  <c r="N1265" i="2" s="1"/>
  <c r="N1269" i="2" a="1"/>
  <c r="N1269" i="2" s="1"/>
  <c r="N1283" i="2" a="1"/>
  <c r="N1283" i="2" s="1"/>
  <c r="N1297" i="2" a="1"/>
  <c r="N1297" i="2" s="1"/>
  <c r="N1304" i="2" a="1"/>
  <c r="N1304" i="2" s="1"/>
  <c r="N1339" i="2" a="1"/>
  <c r="N1339" i="2" s="1"/>
  <c r="N1348" i="2" a="1"/>
  <c r="N1348" i="2" s="1"/>
  <c r="N1357" i="2" a="1"/>
  <c r="N1357" i="2" s="1"/>
  <c r="N1474" i="2" a="1"/>
  <c r="N1474" i="2" s="1"/>
  <c r="N1546" i="2" a="1"/>
  <c r="N1546" i="2" s="1"/>
  <c r="N1653" i="2" a="1"/>
  <c r="N1653" i="2" s="1"/>
  <c r="N1676" i="2" a="1"/>
  <c r="N1676" i="2" s="1"/>
  <c r="N1699" i="2" a="1"/>
  <c r="N1699" i="2" s="1"/>
  <c r="M1773" i="2"/>
  <c r="N2231" i="2" a="1"/>
  <c r="N2231" i="2" s="1"/>
  <c r="N2221" i="2" a="1"/>
  <c r="N2221" i="2" s="1"/>
  <c r="N2211" i="2" a="1"/>
  <c r="N2211" i="2" s="1"/>
  <c r="N2201" i="2" a="1"/>
  <c r="N2201" i="2" s="1"/>
  <c r="N2191" i="2" a="1"/>
  <c r="N2191" i="2" s="1"/>
  <c r="N2181" i="2" a="1"/>
  <c r="N2181" i="2" s="1"/>
  <c r="N2171" i="2" a="1"/>
  <c r="N2171" i="2" s="1"/>
  <c r="N2217" i="2" a="1"/>
  <c r="N2217" i="2" s="1"/>
  <c r="N2206" i="2" a="1"/>
  <c r="N2206" i="2" s="1"/>
  <c r="N2195" i="2" a="1"/>
  <c r="N2195" i="2" s="1"/>
  <c r="N2180" i="2" a="1"/>
  <c r="N2180" i="2" s="1"/>
  <c r="N2169" i="2" a="1"/>
  <c r="N2169" i="2" s="1"/>
  <c r="N2159" i="2" a="1"/>
  <c r="N2159" i="2" s="1"/>
  <c r="N2149" i="2" a="1"/>
  <c r="N2149" i="2" s="1"/>
  <c r="N2139" i="2" a="1"/>
  <c r="N2139" i="2" s="1"/>
  <c r="N2129" i="2" a="1"/>
  <c r="N2129" i="2" s="1"/>
  <c r="N2119" i="2" a="1"/>
  <c r="N2119" i="2" s="1"/>
  <c r="N2109" i="2" a="1"/>
  <c r="N2109" i="2" s="1"/>
  <c r="N2099" i="2" a="1"/>
  <c r="N2099" i="2" s="1"/>
  <c r="N2089" i="2" a="1"/>
  <c r="N2089" i="2" s="1"/>
  <c r="N2079" i="2" a="1"/>
  <c r="N2079" i="2" s="1"/>
  <c r="N2069" i="2" a="1"/>
  <c r="N2069" i="2" s="1"/>
  <c r="N2059" i="2" a="1"/>
  <c r="N2059" i="2" s="1"/>
  <c r="N2049" i="2" a="1"/>
  <c r="N2049" i="2" s="1"/>
  <c r="N2039" i="2" a="1"/>
  <c r="N2039" i="2" s="1"/>
  <c r="N2029" i="2" a="1"/>
  <c r="N2029" i="2" s="1"/>
  <c r="N2019" i="2" a="1"/>
  <c r="N2019" i="2" s="1"/>
  <c r="N2009" i="2" a="1"/>
  <c r="N2009" i="2" s="1"/>
  <c r="N1999" i="2" a="1"/>
  <c r="N1999" i="2" s="1"/>
  <c r="N1989" i="2" a="1"/>
  <c r="N1989" i="2" s="1"/>
  <c r="N1979" i="2" a="1"/>
  <c r="N1979" i="2" s="1"/>
  <c r="N1969" i="2" a="1"/>
  <c r="N1969" i="2" s="1"/>
  <c r="N1959" i="2" a="1"/>
  <c r="N1959" i="2" s="1"/>
  <c r="N1949" i="2" a="1"/>
  <c r="N1949" i="2" s="1"/>
  <c r="N1939" i="2" a="1"/>
  <c r="N1939" i="2" s="1"/>
  <c r="N1929" i="2" a="1"/>
  <c r="N1929" i="2" s="1"/>
  <c r="N1919" i="2" a="1"/>
  <c r="N1919" i="2" s="1"/>
  <c r="N1909" i="2" a="1"/>
  <c r="N1909" i="2" s="1"/>
  <c r="N2224" i="2" a="1"/>
  <c r="N2224" i="2" s="1"/>
  <c r="N2220" i="2" a="1"/>
  <c r="N2220" i="2" s="1"/>
  <c r="N2216" i="2" a="1"/>
  <c r="N2216" i="2" s="1"/>
  <c r="N2212" i="2" a="1"/>
  <c r="N2212" i="2" s="1"/>
  <c r="N2208" i="2" a="1"/>
  <c r="N2208" i="2" s="1"/>
  <c r="N2187" i="2" a="1"/>
  <c r="N2187" i="2" s="1"/>
  <c r="N2183" i="2" a="1"/>
  <c r="N2183" i="2" s="1"/>
  <c r="N2179" i="2" a="1"/>
  <c r="N2179" i="2" s="1"/>
  <c r="N2175" i="2" a="1"/>
  <c r="N2175" i="2" s="1"/>
  <c r="N2167" i="2" a="1"/>
  <c r="N2167" i="2" s="1"/>
  <c r="N2156" i="2" a="1"/>
  <c r="N2156" i="2" s="1"/>
  <c r="N2152" i="2" a="1"/>
  <c r="N2152" i="2" s="1"/>
  <c r="N2141" i="2" a="1"/>
  <c r="N2141" i="2" s="1"/>
  <c r="N2130" i="2" a="1"/>
  <c r="N2130" i="2" s="1"/>
  <c r="N2115" i="2" a="1"/>
  <c r="N2115" i="2" s="1"/>
  <c r="N2104" i="2" a="1"/>
  <c r="N2104" i="2" s="1"/>
  <c r="N2093" i="2" a="1"/>
  <c r="N2093" i="2" s="1"/>
  <c r="N2078" i="2" a="1"/>
  <c r="N2078" i="2" s="1"/>
  <c r="N2067" i="2" a="1"/>
  <c r="N2067" i="2" s="1"/>
  <c r="N2056" i="2" a="1"/>
  <c r="N2056" i="2" s="1"/>
  <c r="N2052" i="2" a="1"/>
  <c r="N2052" i="2" s="1"/>
  <c r="N2041" i="2" a="1"/>
  <c r="N2041" i="2" s="1"/>
  <c r="N2030" i="2" a="1"/>
  <c r="N2030" i="2" s="1"/>
  <c r="N2015" i="2" a="1"/>
  <c r="N2015" i="2" s="1"/>
  <c r="N2004" i="2" a="1"/>
  <c r="N2004" i="2" s="1"/>
  <c r="N1993" i="2" a="1"/>
  <c r="N1993" i="2" s="1"/>
  <c r="N1978" i="2" a="1"/>
  <c r="N1978" i="2" s="1"/>
  <c r="N1967" i="2" a="1"/>
  <c r="N1967" i="2" s="1"/>
  <c r="N1956" i="2" a="1"/>
  <c r="N1956" i="2" s="1"/>
  <c r="N1952" i="2" a="1"/>
  <c r="N1952" i="2" s="1"/>
  <c r="N1941" i="2" a="1"/>
  <c r="N1941" i="2" s="1"/>
  <c r="N1930" i="2" a="1"/>
  <c r="N1930" i="2" s="1"/>
  <c r="N1915" i="2" a="1"/>
  <c r="N1915" i="2" s="1"/>
  <c r="N1904" i="2" a="1"/>
  <c r="N1904" i="2" s="1"/>
  <c r="N2228" i="2" a="1"/>
  <c r="N2228" i="2" s="1"/>
  <c r="N2163" i="2" a="1"/>
  <c r="N2163" i="2" s="1"/>
  <c r="N2148" i="2" a="1"/>
  <c r="N2148" i="2" s="1"/>
  <c r="N2137" i="2" a="1"/>
  <c r="N2137" i="2" s="1"/>
  <c r="N2126" i="2" a="1"/>
  <c r="N2126" i="2" s="1"/>
  <c r="N2122" i="2" a="1"/>
  <c r="N2122" i="2" s="1"/>
  <c r="N2111" i="2" a="1"/>
  <c r="N2111" i="2" s="1"/>
  <c r="N2100" i="2" a="1"/>
  <c r="N2100" i="2" s="1"/>
  <c r="N2227" i="2" a="1"/>
  <c r="N2227" i="2" s="1"/>
  <c r="N2223" i="2" a="1"/>
  <c r="N2223" i="2" s="1"/>
  <c r="N2219" i="2" a="1"/>
  <c r="N2219" i="2" s="1"/>
  <c r="N2215" i="2" a="1"/>
  <c r="N2215" i="2" s="1"/>
  <c r="N2194" i="2" a="1"/>
  <c r="N2194" i="2" s="1"/>
  <c r="N2190" i="2" a="1"/>
  <c r="N2190" i="2" s="1"/>
  <c r="N2186" i="2" a="1"/>
  <c r="N2186" i="2" s="1"/>
  <c r="N2182" i="2" a="1"/>
  <c r="N2182" i="2" s="1"/>
  <c r="N2178" i="2" a="1"/>
  <c r="N2178" i="2" s="1"/>
  <c r="N2166" i="2" a="1"/>
  <c r="N2166" i="2" s="1"/>
  <c r="N2162" i="2" a="1"/>
  <c r="N2162" i="2" s="1"/>
  <c r="N2151" i="2" a="1"/>
  <c r="N2151" i="2" s="1"/>
  <c r="N2140" i="2" a="1"/>
  <c r="N2140" i="2" s="1"/>
  <c r="N2125" i="2" a="1"/>
  <c r="N2125" i="2" s="1"/>
  <c r="N2114" i="2" a="1"/>
  <c r="N2114" i="2" s="1"/>
  <c r="N2103" i="2" a="1"/>
  <c r="N2103" i="2" s="1"/>
  <c r="N2202" i="2" a="1"/>
  <c r="N2202" i="2" s="1"/>
  <c r="N2198" i="2" a="1"/>
  <c r="N2198" i="2" s="1"/>
  <c r="N2158" i="2" a="1"/>
  <c r="N2158" i="2" s="1"/>
  <c r="N2147" i="2" a="1"/>
  <c r="N2147" i="2" s="1"/>
  <c r="N2136" i="2" a="1"/>
  <c r="N2136" i="2" s="1"/>
  <c r="N2132" i="2" a="1"/>
  <c r="N2132" i="2" s="1"/>
  <c r="N2121" i="2" a="1"/>
  <c r="N2121" i="2" s="1"/>
  <c r="N2229" i="2" a="1"/>
  <c r="N2229" i="2" s="1"/>
  <c r="N2218" i="2" a="1"/>
  <c r="N2218" i="2" s="1"/>
  <c r="N2197" i="2" a="1"/>
  <c r="N2197" i="2" s="1"/>
  <c r="N2184" i="2" a="1"/>
  <c r="N2184" i="2" s="1"/>
  <c r="N2170" i="2" a="1"/>
  <c r="N2170" i="2" s="1"/>
  <c r="N2164" i="2" a="1"/>
  <c r="N2164" i="2" s="1"/>
  <c r="N2209" i="2" a="1"/>
  <c r="N2209" i="2" s="1"/>
  <c r="N2196" i="2" a="1"/>
  <c r="N2196" i="2" s="1"/>
  <c r="N2168" i="2" a="1"/>
  <c r="N2168" i="2" s="1"/>
  <c r="N2143" i="2" a="1"/>
  <c r="N2143" i="2" s="1"/>
  <c r="N2131" i="2" a="1"/>
  <c r="N2131" i="2" s="1"/>
  <c r="N2107" i="2" a="1"/>
  <c r="N2107" i="2" s="1"/>
  <c r="N2097" i="2" a="1"/>
  <c r="N2097" i="2" s="1"/>
  <c r="N2091" i="2" a="1"/>
  <c r="N2091" i="2" s="1"/>
  <c r="N2087" i="2" a="1"/>
  <c r="N2087" i="2" s="1"/>
  <c r="N2083" i="2" a="1"/>
  <c r="N2083" i="2" s="1"/>
  <c r="N2062" i="2" a="1"/>
  <c r="N2062" i="2" s="1"/>
  <c r="N2058" i="2" a="1"/>
  <c r="N2058" i="2" s="1"/>
  <c r="N2054" i="2" a="1"/>
  <c r="N2054" i="2" s="1"/>
  <c r="N2050" i="2" a="1"/>
  <c r="N2050" i="2" s="1"/>
  <c r="N2046" i="2" a="1"/>
  <c r="N2046" i="2" s="1"/>
  <c r="N2025" i="2" a="1"/>
  <c r="N2025" i="2" s="1"/>
  <c r="N2021" i="2" a="1"/>
  <c r="N2021" i="2" s="1"/>
  <c r="N2017" i="2" a="1"/>
  <c r="N2017" i="2" s="1"/>
  <c r="N2013" i="2" a="1"/>
  <c r="N2013" i="2" s="1"/>
  <c r="N1992" i="2" a="1"/>
  <c r="N1992" i="2" s="1"/>
  <c r="N1988" i="2" a="1"/>
  <c r="N1988" i="2" s="1"/>
  <c r="N1984" i="2" a="1"/>
  <c r="N1984" i="2" s="1"/>
  <c r="N1980" i="2" a="1"/>
  <c r="N1980" i="2" s="1"/>
  <c r="N1976" i="2" a="1"/>
  <c r="N1976" i="2" s="1"/>
  <c r="N1955" i="2" a="1"/>
  <c r="N1955" i="2" s="1"/>
  <c r="N1951" i="2" a="1"/>
  <c r="N1951" i="2" s="1"/>
  <c r="N1947" i="2" a="1"/>
  <c r="N1947" i="2" s="1"/>
  <c r="N1943" i="2" a="1"/>
  <c r="N1943" i="2" s="1"/>
  <c r="N1922" i="2" a="1"/>
  <c r="N1922" i="2" s="1"/>
  <c r="N1918" i="2" a="1"/>
  <c r="N1918" i="2" s="1"/>
  <c r="N1914" i="2" a="1"/>
  <c r="N1914" i="2" s="1"/>
  <c r="N1910" i="2" a="1"/>
  <c r="N1910" i="2" s="1"/>
  <c r="N1906" i="2" a="1"/>
  <c r="N1906" i="2" s="1"/>
  <c r="N2222" i="2" a="1"/>
  <c r="N2222" i="2" s="1"/>
  <c r="N2155" i="2" a="1"/>
  <c r="N2155" i="2" s="1"/>
  <c r="N2133" i="2" a="1"/>
  <c r="N2133" i="2" s="1"/>
  <c r="N2112" i="2" a="1"/>
  <c r="N2112" i="2" s="1"/>
  <c r="N2106" i="2" a="1"/>
  <c r="N2106" i="2" s="1"/>
  <c r="N2080" i="2" a="1"/>
  <c r="N2080" i="2" s="1"/>
  <c r="N2071" i="2" a="1"/>
  <c r="N2071" i="2" s="1"/>
  <c r="N2066" i="2" a="1"/>
  <c r="N2066" i="2" s="1"/>
  <c r="N2057" i="2" a="1"/>
  <c r="N2057" i="2" s="1"/>
  <c r="N2016" i="2" a="1"/>
  <c r="N2016" i="2" s="1"/>
  <c r="N2011" i="2" a="1"/>
  <c r="N2011" i="2" s="1"/>
  <c r="N2002" i="2" a="1"/>
  <c r="N2002" i="2" s="1"/>
  <c r="N1970" i="2" a="1"/>
  <c r="N1970" i="2" s="1"/>
  <c r="N1961" i="2" a="1"/>
  <c r="N1961" i="2" s="1"/>
  <c r="N1938" i="2" a="1"/>
  <c r="N1938" i="2" s="1"/>
  <c r="N1920" i="2" a="1"/>
  <c r="N1920" i="2" s="1"/>
  <c r="N2230" i="2" a="1"/>
  <c r="N2230" i="2" s="1"/>
  <c r="N2204" i="2" a="1"/>
  <c r="N2204" i="2" s="1"/>
  <c r="N2161" i="2" a="1"/>
  <c r="N2161" i="2" s="1"/>
  <c r="N2124" i="2" a="1"/>
  <c r="N2124" i="2" s="1"/>
  <c r="N2117" i="2" a="1"/>
  <c r="N2117" i="2" s="1"/>
  <c r="N2105" i="2" a="1"/>
  <c r="N2105" i="2" s="1"/>
  <c r="N2088" i="2" a="1"/>
  <c r="N2088" i="2" s="1"/>
  <c r="N2074" i="2" a="1"/>
  <c r="N2074" i="2" s="1"/>
  <c r="N2065" i="2" a="1"/>
  <c r="N2065" i="2" s="1"/>
  <c r="N2047" i="2" a="1"/>
  <c r="N2047" i="2" s="1"/>
  <c r="N2038" i="2" a="1"/>
  <c r="N2038" i="2" s="1"/>
  <c r="N2033" i="2" a="1"/>
  <c r="N2033" i="2" s="1"/>
  <c r="N2024" i="2" a="1"/>
  <c r="N2024" i="2" s="1"/>
  <c r="N2006" i="2" a="1"/>
  <c r="N2006" i="2" s="1"/>
  <c r="N1997" i="2" a="1"/>
  <c r="N1997" i="2" s="1"/>
  <c r="N1983" i="2" a="1"/>
  <c r="N1983" i="2" s="1"/>
  <c r="N1937" i="2" a="1"/>
  <c r="N1937" i="2" s="1"/>
  <c r="N1928" i="2" a="1"/>
  <c r="N1928" i="2" s="1"/>
  <c r="N1905" i="2" a="1"/>
  <c r="N1905" i="2" s="1"/>
  <c r="N2203" i="2" a="1"/>
  <c r="N2203" i="2" s="1"/>
  <c r="N2177" i="2" a="1"/>
  <c r="N2177" i="2" s="1"/>
  <c r="N2146" i="2" a="1"/>
  <c r="N2146" i="2" s="1"/>
  <c r="N2138" i="2" a="1"/>
  <c r="N2138" i="2" s="1"/>
  <c r="N2110" i="2" a="1"/>
  <c r="N2110" i="2" s="1"/>
  <c r="N2210" i="2" a="1"/>
  <c r="N2210" i="2" s="1"/>
  <c r="N2193" i="2" a="1"/>
  <c r="N2193" i="2" s="1"/>
  <c r="N2185" i="2" a="1"/>
  <c r="N2185" i="2" s="1"/>
  <c r="N2176" i="2" a="1"/>
  <c r="N2176" i="2" s="1"/>
  <c r="N2153" i="2" a="1"/>
  <c r="N2153" i="2" s="1"/>
  <c r="N2145" i="2" a="1"/>
  <c r="N2145" i="2" s="1"/>
  <c r="N2098" i="2" a="1"/>
  <c r="N2098" i="2" s="1"/>
  <c r="N2092" i="2" a="1"/>
  <c r="N2092" i="2" s="1"/>
  <c r="N2060" i="2" a="1"/>
  <c r="N2060" i="2" s="1"/>
  <c r="N2055" i="2" a="1"/>
  <c r="N2055" i="2" s="1"/>
  <c r="N2032" i="2" a="1"/>
  <c r="N2032" i="2" s="1"/>
  <c r="N2014" i="2" a="1"/>
  <c r="N2014" i="2" s="1"/>
  <c r="N2005" i="2" a="1"/>
  <c r="N2005" i="2" s="1"/>
  <c r="N2000" i="2" a="1"/>
  <c r="N2000" i="2" s="1"/>
  <c r="N1991" i="2" a="1"/>
  <c r="N1991" i="2" s="1"/>
  <c r="N1982" i="2" a="1"/>
  <c r="N1982" i="2" s="1"/>
  <c r="N1973" i="2" a="1"/>
  <c r="N1973" i="2" s="1"/>
  <c r="N1964" i="2" a="1"/>
  <c r="N1964" i="2" s="1"/>
  <c r="N1950" i="2" a="1"/>
  <c r="N1950" i="2" s="1"/>
  <c r="N1923" i="2" a="1"/>
  <c r="N1923" i="2" s="1"/>
  <c r="N2226" i="2" a="1"/>
  <c r="N2226" i="2" s="1"/>
  <c r="N2174" i="2" a="1"/>
  <c r="N2174" i="2" s="1"/>
  <c r="N2135" i="2" a="1"/>
  <c r="N2135" i="2" s="1"/>
  <c r="N2128" i="2" a="1"/>
  <c r="N2128" i="2" s="1"/>
  <c r="N2077" i="2" a="1"/>
  <c r="N2077" i="2" s="1"/>
  <c r="N2068" i="2" a="1"/>
  <c r="N2068" i="2" s="1"/>
  <c r="N2045" i="2" a="1"/>
  <c r="N2045" i="2" s="1"/>
  <c r="N2036" i="2" a="1"/>
  <c r="N2036" i="2" s="1"/>
  <c r="N2027" i="2" a="1"/>
  <c r="N2027" i="2" s="1"/>
  <c r="N2022" i="2" a="1"/>
  <c r="N2022" i="2" s="1"/>
  <c r="N1986" i="2" a="1"/>
  <c r="N1986" i="2" s="1"/>
  <c r="N1981" i="2" a="1"/>
  <c r="N1981" i="2" s="1"/>
  <c r="N1972" i="2" a="1"/>
  <c r="N1972" i="2" s="1"/>
  <c r="N1958" i="2" a="1"/>
  <c r="N1958" i="2" s="1"/>
  <c r="N1940" i="2" a="1"/>
  <c r="N1940" i="2" s="1"/>
  <c r="N1931" i="2" a="1"/>
  <c r="N1931" i="2" s="1"/>
  <c r="N1926" i="2" a="1"/>
  <c r="N1926" i="2" s="1"/>
  <c r="N1917" i="2" a="1"/>
  <c r="N1917" i="2" s="1"/>
  <c r="N1908" i="2" a="1"/>
  <c r="N1908" i="2" s="1"/>
  <c r="N2214" i="2" a="1"/>
  <c r="N2214" i="2" s="1"/>
  <c r="N2160" i="2" a="1"/>
  <c r="N2160" i="2" s="1"/>
  <c r="N2144" i="2" a="1"/>
  <c r="N2144" i="2" s="1"/>
  <c r="N2116" i="2" a="1"/>
  <c r="N2116" i="2" s="1"/>
  <c r="N2031" i="2" a="1"/>
  <c r="N2031" i="2" s="1"/>
  <c r="N2008" i="2" a="1"/>
  <c r="N2008" i="2" s="1"/>
  <c r="N2001" i="2" a="1"/>
  <c r="N2001" i="2" s="1"/>
  <c r="N1985" i="2" a="1"/>
  <c r="N1985" i="2" s="1"/>
  <c r="N1962" i="2" a="1"/>
  <c r="N1962" i="2" s="1"/>
  <c r="N1932" i="2" a="1"/>
  <c r="N1932" i="2" s="1"/>
  <c r="N1902" i="2" a="1"/>
  <c r="N1902" i="2" s="1"/>
  <c r="N2157" i="2" a="1"/>
  <c r="N2157" i="2" s="1"/>
  <c r="N2076" i="2" a="1"/>
  <c r="N2076" i="2" s="1"/>
  <c r="N2053" i="2" a="1"/>
  <c r="N2053" i="2" s="1"/>
  <c r="N2037" i="2" a="1"/>
  <c r="N2037" i="2" s="1"/>
  <c r="N2007" i="2" a="1"/>
  <c r="N2007" i="2" s="1"/>
  <c r="N1946" i="2" a="1"/>
  <c r="N1946" i="2" s="1"/>
  <c r="N1916" i="2" a="1"/>
  <c r="N1916" i="2" s="1"/>
  <c r="N1900" i="2" a="1"/>
  <c r="N1900" i="2" s="1"/>
  <c r="N2207" i="2" a="1"/>
  <c r="N2207" i="2" s="1"/>
  <c r="N2189" i="2" a="1"/>
  <c r="N2189" i="2" s="1"/>
  <c r="N2172" i="2" a="1"/>
  <c r="N2172" i="2" s="1"/>
  <c r="N2127" i="2" a="1"/>
  <c r="N2127" i="2" s="1"/>
  <c r="N2113" i="2" a="1"/>
  <c r="N2113" i="2" s="1"/>
  <c r="N2101" i="2" a="1"/>
  <c r="N2101" i="2" s="1"/>
  <c r="N2090" i="2" a="1"/>
  <c r="N2090" i="2" s="1"/>
  <c r="N2082" i="2" a="1"/>
  <c r="N2082" i="2" s="1"/>
  <c r="N2075" i="2" a="1"/>
  <c r="N2075" i="2" s="1"/>
  <c r="N2044" i="2" a="1"/>
  <c r="N2044" i="2" s="1"/>
  <c r="N1968" i="2" a="1"/>
  <c r="N1968" i="2" s="1"/>
  <c r="N1953" i="2" a="1"/>
  <c r="N1953" i="2" s="1"/>
  <c r="N1945" i="2" a="1"/>
  <c r="N1945" i="2" s="1"/>
  <c r="N1907" i="2" a="1"/>
  <c r="N1907" i="2" s="1"/>
  <c r="L1780" i="2" a="1"/>
  <c r="N2188" i="2" a="1"/>
  <c r="N2188" i="2" s="1"/>
  <c r="N2154" i="2" a="1"/>
  <c r="N2154" i="2" s="1"/>
  <c r="N2081" i="2" a="1"/>
  <c r="N2081" i="2" s="1"/>
  <c r="N2051" i="2" a="1"/>
  <c r="N2051" i="2" s="1"/>
  <c r="N2028" i="2" a="1"/>
  <c r="N2028" i="2" s="1"/>
  <c r="N1998" i="2" a="1"/>
  <c r="N1998" i="2" s="1"/>
  <c r="N1990" i="2" a="1"/>
  <c r="N1990" i="2" s="1"/>
  <c r="N1975" i="2" a="1"/>
  <c r="N1975" i="2" s="1"/>
  <c r="N1960" i="2" a="1"/>
  <c r="N1960" i="2" s="1"/>
  <c r="N1944" i="2" a="1"/>
  <c r="N1944" i="2" s="1"/>
  <c r="N1921" i="2" a="1"/>
  <c r="N1921" i="2" s="1"/>
  <c r="N2225" i="2" a="1"/>
  <c r="N2225" i="2" s="1"/>
  <c r="N2205" i="2" a="1"/>
  <c r="N2205" i="2" s="1"/>
  <c r="N2123" i="2" a="1"/>
  <c r="N2123" i="2" s="1"/>
  <c r="N2073" i="2" a="1"/>
  <c r="N2073" i="2" s="1"/>
  <c r="N2043" i="2" a="1"/>
  <c r="N2043" i="2" s="1"/>
  <c r="N2035" i="2" a="1"/>
  <c r="N2035" i="2" s="1"/>
  <c r="N2020" i="2" a="1"/>
  <c r="N2020" i="2" s="1"/>
  <c r="N2012" i="2" a="1"/>
  <c r="N2012" i="2" s="1"/>
  <c r="N1974" i="2" a="1"/>
  <c r="N1974" i="2" s="1"/>
  <c r="N1936" i="2" a="1"/>
  <c r="N1936" i="2" s="1"/>
  <c r="N1913" i="2" a="1"/>
  <c r="N1913" i="2" s="1"/>
  <c r="N2200" i="2" a="1"/>
  <c r="N2200" i="2" s="1"/>
  <c r="N2165" i="2" a="1"/>
  <c r="N2165" i="2" s="1"/>
  <c r="N2150" i="2" a="1"/>
  <c r="N2150" i="2" s="1"/>
  <c r="N2096" i="2" a="1"/>
  <c r="N2096" i="2" s="1"/>
  <c r="N2072" i="2" a="1"/>
  <c r="N2072" i="2" s="1"/>
  <c r="N2042" i="2" a="1"/>
  <c r="N2042" i="2" s="1"/>
  <c r="N1996" i="2" a="1"/>
  <c r="N1996" i="2" s="1"/>
  <c r="N1966" i="2" a="1"/>
  <c r="N1966" i="2" s="1"/>
  <c r="N1935" i="2" a="1"/>
  <c r="N1935" i="2" s="1"/>
  <c r="N1912" i="2" a="1"/>
  <c r="N1912" i="2" s="1"/>
  <c r="N2173" i="2" a="1"/>
  <c r="N2173" i="2" s="1"/>
  <c r="N2134" i="2" a="1"/>
  <c r="N2134" i="2" s="1"/>
  <c r="N2102" i="2" a="1"/>
  <c r="N2102" i="2" s="1"/>
  <c r="N2061" i="2" a="1"/>
  <c r="N2061" i="2" s="1"/>
  <c r="N2040" i="2" a="1"/>
  <c r="N2040" i="2" s="1"/>
  <c r="N2023" i="2" a="1"/>
  <c r="N2023" i="2" s="1"/>
  <c r="N2095" i="2" a="1"/>
  <c r="N2095" i="2" s="1"/>
  <c r="N2018" i="2" a="1"/>
  <c r="N2018" i="2" s="1"/>
  <c r="N1963" i="2" a="1"/>
  <c r="N1963" i="2" s="1"/>
  <c r="N1942" i="2" a="1"/>
  <c r="N1942" i="2" s="1"/>
  <c r="N1925" i="2" a="1"/>
  <c r="N1925" i="2" s="1"/>
  <c r="N2213" i="2" a="1"/>
  <c r="N2213" i="2" s="1"/>
  <c r="N1924" i="2" a="1"/>
  <c r="N1924" i="2" s="1"/>
  <c r="N1903" i="2" a="1"/>
  <c r="N1903" i="2" s="1"/>
  <c r="N2199" i="2" a="1"/>
  <c r="N2199" i="2" s="1"/>
  <c r="N2094" i="2" a="1"/>
  <c r="N2094" i="2" s="1"/>
  <c r="N2034" i="2" a="1"/>
  <c r="N2034" i="2" s="1"/>
  <c r="N1995" i="2" a="1"/>
  <c r="N1995" i="2" s="1"/>
  <c r="N2120" i="2" a="1"/>
  <c r="N2120" i="2" s="1"/>
  <c r="N1977" i="2" a="1"/>
  <c r="N1977" i="2" s="1"/>
  <c r="N1957" i="2" a="1"/>
  <c r="N1957" i="2" s="1"/>
  <c r="N1901" i="2" a="1"/>
  <c r="N1901" i="2" s="1"/>
  <c r="N2118" i="2" a="1"/>
  <c r="N2118" i="2" s="1"/>
  <c r="N2070" i="2" a="1"/>
  <c r="N2070" i="2" s="1"/>
  <c r="N1994" i="2" a="1"/>
  <c r="N1994" i="2" s="1"/>
  <c r="N2192" i="2" a="1"/>
  <c r="N2192" i="2" s="1"/>
  <c r="N2086" i="2" a="1"/>
  <c r="N2086" i="2" s="1"/>
  <c r="N2048" i="2" a="1"/>
  <c r="N2048" i="2" s="1"/>
  <c r="N2010" i="2" a="1"/>
  <c r="N2010" i="2" s="1"/>
  <c r="N1954" i="2" a="1"/>
  <c r="N1954" i="2" s="1"/>
  <c r="N1934" i="2" a="1"/>
  <c r="N1934" i="2" s="1"/>
  <c r="N2003" i="2" a="1"/>
  <c r="N2003" i="2" s="1"/>
  <c r="N1965" i="2" a="1"/>
  <c r="N1965" i="2" s="1"/>
  <c r="N1948" i="2" a="1"/>
  <c r="N1948" i="2" s="1"/>
  <c r="N1927" i="2" a="1"/>
  <c r="N1927" i="2" s="1"/>
  <c r="N2063" i="2" a="1"/>
  <c r="N2063" i="2" s="1"/>
  <c r="K1780" i="2" a="1"/>
  <c r="N1971" i="2" a="1"/>
  <c r="N1971" i="2" s="1"/>
  <c r="N2064" i="2" a="1"/>
  <c r="N2064" i="2" s="1"/>
  <c r="N1987" i="2" a="1"/>
  <c r="N1987" i="2" s="1"/>
  <c r="N2084" i="2" a="1"/>
  <c r="N2084" i="2" s="1"/>
  <c r="N1685" i="2" a="1"/>
  <c r="N1685" i="2" s="1"/>
  <c r="N2085" i="2" a="1"/>
  <c r="N2085" i="2" s="1"/>
  <c r="N1911" i="2" a="1"/>
  <c r="N1911" i="2" s="1"/>
  <c r="N1778" i="2" a="1"/>
  <c r="N1778" i="2" s="1"/>
  <c r="N1768" i="2" a="1"/>
  <c r="N1768" i="2" s="1"/>
  <c r="N1758" i="2" a="1"/>
  <c r="N1758" i="2" s="1"/>
  <c r="N1748" i="2" a="1"/>
  <c r="N1748" i="2" s="1"/>
  <c r="N1738" i="2" a="1"/>
  <c r="N1738" i="2" s="1"/>
  <c r="N1728" i="2" a="1"/>
  <c r="N1728" i="2" s="1"/>
  <c r="N1718" i="2" a="1"/>
  <c r="N1718" i="2" s="1"/>
  <c r="N1708" i="2" a="1"/>
  <c r="N1708" i="2" s="1"/>
  <c r="N1698" i="2" a="1"/>
  <c r="N1698" i="2" s="1"/>
  <c r="N1688" i="2" a="1"/>
  <c r="N1688" i="2" s="1"/>
  <c r="N1678" i="2" a="1"/>
  <c r="N1678" i="2" s="1"/>
  <c r="N1668" i="2" a="1"/>
  <c r="N1668" i="2" s="1"/>
  <c r="N1658" i="2" a="1"/>
  <c r="N1658" i="2" s="1"/>
  <c r="N1648" i="2" a="1"/>
  <c r="N1648" i="2" s="1"/>
  <c r="N1638" i="2" a="1"/>
  <c r="N1638" i="2" s="1"/>
  <c r="N1628" i="2" a="1"/>
  <c r="N1628" i="2" s="1"/>
  <c r="N1618" i="2" a="1"/>
  <c r="N1618" i="2" s="1"/>
  <c r="N1608" i="2" a="1"/>
  <c r="N1608" i="2" s="1"/>
  <c r="N1598" i="2" a="1"/>
  <c r="N1598" i="2" s="1"/>
  <c r="N1588" i="2" a="1"/>
  <c r="N1588" i="2" s="1"/>
  <c r="N1578" i="2" a="1"/>
  <c r="N1578" i="2" s="1"/>
  <c r="N1568" i="2" a="1"/>
  <c r="N1568" i="2" s="1"/>
  <c r="N1558" i="2" a="1"/>
  <c r="N1558" i="2" s="1"/>
  <c r="N1548" i="2" a="1"/>
  <c r="N1548" i="2" s="1"/>
  <c r="N1775" i="2" a="1"/>
  <c r="N1775" i="2" s="1"/>
  <c r="N1771" i="2" a="1"/>
  <c r="N1771" i="2" s="1"/>
  <c r="N1760" i="2" a="1"/>
  <c r="N1760" i="2" s="1"/>
  <c r="N1749" i="2" a="1"/>
  <c r="N1749" i="2" s="1"/>
  <c r="N1734" i="2" a="1"/>
  <c r="N1734" i="2" s="1"/>
  <c r="N1723" i="2" a="1"/>
  <c r="N1723" i="2" s="1"/>
  <c r="N1712" i="2" a="1"/>
  <c r="N1712" i="2" s="1"/>
  <c r="N1697" i="2" a="1"/>
  <c r="N1697" i="2" s="1"/>
  <c r="N1686" i="2" a="1"/>
  <c r="N1686" i="2" s="1"/>
  <c r="N1675" i="2" a="1"/>
  <c r="N1675" i="2" s="1"/>
  <c r="N1671" i="2" a="1"/>
  <c r="N1671" i="2" s="1"/>
  <c r="N1660" i="2" a="1"/>
  <c r="N1660" i="2" s="1"/>
  <c r="N1649" i="2" a="1"/>
  <c r="N1649" i="2" s="1"/>
  <c r="N1634" i="2" a="1"/>
  <c r="N1634" i="2" s="1"/>
  <c r="N1623" i="2" a="1"/>
  <c r="N1623" i="2" s="1"/>
  <c r="N1612" i="2" a="1"/>
  <c r="N1612" i="2" s="1"/>
  <c r="N1597" i="2" a="1"/>
  <c r="N1597" i="2" s="1"/>
  <c r="N1586" i="2" a="1"/>
  <c r="N1586" i="2" s="1"/>
  <c r="N1575" i="2" a="1"/>
  <c r="N1575" i="2" s="1"/>
  <c r="N1571" i="2" a="1"/>
  <c r="N1571" i="2" s="1"/>
  <c r="N1560" i="2" a="1"/>
  <c r="N1560" i="2" s="1"/>
  <c r="N1549" i="2" a="1"/>
  <c r="N1549" i="2" s="1"/>
  <c r="N1535" i="2" a="1"/>
  <c r="N1535" i="2" s="1"/>
  <c r="N1525" i="2" a="1"/>
  <c r="N1525" i="2" s="1"/>
  <c r="N1515" i="2" a="1"/>
  <c r="N1515" i="2" s="1"/>
  <c r="N1505" i="2" a="1"/>
  <c r="N1505" i="2" s="1"/>
  <c r="N1495" i="2" a="1"/>
  <c r="N1495" i="2" s="1"/>
  <c r="N1435" i="2" a="1"/>
  <c r="N1435" i="2" s="1"/>
  <c r="N1774" i="2" a="1"/>
  <c r="N1774" i="2" s="1"/>
  <c r="N1763" i="2" a="1"/>
  <c r="N1763" i="2" s="1"/>
  <c r="N1752" i="2" a="1"/>
  <c r="N1752" i="2" s="1"/>
  <c r="N1737" i="2" a="1"/>
  <c r="N1737" i="2" s="1"/>
  <c r="N1726" i="2" a="1"/>
  <c r="N1726" i="2" s="1"/>
  <c r="N1715" i="2" a="1"/>
  <c r="N1715" i="2" s="1"/>
  <c r="N1711" i="2" a="1"/>
  <c r="N1711" i="2" s="1"/>
  <c r="N1700" i="2" a="1"/>
  <c r="N1700" i="2" s="1"/>
  <c r="N1689" i="2" a="1"/>
  <c r="N1689" i="2" s="1"/>
  <c r="N1674" i="2" a="1"/>
  <c r="N1674" i="2" s="1"/>
  <c r="N1663" i="2" a="1"/>
  <c r="N1663" i="2" s="1"/>
  <c r="N1652" i="2" a="1"/>
  <c r="N1652" i="2" s="1"/>
  <c r="N1637" i="2" a="1"/>
  <c r="N1637" i="2" s="1"/>
  <c r="N1626" i="2" a="1"/>
  <c r="N1626" i="2" s="1"/>
  <c r="N1615" i="2" a="1"/>
  <c r="N1615" i="2" s="1"/>
  <c r="N1611" i="2" a="1"/>
  <c r="N1611" i="2" s="1"/>
  <c r="N1600" i="2" a="1"/>
  <c r="N1600" i="2" s="1"/>
  <c r="N1589" i="2" a="1"/>
  <c r="N1589" i="2" s="1"/>
  <c r="N1574" i="2" a="1"/>
  <c r="N1574" i="2" s="1"/>
  <c r="N1563" i="2" a="1"/>
  <c r="N1563" i="2" s="1"/>
  <c r="N1552" i="2" a="1"/>
  <c r="N1552" i="2" s="1"/>
  <c r="N1541" i="2" a="1"/>
  <c r="N1541" i="2" s="1"/>
  <c r="N1531" i="2" a="1"/>
  <c r="N1531" i="2" s="1"/>
  <c r="N1521" i="2" a="1"/>
  <c r="N1521" i="2" s="1"/>
  <c r="N1511" i="2" a="1"/>
  <c r="N1511" i="2" s="1"/>
  <c r="N1501" i="2" a="1"/>
  <c r="N1501" i="2" s="1"/>
  <c r="N1770" i="2" a="1"/>
  <c r="N1770" i="2" s="1"/>
  <c r="N1759" i="2" a="1"/>
  <c r="N1759" i="2" s="1"/>
  <c r="N1744" i="2" a="1"/>
  <c r="N1744" i="2" s="1"/>
  <c r="N1733" i="2" a="1"/>
  <c r="N1733" i="2" s="1"/>
  <c r="N1722" i="2" a="1"/>
  <c r="N1722" i="2" s="1"/>
  <c r="N1707" i="2" a="1"/>
  <c r="N1707" i="2" s="1"/>
  <c r="N1777" i="2" a="1"/>
  <c r="N1777" i="2" s="1"/>
  <c r="N1766" i="2" a="1"/>
  <c r="N1766" i="2" s="1"/>
  <c r="N1755" i="2" a="1"/>
  <c r="N1755" i="2" s="1"/>
  <c r="N1751" i="2" a="1"/>
  <c r="N1751" i="2" s="1"/>
  <c r="N1740" i="2" a="1"/>
  <c r="N1740" i="2" s="1"/>
  <c r="N1729" i="2" a="1"/>
  <c r="N1729" i="2" s="1"/>
  <c r="N1714" i="2" a="1"/>
  <c r="N1714" i="2" s="1"/>
  <c r="N1703" i="2" a="1"/>
  <c r="N1703" i="2" s="1"/>
  <c r="N1773" i="2" a="1"/>
  <c r="N1773" i="2" s="1"/>
  <c r="N1762" i="2" a="1"/>
  <c r="N1762" i="2" s="1"/>
  <c r="N1747" i="2" a="1"/>
  <c r="N1747" i="2" s="1"/>
  <c r="N1736" i="2" a="1"/>
  <c r="N1736" i="2" s="1"/>
  <c r="N1725" i="2" a="1"/>
  <c r="N1725" i="2" s="1"/>
  <c r="N1721" i="2" a="1"/>
  <c r="N1721" i="2" s="1"/>
  <c r="N1710" i="2" a="1"/>
  <c r="N1710" i="2" s="1"/>
  <c r="N1779" i="2" a="1"/>
  <c r="N1779" i="2" s="1"/>
  <c r="N1764" i="2" a="1"/>
  <c r="N1764" i="2" s="1"/>
  <c r="N1742" i="2" a="1"/>
  <c r="N1742" i="2" s="1"/>
  <c r="N1727" i="2" a="1"/>
  <c r="N1727" i="2" s="1"/>
  <c r="N1705" i="2" a="1"/>
  <c r="N1705" i="2" s="1"/>
  <c r="N1693" i="2" a="1"/>
  <c r="N1693" i="2" s="1"/>
  <c r="N1656" i="2" a="1"/>
  <c r="N1656" i="2" s="1"/>
  <c r="N1651" i="2" a="1"/>
  <c r="N1651" i="2" s="1"/>
  <c r="N1619" i="2" a="1"/>
  <c r="N1619" i="2" s="1"/>
  <c r="N1614" i="2" a="1"/>
  <c r="N1614" i="2" s="1"/>
  <c r="N1591" i="2" a="1"/>
  <c r="N1591" i="2" s="1"/>
  <c r="N1582" i="2" a="1"/>
  <c r="N1582" i="2" s="1"/>
  <c r="N1577" i="2" a="1"/>
  <c r="N1577" i="2" s="1"/>
  <c r="N1554" i="2" a="1"/>
  <c r="N1554" i="2" s="1"/>
  <c r="N1545" i="2" a="1"/>
  <c r="N1545" i="2" s="1"/>
  <c r="N1528" i="2" a="1"/>
  <c r="N1528" i="2" s="1"/>
  <c r="N1507" i="2" a="1"/>
  <c r="N1507" i="2" s="1"/>
  <c r="N1503" i="2" a="1"/>
  <c r="N1503" i="2" s="1"/>
  <c r="N1499" i="2" a="1"/>
  <c r="N1499" i="2" s="1"/>
  <c r="N1756" i="2" a="1"/>
  <c r="N1756" i="2" s="1"/>
  <c r="N1741" i="2" a="1"/>
  <c r="N1741" i="2" s="1"/>
  <c r="N1719" i="2" a="1"/>
  <c r="N1719" i="2" s="1"/>
  <c r="N1704" i="2" a="1"/>
  <c r="N1704" i="2" s="1"/>
  <c r="N1679" i="2" a="1"/>
  <c r="N1679" i="2" s="1"/>
  <c r="N1665" i="2" a="1"/>
  <c r="N1665" i="2" s="1"/>
  <c r="N1642" i="2" a="1"/>
  <c r="N1642" i="2" s="1"/>
  <c r="N1605" i="2" a="1"/>
  <c r="N1605" i="2" s="1"/>
  <c r="N1581" i="2" a="1"/>
  <c r="N1581" i="2" s="1"/>
  <c r="N1544" i="2" a="1"/>
  <c r="N1544" i="2" s="1"/>
  <c r="N1540" i="2" a="1"/>
  <c r="N1540" i="2" s="1"/>
  <c r="N1536" i="2" a="1"/>
  <c r="N1536" i="2" s="1"/>
  <c r="N1532" i="2" a="1"/>
  <c r="N1532" i="2" s="1"/>
  <c r="N1494" i="2" a="1"/>
  <c r="N1494" i="2" s="1"/>
  <c r="N1769" i="2" a="1"/>
  <c r="N1769" i="2" s="1"/>
  <c r="N1754" i="2" a="1"/>
  <c r="N1754" i="2" s="1"/>
  <c r="N1732" i="2" a="1"/>
  <c r="N1732" i="2" s="1"/>
  <c r="N1717" i="2" a="1"/>
  <c r="N1717" i="2" s="1"/>
  <c r="N1692" i="2" a="1"/>
  <c r="N1692" i="2" s="1"/>
  <c r="N1683" i="2" a="1"/>
  <c r="N1683" i="2" s="1"/>
  <c r="N1669" i="2" a="1"/>
  <c r="N1669" i="2" s="1"/>
  <c r="N1655" i="2" a="1"/>
  <c r="N1655" i="2" s="1"/>
  <c r="N1646" i="2" a="1"/>
  <c r="N1646" i="2" s="1"/>
  <c r="N1641" i="2" a="1"/>
  <c r="N1641" i="2" s="1"/>
  <c r="N1632" i="2" a="1"/>
  <c r="N1632" i="2" s="1"/>
  <c r="N1609" i="2" a="1"/>
  <c r="N1609" i="2" s="1"/>
  <c r="N1604" i="2" a="1"/>
  <c r="N1604" i="2" s="1"/>
  <c r="N1595" i="2" a="1"/>
  <c r="N1595" i="2" s="1"/>
  <c r="N1572" i="2" a="1"/>
  <c r="N1572" i="2" s="1"/>
  <c r="N1567" i="2" a="1"/>
  <c r="N1567" i="2" s="1"/>
  <c r="N1527" i="2" a="1"/>
  <c r="N1527" i="2" s="1"/>
  <c r="N1523" i="2" a="1"/>
  <c r="N1523" i="2" s="1"/>
  <c r="N1519" i="2" a="1"/>
  <c r="N1519" i="2" s="1"/>
  <c r="N1498" i="2" a="1"/>
  <c r="N1498" i="2" s="1"/>
  <c r="N1448" i="2" a="1"/>
  <c r="N1448" i="2" s="1"/>
  <c r="N1427" i="2" a="1"/>
  <c r="N1427" i="2" s="1"/>
  <c r="N1419" i="2" a="1"/>
  <c r="N1419" i="2" s="1"/>
  <c r="N1398" i="2" a="1"/>
  <c r="N1398" i="2" s="1"/>
  <c r="N1776" i="2" a="1"/>
  <c r="N1776" i="2" s="1"/>
  <c r="N1761" i="2" a="1"/>
  <c r="N1761" i="2" s="1"/>
  <c r="N1739" i="2" a="1"/>
  <c r="N1739" i="2" s="1"/>
  <c r="N1724" i="2" a="1"/>
  <c r="N1724" i="2" s="1"/>
  <c r="N1702" i="2" a="1"/>
  <c r="N1702" i="2" s="1"/>
  <c r="N1696" i="2" a="1"/>
  <c r="N1696" i="2" s="1"/>
  <c r="N1687" i="2" a="1"/>
  <c r="N1687" i="2" s="1"/>
  <c r="N1673" i="2" a="1"/>
  <c r="N1673" i="2" s="1"/>
  <c r="N1664" i="2" a="1"/>
  <c r="N1664" i="2" s="1"/>
  <c r="N1659" i="2" a="1"/>
  <c r="N1659" i="2" s="1"/>
  <c r="N1650" i="2" a="1"/>
  <c r="N1650" i="2" s="1"/>
  <c r="N1636" i="2" a="1"/>
  <c r="N1636" i="2" s="1"/>
  <c r="N1627" i="2" a="1"/>
  <c r="N1627" i="2" s="1"/>
  <c r="N1622" i="2" a="1"/>
  <c r="N1622" i="2" s="1"/>
  <c r="N1613" i="2" a="1"/>
  <c r="N1613" i="2" s="1"/>
  <c r="N1599" i="2" a="1"/>
  <c r="N1599" i="2" s="1"/>
  <c r="N1590" i="2" a="1"/>
  <c r="N1590" i="2" s="1"/>
  <c r="N1585" i="2" a="1"/>
  <c r="N1585" i="2" s="1"/>
  <c r="N1576" i="2" a="1"/>
  <c r="N1576" i="2" s="1"/>
  <c r="N1562" i="2" a="1"/>
  <c r="N1562" i="2" s="1"/>
  <c r="N1553" i="2" a="1"/>
  <c r="N1553" i="2" s="1"/>
  <c r="N1514" i="2" a="1"/>
  <c r="N1514" i="2" s="1"/>
  <c r="N1510" i="2" a="1"/>
  <c r="N1510" i="2" s="1"/>
  <c r="N1506" i="2" a="1"/>
  <c r="N1506" i="2" s="1"/>
  <c r="N1502" i="2" a="1"/>
  <c r="N1502" i="2" s="1"/>
  <c r="N1746" i="2" a="1"/>
  <c r="N1746" i="2" s="1"/>
  <c r="N1731" i="2" a="1"/>
  <c r="N1731" i="2" s="1"/>
  <c r="N1709" i="2" a="1"/>
  <c r="N1709" i="2" s="1"/>
  <c r="N1691" i="2" a="1"/>
  <c r="N1691" i="2" s="1"/>
  <c r="N1682" i="2" a="1"/>
  <c r="N1682" i="2" s="1"/>
  <c r="N1677" i="2" a="1"/>
  <c r="N1677" i="2" s="1"/>
  <c r="N1654" i="2" a="1"/>
  <c r="N1654" i="2" s="1"/>
  <c r="N1645" i="2" a="1"/>
  <c r="N1645" i="2" s="1"/>
  <c r="N1640" i="2" a="1"/>
  <c r="N1640" i="2" s="1"/>
  <c r="N1631" i="2" a="1"/>
  <c r="N1631" i="2" s="1"/>
  <c r="N1617" i="2" a="1"/>
  <c r="N1617" i="2" s="1"/>
  <c r="N1603" i="2" a="1"/>
  <c r="N1603" i="2" s="1"/>
  <c r="N1594" i="2" a="1"/>
  <c r="N1594" i="2" s="1"/>
  <c r="N1580" i="2" a="1"/>
  <c r="N1580" i="2" s="1"/>
  <c r="N1566" i="2" a="1"/>
  <c r="N1566" i="2" s="1"/>
  <c r="N1557" i="2" a="1"/>
  <c r="N1557" i="2" s="1"/>
  <c r="N1543" i="2" a="1"/>
  <c r="N1543" i="2" s="1"/>
  <c r="N1539" i="2" a="1"/>
  <c r="N1539" i="2" s="1"/>
  <c r="N1518" i="2" a="1"/>
  <c r="N1518" i="2" s="1"/>
  <c r="N1497" i="2" a="1"/>
  <c r="N1497" i="2" s="1"/>
  <c r="N1493" i="2" a="1"/>
  <c r="N1493" i="2" s="1"/>
  <c r="N1489" i="2" a="1"/>
  <c r="N1489" i="2" s="1"/>
  <c r="N1753" i="2" a="1"/>
  <c r="N1753" i="2" s="1"/>
  <c r="N1716" i="2" a="1"/>
  <c r="N1716" i="2" s="1"/>
  <c r="N1701" i="2" a="1"/>
  <c r="N1701" i="2" s="1"/>
  <c r="N1681" i="2" a="1"/>
  <c r="N1681" i="2" s="1"/>
  <c r="N1644" i="2" a="1"/>
  <c r="N1644" i="2" s="1"/>
  <c r="N1621" i="2" a="1"/>
  <c r="N1621" i="2" s="1"/>
  <c r="N1607" i="2" a="1"/>
  <c r="N1607" i="2" s="1"/>
  <c r="N1584" i="2" a="1"/>
  <c r="N1584" i="2" s="1"/>
  <c r="N1570" i="2" a="1"/>
  <c r="N1570" i="2" s="1"/>
  <c r="N1561" i="2" a="1"/>
  <c r="N1561" i="2" s="1"/>
  <c r="N1547" i="2" a="1"/>
  <c r="N1547" i="2" s="1"/>
  <c r="N1534" i="2" a="1"/>
  <c r="N1534" i="2" s="1"/>
  <c r="N1530" i="2" a="1"/>
  <c r="N1530" i="2" s="1"/>
  <c r="N1526" i="2" a="1"/>
  <c r="N1526" i="2" s="1"/>
  <c r="N1522" i="2" a="1"/>
  <c r="N1522" i="2" s="1"/>
  <c r="N1767" i="2" a="1"/>
  <c r="N1767" i="2" s="1"/>
  <c r="N1745" i="2" a="1"/>
  <c r="N1745" i="2" s="1"/>
  <c r="N1730" i="2" a="1"/>
  <c r="N1730" i="2" s="1"/>
  <c r="N1695" i="2" a="1"/>
  <c r="N1695" i="2" s="1"/>
  <c r="N1672" i="2" a="1"/>
  <c r="N1672" i="2" s="1"/>
  <c r="N1667" i="2" a="1"/>
  <c r="N1667" i="2" s="1"/>
  <c r="N1635" i="2" a="1"/>
  <c r="N1635" i="2" s="1"/>
  <c r="N1630" i="2" a="1"/>
  <c r="N1630" i="2" s="1"/>
  <c r="N1593" i="2" a="1"/>
  <c r="N1593" i="2" s="1"/>
  <c r="N1556" i="2" a="1"/>
  <c r="N1556" i="2" s="1"/>
  <c r="N1551" i="2" a="1"/>
  <c r="N1551" i="2" s="1"/>
  <c r="N1538" i="2" a="1"/>
  <c r="N1538" i="2" s="1"/>
  <c r="N1517" i="2" a="1"/>
  <c r="N1517" i="2" s="1"/>
  <c r="N1513" i="2" a="1"/>
  <c r="N1513" i="2" s="1"/>
  <c r="N1509" i="2" a="1"/>
  <c r="N1509" i="2" s="1"/>
  <c r="N1772" i="2" a="1"/>
  <c r="N1772" i="2" s="1"/>
  <c r="N1757" i="2" a="1"/>
  <c r="N1757" i="2" s="1"/>
  <c r="N1735" i="2" a="1"/>
  <c r="N1735" i="2" s="1"/>
  <c r="N1720" i="2" a="1"/>
  <c r="N1720" i="2" s="1"/>
  <c r="N1684" i="2" a="1"/>
  <c r="N1684" i="2" s="1"/>
  <c r="N1670" i="2" a="1"/>
  <c r="N1670" i="2" s="1"/>
  <c r="N1661" i="2" a="1"/>
  <c r="N1661" i="2" s="1"/>
  <c r="N1647" i="2" a="1"/>
  <c r="N1647" i="2" s="1"/>
  <c r="N1633" i="2" a="1"/>
  <c r="N1633" i="2" s="1"/>
  <c r="N1624" i="2" a="1"/>
  <c r="N1624" i="2" s="1"/>
  <c r="N1610" i="2" a="1"/>
  <c r="N1610" i="2" s="1"/>
  <c r="N1601" i="2" a="1"/>
  <c r="N1601" i="2" s="1"/>
  <c r="N1596" i="2" a="1"/>
  <c r="N1596" i="2" s="1"/>
  <c r="N1587" i="2" a="1"/>
  <c r="N1587" i="2" s="1"/>
  <c r="N1573" i="2" a="1"/>
  <c r="N1573" i="2" s="1"/>
  <c r="N1564" i="2" a="1"/>
  <c r="N1564" i="2" s="1"/>
  <c r="N1400" i="2" a="1"/>
  <c r="N1400" i="2" s="1"/>
  <c r="M1406" i="2"/>
  <c r="M1430" i="2"/>
  <c r="M1477" i="2"/>
  <c r="M1541" i="2"/>
  <c r="N1555" i="2" a="1"/>
  <c r="N1555" i="2" s="1"/>
  <c r="M1574" i="2"/>
  <c r="N1690" i="2" a="1"/>
  <c r="N1690" i="2" s="1"/>
  <c r="N2108" i="2" a="1"/>
  <c r="N2108" i="2" s="1"/>
  <c r="M1765" i="2"/>
  <c r="M1755" i="2"/>
  <c r="M1745" i="2"/>
  <c r="M1735" i="2"/>
  <c r="M1725" i="2"/>
  <c r="M1715" i="2"/>
  <c r="M1665" i="2"/>
  <c r="M1655" i="2"/>
  <c r="M1645" i="2"/>
  <c r="M1635" i="2"/>
  <c r="M1625" i="2"/>
  <c r="M1615" i="2"/>
  <c r="M1565" i="2"/>
  <c r="M1555" i="2"/>
  <c r="M1545" i="2"/>
  <c r="M1779" i="2"/>
  <c r="M1764" i="2"/>
  <c r="M1753" i="2"/>
  <c r="M1701" i="2"/>
  <c r="M1690" i="2"/>
  <c r="M1679" i="2"/>
  <c r="M1664" i="2"/>
  <c r="M1653" i="2"/>
  <c r="M1642" i="2"/>
  <c r="M1590" i="2"/>
  <c r="M1579" i="2"/>
  <c r="M1564" i="2"/>
  <c r="M1553" i="2"/>
  <c r="M1542" i="2"/>
  <c r="M1532" i="2"/>
  <c r="M1482" i="2"/>
  <c r="M1472" i="2"/>
  <c r="M1462" i="2"/>
  <c r="M1452" i="2"/>
  <c r="M1442" i="2"/>
  <c r="M1432" i="2"/>
  <c r="M1778" i="2"/>
  <c r="M1767" i="2"/>
  <c r="M1756" i="2"/>
  <c r="M1741" i="2"/>
  <c r="M1730" i="2"/>
  <c r="M1719" i="2"/>
  <c r="M1667" i="2"/>
  <c r="M1656" i="2"/>
  <c r="M1641" i="2"/>
  <c r="M1630" i="2"/>
  <c r="M1619" i="2"/>
  <c r="M1604" i="2"/>
  <c r="M1556" i="2"/>
  <c r="M1538" i="2"/>
  <c r="M1528" i="2"/>
  <c r="M1518" i="2"/>
  <c r="M1508" i="2"/>
  <c r="M1498" i="2"/>
  <c r="M1448" i="2"/>
  <c r="M1438" i="2"/>
  <c r="M1428" i="2"/>
  <c r="M1418" i="2"/>
  <c r="M1408" i="2"/>
  <c r="M1398" i="2"/>
  <c r="M1748" i="2"/>
  <c r="M1737" i="2"/>
  <c r="M1726" i="2"/>
  <c r="M1711" i="2"/>
  <c r="M1700" i="2"/>
  <c r="M1770" i="2"/>
  <c r="M1718" i="2"/>
  <c r="M1707" i="2"/>
  <c r="M1777" i="2"/>
  <c r="M1766" i="2"/>
  <c r="M1751" i="2"/>
  <c r="M1740" i="2"/>
  <c r="M1757" i="2"/>
  <c r="M1720" i="2"/>
  <c r="M1698" i="2"/>
  <c r="M1684" i="2"/>
  <c r="M1670" i="2"/>
  <c r="M1661" i="2"/>
  <c r="M1596" i="2"/>
  <c r="M1587" i="2"/>
  <c r="M1573" i="2"/>
  <c r="M1559" i="2"/>
  <c r="M1550" i="2"/>
  <c r="M1524" i="2"/>
  <c r="M1470" i="2"/>
  <c r="M1466" i="2"/>
  <c r="M1445" i="2"/>
  <c r="M1424" i="2"/>
  <c r="M1420" i="2"/>
  <c r="M1416" i="2"/>
  <c r="M1712" i="2"/>
  <c r="M1688" i="2"/>
  <c r="M1674" i="2"/>
  <c r="M1651" i="2"/>
  <c r="M1637" i="2"/>
  <c r="M1628" i="2"/>
  <c r="M1568" i="2"/>
  <c r="M1563" i="2"/>
  <c r="M1554" i="2"/>
  <c r="M1511" i="2"/>
  <c r="M1507" i="2"/>
  <c r="M1503" i="2"/>
  <c r="M1449" i="2"/>
  <c r="M1411" i="2"/>
  <c r="M1407" i="2"/>
  <c r="M1403" i="2"/>
  <c r="M1399" i="2"/>
  <c r="M1762" i="2"/>
  <c r="M1623" i="2"/>
  <c r="M1618" i="2"/>
  <c r="M1586" i="2"/>
  <c r="M1581" i="2"/>
  <c r="M1558" i="2"/>
  <c r="M1549" i="2"/>
  <c r="M1494" i="2"/>
  <c r="M1490" i="2"/>
  <c r="M1486" i="2"/>
  <c r="M1465" i="2"/>
  <c r="M1444" i="2"/>
  <c r="M1440" i="2"/>
  <c r="M1769" i="2"/>
  <c r="M1754" i="2"/>
  <c r="M1732" i="2"/>
  <c r="M1717" i="2"/>
  <c r="M1692" i="2"/>
  <c r="M1683" i="2"/>
  <c r="M1572" i="2"/>
  <c r="M1548" i="2"/>
  <c r="M1531" i="2"/>
  <c r="M1527" i="2"/>
  <c r="M1523" i="2"/>
  <c r="M1519" i="2"/>
  <c r="M1702" i="2"/>
  <c r="M1696" i="2"/>
  <c r="M1687" i="2"/>
  <c r="M1673" i="2"/>
  <c r="M1659" i="2"/>
  <c r="M1650" i="2"/>
  <c r="M1599" i="2"/>
  <c r="M1576" i="2"/>
  <c r="M1571" i="2"/>
  <c r="M1562" i="2"/>
  <c r="M1535" i="2"/>
  <c r="M1514" i="2"/>
  <c r="M1746" i="2"/>
  <c r="M1731" i="2"/>
  <c r="M1709" i="2"/>
  <c r="M1691" i="2"/>
  <c r="M1677" i="2"/>
  <c r="M1668" i="2"/>
  <c r="M1626" i="2"/>
  <c r="M1617" i="2"/>
  <c r="M1603" i="2"/>
  <c r="M1594" i="2"/>
  <c r="M1589" i="2"/>
  <c r="M1580" i="2"/>
  <c r="M1539" i="2"/>
  <c r="M1501" i="2"/>
  <c r="M1497" i="2"/>
  <c r="M1493" i="2"/>
  <c r="M1489" i="2"/>
  <c r="M1760" i="2"/>
  <c r="M1658" i="2"/>
  <c r="M1649" i="2"/>
  <c r="M1644" i="2"/>
  <c r="M1621" i="2"/>
  <c r="M1612" i="2"/>
  <c r="M1607" i="2"/>
  <c r="M1547" i="2"/>
  <c r="M1534" i="2"/>
  <c r="M1530" i="2"/>
  <c r="M1526" i="2"/>
  <c r="M1505" i="2"/>
  <c r="M1484" i="2"/>
  <c r="M1689" i="2"/>
  <c r="M1680" i="2"/>
  <c r="M1666" i="2"/>
  <c r="M1657" i="2"/>
  <c r="M1652" i="2"/>
  <c r="M1643" i="2"/>
  <c r="M1583" i="2"/>
  <c r="M1569" i="2"/>
  <c r="M1389" i="2"/>
  <c r="M1413" i="2"/>
  <c r="M1425" i="2"/>
  <c r="M1479" i="2"/>
  <c r="M1500" i="2"/>
  <c r="M1513" i="2"/>
  <c r="M1529" i="2"/>
  <c r="M1602" i="2"/>
  <c r="N1694" i="2" a="1"/>
  <c r="N1694" i="2" s="1"/>
  <c r="N1765" i="2" a="1"/>
  <c r="N1765" i="2" s="1"/>
  <c r="N2142" i="2" a="1"/>
  <c r="N2142" i="2" s="1"/>
  <c r="M1396" i="2"/>
  <c r="M1401" i="2"/>
  <c r="M1419" i="2"/>
  <c r="M1443" i="2"/>
  <c r="N1460" i="2" a="1"/>
  <c r="N1460" i="2" s="1"/>
  <c r="N1500" i="2" a="1"/>
  <c r="N1500" i="2" s="1"/>
  <c r="N1516" i="2" a="1"/>
  <c r="N1516" i="2" s="1"/>
  <c r="N1529" i="2" a="1"/>
  <c r="N1529" i="2" s="1"/>
  <c r="N1542" i="2" a="1"/>
  <c r="N1542" i="2" s="1"/>
  <c r="N1559" i="2" a="1"/>
  <c r="N1559" i="2" s="1"/>
  <c r="N1579" i="2" a="1"/>
  <c r="N1579" i="2" s="1"/>
  <c r="N1602" i="2" a="1"/>
  <c r="N1602" i="2" s="1"/>
  <c r="N1625" i="2" a="1"/>
  <c r="N1625" i="2" s="1"/>
  <c r="M1648" i="2"/>
  <c r="M1672" i="2"/>
  <c r="N1933" i="2" a="1"/>
  <c r="N1933" i="2" s="1"/>
  <c r="N2026" i="2" a="1"/>
  <c r="N2026" i="2" s="1"/>
  <c r="M1426" i="2"/>
  <c r="M1431" i="2"/>
  <c r="M1450" i="2"/>
  <c r="N1462" i="2" a="1"/>
  <c r="N1462" i="2" s="1"/>
  <c r="M1473" i="2"/>
  <c r="M1491" i="2"/>
  <c r="M1546" i="2"/>
  <c r="M1560" i="2"/>
  <c r="N1583" i="2" a="1"/>
  <c r="N1583" i="2" s="1"/>
  <c r="N1606" i="2" a="1"/>
  <c r="N1606" i="2" s="1"/>
  <c r="N1629" i="2" a="1"/>
  <c r="N1629" i="2" s="1"/>
  <c r="M1676" i="2"/>
  <c r="M1699" i="2"/>
  <c r="N2276" i="2" a="1"/>
  <c r="N2276" i="2" s="1"/>
  <c r="N2310" i="2" a="1"/>
  <c r="N2310" i="2" s="1"/>
  <c r="N2267" i="2" a="1"/>
  <c r="N2267" i="2" s="1"/>
  <c r="N2238" i="2" a="1"/>
  <c r="N2238" i="2" s="1"/>
  <c r="N2281" i="2" a="1"/>
  <c r="N2281" i="2" s="1"/>
  <c r="N2259" i="2" a="1"/>
  <c r="N2259" i="2" s="1"/>
  <c r="N2271" i="2" a="1"/>
  <c r="N2271" i="2" s="1"/>
  <c r="N2251" i="2" a="1"/>
  <c r="N2251" i="2" s="1"/>
  <c r="N2272" i="2" a="1"/>
  <c r="N2272" i="2" s="1"/>
  <c r="N2285" i="2" a="1"/>
  <c r="N2285" i="2" s="1"/>
  <c r="N2308" i="2" a="1"/>
  <c r="N2308" i="2" s="1"/>
  <c r="N2242" i="2" a="1"/>
  <c r="N2242" i="2" s="1"/>
  <c r="N2273" i="2" a="1"/>
  <c r="N2273" i="2" s="1"/>
  <c r="N2296" i="2" a="1"/>
  <c r="N2296" i="2" s="1"/>
  <c r="N2346" i="2" a="1"/>
  <c r="N2346" i="2" s="1"/>
  <c r="N2351" i="2" a="1"/>
  <c r="N2351" i="2" s="1"/>
  <c r="N2383" i="2" a="1"/>
  <c r="N2383" i="2" s="1"/>
  <c r="N2388" i="2" a="1"/>
  <c r="N2388" i="2" s="1"/>
  <c r="N2411" i="2" a="1"/>
  <c r="N2411" i="2" s="1"/>
  <c r="N2420" i="2" a="1"/>
  <c r="N2420" i="2" s="1"/>
  <c r="N2425" i="2" a="1"/>
  <c r="N2425" i="2" s="1"/>
  <c r="N2247" i="2" a="1"/>
  <c r="N2247" i="2" s="1"/>
  <c r="N2277" i="2" a="1"/>
  <c r="N2277" i="2" s="1"/>
  <c r="N2286" i="2" a="1"/>
  <c r="N2286" i="2" s="1"/>
  <c r="N2291" i="2" a="1"/>
  <c r="N2291" i="2" s="1"/>
  <c r="N2300" i="2" a="1"/>
  <c r="N2300" i="2" s="1"/>
  <c r="N2323" i="2" a="1"/>
  <c r="N2323" i="2" s="1"/>
  <c r="N2328" i="2" a="1"/>
  <c r="N2328" i="2" s="1"/>
  <c r="N2337" i="2" a="1"/>
  <c r="N2337" i="2" s="1"/>
  <c r="N2360" i="2" a="1"/>
  <c r="N2360" i="2" s="1"/>
  <c r="N2365" i="2" a="1"/>
  <c r="N2365" i="2" s="1"/>
  <c r="N2397" i="2" a="1"/>
  <c r="N2397" i="2" s="1"/>
  <c r="N2402" i="2" a="1"/>
  <c r="N2402" i="2" s="1"/>
  <c r="N2439" i="2" a="1"/>
  <c r="N2439" i="2" s="1"/>
  <c r="N2248" i="2" a="1"/>
  <c r="N2248" i="2" s="1"/>
  <c r="N2252" i="2" a="1"/>
  <c r="N2252" i="2" s="1"/>
  <c r="N2256" i="2" a="1"/>
  <c r="N2256" i="2" s="1"/>
  <c r="N2260" i="2" a="1"/>
  <c r="N2260" i="2" s="1"/>
  <c r="N2278" i="2" a="1"/>
  <c r="N2278" i="2" s="1"/>
  <c r="N2287" i="2" a="1"/>
  <c r="N2287" i="2" s="1"/>
  <c r="N2292" i="2" a="1"/>
  <c r="N2292" i="2" s="1"/>
  <c r="N2301" i="2" a="1"/>
  <c r="N2301" i="2" s="1"/>
  <c r="N2315" i="2" a="1"/>
  <c r="N2315" i="2" s="1"/>
  <c r="N2329" i="2" a="1"/>
  <c r="N2329" i="2" s="1"/>
  <c r="N2338" i="2" a="1"/>
  <c r="N2338" i="2" s="1"/>
  <c r="N2352" i="2" a="1"/>
  <c r="N2352" i="2" s="1"/>
  <c r="N2366" i="2" a="1"/>
  <c r="N2366" i="2" s="1"/>
  <c r="N2375" i="2" a="1"/>
  <c r="N2375" i="2" s="1"/>
  <c r="N2389" i="2" a="1"/>
  <c r="N2389" i="2" s="1"/>
  <c r="N2403" i="2" a="1"/>
  <c r="N2403" i="2" s="1"/>
  <c r="N2412" i="2" a="1"/>
  <c r="N2412" i="2" s="1"/>
  <c r="N2426" i="2" a="1"/>
  <c r="N2426" i="2" s="1"/>
  <c r="N2440" i="2" a="1"/>
  <c r="N2440" i="2" s="1"/>
  <c r="N2236" i="2" a="1"/>
  <c r="N2236" i="2" s="1"/>
  <c r="N2240" i="2" a="1"/>
  <c r="N2240" i="2" s="1"/>
  <c r="N2283" i="2" a="1"/>
  <c r="N2283" i="2" s="1"/>
  <c r="N2288" i="2" a="1"/>
  <c r="N2288" i="2" s="1"/>
  <c r="N2311" i="2" a="1"/>
  <c r="N2311" i="2" s="1"/>
  <c r="N2320" i="2" a="1"/>
  <c r="N2320" i="2" s="1"/>
  <c r="N2325" i="2" a="1"/>
  <c r="N2325" i="2" s="1"/>
  <c r="N2348" i="2" a="1"/>
  <c r="N2348" i="2" s="1"/>
  <c r="N2357" i="2" a="1"/>
  <c r="N2357" i="2" s="1"/>
  <c r="N2362" i="2" a="1"/>
  <c r="N2362" i="2" s="1"/>
  <c r="N2371" i="2" a="1"/>
  <c r="N2371" i="2" s="1"/>
  <c r="N2385" i="2" a="1"/>
  <c r="N2385" i="2" s="1"/>
  <c r="N2399" i="2" a="1"/>
  <c r="N2399" i="2" s="1"/>
  <c r="N2408" i="2" a="1"/>
  <c r="N2408" i="2" s="1"/>
  <c r="N2422" i="2" a="1"/>
  <c r="N2422" i="2" s="1"/>
  <c r="N2436" i="2" a="1"/>
  <c r="N2436" i="2" s="1"/>
  <c r="N2444" i="2" a="1"/>
  <c r="N2444" i="2" s="1"/>
  <c r="N2434" i="2" a="1"/>
  <c r="N2434" i="2" s="1"/>
  <c r="N2424" i="2" a="1"/>
  <c r="N2424" i="2" s="1"/>
  <c r="N2414" i="2" a="1"/>
  <c r="N2414" i="2" s="1"/>
  <c r="N2404" i="2" a="1"/>
  <c r="N2404" i="2" s="1"/>
  <c r="N2394" i="2" a="1"/>
  <c r="N2394" i="2" s="1"/>
  <c r="N2384" i="2" a="1"/>
  <c r="N2384" i="2" s="1"/>
  <c r="N2374" i="2" a="1"/>
  <c r="N2374" i="2" s="1"/>
  <c r="N2364" i="2" a="1"/>
  <c r="N2364" i="2" s="1"/>
  <c r="N2354" i="2" a="1"/>
  <c r="N2354" i="2" s="1"/>
  <c r="N2344" i="2" a="1"/>
  <c r="N2344" i="2" s="1"/>
  <c r="N2334" i="2" a="1"/>
  <c r="N2334" i="2" s="1"/>
  <c r="N2324" i="2" a="1"/>
  <c r="N2324" i="2" s="1"/>
  <c r="N2314" i="2" a="1"/>
  <c r="N2314" i="2" s="1"/>
  <c r="N2304" i="2" a="1"/>
  <c r="N2304" i="2" s="1"/>
  <c r="N2294" i="2" a="1"/>
  <c r="N2294" i="2" s="1"/>
  <c r="N2284" i="2" a="1"/>
  <c r="N2284" i="2" s="1"/>
  <c r="N2274" i="2" a="1"/>
  <c r="N2274" i="2" s="1"/>
  <c r="N2264" i="2" a="1"/>
  <c r="N2264" i="2" s="1"/>
  <c r="N2254" i="2" a="1"/>
  <c r="N2254" i="2" s="1"/>
  <c r="N2244" i="2" a="1"/>
  <c r="N2244" i="2" s="1"/>
  <c r="N2234" i="2" a="1"/>
  <c r="N2234" i="2" s="1"/>
  <c r="N2447" i="2" a="1"/>
  <c r="N2447" i="2" s="1"/>
  <c r="N2443" i="2" a="1"/>
  <c r="N2443" i="2" s="1"/>
  <c r="N2432" i="2" a="1"/>
  <c r="N2432" i="2" s="1"/>
  <c r="N2421" i="2" a="1"/>
  <c r="N2421" i="2" s="1"/>
  <c r="N2417" i="2" a="1"/>
  <c r="N2417" i="2" s="1"/>
  <c r="N2406" i="2" a="1"/>
  <c r="N2406" i="2" s="1"/>
  <c r="N2395" i="2" a="1"/>
  <c r="N2395" i="2" s="1"/>
  <c r="N2380" i="2" a="1"/>
  <c r="N2380" i="2" s="1"/>
  <c r="N2369" i="2" a="1"/>
  <c r="N2369" i="2" s="1"/>
  <c r="N2358" i="2" a="1"/>
  <c r="N2358" i="2" s="1"/>
  <c r="N2343" i="2" a="1"/>
  <c r="N2343" i="2" s="1"/>
  <c r="N2332" i="2" a="1"/>
  <c r="N2332" i="2" s="1"/>
  <c r="N2321" i="2" a="1"/>
  <c r="N2321" i="2" s="1"/>
  <c r="N2317" i="2" a="1"/>
  <c r="N2317" i="2" s="1"/>
  <c r="N2306" i="2" a="1"/>
  <c r="N2306" i="2" s="1"/>
  <c r="N2295" i="2" a="1"/>
  <c r="N2295" i="2" s="1"/>
  <c r="N2280" i="2" a="1"/>
  <c r="N2280" i="2" s="1"/>
  <c r="N2269" i="2" a="1"/>
  <c r="N2269" i="2" s="1"/>
  <c r="N2258" i="2" a="1"/>
  <c r="N2258" i="2" s="1"/>
  <c r="N2243" i="2" a="1"/>
  <c r="N2243" i="2" s="1"/>
  <c r="K2232" i="2" a="1"/>
  <c r="N2442" i="2" a="1"/>
  <c r="N2442" i="2" s="1"/>
  <c r="N2431" i="2" a="1"/>
  <c r="N2431" i="2" s="1"/>
  <c r="N2427" i="2" a="1"/>
  <c r="N2427" i="2" s="1"/>
  <c r="N2416" i="2" a="1"/>
  <c r="N2416" i="2" s="1"/>
  <c r="N2405" i="2" a="1"/>
  <c r="N2405" i="2" s="1"/>
  <c r="N2390" i="2" a="1"/>
  <c r="N2390" i="2" s="1"/>
  <c r="N2379" i="2" a="1"/>
  <c r="N2379" i="2" s="1"/>
  <c r="N2368" i="2" a="1"/>
  <c r="N2368" i="2" s="1"/>
  <c r="N2353" i="2" a="1"/>
  <c r="N2353" i="2" s="1"/>
  <c r="N2342" i="2" a="1"/>
  <c r="N2342" i="2" s="1"/>
  <c r="N2331" i="2" a="1"/>
  <c r="N2331" i="2" s="1"/>
  <c r="N2327" i="2" a="1"/>
  <c r="N2327" i="2" s="1"/>
  <c r="N2316" i="2" a="1"/>
  <c r="N2316" i="2" s="1"/>
  <c r="N2305" i="2" a="1"/>
  <c r="N2305" i="2" s="1"/>
  <c r="N2290" i="2" a="1"/>
  <c r="N2290" i="2" s="1"/>
  <c r="N2279" i="2" a="1"/>
  <c r="N2279" i="2" s="1"/>
  <c r="N2268" i="2" a="1"/>
  <c r="N2268" i="2" s="1"/>
  <c r="N2261" i="2" a="1"/>
  <c r="N2261" i="2" s="1"/>
  <c r="N2265" i="2" a="1"/>
  <c r="N2265" i="2" s="1"/>
  <c r="N2297" i="2" a="1"/>
  <c r="N2297" i="2" s="1"/>
  <c r="N2302" i="2" a="1"/>
  <c r="N2302" i="2" s="1"/>
  <c r="N2339" i="2" a="1"/>
  <c r="N2339" i="2" s="1"/>
  <c r="N2376" i="2" a="1"/>
  <c r="N2376" i="2" s="1"/>
  <c r="N2381" i="2" a="1"/>
  <c r="N2381" i="2" s="1"/>
  <c r="N2413" i="2" a="1"/>
  <c r="N2413" i="2" s="1"/>
  <c r="N2418" i="2" a="1"/>
  <c r="N2418" i="2" s="1"/>
  <c r="N2441" i="2" a="1"/>
  <c r="N2441" i="2" s="1"/>
  <c r="N2241" i="2" a="1"/>
  <c r="N2241" i="2" s="1"/>
  <c r="N2245" i="2" a="1"/>
  <c r="N2245" i="2" s="1"/>
  <c r="N2249" i="2" a="1"/>
  <c r="N2249" i="2" s="1"/>
  <c r="N2253" i="2" a="1"/>
  <c r="N2253" i="2" s="1"/>
  <c r="N2257" i="2" a="1"/>
  <c r="N2257" i="2" s="1"/>
  <c r="N2270" i="2" a="1"/>
  <c r="N2270" i="2" s="1"/>
  <c r="N2293" i="2" a="1"/>
  <c r="N2293" i="2" s="1"/>
  <c r="N2298" i="2" a="1"/>
  <c r="N2298" i="2" s="1"/>
  <c r="N2307" i="2" a="1"/>
  <c r="N2307" i="2" s="1"/>
  <c r="N2330" i="2" a="1"/>
  <c r="N2330" i="2" s="1"/>
  <c r="N2335" i="2" a="1"/>
  <c r="N2335" i="2" s="1"/>
  <c r="N2367" i="2" a="1"/>
  <c r="N2367" i="2" s="1"/>
  <c r="N2372" i="2" a="1"/>
  <c r="N2372" i="2" s="1"/>
  <c r="N2409" i="2" a="1"/>
  <c r="N2409" i="2" s="1"/>
  <c r="N2446" i="2" a="1"/>
  <c r="N2446" i="2" s="1"/>
  <c r="N2233" i="2" a="1"/>
  <c r="N2233" i="2" s="1"/>
  <c r="N2237" i="2" a="1"/>
  <c r="N2237" i="2" s="1"/>
  <c r="N2262" i="2" a="1"/>
  <c r="N2262" i="2" s="1"/>
  <c r="N2266" i="2" a="1"/>
  <c r="N2266" i="2" s="1"/>
  <c r="N2275" i="2" a="1"/>
  <c r="N2275" i="2" s="1"/>
  <c r="N2289" i="2" a="1"/>
  <c r="N2289" i="2" s="1"/>
  <c r="N2303" i="2" a="1"/>
  <c r="N2303" i="2" s="1"/>
  <c r="N2312" i="2" a="1"/>
  <c r="N2312" i="2" s="1"/>
  <c r="N2326" i="2" a="1"/>
  <c r="N2326" i="2" s="1"/>
  <c r="N2340" i="2" a="1"/>
  <c r="N2340" i="2" s="1"/>
  <c r="N2349" i="2" a="1"/>
  <c r="N2349" i="2" s="1"/>
  <c r="N2363" i="2" a="1"/>
  <c r="N2363" i="2" s="1"/>
  <c r="N2377" i="2" a="1"/>
  <c r="N2377" i="2" s="1"/>
  <c r="N2386" i="2" a="1"/>
  <c r="N2386" i="2" s="1"/>
  <c r="N2391" i="2" a="1"/>
  <c r="N2391" i="2" s="1"/>
  <c r="N2400" i="2" a="1"/>
  <c r="N2400" i="2" s="1"/>
  <c r="N2423" i="2" a="1"/>
  <c r="N2423" i="2" s="1"/>
  <c r="N2428" i="2" a="1"/>
  <c r="N2428" i="2" s="1"/>
  <c r="N2437" i="2" a="1"/>
  <c r="N2437" i="2" s="1"/>
  <c r="L446" i="1"/>
  <c r="N951" i="1" a="1"/>
  <c r="N951" i="1" s="1"/>
  <c r="N1082" i="1" a="1"/>
  <c r="N1082" i="1" s="1"/>
  <c r="S1387" i="1" a="1"/>
  <c r="S1387" i="1" s="1"/>
  <c r="L608" i="1"/>
  <c r="L1193" i="1"/>
  <c r="L828" i="1"/>
  <c r="L793" i="1"/>
  <c r="L748" i="1"/>
  <c r="L705" i="1"/>
  <c r="L652" i="1"/>
  <c r="L606" i="1"/>
  <c r="L548" i="1"/>
  <c r="L504" i="1"/>
  <c r="L1192" i="1"/>
  <c r="L827" i="1"/>
  <c r="L792" i="1"/>
  <c r="L747" i="1"/>
  <c r="L704" i="1"/>
  <c r="L648" i="1"/>
  <c r="L605" i="1"/>
  <c r="L546" i="1"/>
  <c r="L500" i="1"/>
  <c r="L445" i="1"/>
  <c r="N1164" i="1" a="1"/>
  <c r="N1164" i="1" s="1"/>
  <c r="N1078" i="1" a="1"/>
  <c r="N1078" i="1" s="1"/>
  <c r="L1181" i="1"/>
  <c r="L825" i="1"/>
  <c r="L781" i="1"/>
  <c r="L744" i="1"/>
  <c r="L692" i="1"/>
  <c r="L646" i="1"/>
  <c r="L591" i="1"/>
  <c r="L545" i="1"/>
  <c r="L485" i="1"/>
  <c r="L443" i="1"/>
  <c r="N1011" i="1" a="1"/>
  <c r="N1011" i="1" s="1"/>
  <c r="N1160" i="1" a="1"/>
  <c r="N1160" i="1" s="1"/>
  <c r="N1053" i="1" a="1"/>
  <c r="N1053" i="1" s="1"/>
  <c r="L839" i="1"/>
  <c r="L794" i="1"/>
  <c r="L760" i="1"/>
  <c r="L707" i="1"/>
  <c r="L668" i="1"/>
  <c r="L561" i="1"/>
  <c r="L824" i="1"/>
  <c r="L780" i="1"/>
  <c r="L740" i="1"/>
  <c r="L691" i="1"/>
  <c r="L645" i="1"/>
  <c r="L585" i="1"/>
  <c r="L544" i="1"/>
  <c r="L484" i="1"/>
  <c r="L438" i="1"/>
  <c r="N1009" i="1" a="1"/>
  <c r="N1009" i="1" s="1"/>
  <c r="N1140" i="1" a="1"/>
  <c r="N1140" i="1" s="1"/>
  <c r="N1052" i="1" a="1"/>
  <c r="N1052" i="1" s="1"/>
  <c r="K1170" i="1"/>
  <c r="L1170" i="1" s="1"/>
  <c r="L1178" i="1"/>
  <c r="L1188" i="1"/>
  <c r="L1198" i="1"/>
  <c r="L1208" i="1"/>
  <c r="L1176" i="1"/>
  <c r="L1187" i="1"/>
  <c r="L1199" i="1"/>
  <c r="L1177" i="1"/>
  <c r="L1189" i="1"/>
  <c r="L1200" i="1"/>
  <c r="L1179" i="1"/>
  <c r="L1190" i="1"/>
  <c r="L1201" i="1"/>
  <c r="L1182" i="1"/>
  <c r="L1196" i="1"/>
  <c r="L1173" i="1"/>
  <c r="L1183" i="1"/>
  <c r="L1197" i="1"/>
  <c r="L1184" i="1"/>
  <c r="L1202" i="1"/>
  <c r="L1191" i="1"/>
  <c r="L1171" i="1"/>
  <c r="L1185" i="1"/>
  <c r="L1203" i="1"/>
  <c r="L1205" i="1"/>
  <c r="L1172" i="1"/>
  <c r="L1186" i="1"/>
  <c r="L1204" i="1"/>
  <c r="L1194" i="1"/>
  <c r="L1175" i="1"/>
  <c r="L813" i="1"/>
  <c r="L779" i="1"/>
  <c r="L728" i="1"/>
  <c r="L689" i="1"/>
  <c r="L632" i="1"/>
  <c r="L584" i="1"/>
  <c r="L529" i="1"/>
  <c r="L483" i="1"/>
  <c r="N1001" i="1" a="1"/>
  <c r="N1001" i="1" s="1"/>
  <c r="N1139" i="1" a="1"/>
  <c r="N1139" i="1" s="1"/>
  <c r="L812" i="1"/>
  <c r="L778" i="1"/>
  <c r="N361" i="1" a="1"/>
  <c r="N361" i="1" s="1"/>
  <c r="S2232" i="1" a="1"/>
  <c r="S2232" i="1" s="1"/>
  <c r="L1209" i="1"/>
  <c r="L1174" i="1"/>
  <c r="K423" i="1"/>
  <c r="L423" i="1" s="1"/>
  <c r="L427" i="1"/>
  <c r="L437" i="1"/>
  <c r="L447" i="1"/>
  <c r="L457" i="1"/>
  <c r="L467" i="1"/>
  <c r="L477" i="1"/>
  <c r="L487" i="1"/>
  <c r="L497" i="1"/>
  <c r="L507" i="1"/>
  <c r="L517" i="1"/>
  <c r="L527" i="1"/>
  <c r="L537" i="1"/>
  <c r="L547" i="1"/>
  <c r="L557" i="1"/>
  <c r="L567" i="1"/>
  <c r="L577" i="1"/>
  <c r="L587" i="1"/>
  <c r="L597" i="1"/>
  <c r="L607" i="1"/>
  <c r="L617" i="1"/>
  <c r="L627" i="1"/>
  <c r="L637" i="1"/>
  <c r="L647" i="1"/>
  <c r="L657" i="1"/>
  <c r="L667" i="1"/>
  <c r="L677" i="1"/>
  <c r="L431" i="1"/>
  <c r="L442" i="1"/>
  <c r="L453" i="1"/>
  <c r="L464" i="1"/>
  <c r="L475" i="1"/>
  <c r="L486" i="1"/>
  <c r="L498" i="1"/>
  <c r="L509" i="1"/>
  <c r="L520" i="1"/>
  <c r="L531" i="1"/>
  <c r="L542" i="1"/>
  <c r="L553" i="1"/>
  <c r="L564" i="1"/>
  <c r="L575" i="1"/>
  <c r="L586" i="1"/>
  <c r="L598" i="1"/>
  <c r="L609" i="1"/>
  <c r="L620" i="1"/>
  <c r="L631" i="1"/>
  <c r="L642" i="1"/>
  <c r="L653" i="1"/>
  <c r="L664" i="1"/>
  <c r="L675" i="1"/>
  <c r="L686" i="1"/>
  <c r="L696" i="1"/>
  <c r="L706" i="1"/>
  <c r="L716" i="1"/>
  <c r="L726" i="1"/>
  <c r="L736" i="1"/>
  <c r="L746" i="1"/>
  <c r="L756" i="1"/>
  <c r="L766" i="1"/>
  <c r="L776" i="1"/>
  <c r="L786" i="1"/>
  <c r="L796" i="1"/>
  <c r="L806" i="1"/>
  <c r="L816" i="1"/>
  <c r="L826" i="1"/>
  <c r="L836" i="1"/>
  <c r="L846" i="1"/>
  <c r="L432" i="1"/>
  <c r="L425" i="1"/>
  <c r="L439" i="1"/>
  <c r="L451" i="1"/>
  <c r="L463" i="1"/>
  <c r="L476" i="1"/>
  <c r="L489" i="1"/>
  <c r="L501" i="1"/>
  <c r="L513" i="1"/>
  <c r="L525" i="1"/>
  <c r="L538" i="1"/>
  <c r="L550" i="1"/>
  <c r="L562" i="1"/>
  <c r="L574" i="1"/>
  <c r="L588" i="1"/>
  <c r="L600" i="1"/>
  <c r="L612" i="1"/>
  <c r="L624" i="1"/>
  <c r="L636" i="1"/>
  <c r="L649" i="1"/>
  <c r="L661" i="1"/>
  <c r="L673" i="1"/>
  <c r="L685" i="1"/>
  <c r="L697" i="1"/>
  <c r="L708" i="1"/>
  <c r="L719" i="1"/>
  <c r="L730" i="1"/>
  <c r="L741" i="1"/>
  <c r="L752" i="1"/>
  <c r="L763" i="1"/>
  <c r="L774" i="1"/>
  <c r="L785" i="1"/>
  <c r="L797" i="1"/>
  <c r="L808" i="1"/>
  <c r="L819" i="1"/>
  <c r="L830" i="1"/>
  <c r="L841" i="1"/>
  <c r="L426" i="1"/>
  <c r="L440" i="1"/>
  <c r="L452" i="1"/>
  <c r="L465" i="1"/>
  <c r="L478" i="1"/>
  <c r="L490" i="1"/>
  <c r="L502" i="1"/>
  <c r="L514" i="1"/>
  <c r="L526" i="1"/>
  <c r="L539" i="1"/>
  <c r="L551" i="1"/>
  <c r="L563" i="1"/>
  <c r="L576" i="1"/>
  <c r="L589" i="1"/>
  <c r="L601" i="1"/>
  <c r="L613" i="1"/>
  <c r="L625" i="1"/>
  <c r="L638" i="1"/>
  <c r="L650" i="1"/>
  <c r="L662" i="1"/>
  <c r="L674" i="1"/>
  <c r="L687" i="1"/>
  <c r="L698" i="1"/>
  <c r="L709" i="1"/>
  <c r="L720" i="1"/>
  <c r="L731" i="1"/>
  <c r="L742" i="1"/>
  <c r="L753" i="1"/>
  <c r="L764" i="1"/>
  <c r="L775" i="1"/>
  <c r="L787" i="1"/>
  <c r="L798" i="1"/>
  <c r="L809" i="1"/>
  <c r="L820" i="1"/>
  <c r="L831" i="1"/>
  <c r="L842" i="1"/>
  <c r="L428" i="1"/>
  <c r="L441" i="1"/>
  <c r="L454" i="1"/>
  <c r="L466" i="1"/>
  <c r="L479" i="1"/>
  <c r="L491" i="1"/>
  <c r="L503" i="1"/>
  <c r="L515" i="1"/>
  <c r="L528" i="1"/>
  <c r="L540" i="1"/>
  <c r="L552" i="1"/>
  <c r="L565" i="1"/>
  <c r="L578" i="1"/>
  <c r="L590" i="1"/>
  <c r="L602" i="1"/>
  <c r="L614" i="1"/>
  <c r="L626" i="1"/>
  <c r="L639" i="1"/>
  <c r="L651" i="1"/>
  <c r="L663" i="1"/>
  <c r="L676" i="1"/>
  <c r="L688" i="1"/>
  <c r="L699" i="1"/>
  <c r="L710" i="1"/>
  <c r="L721" i="1"/>
  <c r="L732" i="1"/>
  <c r="L743" i="1"/>
  <c r="L754" i="1"/>
  <c r="L765" i="1"/>
  <c r="L777" i="1"/>
  <c r="L788" i="1"/>
  <c r="L799" i="1"/>
  <c r="L810" i="1"/>
  <c r="L821" i="1"/>
  <c r="L832" i="1"/>
  <c r="L843" i="1"/>
  <c r="L430" i="1"/>
  <c r="L444" i="1"/>
  <c r="L456" i="1"/>
  <c r="L469" i="1"/>
  <c r="L481" i="1"/>
  <c r="L493" i="1"/>
  <c r="L505" i="1"/>
  <c r="L518" i="1"/>
  <c r="L530" i="1"/>
  <c r="L543" i="1"/>
  <c r="L555" i="1"/>
  <c r="L568" i="1"/>
  <c r="L580" i="1"/>
  <c r="L592" i="1"/>
  <c r="L604" i="1"/>
  <c r="L616" i="1"/>
  <c r="L629" i="1"/>
  <c r="L641" i="1"/>
  <c r="L654" i="1"/>
  <c r="L666" i="1"/>
  <c r="L679" i="1"/>
  <c r="L690" i="1"/>
  <c r="L701" i="1"/>
  <c r="L712" i="1"/>
  <c r="L723" i="1"/>
  <c r="L734" i="1"/>
  <c r="L745" i="1"/>
  <c r="L757" i="1"/>
  <c r="L424" i="1"/>
  <c r="L448" i="1"/>
  <c r="L470" i="1"/>
  <c r="L488" i="1"/>
  <c r="L510" i="1"/>
  <c r="L532" i="1"/>
  <c r="L549" i="1"/>
  <c r="L571" i="1"/>
  <c r="L593" i="1"/>
  <c r="L611" i="1"/>
  <c r="L633" i="1"/>
  <c r="L655" i="1"/>
  <c r="L672" i="1"/>
  <c r="L693" i="1"/>
  <c r="L713" i="1"/>
  <c r="L729" i="1"/>
  <c r="L749" i="1"/>
  <c r="L768" i="1"/>
  <c r="L782" i="1"/>
  <c r="L800" i="1"/>
  <c r="L814" i="1"/>
  <c r="L829" i="1"/>
  <c r="L847" i="1"/>
  <c r="L436" i="1"/>
  <c r="L459" i="1"/>
  <c r="L480" i="1"/>
  <c r="L499" i="1"/>
  <c r="L521" i="1"/>
  <c r="L541" i="1"/>
  <c r="L560" i="1"/>
  <c r="L582" i="1"/>
  <c r="L603" i="1"/>
  <c r="L622" i="1"/>
  <c r="L644" i="1"/>
  <c r="L665" i="1"/>
  <c r="L683" i="1"/>
  <c r="L703" i="1"/>
  <c r="L759" i="1"/>
  <c r="L773" i="1"/>
  <c r="L791" i="1"/>
  <c r="L805" i="1"/>
  <c r="L823" i="1"/>
  <c r="L838" i="1"/>
  <c r="L429" i="1"/>
  <c r="L449" i="1"/>
  <c r="L471" i="1"/>
  <c r="L492" i="1"/>
  <c r="L511" i="1"/>
  <c r="L533" i="1"/>
  <c r="L554" i="1"/>
  <c r="L572" i="1"/>
  <c r="L594" i="1"/>
  <c r="L615" i="1"/>
  <c r="L634" i="1"/>
  <c r="L656" i="1"/>
  <c r="L678" i="1"/>
  <c r="L694" i="1"/>
  <c r="L714" i="1"/>
  <c r="L733" i="1"/>
  <c r="L750" i="1"/>
  <c r="L769" i="1"/>
  <c r="L783" i="1"/>
  <c r="L801" i="1"/>
  <c r="L815" i="1"/>
  <c r="L833" i="1"/>
  <c r="L848" i="1"/>
  <c r="L433" i="1"/>
  <c r="L450" i="1"/>
  <c r="L472" i="1"/>
  <c r="L494" i="1"/>
  <c r="L512" i="1"/>
  <c r="L534" i="1"/>
  <c r="L556" i="1"/>
  <c r="L573" i="1"/>
  <c r="L595" i="1"/>
  <c r="L618" i="1"/>
  <c r="L635" i="1"/>
  <c r="L658" i="1"/>
  <c r="L680" i="1"/>
  <c r="L695" i="1"/>
  <c r="L715" i="1"/>
  <c r="L735" i="1"/>
  <c r="L751" i="1"/>
  <c r="L770" i="1"/>
  <c r="L784" i="1"/>
  <c r="L802" i="1"/>
  <c r="L817" i="1"/>
  <c r="L834" i="1"/>
  <c r="L849" i="1"/>
  <c r="L434" i="1"/>
  <c r="L455" i="1"/>
  <c r="L473" i="1"/>
  <c r="L495" i="1"/>
  <c r="L516" i="1"/>
  <c r="L535" i="1"/>
  <c r="L558" i="1"/>
  <c r="L579" i="1"/>
  <c r="L596" i="1"/>
  <c r="L619" i="1"/>
  <c r="L640" i="1"/>
  <c r="L659" i="1"/>
  <c r="L681" i="1"/>
  <c r="L700" i="1"/>
  <c r="L717" i="1"/>
  <c r="L737" i="1"/>
  <c r="L755" i="1"/>
  <c r="L771" i="1"/>
  <c r="L789" i="1"/>
  <c r="L803" i="1"/>
  <c r="L818" i="1"/>
  <c r="L835" i="1"/>
  <c r="L850" i="1"/>
  <c r="L722" i="1"/>
  <c r="L435" i="1"/>
  <c r="L458" i="1"/>
  <c r="L474" i="1"/>
  <c r="L496" i="1"/>
  <c r="L519" i="1"/>
  <c r="L536" i="1"/>
  <c r="L559" i="1"/>
  <c r="L581" i="1"/>
  <c r="L599" i="1"/>
  <c r="L621" i="1"/>
  <c r="L643" i="1"/>
  <c r="L660" i="1"/>
  <c r="L682" i="1"/>
  <c r="L702" i="1"/>
  <c r="L718" i="1"/>
  <c r="L738" i="1"/>
  <c r="L758" i="1"/>
  <c r="L772" i="1"/>
  <c r="L790" i="1"/>
  <c r="L804" i="1"/>
  <c r="L822" i="1"/>
  <c r="L837" i="1"/>
  <c r="L851" i="1"/>
  <c r="L739" i="1"/>
  <c r="L1207" i="1"/>
  <c r="L845" i="1"/>
  <c r="L811" i="1"/>
  <c r="L767" i="1"/>
  <c r="L725" i="1"/>
  <c r="L671" i="1"/>
  <c r="L628" i="1"/>
  <c r="L570" i="1"/>
  <c r="L523" i="1"/>
  <c r="L468" i="1"/>
  <c r="M852" i="1" a="1"/>
  <c r="N905" i="1" s="1" a="1"/>
  <c r="N905" i="1" s="1"/>
  <c r="N1028" i="1" a="1"/>
  <c r="N1028" i="1" s="1"/>
  <c r="N1036" i="1" a="1"/>
  <c r="N1036" i="1" s="1"/>
  <c r="N1045" i="1" a="1"/>
  <c r="N1045" i="1" s="1"/>
  <c r="N1055" i="1" a="1"/>
  <c r="N1055" i="1" s="1"/>
  <c r="N1065" i="1" a="1"/>
  <c r="N1065" i="1" s="1"/>
  <c r="N1075" i="1" a="1"/>
  <c r="N1075" i="1" s="1"/>
  <c r="N1085" i="1" a="1"/>
  <c r="N1085" i="1" s="1"/>
  <c r="N1095" i="1" a="1"/>
  <c r="N1095" i="1" s="1"/>
  <c r="N1105" i="1" a="1"/>
  <c r="N1105" i="1" s="1"/>
  <c r="N1115" i="1" a="1"/>
  <c r="N1115" i="1" s="1"/>
  <c r="N1021" i="1" a="1"/>
  <c r="N1021" i="1" s="1"/>
  <c r="N1029" i="1" a="1"/>
  <c r="N1029" i="1" s="1"/>
  <c r="N1037" i="1" a="1"/>
  <c r="N1037" i="1" s="1"/>
  <c r="N1046" i="1" a="1"/>
  <c r="N1046" i="1" s="1"/>
  <c r="N1056" i="1" a="1"/>
  <c r="N1056" i="1" s="1"/>
  <c r="N1066" i="1" a="1"/>
  <c r="N1066" i="1" s="1"/>
  <c r="N1076" i="1" a="1"/>
  <c r="N1076" i="1" s="1"/>
  <c r="N1086" i="1" a="1"/>
  <c r="N1086" i="1" s="1"/>
  <c r="N1096" i="1" a="1"/>
  <c r="N1096" i="1" s="1"/>
  <c r="N1106" i="1" a="1"/>
  <c r="N1106" i="1" s="1"/>
  <c r="N1116" i="1" a="1"/>
  <c r="N1116" i="1" s="1"/>
  <c r="N1126" i="1" a="1"/>
  <c r="N1126" i="1" s="1"/>
  <c r="N1136" i="1" a="1"/>
  <c r="N1136" i="1" s="1"/>
  <c r="N1146" i="1" a="1"/>
  <c r="N1146" i="1" s="1"/>
  <c r="N1156" i="1" a="1"/>
  <c r="N1156" i="1" s="1"/>
  <c r="N1166" i="1" a="1"/>
  <c r="N1166" i="1" s="1"/>
  <c r="N953" i="1" a="1"/>
  <c r="N953" i="1" s="1"/>
  <c r="N963" i="1" a="1"/>
  <c r="N963" i="1" s="1"/>
  <c r="N973" i="1" a="1"/>
  <c r="N973" i="1" s="1"/>
  <c r="N983" i="1" a="1"/>
  <c r="N983" i="1" s="1"/>
  <c r="N993" i="1" a="1"/>
  <c r="N993" i="1" s="1"/>
  <c r="N1003" i="1" a="1"/>
  <c r="N1003" i="1" s="1"/>
  <c r="N1013" i="1" a="1"/>
  <c r="N1013" i="1" s="1"/>
  <c r="N1022" i="1" a="1"/>
  <c r="N1022" i="1" s="1"/>
  <c r="N1030" i="1" a="1"/>
  <c r="N1030" i="1" s="1"/>
  <c r="N1038" i="1" a="1"/>
  <c r="N1038" i="1" s="1"/>
  <c r="N1047" i="1" a="1"/>
  <c r="N1047" i="1" s="1"/>
  <c r="N1057" i="1" a="1"/>
  <c r="N1057" i="1" s="1"/>
  <c r="N1067" i="1" a="1"/>
  <c r="N1067" i="1" s="1"/>
  <c r="N1077" i="1" a="1"/>
  <c r="N1077" i="1" s="1"/>
  <c r="N1087" i="1" a="1"/>
  <c r="N1087" i="1" s="1"/>
  <c r="N1097" i="1" a="1"/>
  <c r="N1097" i="1" s="1"/>
  <c r="N1107" i="1" a="1"/>
  <c r="N1107" i="1" s="1"/>
  <c r="N1117" i="1" a="1"/>
  <c r="N1117" i="1" s="1"/>
  <c r="N1127" i="1" a="1"/>
  <c r="N1127" i="1" s="1"/>
  <c r="N1137" i="1" a="1"/>
  <c r="N1137" i="1" s="1"/>
  <c r="N1147" i="1" a="1"/>
  <c r="N1147" i="1" s="1"/>
  <c r="N1157" i="1" a="1"/>
  <c r="N1157" i="1" s="1"/>
  <c r="N1167" i="1" a="1"/>
  <c r="N1167" i="1" s="1"/>
  <c r="N924" i="1" a="1"/>
  <c r="N924" i="1" s="1"/>
  <c r="N954" i="1" a="1"/>
  <c r="N954" i="1" s="1"/>
  <c r="N964" i="1" a="1"/>
  <c r="N964" i="1" s="1"/>
  <c r="N974" i="1" a="1"/>
  <c r="N974" i="1" s="1"/>
  <c r="N984" i="1" a="1"/>
  <c r="N984" i="1" s="1"/>
  <c r="N994" i="1" a="1"/>
  <c r="N994" i="1" s="1"/>
  <c r="N1004" i="1" a="1"/>
  <c r="N1004" i="1" s="1"/>
  <c r="N1014" i="1" a="1"/>
  <c r="N1014" i="1" s="1"/>
  <c r="N1032" i="1" a="1"/>
  <c r="N1032" i="1" s="1"/>
  <c r="N1043" i="1" a="1"/>
  <c r="N1043" i="1" s="1"/>
  <c r="N1033" i="1" a="1"/>
  <c r="N1033" i="1" s="1"/>
  <c r="N1044" i="1" a="1"/>
  <c r="N1044" i="1" s="1"/>
  <c r="N1060" i="1" a="1"/>
  <c r="N1060" i="1" s="1"/>
  <c r="N1073" i="1" a="1"/>
  <c r="N1073" i="1" s="1"/>
  <c r="N1089" i="1" a="1"/>
  <c r="N1089" i="1" s="1"/>
  <c r="N1102" i="1" a="1"/>
  <c r="N1102" i="1" s="1"/>
  <c r="N1118" i="1" a="1"/>
  <c r="N1118" i="1" s="1"/>
  <c r="N1130" i="1" a="1"/>
  <c r="N1130" i="1" s="1"/>
  <c r="N1142" i="1" a="1"/>
  <c r="N1142" i="1" s="1"/>
  <c r="N1154" i="1" a="1"/>
  <c r="N1154" i="1" s="1"/>
  <c r="N1168" i="1" a="1"/>
  <c r="N1168" i="1" s="1"/>
  <c r="N955" i="1" a="1"/>
  <c r="N955" i="1" s="1"/>
  <c r="N967" i="1" a="1"/>
  <c r="N967" i="1" s="1"/>
  <c r="N979" i="1" a="1"/>
  <c r="N979" i="1" s="1"/>
  <c r="N991" i="1" a="1"/>
  <c r="N991" i="1" s="1"/>
  <c r="N1005" i="1" a="1"/>
  <c r="N1005" i="1" s="1"/>
  <c r="N1017" i="1" a="1"/>
  <c r="N1017" i="1" s="1"/>
  <c r="N859" i="1" a="1"/>
  <c r="N859" i="1" s="1"/>
  <c r="N1023" i="1" a="1"/>
  <c r="N1023" i="1" s="1"/>
  <c r="N1034" i="1" a="1"/>
  <c r="N1034" i="1" s="1"/>
  <c r="N1048" i="1" a="1"/>
  <c r="N1048" i="1" s="1"/>
  <c r="N1061" i="1" a="1"/>
  <c r="N1061" i="1" s="1"/>
  <c r="N1074" i="1" a="1"/>
  <c r="N1074" i="1" s="1"/>
  <c r="N1090" i="1" a="1"/>
  <c r="N1090" i="1" s="1"/>
  <c r="N1103" i="1" a="1"/>
  <c r="N1103" i="1" s="1"/>
  <c r="N1119" i="1" a="1"/>
  <c r="N1119" i="1" s="1"/>
  <c r="N1131" i="1" a="1"/>
  <c r="N1131" i="1" s="1"/>
  <c r="N1143" i="1" a="1"/>
  <c r="N1143" i="1" s="1"/>
  <c r="N1155" i="1" a="1"/>
  <c r="N1155" i="1" s="1"/>
  <c r="N1169" i="1" a="1"/>
  <c r="N1169" i="1" s="1"/>
  <c r="N956" i="1" a="1"/>
  <c r="N956" i="1" s="1"/>
  <c r="N968" i="1" a="1"/>
  <c r="N968" i="1" s="1"/>
  <c r="N980" i="1" a="1"/>
  <c r="N980" i="1" s="1"/>
  <c r="N992" i="1" a="1"/>
  <c r="N992" i="1" s="1"/>
  <c r="N1006" i="1" a="1"/>
  <c r="N1006" i="1" s="1"/>
  <c r="N1018" i="1" a="1"/>
  <c r="N1018" i="1" s="1"/>
  <c r="N1025" i="1" a="1"/>
  <c r="N1025" i="1" s="1"/>
  <c r="N1059" i="1" a="1"/>
  <c r="N1059" i="1" s="1"/>
  <c r="N1079" i="1" a="1"/>
  <c r="N1079" i="1" s="1"/>
  <c r="N1094" i="1" a="1"/>
  <c r="N1094" i="1" s="1"/>
  <c r="N1112" i="1" a="1"/>
  <c r="N1112" i="1" s="1"/>
  <c r="N1129" i="1" a="1"/>
  <c r="N1129" i="1" s="1"/>
  <c r="N1145" i="1" a="1"/>
  <c r="N1145" i="1" s="1"/>
  <c r="N1161" i="1" a="1"/>
  <c r="N1161" i="1" s="1"/>
  <c r="N896" i="1" a="1"/>
  <c r="N896" i="1" s="1"/>
  <c r="N958" i="1" a="1"/>
  <c r="N958" i="1" s="1"/>
  <c r="N972" i="1" a="1"/>
  <c r="N972" i="1" s="1"/>
  <c r="N988" i="1" a="1"/>
  <c r="N988" i="1" s="1"/>
  <c r="N1002" i="1" a="1"/>
  <c r="N1002" i="1" s="1"/>
  <c r="N1020" i="1" a="1"/>
  <c r="N1020" i="1" s="1"/>
  <c r="N1041" i="1" a="1"/>
  <c r="N1041" i="1" s="1"/>
  <c r="N1062" i="1" a="1"/>
  <c r="N1062" i="1" s="1"/>
  <c r="N1080" i="1" a="1"/>
  <c r="N1080" i="1" s="1"/>
  <c r="N1098" i="1" a="1"/>
  <c r="N1098" i="1" s="1"/>
  <c r="N1113" i="1" a="1"/>
  <c r="N1113" i="1" s="1"/>
  <c r="N1132" i="1" a="1"/>
  <c r="N1132" i="1" s="1"/>
  <c r="N1148" i="1" a="1"/>
  <c r="N1148" i="1" s="1"/>
  <c r="N1162" i="1" a="1"/>
  <c r="N1162" i="1" s="1"/>
  <c r="N959" i="1" a="1"/>
  <c r="N959" i="1" s="1"/>
  <c r="N975" i="1" a="1"/>
  <c r="N975" i="1" s="1"/>
  <c r="N989" i="1" a="1"/>
  <c r="N989" i="1" s="1"/>
  <c r="N1007" i="1" a="1"/>
  <c r="N1007" i="1" s="1"/>
  <c r="N1026" i="1" a="1"/>
  <c r="N1026" i="1" s="1"/>
  <c r="N1042" i="1" a="1"/>
  <c r="N1042" i="1" s="1"/>
  <c r="N1063" i="1" a="1"/>
  <c r="N1063" i="1" s="1"/>
  <c r="N1081" i="1" a="1"/>
  <c r="N1081" i="1" s="1"/>
  <c r="N1099" i="1" a="1"/>
  <c r="N1099" i="1" s="1"/>
  <c r="N1114" i="1" a="1"/>
  <c r="N1114" i="1" s="1"/>
  <c r="N1133" i="1" a="1"/>
  <c r="N1133" i="1" s="1"/>
  <c r="N1149" i="1" a="1"/>
  <c r="N1149" i="1" s="1"/>
  <c r="N1163" i="1" a="1"/>
  <c r="N1163" i="1" s="1"/>
  <c r="N960" i="1" a="1"/>
  <c r="N960" i="1" s="1"/>
  <c r="N976" i="1" a="1"/>
  <c r="N976" i="1" s="1"/>
  <c r="N990" i="1" a="1"/>
  <c r="N990" i="1" s="1"/>
  <c r="N1008" i="1" a="1"/>
  <c r="N1008" i="1" s="1"/>
  <c r="N1050" i="1" a="1"/>
  <c r="N1050" i="1" s="1"/>
  <c r="N1068" i="1" a="1"/>
  <c r="N1068" i="1" s="1"/>
  <c r="N1083" i="1" a="1"/>
  <c r="N1083" i="1" s="1"/>
  <c r="N1101" i="1" a="1"/>
  <c r="N1101" i="1" s="1"/>
  <c r="N1121" i="1" a="1"/>
  <c r="N1121" i="1" s="1"/>
  <c r="N1135" i="1" a="1"/>
  <c r="N1135" i="1" s="1"/>
  <c r="N1151" i="1" a="1"/>
  <c r="N1151" i="1" s="1"/>
  <c r="N1165" i="1" a="1"/>
  <c r="N1165" i="1" s="1"/>
  <c r="N962" i="1" a="1"/>
  <c r="N962" i="1" s="1"/>
  <c r="N978" i="1" a="1"/>
  <c r="N978" i="1" s="1"/>
  <c r="N996" i="1" a="1"/>
  <c r="N996" i="1" s="1"/>
  <c r="N1010" i="1" a="1"/>
  <c r="N1010" i="1" s="1"/>
  <c r="N1027" i="1" a="1"/>
  <c r="N1027" i="1" s="1"/>
  <c r="N1054" i="1" a="1"/>
  <c r="N1054" i="1" s="1"/>
  <c r="N1088" i="1" a="1"/>
  <c r="N1088" i="1" s="1"/>
  <c r="N1120" i="1" a="1"/>
  <c r="N1120" i="1" s="1"/>
  <c r="N1141" i="1" a="1"/>
  <c r="N1141" i="1" s="1"/>
  <c r="N961" i="1" a="1"/>
  <c r="N961" i="1" s="1"/>
  <c r="N986" i="1" a="1"/>
  <c r="N986" i="1" s="1"/>
  <c r="N1012" i="1" a="1"/>
  <c r="N1012" i="1" s="1"/>
  <c r="N1071" i="1" a="1"/>
  <c r="N1071" i="1" s="1"/>
  <c r="N971" i="1" a="1"/>
  <c r="N971" i="1" s="1"/>
  <c r="N999" i="1" a="1"/>
  <c r="N999" i="1" s="1"/>
  <c r="N1031" i="1" a="1"/>
  <c r="N1031" i="1" s="1"/>
  <c r="N1058" i="1" a="1"/>
  <c r="N1058" i="1" s="1"/>
  <c r="N1091" i="1" a="1"/>
  <c r="N1091" i="1" s="1"/>
  <c r="N1122" i="1" a="1"/>
  <c r="N1122" i="1" s="1"/>
  <c r="N1144" i="1" a="1"/>
  <c r="N1144" i="1" s="1"/>
  <c r="N965" i="1" a="1"/>
  <c r="N965" i="1" s="1"/>
  <c r="N987" i="1" a="1"/>
  <c r="N987" i="1" s="1"/>
  <c r="N1015" i="1" a="1"/>
  <c r="N1015" i="1" s="1"/>
  <c r="N1040" i="1" a="1"/>
  <c r="N1040" i="1" s="1"/>
  <c r="N1035" i="1" a="1"/>
  <c r="N1035" i="1" s="1"/>
  <c r="N1064" i="1" a="1"/>
  <c r="N1064" i="1" s="1"/>
  <c r="N1092" i="1" a="1"/>
  <c r="N1092" i="1" s="1"/>
  <c r="N1123" i="1" a="1"/>
  <c r="N1123" i="1" s="1"/>
  <c r="N1150" i="1" a="1"/>
  <c r="N1150" i="1" s="1"/>
  <c r="N966" i="1" a="1"/>
  <c r="N966" i="1" s="1"/>
  <c r="N995" i="1" a="1"/>
  <c r="N995" i="1" s="1"/>
  <c r="N1016" i="1" a="1"/>
  <c r="N1016" i="1" s="1"/>
  <c r="N1104" i="1" a="1"/>
  <c r="N1104" i="1" s="1"/>
  <c r="N1069" i="1" a="1"/>
  <c r="N1069" i="1" s="1"/>
  <c r="N1093" i="1" a="1"/>
  <c r="N1093" i="1" s="1"/>
  <c r="N1124" i="1" a="1"/>
  <c r="N1124" i="1" s="1"/>
  <c r="N1152" i="1" a="1"/>
  <c r="N1152" i="1" s="1"/>
  <c r="N969" i="1" a="1"/>
  <c r="N969" i="1" s="1"/>
  <c r="N997" i="1" a="1"/>
  <c r="N997" i="1" s="1"/>
  <c r="N1019" i="1" a="1"/>
  <c r="N1019" i="1" s="1"/>
  <c r="N1158" i="1" a="1"/>
  <c r="N1158" i="1" s="1"/>
  <c r="N1049" i="1" a="1"/>
  <c r="N1049" i="1" s="1"/>
  <c r="N1072" i="1" a="1"/>
  <c r="N1072" i="1" s="1"/>
  <c r="N1108" i="1" a="1"/>
  <c r="N1108" i="1" s="1"/>
  <c r="N1134" i="1" a="1"/>
  <c r="N1134" i="1" s="1"/>
  <c r="N1159" i="1" a="1"/>
  <c r="N1159" i="1" s="1"/>
  <c r="N977" i="1" a="1"/>
  <c r="N977" i="1" s="1"/>
  <c r="N1000" i="1" a="1"/>
  <c r="N1000" i="1" s="1"/>
  <c r="N1039" i="1" a="1"/>
  <c r="N1039" i="1" s="1"/>
  <c r="N1070" i="1" a="1"/>
  <c r="N1070" i="1" s="1"/>
  <c r="N1100" i="1" a="1"/>
  <c r="N1100" i="1" s="1"/>
  <c r="N1125" i="1" a="1"/>
  <c r="N1125" i="1" s="1"/>
  <c r="N1153" i="1" a="1"/>
  <c r="N1153" i="1" s="1"/>
  <c r="N970" i="1" a="1"/>
  <c r="N970" i="1" s="1"/>
  <c r="N998" i="1" a="1"/>
  <c r="N998" i="1" s="1"/>
  <c r="N1128" i="1" a="1"/>
  <c r="N1128" i="1" s="1"/>
  <c r="L1206" i="1"/>
  <c r="L844" i="1"/>
  <c r="L807" i="1"/>
  <c r="L762" i="1"/>
  <c r="L724" i="1"/>
  <c r="L670" i="1"/>
  <c r="L623" i="1"/>
  <c r="L569" i="1"/>
  <c r="L522" i="1"/>
  <c r="L462" i="1"/>
  <c r="N981" i="1" a="1"/>
  <c r="N981" i="1" s="1"/>
  <c r="N1110" i="1" a="1"/>
  <c r="N1110" i="1" s="1"/>
  <c r="K852" i="1" a="1"/>
  <c r="M1170" i="1"/>
  <c r="N1170" i="1" s="1" a="1"/>
  <c r="N1170" i="1" s="1"/>
  <c r="N1183" i="1" a="1"/>
  <c r="N1183" i="1" s="1"/>
  <c r="N1201" i="1" a="1"/>
  <c r="N1201" i="1" s="1"/>
  <c r="N1241" i="1" a="1"/>
  <c r="N1241" i="1" s="1"/>
  <c r="N1196" i="1" a="1"/>
  <c r="N1196" i="1" s="1"/>
  <c r="N1233" i="1" a="1"/>
  <c r="N1233" i="1" s="1"/>
  <c r="N1193" i="1" a="1"/>
  <c r="N1193" i="1" s="1"/>
  <c r="N1232" i="1" a="1"/>
  <c r="N1232" i="1" s="1"/>
  <c r="N1192" i="1" a="1"/>
  <c r="N1192" i="1" s="1"/>
  <c r="N1263" i="1" a="1"/>
  <c r="N1263" i="1" s="1"/>
  <c r="N1231" i="1" a="1"/>
  <c r="N1231" i="1" s="1"/>
  <c r="N1188" i="1" a="1"/>
  <c r="N1188" i="1" s="1"/>
  <c r="N1259" i="1" a="1"/>
  <c r="N1259" i="1" s="1"/>
  <c r="N1225" i="1" a="1"/>
  <c r="N1225" i="1" s="1"/>
  <c r="N1187" i="1" a="1"/>
  <c r="N1187" i="1" s="1"/>
  <c r="N1258" i="1" a="1"/>
  <c r="N1258" i="1" s="1"/>
  <c r="N1214" i="1" a="1"/>
  <c r="N1214" i="1" s="1"/>
  <c r="N1256" i="1" a="1"/>
  <c r="N1256" i="1" s="1"/>
  <c r="N1213" i="1" a="1"/>
  <c r="N1213" i="1" s="1"/>
  <c r="N1174" i="1" a="1"/>
  <c r="N1174" i="1" s="1"/>
  <c r="N1173" i="1" a="1"/>
  <c r="N1173" i="1" s="1"/>
  <c r="N1189" i="1" a="1"/>
  <c r="N1189" i="1" s="1"/>
  <c r="N1197" i="1" a="1"/>
  <c r="N1197" i="1" s="1"/>
  <c r="N1207" i="1" a="1"/>
  <c r="N1207" i="1" s="1"/>
  <c r="N1217" i="1" a="1"/>
  <c r="N1217" i="1" s="1"/>
  <c r="N1227" i="1" a="1"/>
  <c r="N1227" i="1" s="1"/>
  <c r="N1237" i="1" a="1"/>
  <c r="N1237" i="1" s="1"/>
  <c r="N1247" i="1" a="1"/>
  <c r="N1247" i="1" s="1"/>
  <c r="N1257" i="1" a="1"/>
  <c r="N1257" i="1" s="1"/>
  <c r="N1267" i="1" a="1"/>
  <c r="N1267" i="1" s="1"/>
  <c r="N1277" i="1" a="1"/>
  <c r="N1277" i="1" s="1"/>
  <c r="N1287" i="1" a="1"/>
  <c r="N1287" i="1" s="1"/>
  <c r="N1297" i="1" a="1"/>
  <c r="N1297" i="1" s="1"/>
  <c r="N1307" i="1" a="1"/>
  <c r="N1307" i="1" s="1"/>
  <c r="N1317" i="1" a="1"/>
  <c r="N1317" i="1" s="1"/>
  <c r="N1327" i="1" a="1"/>
  <c r="N1327" i="1" s="1"/>
  <c r="N1337" i="1" a="1"/>
  <c r="N1337" i="1" s="1"/>
  <c r="N1347" i="1" a="1"/>
  <c r="N1347" i="1" s="1"/>
  <c r="N1357" i="1" a="1"/>
  <c r="N1357" i="1" s="1"/>
  <c r="N1367" i="1" a="1"/>
  <c r="N1367" i="1" s="1"/>
  <c r="N1377" i="1" a="1"/>
  <c r="N1377" i="1" s="1"/>
  <c r="N1185" i="1" a="1"/>
  <c r="N1185" i="1" s="1"/>
  <c r="N1194" i="1" a="1"/>
  <c r="N1194" i="1" s="1"/>
  <c r="N1204" i="1" a="1"/>
  <c r="N1204" i="1" s="1"/>
  <c r="N1215" i="1" a="1"/>
  <c r="N1215" i="1" s="1"/>
  <c r="N1226" i="1" a="1"/>
  <c r="N1226" i="1" s="1"/>
  <c r="N1238" i="1" a="1"/>
  <c r="N1238" i="1" s="1"/>
  <c r="N1249" i="1" a="1"/>
  <c r="N1249" i="1" s="1"/>
  <c r="N1260" i="1" a="1"/>
  <c r="N1260" i="1" s="1"/>
  <c r="N1271" i="1" a="1"/>
  <c r="N1271" i="1" s="1"/>
  <c r="N1282" i="1" a="1"/>
  <c r="N1282" i="1" s="1"/>
  <c r="N1293" i="1" a="1"/>
  <c r="N1293" i="1" s="1"/>
  <c r="N1304" i="1" a="1"/>
  <c r="N1304" i="1" s="1"/>
  <c r="N1315" i="1" a="1"/>
  <c r="N1315" i="1" s="1"/>
  <c r="N1326" i="1" a="1"/>
  <c r="N1326" i="1" s="1"/>
  <c r="N1338" i="1" a="1"/>
  <c r="N1338" i="1" s="1"/>
  <c r="N1349" i="1" a="1"/>
  <c r="N1349" i="1" s="1"/>
  <c r="N1360" i="1" a="1"/>
  <c r="N1360" i="1" s="1"/>
  <c r="N1371" i="1" a="1"/>
  <c r="N1371" i="1" s="1"/>
  <c r="N1382" i="1" a="1"/>
  <c r="N1382" i="1" s="1"/>
  <c r="N1176" i="1" a="1"/>
  <c r="N1176" i="1" s="1"/>
  <c r="N1195" i="1" a="1"/>
  <c r="N1195" i="1" s="1"/>
  <c r="N1205" i="1" a="1"/>
  <c r="N1205" i="1" s="1"/>
  <c r="N1216" i="1" a="1"/>
  <c r="N1216" i="1" s="1"/>
  <c r="N1228" i="1" a="1"/>
  <c r="N1228" i="1" s="1"/>
  <c r="N1239" i="1" a="1"/>
  <c r="N1239" i="1" s="1"/>
  <c r="N1250" i="1" a="1"/>
  <c r="N1250" i="1" s="1"/>
  <c r="N1261" i="1" a="1"/>
  <c r="N1261" i="1" s="1"/>
  <c r="N1272" i="1" a="1"/>
  <c r="N1272" i="1" s="1"/>
  <c r="N1283" i="1" a="1"/>
  <c r="N1283" i="1" s="1"/>
  <c r="N1294" i="1" a="1"/>
  <c r="N1294" i="1" s="1"/>
  <c r="N1305" i="1" a="1"/>
  <c r="N1305" i="1" s="1"/>
  <c r="N1316" i="1" a="1"/>
  <c r="N1316" i="1" s="1"/>
  <c r="N1328" i="1" a="1"/>
  <c r="N1328" i="1" s="1"/>
  <c r="N1339" i="1" a="1"/>
  <c r="N1339" i="1" s="1"/>
  <c r="N1350" i="1" a="1"/>
  <c r="N1350" i="1" s="1"/>
  <c r="N1361" i="1" a="1"/>
  <c r="N1361" i="1" s="1"/>
  <c r="N1372" i="1" a="1"/>
  <c r="N1372" i="1" s="1"/>
  <c r="N1383" i="1" a="1"/>
  <c r="N1383" i="1" s="1"/>
  <c r="N1177" i="1" a="1"/>
  <c r="N1177" i="1" s="1"/>
  <c r="N1186" i="1" a="1"/>
  <c r="N1186" i="1" s="1"/>
  <c r="N1206" i="1" a="1"/>
  <c r="N1206" i="1" s="1"/>
  <c r="N1218" i="1" a="1"/>
  <c r="N1218" i="1" s="1"/>
  <c r="N1229" i="1" a="1"/>
  <c r="N1229" i="1" s="1"/>
  <c r="N1240" i="1" a="1"/>
  <c r="N1240" i="1" s="1"/>
  <c r="N1251" i="1" a="1"/>
  <c r="N1251" i="1" s="1"/>
  <c r="N1262" i="1" a="1"/>
  <c r="N1262" i="1" s="1"/>
  <c r="N1273" i="1" a="1"/>
  <c r="N1273" i="1" s="1"/>
  <c r="N1284" i="1" a="1"/>
  <c r="N1284" i="1" s="1"/>
  <c r="N1295" i="1" a="1"/>
  <c r="N1295" i="1" s="1"/>
  <c r="N1306" i="1" a="1"/>
  <c r="N1306" i="1" s="1"/>
  <c r="N1318" i="1" a="1"/>
  <c r="N1318" i="1" s="1"/>
  <c r="N1329" i="1" a="1"/>
  <c r="N1329" i="1" s="1"/>
  <c r="N1340" i="1" a="1"/>
  <c r="N1340" i="1" s="1"/>
  <c r="N1351" i="1" a="1"/>
  <c r="N1351" i="1" s="1"/>
  <c r="N1362" i="1" a="1"/>
  <c r="N1362" i="1" s="1"/>
  <c r="N1373" i="1" a="1"/>
  <c r="N1373" i="1" s="1"/>
  <c r="N1384" i="1" a="1"/>
  <c r="N1384" i="1" s="1"/>
  <c r="N1175" i="1" a="1"/>
  <c r="N1175" i="1" s="1"/>
  <c r="N1190" i="1" a="1"/>
  <c r="N1190" i="1" s="1"/>
  <c r="N1202" i="1" a="1"/>
  <c r="N1202" i="1" s="1"/>
  <c r="N1220" i="1" a="1"/>
  <c r="N1220" i="1" s="1"/>
  <c r="N1234" i="1" a="1"/>
  <c r="N1234" i="1" s="1"/>
  <c r="N1252" i="1" a="1"/>
  <c r="N1252" i="1" s="1"/>
  <c r="N1266" i="1" a="1"/>
  <c r="N1266" i="1" s="1"/>
  <c r="N1281" i="1" a="1"/>
  <c r="N1281" i="1" s="1"/>
  <c r="N1299" i="1" a="1"/>
  <c r="N1299" i="1" s="1"/>
  <c r="N1313" i="1" a="1"/>
  <c r="N1313" i="1" s="1"/>
  <c r="N1331" i="1" a="1"/>
  <c r="N1331" i="1" s="1"/>
  <c r="N1345" i="1" a="1"/>
  <c r="N1345" i="1" s="1"/>
  <c r="N1363" i="1" a="1"/>
  <c r="N1363" i="1" s="1"/>
  <c r="N1378" i="1" a="1"/>
  <c r="N1378" i="1" s="1"/>
  <c r="N1178" i="1" a="1"/>
  <c r="N1178" i="1" s="1"/>
  <c r="N1203" i="1" a="1"/>
  <c r="N1203" i="1" s="1"/>
  <c r="N1221" i="1" a="1"/>
  <c r="N1221" i="1" s="1"/>
  <c r="N1235" i="1" a="1"/>
  <c r="N1235" i="1" s="1"/>
  <c r="N1253" i="1" a="1"/>
  <c r="N1253" i="1" s="1"/>
  <c r="N1268" i="1" a="1"/>
  <c r="N1268" i="1" s="1"/>
  <c r="N1285" i="1" a="1"/>
  <c r="N1285" i="1" s="1"/>
  <c r="N1300" i="1" a="1"/>
  <c r="N1300" i="1" s="1"/>
  <c r="N1314" i="1" a="1"/>
  <c r="N1314" i="1" s="1"/>
  <c r="N1332" i="1" a="1"/>
  <c r="N1332" i="1" s="1"/>
  <c r="N1346" i="1" a="1"/>
  <c r="N1346" i="1" s="1"/>
  <c r="N1364" i="1" a="1"/>
  <c r="N1364" i="1" s="1"/>
  <c r="N1379" i="1" a="1"/>
  <c r="N1379" i="1" s="1"/>
  <c r="N1179" i="1" a="1"/>
  <c r="N1179" i="1" s="1"/>
  <c r="N1191" i="1" a="1"/>
  <c r="N1191" i="1" s="1"/>
  <c r="N1208" i="1" a="1"/>
  <c r="N1208" i="1" s="1"/>
  <c r="N1222" i="1" a="1"/>
  <c r="N1222" i="1" s="1"/>
  <c r="N1236" i="1" a="1"/>
  <c r="N1236" i="1" s="1"/>
  <c r="N1254" i="1" a="1"/>
  <c r="N1254" i="1" s="1"/>
  <c r="N1269" i="1" a="1"/>
  <c r="N1269" i="1" s="1"/>
  <c r="N1286" i="1" a="1"/>
  <c r="N1286" i="1" s="1"/>
  <c r="N1301" i="1" a="1"/>
  <c r="N1301" i="1" s="1"/>
  <c r="N1319" i="1" a="1"/>
  <c r="N1319" i="1" s="1"/>
  <c r="N1333" i="1" a="1"/>
  <c r="N1333" i="1" s="1"/>
  <c r="N1348" i="1" a="1"/>
  <c r="N1348" i="1" s="1"/>
  <c r="N1365" i="1" a="1"/>
  <c r="N1365" i="1" s="1"/>
  <c r="N1380" i="1" a="1"/>
  <c r="N1380" i="1" s="1"/>
  <c r="N1366" i="1" a="1"/>
  <c r="N1366" i="1" s="1"/>
  <c r="N1342" i="1" a="1"/>
  <c r="N1342" i="1" s="1"/>
  <c r="N1321" i="1" a="1"/>
  <c r="N1321" i="1" s="1"/>
  <c r="N1296" i="1" a="1"/>
  <c r="N1296" i="1" s="1"/>
  <c r="N1275" i="1" a="1"/>
  <c r="N1275" i="1" s="1"/>
  <c r="N1248" i="1" a="1"/>
  <c r="N1248" i="1" s="1"/>
  <c r="N1230" i="1" a="1"/>
  <c r="N1230" i="1" s="1"/>
  <c r="N1209" i="1" a="1"/>
  <c r="N1209" i="1" s="1"/>
  <c r="N1184" i="1" a="1"/>
  <c r="N1184" i="1" s="1"/>
  <c r="N1385" i="1" a="1"/>
  <c r="N1385" i="1" s="1"/>
  <c r="N1358" i="1" a="1"/>
  <c r="N1358" i="1" s="1"/>
  <c r="N1336" i="1" a="1"/>
  <c r="N1336" i="1" s="1"/>
  <c r="N1312" i="1" a="1"/>
  <c r="N1312" i="1" s="1"/>
  <c r="N1291" i="1" a="1"/>
  <c r="N1291" i="1" s="1"/>
  <c r="N1270" i="1" a="1"/>
  <c r="N1270" i="1" s="1"/>
  <c r="N1245" i="1" a="1"/>
  <c r="N1245" i="1" s="1"/>
  <c r="N1224" i="1" a="1"/>
  <c r="N1224" i="1" s="1"/>
  <c r="N1200" i="1" a="1"/>
  <c r="N1200" i="1" s="1"/>
  <c r="N1182" i="1" a="1"/>
  <c r="N1182" i="1" s="1"/>
  <c r="N1381" i="1" a="1"/>
  <c r="N1381" i="1" s="1"/>
  <c r="N1356" i="1" a="1"/>
  <c r="N1356" i="1" s="1"/>
  <c r="N1335" i="1" a="1"/>
  <c r="N1335" i="1" s="1"/>
  <c r="N1311" i="1" a="1"/>
  <c r="N1311" i="1" s="1"/>
  <c r="N1290" i="1" a="1"/>
  <c r="N1290" i="1" s="1"/>
  <c r="N1265" i="1" a="1"/>
  <c r="N1265" i="1" s="1"/>
  <c r="N1244" i="1" a="1"/>
  <c r="N1244" i="1" s="1"/>
  <c r="N1223" i="1" a="1"/>
  <c r="N1223" i="1" s="1"/>
  <c r="N1199" i="1" a="1"/>
  <c r="N1199" i="1" s="1"/>
  <c r="N1181" i="1" a="1"/>
  <c r="N1181" i="1" s="1"/>
  <c r="N1376" i="1" a="1"/>
  <c r="N1376" i="1" s="1"/>
  <c r="N1355" i="1" a="1"/>
  <c r="N1355" i="1" s="1"/>
  <c r="N1334" i="1" a="1"/>
  <c r="N1334" i="1" s="1"/>
  <c r="N1310" i="1" a="1"/>
  <c r="N1310" i="1" s="1"/>
  <c r="N1289" i="1" a="1"/>
  <c r="N1289" i="1" s="1"/>
  <c r="N1264" i="1" a="1"/>
  <c r="N1264" i="1" s="1"/>
  <c r="N1243" i="1" a="1"/>
  <c r="N1243" i="1" s="1"/>
  <c r="N1219" i="1" a="1"/>
  <c r="N1219" i="1" s="1"/>
  <c r="N1198" i="1" a="1"/>
  <c r="N1198" i="1" s="1"/>
  <c r="N1180" i="1" a="1"/>
  <c r="N1180" i="1" s="1"/>
  <c r="N1492" i="1" a="1"/>
  <c r="N1492" i="1" s="1"/>
  <c r="N1471" i="1" a="1"/>
  <c r="N1471" i="1" s="1"/>
  <c r="N1445" i="1" a="1"/>
  <c r="N1445" i="1" s="1"/>
  <c r="N1415" i="1" a="1"/>
  <c r="N1415" i="1" s="1"/>
  <c r="N1390" i="1" a="1"/>
  <c r="N1390" i="1" s="1"/>
  <c r="N1491" i="1" a="1"/>
  <c r="N1491" i="1" s="1"/>
  <c r="N1468" i="1" a="1"/>
  <c r="N1468" i="1" s="1"/>
  <c r="N1441" i="1" a="1"/>
  <c r="N1441" i="1" s="1"/>
  <c r="N1413" i="1" a="1"/>
  <c r="N1413" i="1" s="1"/>
  <c r="N1389" i="1" a="1"/>
  <c r="N1389" i="1" s="1"/>
  <c r="N1467" i="1" a="1"/>
  <c r="N1467" i="1" s="1"/>
  <c r="N1440" i="1" a="1"/>
  <c r="N1440" i="1" s="1"/>
  <c r="N1412" i="1" a="1"/>
  <c r="N1412" i="1" s="1"/>
  <c r="N1488" i="1" a="1"/>
  <c r="N1488" i="1" s="1"/>
  <c r="N1466" i="1" a="1"/>
  <c r="N1466" i="1" s="1"/>
  <c r="N1433" i="1" a="1"/>
  <c r="N1433" i="1" s="1"/>
  <c r="N1411" i="1" a="1"/>
  <c r="N1411" i="1" s="1"/>
  <c r="N1484" i="1" a="1"/>
  <c r="N1484" i="1" s="1"/>
  <c r="N1457" i="1" a="1"/>
  <c r="N1457" i="1" s="1"/>
  <c r="N1432" i="1" a="1"/>
  <c r="N1432" i="1" s="1"/>
  <c r="N1406" i="1" a="1"/>
  <c r="N1406" i="1" s="1"/>
  <c r="N1483" i="1" a="1"/>
  <c r="N1483" i="1" s="1"/>
  <c r="N1456" i="1" a="1"/>
  <c r="N1456" i="1" s="1"/>
  <c r="N1431" i="1" a="1"/>
  <c r="N1431" i="1" s="1"/>
  <c r="N1400" i="1" a="1"/>
  <c r="N1400" i="1" s="1"/>
  <c r="N1482" i="1" a="1"/>
  <c r="N1482" i="1" s="1"/>
  <c r="N1455" i="1" a="1"/>
  <c r="N1455" i="1" s="1"/>
  <c r="N1430" i="1" a="1"/>
  <c r="N1430" i="1" s="1"/>
  <c r="N1398" i="1" a="1"/>
  <c r="N1398" i="1" s="1"/>
  <c r="N1477" i="1" a="1"/>
  <c r="N1477" i="1" s="1"/>
  <c r="N1454" i="1" a="1"/>
  <c r="N1454" i="1" s="1"/>
  <c r="N1428" i="1" a="1"/>
  <c r="N1428" i="1" s="1"/>
  <c r="N1473" i="1" a="1"/>
  <c r="N1473" i="1" s="1"/>
  <c r="N1453" i="1" a="1"/>
  <c r="N1453" i="1" s="1"/>
  <c r="N1418" i="1" a="1"/>
  <c r="N1418" i="1" s="1"/>
  <c r="N1472" i="1" a="1"/>
  <c r="N1472" i="1" s="1"/>
  <c r="N1446" i="1" a="1"/>
  <c r="N1446" i="1" s="1"/>
  <c r="N1417" i="1" a="1"/>
  <c r="N1417" i="1" s="1"/>
  <c r="N1392" i="1" a="1"/>
  <c r="N1392" i="1" s="1"/>
  <c r="N2055" i="1" a="1"/>
  <c r="N2055" i="1" s="1"/>
  <c r="N2033" i="1" a="1"/>
  <c r="N2033" i="1" s="1"/>
  <c r="N2008" i="1" a="1"/>
  <c r="N2008" i="1" s="1"/>
  <c r="N1986" i="1" a="1"/>
  <c r="N1986" i="1" s="1"/>
  <c r="N1915" i="1" a="1"/>
  <c r="N1915" i="1" s="1"/>
  <c r="N2077" i="1" a="1"/>
  <c r="N2077" i="1" s="1"/>
  <c r="N2054" i="1" a="1"/>
  <c r="N2054" i="1" s="1"/>
  <c r="N2032" i="1" a="1"/>
  <c r="N2032" i="1" s="1"/>
  <c r="N1960" i="1" a="1"/>
  <c r="N1960" i="1" s="1"/>
  <c r="N1938" i="1" a="1"/>
  <c r="N1938" i="1" s="1"/>
  <c r="N2069" i="1" a="1"/>
  <c r="N2069" i="1" s="1"/>
  <c r="N2047" i="1" a="1"/>
  <c r="N2047" i="1" s="1"/>
  <c r="N2000" i="1" a="1"/>
  <c r="N2000" i="1" s="1"/>
  <c r="N1978" i="1" a="1"/>
  <c r="N1978" i="1" s="1"/>
  <c r="N1930" i="1" a="1"/>
  <c r="N1930" i="1" s="1"/>
  <c r="N1906" i="1" a="1"/>
  <c r="N1906" i="1" s="1"/>
  <c r="N1391" i="1" a="1"/>
  <c r="N1391" i="1" s="1"/>
  <c r="N1399" i="1" a="1"/>
  <c r="N1399" i="1" s="1"/>
  <c r="N1409" i="1" a="1"/>
  <c r="N1409" i="1" s="1"/>
  <c r="N1419" i="1" a="1"/>
  <c r="N1419" i="1" s="1"/>
  <c r="N1429" i="1" a="1"/>
  <c r="N1429" i="1" s="1"/>
  <c r="N1439" i="1" a="1"/>
  <c r="N1439" i="1" s="1"/>
  <c r="N1449" i="1" a="1"/>
  <c r="N1449" i="1" s="1"/>
  <c r="N1459" i="1" a="1"/>
  <c r="N1459" i="1" s="1"/>
  <c r="N1469" i="1" a="1"/>
  <c r="N1469" i="1" s="1"/>
  <c r="N1479" i="1" a="1"/>
  <c r="N1479" i="1" s="1"/>
  <c r="N1489" i="1" a="1"/>
  <c r="N1489" i="1" s="1"/>
  <c r="N1393" i="1" a="1"/>
  <c r="N1393" i="1" s="1"/>
  <c r="N1403" i="1" a="1"/>
  <c r="N1403" i="1" s="1"/>
  <c r="N1414" i="1" a="1"/>
  <c r="N1414" i="1" s="1"/>
  <c r="N1425" i="1" a="1"/>
  <c r="N1425" i="1" s="1"/>
  <c r="N1436" i="1" a="1"/>
  <c r="N1436" i="1" s="1"/>
  <c r="N1447" i="1" a="1"/>
  <c r="N1447" i="1" s="1"/>
  <c r="N1458" i="1" a="1"/>
  <c r="N1458" i="1" s="1"/>
  <c r="N1470" i="1" a="1"/>
  <c r="N1470" i="1" s="1"/>
  <c r="N1395" i="1" a="1"/>
  <c r="N1395" i="1" s="1"/>
  <c r="N1405" i="1" a="1"/>
  <c r="N1405" i="1" s="1"/>
  <c r="N1416" i="1" a="1"/>
  <c r="N1416" i="1" s="1"/>
  <c r="N1427" i="1" a="1"/>
  <c r="N1427" i="1" s="1"/>
  <c r="N1438" i="1" a="1"/>
  <c r="N1438" i="1" s="1"/>
  <c r="N1450" i="1" a="1"/>
  <c r="N1450" i="1" s="1"/>
  <c r="N1394" i="1" a="1"/>
  <c r="N1394" i="1" s="1"/>
  <c r="N1407" i="1" a="1"/>
  <c r="N1407" i="1" s="1"/>
  <c r="N1421" i="1" a="1"/>
  <c r="N1421" i="1" s="1"/>
  <c r="N1434" i="1" a="1"/>
  <c r="N1434" i="1" s="1"/>
  <c r="N1448" i="1" a="1"/>
  <c r="N1448" i="1" s="1"/>
  <c r="N1462" i="1" a="1"/>
  <c r="N1462" i="1" s="1"/>
  <c r="N1474" i="1" a="1"/>
  <c r="N1474" i="1" s="1"/>
  <c r="N1485" i="1" a="1"/>
  <c r="N1485" i="1" s="1"/>
  <c r="N1496" i="1" a="1"/>
  <c r="N1496" i="1" s="1"/>
  <c r="N1506" i="1" a="1"/>
  <c r="N1506" i="1" s="1"/>
  <c r="N1516" i="1" a="1"/>
  <c r="N1516" i="1" s="1"/>
  <c r="N1526" i="1" a="1"/>
  <c r="N1526" i="1" s="1"/>
  <c r="N1536" i="1" a="1"/>
  <c r="N1536" i="1" s="1"/>
  <c r="N1546" i="1" a="1"/>
  <c r="N1546" i="1" s="1"/>
  <c r="N1556" i="1" a="1"/>
  <c r="N1556" i="1" s="1"/>
  <c r="N1566" i="1" a="1"/>
  <c r="N1566" i="1" s="1"/>
  <c r="N1576" i="1" a="1"/>
  <c r="N1576" i="1" s="1"/>
  <c r="N1586" i="1" a="1"/>
  <c r="N1586" i="1" s="1"/>
  <c r="N1596" i="1" a="1"/>
  <c r="N1596" i="1" s="1"/>
  <c r="N1606" i="1" a="1"/>
  <c r="N1606" i="1" s="1"/>
  <c r="N1616" i="1" a="1"/>
  <c r="N1616" i="1" s="1"/>
  <c r="N1626" i="1" a="1"/>
  <c r="N1626" i="1" s="1"/>
  <c r="N1636" i="1" a="1"/>
  <c r="N1636" i="1" s="1"/>
  <c r="N1646" i="1" a="1"/>
  <c r="N1646" i="1" s="1"/>
  <c r="N1656" i="1" a="1"/>
  <c r="N1656" i="1" s="1"/>
  <c r="N1666" i="1" a="1"/>
  <c r="N1666" i="1" s="1"/>
  <c r="N1676" i="1" a="1"/>
  <c r="N1676" i="1" s="1"/>
  <c r="N1686" i="1" a="1"/>
  <c r="N1686" i="1" s="1"/>
  <c r="N1696" i="1" a="1"/>
  <c r="N1696" i="1" s="1"/>
  <c r="N1706" i="1" a="1"/>
  <c r="N1706" i="1" s="1"/>
  <c r="N1716" i="1" a="1"/>
  <c r="N1716" i="1" s="1"/>
  <c r="N1726" i="1" a="1"/>
  <c r="N1726" i="1" s="1"/>
  <c r="N1736" i="1" a="1"/>
  <c r="N1736" i="1" s="1"/>
  <c r="N1746" i="1" a="1"/>
  <c r="N1746" i="1" s="1"/>
  <c r="N1756" i="1" a="1"/>
  <c r="N1756" i="1" s="1"/>
  <c r="N1766" i="1" a="1"/>
  <c r="N1766" i="1" s="1"/>
  <c r="N1776" i="1" a="1"/>
  <c r="N1776" i="1" s="1"/>
  <c r="N1396" i="1" a="1"/>
  <c r="N1396" i="1" s="1"/>
  <c r="N1408" i="1" a="1"/>
  <c r="N1408" i="1" s="1"/>
  <c r="N1422" i="1" a="1"/>
  <c r="N1422" i="1" s="1"/>
  <c r="N1435" i="1" a="1"/>
  <c r="N1435" i="1" s="1"/>
  <c r="N1451" i="1" a="1"/>
  <c r="N1451" i="1" s="1"/>
  <c r="N1463" i="1" a="1"/>
  <c r="N1463" i="1" s="1"/>
  <c r="N1475" i="1" a="1"/>
  <c r="N1475" i="1" s="1"/>
  <c r="N1486" i="1" a="1"/>
  <c r="N1486" i="1" s="1"/>
  <c r="N1497" i="1" a="1"/>
  <c r="N1497" i="1" s="1"/>
  <c r="N1507" i="1" a="1"/>
  <c r="N1507" i="1" s="1"/>
  <c r="N1517" i="1" a="1"/>
  <c r="N1517" i="1" s="1"/>
  <c r="N1527" i="1" a="1"/>
  <c r="N1527" i="1" s="1"/>
  <c r="N1537" i="1" a="1"/>
  <c r="N1537" i="1" s="1"/>
  <c r="N1547" i="1" a="1"/>
  <c r="N1547" i="1" s="1"/>
  <c r="N1557" i="1" a="1"/>
  <c r="N1557" i="1" s="1"/>
  <c r="N1567" i="1" a="1"/>
  <c r="N1567" i="1" s="1"/>
  <c r="N1577" i="1" a="1"/>
  <c r="N1577" i="1" s="1"/>
  <c r="N1587" i="1" a="1"/>
  <c r="N1587" i="1" s="1"/>
  <c r="N1597" i="1" a="1"/>
  <c r="N1597" i="1" s="1"/>
  <c r="N1607" i="1" a="1"/>
  <c r="N1607" i="1" s="1"/>
  <c r="N1617" i="1" a="1"/>
  <c r="N1617" i="1" s="1"/>
  <c r="N1627" i="1" a="1"/>
  <c r="N1627" i="1" s="1"/>
  <c r="N1637" i="1" a="1"/>
  <c r="N1637" i="1" s="1"/>
  <c r="N1647" i="1" a="1"/>
  <c r="N1647" i="1" s="1"/>
  <c r="N1657" i="1" a="1"/>
  <c r="N1657" i="1" s="1"/>
  <c r="N1667" i="1" a="1"/>
  <c r="N1667" i="1" s="1"/>
  <c r="N1677" i="1" a="1"/>
  <c r="N1677" i="1" s="1"/>
  <c r="N1687" i="1" a="1"/>
  <c r="N1687" i="1" s="1"/>
  <c r="N1697" i="1" a="1"/>
  <c r="N1697" i="1" s="1"/>
  <c r="N1707" i="1" a="1"/>
  <c r="N1707" i="1" s="1"/>
  <c r="N1717" i="1" a="1"/>
  <c r="N1717" i="1" s="1"/>
  <c r="N1397" i="1" a="1"/>
  <c r="N1397" i="1" s="1"/>
  <c r="N1410" i="1" a="1"/>
  <c r="N1410" i="1" s="1"/>
  <c r="N1423" i="1" a="1"/>
  <c r="N1423" i="1" s="1"/>
  <c r="N1437" i="1" a="1"/>
  <c r="N1437" i="1" s="1"/>
  <c r="N1452" i="1" a="1"/>
  <c r="N1452" i="1" s="1"/>
  <c r="N1464" i="1" a="1"/>
  <c r="N1464" i="1" s="1"/>
  <c r="N1476" i="1" a="1"/>
  <c r="N1476" i="1" s="1"/>
  <c r="N1487" i="1" a="1"/>
  <c r="N1487" i="1" s="1"/>
  <c r="N1498" i="1" a="1"/>
  <c r="N1498" i="1" s="1"/>
  <c r="N1508" i="1" a="1"/>
  <c r="N1508" i="1" s="1"/>
  <c r="N1518" i="1" a="1"/>
  <c r="N1518" i="1" s="1"/>
  <c r="N1528" i="1" a="1"/>
  <c r="N1528" i="1" s="1"/>
  <c r="N1538" i="1" a="1"/>
  <c r="N1538" i="1" s="1"/>
  <c r="N1548" i="1" a="1"/>
  <c r="N1548" i="1" s="1"/>
  <c r="N1558" i="1" a="1"/>
  <c r="N1558" i="1" s="1"/>
  <c r="N1568" i="1" a="1"/>
  <c r="N1568" i="1" s="1"/>
  <c r="N1578" i="1" a="1"/>
  <c r="N1578" i="1" s="1"/>
  <c r="N1588" i="1" a="1"/>
  <c r="N1588" i="1" s="1"/>
  <c r="N1598" i="1" a="1"/>
  <c r="N1598" i="1" s="1"/>
  <c r="N1608" i="1" a="1"/>
  <c r="N1608" i="1" s="1"/>
  <c r="N1618" i="1" a="1"/>
  <c r="N1618" i="1" s="1"/>
  <c r="N1628" i="1" a="1"/>
  <c r="N1628" i="1" s="1"/>
  <c r="N1770" i="1" a="1"/>
  <c r="N1770" i="1" s="1"/>
  <c r="N1759" i="1" a="1"/>
  <c r="N1759" i="1" s="1"/>
  <c r="N1748" i="1" a="1"/>
  <c r="N1748" i="1" s="1"/>
  <c r="N1737" i="1" a="1"/>
  <c r="N1737" i="1" s="1"/>
  <c r="N1725" i="1" a="1"/>
  <c r="N1725" i="1" s="1"/>
  <c r="N1713" i="1" a="1"/>
  <c r="N1713" i="1" s="1"/>
  <c r="N1701" i="1" a="1"/>
  <c r="N1701" i="1" s="1"/>
  <c r="N1689" i="1" a="1"/>
  <c r="N1689" i="1" s="1"/>
  <c r="N1675" i="1" a="1"/>
  <c r="N1675" i="1" s="1"/>
  <c r="N1663" i="1" a="1"/>
  <c r="N1663" i="1" s="1"/>
  <c r="N1651" i="1" a="1"/>
  <c r="N1651" i="1" s="1"/>
  <c r="N1639" i="1" a="1"/>
  <c r="N1639" i="1" s="1"/>
  <c r="N1624" i="1" a="1"/>
  <c r="N1624" i="1" s="1"/>
  <c r="N1611" i="1" a="1"/>
  <c r="N1611" i="1" s="1"/>
  <c r="N1595" i="1" a="1"/>
  <c r="N1595" i="1" s="1"/>
  <c r="N1582" i="1" a="1"/>
  <c r="N1582" i="1" s="1"/>
  <c r="N1569" i="1" a="1"/>
  <c r="N1569" i="1" s="1"/>
  <c r="N1553" i="1" a="1"/>
  <c r="N1553" i="1" s="1"/>
  <c r="N1540" i="1" a="1"/>
  <c r="N1540" i="1" s="1"/>
  <c r="N1524" i="1" a="1"/>
  <c r="N1524" i="1" s="1"/>
  <c r="N1511" i="1" a="1"/>
  <c r="N1511" i="1" s="1"/>
  <c r="N1495" i="1" a="1"/>
  <c r="N1495" i="1" s="1"/>
  <c r="N1481" i="1" a="1"/>
  <c r="N1481" i="1" s="1"/>
  <c r="N1465" i="1" a="1"/>
  <c r="N1465" i="1" s="1"/>
  <c r="N1444" i="1" a="1"/>
  <c r="N1444" i="1" s="1"/>
  <c r="N1426" i="1" a="1"/>
  <c r="N1426" i="1" s="1"/>
  <c r="N1404" i="1" a="1"/>
  <c r="N1404" i="1" s="1"/>
  <c r="N1388" i="1" a="1"/>
  <c r="N1388" i="1" s="1"/>
  <c r="N2219" i="1" a="1"/>
  <c r="N2219" i="1" s="1"/>
  <c r="N2195" i="1" a="1"/>
  <c r="N2195" i="1" s="1"/>
  <c r="N2163" i="1" a="1"/>
  <c r="N2163" i="1" s="1"/>
  <c r="N2146" i="1" a="1"/>
  <c r="N2146" i="1" s="1"/>
  <c r="N2128" i="1" a="1"/>
  <c r="N2128" i="1" s="1"/>
  <c r="N2089" i="1" a="1"/>
  <c r="N2089" i="1" s="1"/>
  <c r="N2046" i="1" a="1"/>
  <c r="N2046" i="1" s="1"/>
  <c r="N2024" i="1" a="1"/>
  <c r="N2024" i="1" s="1"/>
  <c r="N1999" i="1" a="1"/>
  <c r="N1999" i="1" s="1"/>
  <c r="N1977" i="1" a="1"/>
  <c r="N1977" i="1" s="1"/>
  <c r="N1952" i="1" a="1"/>
  <c r="N1952" i="1" s="1"/>
  <c r="N1905" i="1" a="1"/>
  <c r="N1905" i="1" s="1"/>
  <c r="N1387" i="1" a="1"/>
  <c r="N1387" i="1" s="1"/>
  <c r="N1769" i="1" a="1"/>
  <c r="N1769" i="1" s="1"/>
  <c r="N1758" i="1" a="1"/>
  <c r="N1758" i="1" s="1"/>
  <c r="N1747" i="1" a="1"/>
  <c r="N1747" i="1" s="1"/>
  <c r="N1735" i="1" a="1"/>
  <c r="N1735" i="1" s="1"/>
  <c r="N1724" i="1" a="1"/>
  <c r="N1724" i="1" s="1"/>
  <c r="N1712" i="1" a="1"/>
  <c r="N1712" i="1" s="1"/>
  <c r="N1700" i="1" a="1"/>
  <c r="N1700" i="1" s="1"/>
  <c r="N1688" i="1" a="1"/>
  <c r="N1688" i="1" s="1"/>
  <c r="N1674" i="1" a="1"/>
  <c r="N1674" i="1" s="1"/>
  <c r="N1662" i="1" a="1"/>
  <c r="N1662" i="1" s="1"/>
  <c r="N1650" i="1" a="1"/>
  <c r="N1650" i="1" s="1"/>
  <c r="N1638" i="1" a="1"/>
  <c r="N1638" i="1" s="1"/>
  <c r="N1623" i="1" a="1"/>
  <c r="N1623" i="1" s="1"/>
  <c r="N1610" i="1" a="1"/>
  <c r="N1610" i="1" s="1"/>
  <c r="N1594" i="1" a="1"/>
  <c r="N1594" i="1" s="1"/>
  <c r="N1581" i="1" a="1"/>
  <c r="N1581" i="1" s="1"/>
  <c r="N1565" i="1" a="1"/>
  <c r="N1565" i="1" s="1"/>
  <c r="N1552" i="1" a="1"/>
  <c r="N1552" i="1" s="1"/>
  <c r="N1539" i="1" a="1"/>
  <c r="N1539" i="1" s="1"/>
  <c r="N1523" i="1" a="1"/>
  <c r="N1523" i="1" s="1"/>
  <c r="N1510" i="1" a="1"/>
  <c r="N1510" i="1" s="1"/>
  <c r="N1494" i="1" a="1"/>
  <c r="N1494" i="1" s="1"/>
  <c r="N1480" i="1" a="1"/>
  <c r="N1480" i="1" s="1"/>
  <c r="N1461" i="1" a="1"/>
  <c r="N1461" i="1" s="1"/>
  <c r="N1443" i="1" a="1"/>
  <c r="N1443" i="1" s="1"/>
  <c r="N1424" i="1" a="1"/>
  <c r="N1424" i="1" s="1"/>
  <c r="N1402" i="1" a="1"/>
  <c r="N1402" i="1" s="1"/>
  <c r="K1780" i="1" a="1"/>
  <c r="N2218" i="1" a="1"/>
  <c r="N2218" i="1" s="1"/>
  <c r="N2206" i="1" a="1"/>
  <c r="N2206" i="1" s="1"/>
  <c r="N2110" i="1" a="1"/>
  <c r="N2110" i="1" s="1"/>
  <c r="N2088" i="1" a="1"/>
  <c r="N2088" i="1" s="1"/>
  <c r="N2045" i="1" a="1"/>
  <c r="N2045" i="1" s="1"/>
  <c r="N2023" i="1" a="1"/>
  <c r="N2023" i="1" s="1"/>
  <c r="N1976" i="1" a="1"/>
  <c r="N1976" i="1" s="1"/>
  <c r="N1951" i="1" a="1"/>
  <c r="N1951" i="1" s="1"/>
  <c r="N1929" i="1" a="1"/>
  <c r="N1929" i="1" s="1"/>
  <c r="N1904" i="1" a="1"/>
  <c r="N1904" i="1" s="1"/>
  <c r="N1779" i="1" a="1"/>
  <c r="N1779" i="1" s="1"/>
  <c r="N1768" i="1" a="1"/>
  <c r="N1768" i="1" s="1"/>
  <c r="N1757" i="1" a="1"/>
  <c r="N1757" i="1" s="1"/>
  <c r="N1745" i="1" a="1"/>
  <c r="N1745" i="1" s="1"/>
  <c r="N1734" i="1" a="1"/>
  <c r="N1734" i="1" s="1"/>
  <c r="N1723" i="1" a="1"/>
  <c r="N1723" i="1" s="1"/>
  <c r="N1711" i="1" a="1"/>
  <c r="N1711" i="1" s="1"/>
  <c r="N1699" i="1" a="1"/>
  <c r="N1699" i="1" s="1"/>
  <c r="N1685" i="1" a="1"/>
  <c r="N1685" i="1" s="1"/>
  <c r="N1673" i="1" a="1"/>
  <c r="N1673" i="1" s="1"/>
  <c r="N1661" i="1" a="1"/>
  <c r="N1661" i="1" s="1"/>
  <c r="N1649" i="1" a="1"/>
  <c r="N1649" i="1" s="1"/>
  <c r="N1635" i="1" a="1"/>
  <c r="N1635" i="1" s="1"/>
  <c r="N1622" i="1" a="1"/>
  <c r="N1622" i="1" s="1"/>
  <c r="N1609" i="1" a="1"/>
  <c r="N1609" i="1" s="1"/>
  <c r="N1593" i="1" a="1"/>
  <c r="N1593" i="1" s="1"/>
  <c r="N1580" i="1" a="1"/>
  <c r="N1580" i="1" s="1"/>
  <c r="N1564" i="1" a="1"/>
  <c r="N1564" i="1" s="1"/>
  <c r="N1551" i="1" a="1"/>
  <c r="N1551" i="1" s="1"/>
  <c r="N1535" i="1" a="1"/>
  <c r="N1535" i="1" s="1"/>
  <c r="N1522" i="1" a="1"/>
  <c r="N1522" i="1" s="1"/>
  <c r="N1509" i="1" a="1"/>
  <c r="N1509" i="1" s="1"/>
  <c r="N1493" i="1" a="1"/>
  <c r="N1493" i="1" s="1"/>
  <c r="N1478" i="1" a="1"/>
  <c r="N1478" i="1" s="1"/>
  <c r="N1460" i="1" a="1"/>
  <c r="N1460" i="1" s="1"/>
  <c r="N1442" i="1" a="1"/>
  <c r="N1442" i="1" s="1"/>
  <c r="O1387" i="1" s="1" a="1"/>
  <c r="O1387" i="1" s="1"/>
  <c r="P1387" i="1" s="1" a="1"/>
  <c r="P1387" i="1" s="1"/>
  <c r="N1420" i="1" a="1"/>
  <c r="N1420" i="1" s="1"/>
  <c r="N1401" i="1" a="1"/>
  <c r="N1401" i="1" s="1"/>
  <c r="N1914" i="1" a="1"/>
  <c r="N1914" i="1" s="1"/>
  <c r="N1928" i="1" a="1"/>
  <c r="N1928" i="1" s="1"/>
  <c r="N1935" i="1" a="1"/>
  <c r="N1935" i="1" s="1"/>
  <c r="N1961" i="1" a="1"/>
  <c r="N1961" i="1" s="1"/>
  <c r="N1968" i="1" a="1"/>
  <c r="N1968" i="1" s="1"/>
  <c r="N1975" i="1" a="1"/>
  <c r="N1975" i="1" s="1"/>
  <c r="N1982" i="1" a="1"/>
  <c r="N1982" i="1" s="1"/>
  <c r="N1995" i="1" a="1"/>
  <c r="N1995" i="1" s="1"/>
  <c r="N2002" i="1" a="1"/>
  <c r="N2002" i="1" s="1"/>
  <c r="N2009" i="1" a="1"/>
  <c r="N2009" i="1" s="1"/>
  <c r="N2022" i="1" a="1"/>
  <c r="N2022" i="1" s="1"/>
  <c r="N2029" i="1" a="1"/>
  <c r="N2029" i="1" s="1"/>
  <c r="N2036" i="1" a="1"/>
  <c r="N2036" i="1" s="1"/>
  <c r="N2042" i="1" a="1"/>
  <c r="N2042" i="1" s="1"/>
  <c r="N1902" i="1" a="1"/>
  <c r="N1902" i="1" s="1"/>
  <c r="N1917" i="1" a="1"/>
  <c r="N1917" i="1" s="1"/>
  <c r="N1932" i="1" a="1"/>
  <c r="N1932" i="1" s="1"/>
  <c r="N1939" i="1" a="1"/>
  <c r="N1939" i="1" s="1"/>
  <c r="N1947" i="1" a="1"/>
  <c r="N1947" i="1" s="1"/>
  <c r="N1954" i="1" a="1"/>
  <c r="N1954" i="1" s="1"/>
  <c r="N1962" i="1" a="1"/>
  <c r="N1962" i="1" s="1"/>
  <c r="N1969" i="1" a="1"/>
  <c r="N1969" i="1" s="1"/>
  <c r="N1985" i="1" a="1"/>
  <c r="N1985" i="1" s="1"/>
  <c r="N1991" i="1" a="1"/>
  <c r="N1991" i="1" s="1"/>
  <c r="N2007" i="1" a="1"/>
  <c r="N2007" i="1" s="1"/>
  <c r="N2014" i="1" a="1"/>
  <c r="N2014" i="1" s="1"/>
  <c r="N2021" i="1" a="1"/>
  <c r="N2021" i="1" s="1"/>
  <c r="N2044" i="1" a="1"/>
  <c r="N2044" i="1" s="1"/>
  <c r="N2052" i="1" a="1"/>
  <c r="N2052" i="1" s="1"/>
  <c r="N2059" i="1" a="1"/>
  <c r="N2059" i="1" s="1"/>
  <c r="N2072" i="1" a="1"/>
  <c r="N2072" i="1" s="1"/>
  <c r="N2079" i="1" a="1"/>
  <c r="N2079" i="1" s="1"/>
  <c r="N2086" i="1" a="1"/>
  <c r="N2086" i="1" s="1"/>
  <c r="N2092" i="1" a="1"/>
  <c r="N2092" i="1" s="1"/>
  <c r="N2106" i="1" a="1"/>
  <c r="N2106" i="1" s="1"/>
  <c r="N2125" i="1" a="1"/>
  <c r="N2125" i="1" s="1"/>
  <c r="N2132" i="1" a="1"/>
  <c r="N2132" i="1" s="1"/>
  <c r="N2138" i="1" a="1"/>
  <c r="N2138" i="1" s="1"/>
  <c r="N2144" i="1" a="1"/>
  <c r="N2144" i="1" s="1"/>
  <c r="N2170" i="1" a="1"/>
  <c r="N2170" i="1" s="1"/>
  <c r="N2177" i="1" a="1"/>
  <c r="N2177" i="1" s="1"/>
  <c r="N2183" i="1" a="1"/>
  <c r="N2183" i="1" s="1"/>
  <c r="N2189" i="1" a="1"/>
  <c r="N2189" i="1" s="1"/>
  <c r="N2216" i="1" a="1"/>
  <c r="N2216" i="1" s="1"/>
  <c r="N2222" i="1" a="1"/>
  <c r="N2222" i="1" s="1"/>
  <c r="N2229" i="1" a="1"/>
  <c r="N2229" i="1" s="1"/>
  <c r="N1912" i="1" a="1"/>
  <c r="N1912" i="1" s="1"/>
  <c r="N1919" i="1" a="1"/>
  <c r="N1919" i="1" s="1"/>
  <c r="N1942" i="1" a="1"/>
  <c r="N1942" i="1" s="1"/>
  <c r="N1950" i="1" a="1"/>
  <c r="N1950" i="1" s="1"/>
  <c r="N1965" i="1" a="1"/>
  <c r="N1965" i="1" s="1"/>
  <c r="N1972" i="1" a="1"/>
  <c r="N1972" i="1" s="1"/>
  <c r="N1994" i="1" a="1"/>
  <c r="N1994" i="1" s="1"/>
  <c r="N2010" i="1" a="1"/>
  <c r="N2010" i="1" s="1"/>
  <c r="N2025" i="1" a="1"/>
  <c r="N2025" i="1" s="1"/>
  <c r="N2048" i="1" a="1"/>
  <c r="N2048" i="1" s="1"/>
  <c r="N2061" i="1" a="1"/>
  <c r="N2061" i="1" s="1"/>
  <c r="N2068" i="1" a="1"/>
  <c r="N2068" i="1" s="1"/>
  <c r="N2075" i="1" a="1"/>
  <c r="N2075" i="1" s="1"/>
  <c r="N2082" i="1" a="1"/>
  <c r="N2082" i="1" s="1"/>
  <c r="N2095" i="1" a="1"/>
  <c r="N2095" i="1" s="1"/>
  <c r="N2102" i="1" a="1"/>
  <c r="N2102" i="1" s="1"/>
  <c r="N2109" i="1" a="1"/>
  <c r="N2109" i="1" s="1"/>
  <c r="N1907" i="1" a="1"/>
  <c r="N1907" i="1" s="1"/>
  <c r="N1916" i="1" a="1"/>
  <c r="N1916" i="1" s="1"/>
  <c r="N1926" i="1" a="1"/>
  <c r="N1926" i="1" s="1"/>
  <c r="N1936" i="1" a="1"/>
  <c r="N1936" i="1" s="1"/>
  <c r="N1944" i="1" a="1"/>
  <c r="N1944" i="1" s="1"/>
  <c r="N1953" i="1" a="1"/>
  <c r="N1953" i="1" s="1"/>
  <c r="N1973" i="1" a="1"/>
  <c r="N1973" i="1" s="1"/>
  <c r="N2019" i="1" a="1"/>
  <c r="N2019" i="1" s="1"/>
  <c r="N2057" i="1" a="1"/>
  <c r="N2057" i="1" s="1"/>
  <c r="N2065" i="1" a="1"/>
  <c r="N2065" i="1" s="1"/>
  <c r="N2074" i="1" a="1"/>
  <c r="N2074" i="1" s="1"/>
  <c r="N2090" i="1" a="1"/>
  <c r="N2090" i="1" s="1"/>
  <c r="N2099" i="1" a="1"/>
  <c r="N2099" i="1" s="1"/>
  <c r="N2115" i="1" a="1"/>
  <c r="N2115" i="1" s="1"/>
  <c r="N2122" i="1" a="1"/>
  <c r="N2122" i="1" s="1"/>
  <c r="N2129" i="1" a="1"/>
  <c r="N2129" i="1" s="1"/>
  <c r="N2136" i="1" a="1"/>
  <c r="N2136" i="1" s="1"/>
  <c r="N2143" i="1" a="1"/>
  <c r="N2143" i="1" s="1"/>
  <c r="N2150" i="1" a="1"/>
  <c r="N2150" i="1" s="1"/>
  <c r="N2158" i="1" a="1"/>
  <c r="N2158" i="1" s="1"/>
  <c r="N2165" i="1" a="1"/>
  <c r="N2165" i="1" s="1"/>
  <c r="N2172" i="1" a="1"/>
  <c r="N2172" i="1" s="1"/>
  <c r="N2179" i="1" a="1"/>
  <c r="N2179" i="1" s="1"/>
  <c r="N2186" i="1" a="1"/>
  <c r="N2186" i="1" s="1"/>
  <c r="N2193" i="1" a="1"/>
  <c r="N2193" i="1" s="1"/>
  <c r="N2208" i="1" a="1"/>
  <c r="N2208" i="1" s="1"/>
  <c r="N2215" i="1" a="1"/>
  <c r="N2215" i="1" s="1"/>
  <c r="N2231" i="1" a="1"/>
  <c r="N2231" i="1" s="1"/>
  <c r="N1788" i="1" a="1"/>
  <c r="N1788" i="1" s="1"/>
  <c r="N1909" i="1" a="1"/>
  <c r="N1909" i="1" s="1"/>
  <c r="N1918" i="1" a="1"/>
  <c r="N1918" i="1" s="1"/>
  <c r="N1946" i="1" a="1"/>
  <c r="N1946" i="1" s="1"/>
  <c r="N1956" i="1" a="1"/>
  <c r="N1956" i="1" s="1"/>
  <c r="N1984" i="1" a="1"/>
  <c r="N1984" i="1" s="1"/>
  <c r="N1993" i="1" a="1"/>
  <c r="N1993" i="1" s="1"/>
  <c r="N2003" i="1" a="1"/>
  <c r="N2003" i="1" s="1"/>
  <c r="N2012" i="1" a="1"/>
  <c r="N2012" i="1" s="1"/>
  <c r="N2031" i="1" a="1"/>
  <c r="N2031" i="1" s="1"/>
  <c r="N2040" i="1" a="1"/>
  <c r="N2040" i="1" s="1"/>
  <c r="N2050" i="1" a="1"/>
  <c r="N2050" i="1" s="1"/>
  <c r="N2058" i="1" a="1"/>
  <c r="N2058" i="1" s="1"/>
  <c r="N2067" i="1" a="1"/>
  <c r="N2067" i="1" s="1"/>
  <c r="N2076" i="1" a="1"/>
  <c r="N2076" i="1" s="1"/>
  <c r="N2084" i="1" a="1"/>
  <c r="N2084" i="1" s="1"/>
  <c r="N2091" i="1" a="1"/>
  <c r="N2091" i="1" s="1"/>
  <c r="N2116" i="1" a="1"/>
  <c r="N2116" i="1" s="1"/>
  <c r="N2130" i="1" a="1"/>
  <c r="N2130" i="1" s="1"/>
  <c r="N2145" i="1" a="1"/>
  <c r="N2145" i="1" s="1"/>
  <c r="N2152" i="1" a="1"/>
  <c r="N2152" i="1" s="1"/>
  <c r="N2166" i="1" a="1"/>
  <c r="N2166" i="1" s="1"/>
  <c r="N2180" i="1" a="1"/>
  <c r="N2180" i="1" s="1"/>
  <c r="N2194" i="1" a="1"/>
  <c r="N2194" i="1" s="1"/>
  <c r="N2202" i="1" a="1"/>
  <c r="N2202" i="1" s="1"/>
  <c r="N2210" i="1" a="1"/>
  <c r="N2210" i="1" s="1"/>
  <c r="N2217" i="1" a="1"/>
  <c r="N2217" i="1" s="1"/>
  <c r="N2224" i="1" a="1"/>
  <c r="N2224" i="1" s="1"/>
  <c r="N1871" i="1" a="1"/>
  <c r="N1871" i="1" s="1"/>
  <c r="N1908" i="1" a="1"/>
  <c r="N1908" i="1" s="1"/>
  <c r="N1920" i="1" a="1"/>
  <c r="N1920" i="1" s="1"/>
  <c r="N1931" i="1" a="1"/>
  <c r="N1931" i="1" s="1"/>
  <c r="N1943" i="1" a="1"/>
  <c r="N1943" i="1" s="1"/>
  <c r="N1955" i="1" a="1"/>
  <c r="N1955" i="1" s="1"/>
  <c r="N1967" i="1" a="1"/>
  <c r="N1967" i="1" s="1"/>
  <c r="N2001" i="1" a="1"/>
  <c r="N2001" i="1" s="1"/>
  <c r="N2026" i="1" a="1"/>
  <c r="N2026" i="1" s="1"/>
  <c r="N2037" i="1" a="1"/>
  <c r="N2037" i="1" s="1"/>
  <c r="N2049" i="1" a="1"/>
  <c r="N2049" i="1" s="1"/>
  <c r="N2060" i="1" a="1"/>
  <c r="N2060" i="1" s="1"/>
  <c r="N2070" i="1" a="1"/>
  <c r="N2070" i="1" s="1"/>
  <c r="N2080" i="1" a="1"/>
  <c r="N2080" i="1" s="1"/>
  <c r="N2112" i="1" a="1"/>
  <c r="N2112" i="1" s="1"/>
  <c r="N2139" i="1" a="1"/>
  <c r="N2139" i="1" s="1"/>
  <c r="N2148" i="1" a="1"/>
  <c r="N2148" i="1" s="1"/>
  <c r="N2156" i="1" a="1"/>
  <c r="N2156" i="1" s="1"/>
  <c r="N2184" i="1" a="1"/>
  <c r="N2184" i="1" s="1"/>
  <c r="N2191" i="1" a="1"/>
  <c r="N2191" i="1" s="1"/>
  <c r="N2201" i="1" a="1"/>
  <c r="N2201" i="1" s="1"/>
  <c r="N2228" i="1" a="1"/>
  <c r="N2228" i="1" s="1"/>
  <c r="N1873" i="1" a="1"/>
  <c r="N1873" i="1" s="1"/>
  <c r="N1885" i="1" a="1"/>
  <c r="N1885" i="1" s="1"/>
  <c r="N1910" i="1" a="1"/>
  <c r="N1910" i="1" s="1"/>
  <c r="N1921" i="1" a="1"/>
  <c r="N1921" i="1" s="1"/>
  <c r="N1957" i="1" a="1"/>
  <c r="N1957" i="1" s="1"/>
  <c r="N1979" i="1" a="1"/>
  <c r="N1979" i="1" s="1"/>
  <c r="N1990" i="1" a="1"/>
  <c r="N1990" i="1" s="1"/>
  <c r="N2004" i="1" a="1"/>
  <c r="N2004" i="1" s="1"/>
  <c r="N2015" i="1" a="1"/>
  <c r="N2015" i="1" s="1"/>
  <c r="N2027" i="1" a="1"/>
  <c r="N2027" i="1" s="1"/>
  <c r="N2038" i="1" a="1"/>
  <c r="N2038" i="1" s="1"/>
  <c r="N2081" i="1" a="1"/>
  <c r="N2081" i="1" s="1"/>
  <c r="N2093" i="1" a="1"/>
  <c r="N2093" i="1" s="1"/>
  <c r="N2103" i="1" a="1"/>
  <c r="N2103" i="1" s="1"/>
  <c r="N2113" i="1" a="1"/>
  <c r="N2113" i="1" s="1"/>
  <c r="N2121" i="1" a="1"/>
  <c r="N2121" i="1" s="1"/>
  <c r="N2131" i="1" a="1"/>
  <c r="N2131" i="1" s="1"/>
  <c r="N2157" i="1" a="1"/>
  <c r="N2157" i="1" s="1"/>
  <c r="N2167" i="1" a="1"/>
  <c r="N2167" i="1" s="1"/>
  <c r="N2175" i="1" a="1"/>
  <c r="N2175" i="1" s="1"/>
  <c r="N2192" i="1" a="1"/>
  <c r="N2192" i="1" s="1"/>
  <c r="N2203" i="1" a="1"/>
  <c r="N2203" i="1" s="1"/>
  <c r="N2212" i="1" a="1"/>
  <c r="N2212" i="1" s="1"/>
  <c r="N2220" i="1" a="1"/>
  <c r="N2220" i="1" s="1"/>
  <c r="N2230" i="1" a="1"/>
  <c r="N2230" i="1" s="1"/>
  <c r="N1861" i="1" a="1"/>
  <c r="N1861" i="1" s="1"/>
  <c r="N1886" i="1" a="1"/>
  <c r="N1886" i="1" s="1"/>
  <c r="N1899" i="1" a="1"/>
  <c r="N1899" i="1" s="1"/>
  <c r="N1922" i="1" a="1"/>
  <c r="N1922" i="1" s="1"/>
  <c r="N1933" i="1" a="1"/>
  <c r="N1933" i="1" s="1"/>
  <c r="N1945" i="1" a="1"/>
  <c r="N1945" i="1" s="1"/>
  <c r="N1958" i="1" a="1"/>
  <c r="N1958" i="1" s="1"/>
  <c r="N1980" i="1" a="1"/>
  <c r="N1980" i="1" s="1"/>
  <c r="N1992" i="1" a="1"/>
  <c r="N1992" i="1" s="1"/>
  <c r="N2016" i="1" a="1"/>
  <c r="N2016" i="1" s="1"/>
  <c r="N2039" i="1" a="1"/>
  <c r="N2039" i="1" s="1"/>
  <c r="N2051" i="1" a="1"/>
  <c r="N2051" i="1" s="1"/>
  <c r="N2062" i="1" a="1"/>
  <c r="N2062" i="1" s="1"/>
  <c r="N2071" i="1" a="1"/>
  <c r="N2071" i="1" s="1"/>
  <c r="N2083" i="1" a="1"/>
  <c r="N2083" i="1" s="1"/>
  <c r="N2104" i="1" a="1"/>
  <c r="N2104" i="1" s="1"/>
  <c r="N2123" i="1" a="1"/>
  <c r="N2123" i="1" s="1"/>
  <c r="N2140" i="1" a="1"/>
  <c r="N2140" i="1" s="1"/>
  <c r="N2149" i="1" a="1"/>
  <c r="N2149" i="1" s="1"/>
  <c r="N2159" i="1" a="1"/>
  <c r="N2159" i="1" s="1"/>
  <c r="N2176" i="1" a="1"/>
  <c r="N2176" i="1" s="1"/>
  <c r="N2185" i="1" a="1"/>
  <c r="N2185" i="1" s="1"/>
  <c r="N2204" i="1" a="1"/>
  <c r="N2204" i="1" s="1"/>
  <c r="N2221" i="1" a="1"/>
  <c r="N2221" i="1" s="1"/>
  <c r="N1863" i="1" a="1"/>
  <c r="N1863" i="1" s="1"/>
  <c r="N1900" i="1" a="1"/>
  <c r="N1900" i="1" s="1"/>
  <c r="N1911" i="1" a="1"/>
  <c r="N1911" i="1" s="1"/>
  <c r="N1923" i="1" a="1"/>
  <c r="N1923" i="1" s="1"/>
  <c r="N1934" i="1" a="1"/>
  <c r="N1934" i="1" s="1"/>
  <c r="N1948" i="1" a="1"/>
  <c r="N1948" i="1" s="1"/>
  <c r="N1959" i="1" a="1"/>
  <c r="N1959" i="1" s="1"/>
  <c r="N1970" i="1" a="1"/>
  <c r="N1970" i="1" s="1"/>
  <c r="N1981" i="1" a="1"/>
  <c r="N1981" i="1" s="1"/>
  <c r="N2005" i="1" a="1"/>
  <c r="N2005" i="1" s="1"/>
  <c r="N2017" i="1" a="1"/>
  <c r="N2017" i="1" s="1"/>
  <c r="N2028" i="1" a="1"/>
  <c r="N2028" i="1" s="1"/>
  <c r="N2063" i="1" a="1"/>
  <c r="N2063" i="1" s="1"/>
  <c r="N2073" i="1" a="1"/>
  <c r="N2073" i="1" s="1"/>
  <c r="N2085" i="1" a="1"/>
  <c r="N2085" i="1" s="1"/>
  <c r="N2094" i="1" a="1"/>
  <c r="N2094" i="1" s="1"/>
  <c r="N2114" i="1" a="1"/>
  <c r="N2114" i="1" s="1"/>
  <c r="N2124" i="1" a="1"/>
  <c r="N2124" i="1" s="1"/>
  <c r="N2133" i="1" a="1"/>
  <c r="N2133" i="1" s="1"/>
  <c r="N2160" i="1" a="1"/>
  <c r="N2160" i="1" s="1"/>
  <c r="N1798" i="1" a="1"/>
  <c r="N1798" i="1" s="1"/>
  <c r="N1901" i="1" a="1"/>
  <c r="N1901" i="1" s="1"/>
  <c r="N1913" i="1" a="1"/>
  <c r="N1913" i="1" s="1"/>
  <c r="N1924" i="1" a="1"/>
  <c r="N1924" i="1" s="1"/>
  <c r="N1937" i="1" a="1"/>
  <c r="N1937" i="1" s="1"/>
  <c r="N1949" i="1" a="1"/>
  <c r="N1949" i="1" s="1"/>
  <c r="N1983" i="1" a="1"/>
  <c r="N1983" i="1" s="1"/>
  <c r="N1996" i="1" a="1"/>
  <c r="N1996" i="1" s="1"/>
  <c r="N2006" i="1" a="1"/>
  <c r="N2006" i="1" s="1"/>
  <c r="N2018" i="1" a="1"/>
  <c r="N2018" i="1" s="1"/>
  <c r="N2030" i="1" a="1"/>
  <c r="N2030" i="1" s="1"/>
  <c r="N2041" i="1" a="1"/>
  <c r="N2041" i="1" s="1"/>
  <c r="N2053" i="1" a="1"/>
  <c r="N2053" i="1" s="1"/>
  <c r="N2096" i="1" a="1"/>
  <c r="N2096" i="1" s="1"/>
  <c r="N2105" i="1" a="1"/>
  <c r="N2105" i="1" s="1"/>
  <c r="N2134" i="1" a="1"/>
  <c r="N2134" i="1" s="1"/>
  <c r="N2141" i="1" a="1"/>
  <c r="N2141" i="1" s="1"/>
  <c r="N2151" i="1" a="1"/>
  <c r="N2151" i="1" s="1"/>
  <c r="N2178" i="1" a="1"/>
  <c r="N2178" i="1" s="1"/>
  <c r="N2187" i="1" a="1"/>
  <c r="N2187" i="1" s="1"/>
  <c r="N1802" i="1" a="1"/>
  <c r="N1802" i="1" s="1"/>
  <c r="N1817" i="1" a="1"/>
  <c r="N1817" i="1" s="1"/>
  <c r="N1831" i="1" a="1"/>
  <c r="N1831" i="1" s="1"/>
  <c r="N2205" i="1" a="1"/>
  <c r="N2205" i="1" s="1"/>
  <c r="N2190" i="1" a="1"/>
  <c r="N2190" i="1" s="1"/>
  <c r="N2162" i="1" a="1"/>
  <c r="N2162" i="1" s="1"/>
  <c r="N2127" i="1" a="1"/>
  <c r="N2127" i="1" s="1"/>
  <c r="N2108" i="1" a="1"/>
  <c r="N2108" i="1" s="1"/>
  <c r="N2066" i="1" a="1"/>
  <c r="N2066" i="1" s="1"/>
  <c r="N2020" i="1" a="1"/>
  <c r="N2020" i="1" s="1"/>
  <c r="N1998" i="1" a="1"/>
  <c r="N1998" i="1" s="1"/>
  <c r="N1974" i="1" a="1"/>
  <c r="N1974" i="1" s="1"/>
  <c r="N1927" i="1" a="1"/>
  <c r="N1927" i="1" s="1"/>
  <c r="N1903" i="1" a="1"/>
  <c r="N1903" i="1" s="1"/>
  <c r="N1815" i="1" a="1"/>
  <c r="N1815" i="1" s="1"/>
  <c r="L2353" i="1"/>
  <c r="L2327" i="1"/>
  <c r="L2339" i="1"/>
  <c r="L2315" i="1"/>
  <c r="L2303" i="1"/>
  <c r="L2289" i="1"/>
  <c r="L2277" i="1"/>
  <c r="L2265" i="1"/>
  <c r="L2377" i="1"/>
  <c r="L2253" i="1"/>
  <c r="L2365" i="1"/>
  <c r="L2239" i="1"/>
  <c r="L2242" i="1"/>
  <c r="L2254" i="1"/>
  <c r="L2266" i="1"/>
  <c r="L2278" i="1"/>
  <c r="L2292" i="1"/>
  <c r="L2304" i="1"/>
  <c r="L2316" i="1"/>
  <c r="L2328" i="1"/>
  <c r="L2342" i="1"/>
  <c r="L2354" i="1"/>
  <c r="L2366" i="1"/>
  <c r="L2378" i="1"/>
  <c r="L2392" i="1"/>
  <c r="L2404" i="1"/>
  <c r="L2416" i="1"/>
  <c r="L2428" i="1"/>
  <c r="L2442" i="1"/>
  <c r="L2243" i="1"/>
  <c r="L2255" i="1"/>
  <c r="L2267" i="1"/>
  <c r="L2279" i="1"/>
  <c r="L2293" i="1"/>
  <c r="L2305" i="1"/>
  <c r="L2317" i="1"/>
  <c r="L2329" i="1"/>
  <c r="L2343" i="1"/>
  <c r="L2355" i="1"/>
  <c r="L2367" i="1"/>
  <c r="L2379" i="1"/>
  <c r="L2393" i="1"/>
  <c r="L2405" i="1"/>
  <c r="L2417" i="1"/>
  <c r="L2429" i="1"/>
  <c r="L2443" i="1"/>
  <c r="L2403" i="1"/>
  <c r="L2439" i="1"/>
  <c r="L2244" i="1"/>
  <c r="L2256" i="1"/>
  <c r="L2268" i="1"/>
  <c r="L2282" i="1"/>
  <c r="L2294" i="1"/>
  <c r="L2306" i="1"/>
  <c r="L2318" i="1"/>
  <c r="L2332" i="1"/>
  <c r="L2344" i="1"/>
  <c r="L2356" i="1"/>
  <c r="L2368" i="1"/>
  <c r="L2382" i="1"/>
  <c r="L2394" i="1"/>
  <c r="L2406" i="1"/>
  <c r="L2418" i="1"/>
  <c r="L2432" i="1"/>
  <c r="L2444" i="1"/>
  <c r="L2389" i="1"/>
  <c r="L2415" i="1"/>
  <c r="L2427" i="1"/>
  <c r="L2233" i="1"/>
  <c r="L2245" i="1"/>
  <c r="L2257" i="1"/>
  <c r="L2269" i="1"/>
  <c r="L2283" i="1"/>
  <c r="L2295" i="1"/>
  <c r="L2307" i="1"/>
  <c r="L2319" i="1"/>
  <c r="L2333" i="1"/>
  <c r="L2345" i="1"/>
  <c r="L2357" i="1"/>
  <c r="L2369" i="1"/>
  <c r="L2383" i="1"/>
  <c r="L2395" i="1"/>
  <c r="L2407" i="1"/>
  <c r="L2419" i="1"/>
  <c r="L2433" i="1"/>
  <c r="L2445" i="1"/>
  <c r="L2234" i="1"/>
  <c r="L2246" i="1"/>
  <c r="L2258" i="1"/>
  <c r="L2272" i="1"/>
  <c r="L2284" i="1"/>
  <c r="L2296" i="1"/>
  <c r="L2308" i="1"/>
  <c r="L2322" i="1"/>
  <c r="L2334" i="1"/>
  <c r="L2346" i="1"/>
  <c r="L2358" i="1"/>
  <c r="L2372" i="1"/>
  <c r="L2384" i="1"/>
  <c r="L2396" i="1"/>
  <c r="L2408" i="1"/>
  <c r="L2422" i="1"/>
  <c r="L2434" i="1"/>
  <c r="L2446" i="1"/>
  <c r="L2235" i="1"/>
  <c r="L2247" i="1"/>
  <c r="L2259" i="1"/>
  <c r="L2273" i="1"/>
  <c r="L2285" i="1"/>
  <c r="L2297" i="1"/>
  <c r="L2309" i="1"/>
  <c r="L2323" i="1"/>
  <c r="L2335" i="1"/>
  <c r="L2347" i="1"/>
  <c r="L2359" i="1"/>
  <c r="L2373" i="1"/>
  <c r="L2385" i="1"/>
  <c r="L2397" i="1"/>
  <c r="L2409" i="1"/>
  <c r="L2423" i="1"/>
  <c r="L2435" i="1"/>
  <c r="L2447" i="1"/>
  <c r="L2236" i="1"/>
  <c r="L2248" i="1"/>
  <c r="L2262" i="1"/>
  <c r="L2274" i="1"/>
  <c r="L2286" i="1"/>
  <c r="L2298" i="1"/>
  <c r="L2312" i="1"/>
  <c r="L2324" i="1"/>
  <c r="L2336" i="1"/>
  <c r="L2348" i="1"/>
  <c r="L2362" i="1"/>
  <c r="L2374" i="1"/>
  <c r="L2386" i="1"/>
  <c r="L2398" i="1"/>
  <c r="L2412" i="1"/>
  <c r="L2424" i="1"/>
  <c r="L2436" i="1"/>
  <c r="L2237" i="1"/>
  <c r="L2249" i="1"/>
  <c r="L2263" i="1"/>
  <c r="L2275" i="1"/>
  <c r="L2287" i="1"/>
  <c r="L2299" i="1"/>
  <c r="L2313" i="1"/>
  <c r="L2325" i="1"/>
  <c r="L2337" i="1"/>
  <c r="L2349" i="1"/>
  <c r="L2363" i="1"/>
  <c r="L2375" i="1"/>
  <c r="L2387" i="1"/>
  <c r="L2399" i="1"/>
  <c r="L2413" i="1"/>
  <c r="L2425" i="1"/>
  <c r="L2437" i="1"/>
  <c r="L2238" i="1"/>
  <c r="L2252" i="1"/>
  <c r="L2264" i="1"/>
  <c r="L2276" i="1"/>
  <c r="L2288" i="1"/>
  <c r="L2302" i="1"/>
  <c r="L2314" i="1"/>
  <c r="L2326" i="1"/>
  <c r="L2338" i="1"/>
  <c r="L2352" i="1"/>
  <c r="L2364" i="1"/>
  <c r="L2376" i="1"/>
  <c r="L2388" i="1"/>
  <c r="L2402" i="1"/>
  <c r="L2414" i="1"/>
  <c r="L2426" i="1"/>
  <c r="L2438" i="1"/>
  <c r="M2232" i="1" a="1"/>
  <c r="K2232" i="1"/>
  <c r="L2232" i="1" s="1"/>
  <c r="L2240" i="1"/>
  <c r="L2250" i="1"/>
  <c r="L2260" i="1"/>
  <c r="L2270" i="1"/>
  <c r="L2280" i="1"/>
  <c r="L2290" i="1"/>
  <c r="L2300" i="1"/>
  <c r="L2310" i="1"/>
  <c r="L2320" i="1"/>
  <c r="L2330" i="1"/>
  <c r="L2340" i="1"/>
  <c r="L2350" i="1"/>
  <c r="L2360" i="1"/>
  <c r="L2370" i="1"/>
  <c r="L2380" i="1"/>
  <c r="L2390" i="1"/>
  <c r="L2400" i="1"/>
  <c r="L2410" i="1"/>
  <c r="L2420" i="1"/>
  <c r="L2430" i="1"/>
  <c r="L2440" i="1"/>
  <c r="L2241" i="1"/>
  <c r="L2251" i="1"/>
  <c r="L2261" i="1"/>
  <c r="L2271" i="1"/>
  <c r="L2281" i="1"/>
  <c r="L2291" i="1"/>
  <c r="L2301" i="1"/>
  <c r="L2311" i="1"/>
  <c r="L2321" i="1"/>
  <c r="L2331" i="1"/>
  <c r="L2341" i="1"/>
  <c r="L2351" i="1"/>
  <c r="L2361" i="1"/>
  <c r="L2371" i="1"/>
  <c r="L2381" i="1"/>
  <c r="L2391" i="1"/>
  <c r="L2401" i="1"/>
  <c r="L2411" i="1"/>
  <c r="L2421" i="1"/>
  <c r="L2431" i="1"/>
  <c r="L2441" i="1"/>
  <c r="M1780" i="1" a="1"/>
  <c r="N1820" i="1" s="1" a="1"/>
  <c r="N1820" i="1" s="1"/>
  <c r="O1170" i="1" a="1"/>
  <c r="O1170" i="1" s="1"/>
  <c r="P1170" i="1" s="1" a="1"/>
  <c r="P1170" i="1" s="1"/>
  <c r="K2" i="1" a="1"/>
  <c r="N381" i="1" a="1"/>
  <c r="N381" i="1" s="1"/>
  <c r="N306" i="1" a="1"/>
  <c r="N306" i="1" s="1"/>
  <c r="N315" i="1" a="1"/>
  <c r="N315" i="1" s="1"/>
  <c r="N324" i="1" a="1"/>
  <c r="N324" i="1" s="1"/>
  <c r="N299" i="1" a="1"/>
  <c r="N299" i="1" s="1"/>
  <c r="N190" i="1" a="1"/>
  <c r="N190" i="1" s="1"/>
  <c r="N184" i="1" a="1"/>
  <c r="N184" i="1" s="1"/>
  <c r="N263" i="1" a="1"/>
  <c r="N263" i="1" s="1"/>
  <c r="N336" i="1" a="1"/>
  <c r="N336" i="1" s="1"/>
  <c r="N185" i="1" a="1"/>
  <c r="N185" i="1" s="1"/>
  <c r="N419" i="1" a="1"/>
  <c r="N419" i="1" s="1"/>
  <c r="N179" i="1" a="1"/>
  <c r="N179" i="1" s="1"/>
  <c r="N221" i="1" a="1"/>
  <c r="N221" i="1" s="1"/>
  <c r="N239" i="1" a="1"/>
  <c r="N239" i="1" s="1"/>
  <c r="N257" i="1" a="1"/>
  <c r="N257" i="1" s="1"/>
  <c r="N275" i="1" a="1"/>
  <c r="N275" i="1" s="1"/>
  <c r="N412" i="1" a="1"/>
  <c r="N412" i="1" s="1"/>
  <c r="N211" i="1" a="1"/>
  <c r="N211" i="1" s="1"/>
  <c r="N229" i="1" a="1"/>
  <c r="N229" i="1" s="1"/>
  <c r="N196" i="1" a="1"/>
  <c r="N196" i="1" s="1"/>
  <c r="N295" i="1" a="1"/>
  <c r="N295" i="1" s="1"/>
  <c r="N396" i="1" a="1"/>
  <c r="N396" i="1" s="1"/>
  <c r="N245" i="1" a="1"/>
  <c r="N245" i="1" s="1"/>
  <c r="N337" i="1" a="1"/>
  <c r="N337" i="1" s="1"/>
  <c r="N173" i="1" a="1"/>
  <c r="N173" i="1" s="1"/>
  <c r="N206" i="1" a="1"/>
  <c r="N206" i="1" s="1"/>
  <c r="N201" i="1" a="1"/>
  <c r="N201" i="1" s="1"/>
  <c r="N366" i="1" a="1"/>
  <c r="N366" i="1" s="1"/>
  <c r="N253" i="1" a="1"/>
  <c r="N253" i="1" s="1"/>
  <c r="N289" i="1" a="1"/>
  <c r="N289" i="1" s="1"/>
  <c r="N350" i="1" a="1"/>
  <c r="N350" i="1" s="1"/>
  <c r="N367" i="1" a="1"/>
  <c r="N367" i="1" s="1"/>
  <c r="N403" i="1" a="1"/>
  <c r="N403" i="1" s="1"/>
  <c r="N332" i="1" a="1"/>
  <c r="N332" i="1" s="1"/>
  <c r="N368" i="1" a="1"/>
  <c r="N368" i="1" s="1"/>
  <c r="N265" i="1" a="1"/>
  <c r="N265" i="1" s="1"/>
  <c r="N203" i="1" a="1"/>
  <c r="N203" i="1" s="1"/>
  <c r="N208" i="1" a="1"/>
  <c r="N208" i="1" s="1"/>
  <c r="N377" i="1" a="1"/>
  <c r="N377" i="1" s="1"/>
  <c r="N384" i="1" a="1"/>
  <c r="N384" i="1" s="1"/>
  <c r="N392" i="1" a="1"/>
  <c r="N392" i="1" s="1"/>
  <c r="N399" i="1" a="1"/>
  <c r="N399" i="1" s="1"/>
  <c r="N191" i="1" a="1"/>
  <c r="N191" i="1" s="1"/>
  <c r="N218" i="1" a="1"/>
  <c r="N218" i="1" s="1"/>
  <c r="N186" i="1" a="1"/>
  <c r="N186" i="1" s="1"/>
  <c r="N297" i="1" a="1"/>
  <c r="N297" i="1" s="1"/>
  <c r="N327" i="1" a="1"/>
  <c r="N327" i="1" s="1"/>
  <c r="N347" i="1" a="1"/>
  <c r="N347" i="1" s="1"/>
  <c r="M2" i="1" a="1"/>
  <c r="N89" i="1" s="1" a="1"/>
  <c r="N89" i="1" s="1"/>
  <c r="N170" i="1" a="1"/>
  <c r="N170" i="1" s="1"/>
  <c r="N176" i="1" a="1"/>
  <c r="N176" i="1" s="1"/>
  <c r="N199" i="1" a="1"/>
  <c r="N199" i="1" s="1"/>
  <c r="N209" i="1" a="1"/>
  <c r="N209" i="1" s="1"/>
  <c r="N214" i="1" a="1"/>
  <c r="N214" i="1" s="1"/>
  <c r="N255" i="1" a="1"/>
  <c r="N255" i="1" s="1"/>
  <c r="N293" i="1" a="1"/>
  <c r="N293" i="1" s="1"/>
  <c r="N415" i="1" a="1"/>
  <c r="N415" i="1" s="1"/>
  <c r="N235" i="1" a="1"/>
  <c r="N235" i="1" s="1"/>
  <c r="N277" i="1" a="1"/>
  <c r="N277" i="1" s="1"/>
  <c r="N198" i="1" a="1"/>
  <c r="N198" i="1" s="1"/>
  <c r="N273" i="1" a="1"/>
  <c r="N273" i="1" s="1"/>
  <c r="N310" i="1" a="1"/>
  <c r="N310" i="1" s="1"/>
  <c r="N249" i="1" a="1"/>
  <c r="N249" i="1" s="1"/>
  <c r="N259" i="1" a="1"/>
  <c r="N259" i="1" s="1"/>
  <c r="N194" i="1" a="1"/>
  <c r="N194" i="1" s="1"/>
  <c r="N205" i="1" a="1"/>
  <c r="N205" i="1" s="1"/>
  <c r="N220" i="1" a="1"/>
  <c r="N220" i="1" s="1"/>
  <c r="N226" i="1" a="1"/>
  <c r="N226" i="1" s="1"/>
  <c r="N237" i="1" a="1"/>
  <c r="N237" i="1" s="1"/>
  <c r="N243" i="1" a="1"/>
  <c r="N243" i="1" s="1"/>
  <c r="N321" i="1" a="1"/>
  <c r="N321" i="1" s="1"/>
  <c r="N328" i="1" a="1"/>
  <c r="N328" i="1" s="1"/>
  <c r="N357" i="1" a="1"/>
  <c r="N357" i="1" s="1"/>
  <c r="N213" i="1" a="1"/>
  <c r="N213" i="1" s="1"/>
  <c r="N223" i="1" a="1"/>
  <c r="N223" i="1" s="1"/>
  <c r="N285" i="1" a="1"/>
  <c r="N285" i="1" s="1"/>
  <c r="N171" i="1" a="1"/>
  <c r="N171" i="1" s="1"/>
  <c r="N183" i="1" a="1"/>
  <c r="N183" i="1" s="1"/>
  <c r="N188" i="1" a="1"/>
  <c r="N188" i="1" s="1"/>
  <c r="N200" i="1" a="1"/>
  <c r="N200" i="1" s="1"/>
  <c r="N215" i="1" a="1"/>
  <c r="N215" i="1" s="1"/>
  <c r="N233" i="1" a="1"/>
  <c r="N233" i="1" s="1"/>
  <c r="N269" i="1" a="1"/>
  <c r="N269" i="1" s="1"/>
  <c r="N279" i="1" a="1"/>
  <c r="N279" i="1" s="1"/>
  <c r="N335" i="1" a="1"/>
  <c r="N335" i="1" s="1"/>
  <c r="N341" i="1" a="1"/>
  <c r="N341" i="1" s="1"/>
  <c r="N387" i="1" a="1"/>
  <c r="N387" i="1" s="1"/>
  <c r="N416" i="1" a="1"/>
  <c r="N416" i="1" s="1"/>
  <c r="N851" i="1" a="1"/>
  <c r="N851" i="1" s="1"/>
  <c r="N849" i="1" a="1"/>
  <c r="N849" i="1" s="1"/>
  <c r="N847" i="1" a="1"/>
  <c r="N847" i="1" s="1"/>
  <c r="N845" i="1" a="1"/>
  <c r="N845" i="1" s="1"/>
  <c r="N843" i="1" a="1"/>
  <c r="N843" i="1" s="1"/>
  <c r="N841" i="1" a="1"/>
  <c r="N841" i="1" s="1"/>
  <c r="N839" i="1" a="1"/>
  <c r="N839" i="1" s="1"/>
  <c r="N837" i="1" a="1"/>
  <c r="N837" i="1" s="1"/>
  <c r="N835" i="1" a="1"/>
  <c r="N835" i="1" s="1"/>
  <c r="N833" i="1" a="1"/>
  <c r="N833" i="1" s="1"/>
  <c r="N830" i="1" a="1"/>
  <c r="N830" i="1" s="1"/>
  <c r="N828" i="1" a="1"/>
  <c r="N828" i="1" s="1"/>
  <c r="N826" i="1" a="1"/>
  <c r="N826" i="1" s="1"/>
  <c r="N824" i="1" a="1"/>
  <c r="N824" i="1" s="1"/>
  <c r="N822" i="1" a="1"/>
  <c r="N822" i="1" s="1"/>
  <c r="N820" i="1" a="1"/>
  <c r="N820" i="1" s="1"/>
  <c r="N818" i="1" a="1"/>
  <c r="N818" i="1" s="1"/>
  <c r="N816" i="1" a="1"/>
  <c r="N816" i="1" s="1"/>
  <c r="N814" i="1" a="1"/>
  <c r="N814" i="1" s="1"/>
  <c r="N812" i="1" a="1"/>
  <c r="N812" i="1" s="1"/>
  <c r="N810" i="1" a="1"/>
  <c r="N810" i="1" s="1"/>
  <c r="N808" i="1" a="1"/>
  <c r="N808" i="1" s="1"/>
  <c r="N806" i="1" a="1"/>
  <c r="N806" i="1" s="1"/>
  <c r="N804" i="1" a="1"/>
  <c r="N804" i="1" s="1"/>
  <c r="N802" i="1" a="1"/>
  <c r="N802" i="1" s="1"/>
  <c r="N800" i="1" a="1"/>
  <c r="N800" i="1" s="1"/>
  <c r="N798" i="1" a="1"/>
  <c r="N798" i="1" s="1"/>
  <c r="N796" i="1" a="1"/>
  <c r="N796" i="1" s="1"/>
  <c r="N794" i="1" a="1"/>
  <c r="N794" i="1" s="1"/>
  <c r="N792" i="1" a="1"/>
  <c r="N792" i="1" s="1"/>
  <c r="N790" i="1" a="1"/>
  <c r="N790" i="1" s="1"/>
  <c r="N788" i="1" a="1"/>
  <c r="N788" i="1" s="1"/>
  <c r="N786" i="1" a="1"/>
  <c r="N786" i="1" s="1"/>
  <c r="N784" i="1" a="1"/>
  <c r="N784" i="1" s="1"/>
  <c r="N782" i="1" a="1"/>
  <c r="N782" i="1" s="1"/>
  <c r="N780" i="1" a="1"/>
  <c r="N780" i="1" s="1"/>
  <c r="N778" i="1" a="1"/>
  <c r="N778" i="1" s="1"/>
  <c r="N776" i="1" a="1"/>
  <c r="N776" i="1" s="1"/>
  <c r="N774" i="1" a="1"/>
  <c r="N774" i="1" s="1"/>
  <c r="N772" i="1" a="1"/>
  <c r="N772" i="1" s="1"/>
  <c r="N770" i="1" a="1"/>
  <c r="N770" i="1" s="1"/>
  <c r="N768" i="1" a="1"/>
  <c r="N768" i="1" s="1"/>
  <c r="N766" i="1" a="1"/>
  <c r="N766" i="1" s="1"/>
  <c r="N764" i="1" a="1"/>
  <c r="N764" i="1" s="1"/>
  <c r="N762" i="1" a="1"/>
  <c r="N762" i="1" s="1"/>
  <c r="N760" i="1" a="1"/>
  <c r="N760" i="1" s="1"/>
  <c r="N758" i="1" a="1"/>
  <c r="N758" i="1" s="1"/>
  <c r="N756" i="1" a="1"/>
  <c r="N756" i="1" s="1"/>
  <c r="N754" i="1" a="1"/>
  <c r="N754" i="1" s="1"/>
  <c r="N752" i="1" a="1"/>
  <c r="N752" i="1" s="1"/>
  <c r="N750" i="1" a="1"/>
  <c r="N750" i="1" s="1"/>
  <c r="N748" i="1" a="1"/>
  <c r="N748" i="1" s="1"/>
  <c r="N746" i="1" a="1"/>
  <c r="N746" i="1" s="1"/>
  <c r="N744" i="1" a="1"/>
  <c r="N744" i="1" s="1"/>
  <c r="N742" i="1" a="1"/>
  <c r="N742" i="1" s="1"/>
  <c r="N740" i="1" a="1"/>
  <c r="N740" i="1" s="1"/>
  <c r="N738" i="1" a="1"/>
  <c r="N738" i="1" s="1"/>
  <c r="N736" i="1" a="1"/>
  <c r="N736" i="1" s="1"/>
  <c r="N734" i="1" a="1"/>
  <c r="N734" i="1" s="1"/>
  <c r="N732" i="1" a="1"/>
  <c r="N732" i="1" s="1"/>
  <c r="N730" i="1" a="1"/>
  <c r="N730" i="1" s="1"/>
  <c r="N728" i="1" a="1"/>
  <c r="N728" i="1" s="1"/>
  <c r="N726" i="1" a="1"/>
  <c r="N726" i="1" s="1"/>
  <c r="N724" i="1" a="1"/>
  <c r="N724" i="1" s="1"/>
  <c r="N722" i="1" a="1"/>
  <c r="N722" i="1" s="1"/>
  <c r="N720" i="1" a="1"/>
  <c r="N720" i="1" s="1"/>
  <c r="N718" i="1" a="1"/>
  <c r="N718" i="1" s="1"/>
  <c r="N716" i="1" a="1"/>
  <c r="N716" i="1" s="1"/>
  <c r="N714" i="1" a="1"/>
  <c r="N714" i="1" s="1"/>
  <c r="N712" i="1" a="1"/>
  <c r="N712" i="1" s="1"/>
  <c r="N710" i="1" a="1"/>
  <c r="N710" i="1" s="1"/>
  <c r="N708" i="1" a="1"/>
  <c r="N708" i="1" s="1"/>
  <c r="N706" i="1" a="1"/>
  <c r="N706" i="1" s="1"/>
  <c r="N704" i="1" a="1"/>
  <c r="N704" i="1" s="1"/>
  <c r="N702" i="1" a="1"/>
  <c r="N702" i="1" s="1"/>
  <c r="N700" i="1" a="1"/>
  <c r="N700" i="1" s="1"/>
  <c r="N698" i="1" a="1"/>
  <c r="N698" i="1" s="1"/>
  <c r="N696" i="1" a="1"/>
  <c r="N696" i="1" s="1"/>
  <c r="N694" i="1" a="1"/>
  <c r="N694" i="1" s="1"/>
  <c r="N692" i="1" a="1"/>
  <c r="N692" i="1" s="1"/>
  <c r="N690" i="1" a="1"/>
  <c r="N690" i="1" s="1"/>
  <c r="N688" i="1" a="1"/>
  <c r="N688" i="1" s="1"/>
  <c r="N686" i="1" a="1"/>
  <c r="N686" i="1" s="1"/>
  <c r="N684" i="1" a="1"/>
  <c r="N684" i="1" s="1"/>
  <c r="N682" i="1" a="1"/>
  <c r="N682" i="1" s="1"/>
  <c r="N680" i="1" a="1"/>
  <c r="N680" i="1" s="1"/>
  <c r="N678" i="1" a="1"/>
  <c r="N678" i="1" s="1"/>
  <c r="N676" i="1" a="1"/>
  <c r="N676" i="1" s="1"/>
  <c r="N674" i="1" a="1"/>
  <c r="N674" i="1" s="1"/>
  <c r="N672" i="1" a="1"/>
  <c r="N672" i="1" s="1"/>
  <c r="N670" i="1" a="1"/>
  <c r="N670" i="1" s="1"/>
  <c r="N668" i="1" a="1"/>
  <c r="N668" i="1" s="1"/>
  <c r="N666" i="1" a="1"/>
  <c r="N666" i="1" s="1"/>
  <c r="N664" i="1" a="1"/>
  <c r="N664" i="1" s="1"/>
  <c r="N662" i="1" a="1"/>
  <c r="N662" i="1" s="1"/>
  <c r="N660" i="1" a="1"/>
  <c r="N660" i="1" s="1"/>
  <c r="N658" i="1" a="1"/>
  <c r="N658" i="1" s="1"/>
  <c r="N656" i="1" a="1"/>
  <c r="N656" i="1" s="1"/>
  <c r="N823" i="1" a="1"/>
  <c r="N823" i="1" s="1"/>
  <c r="N813" i="1" a="1"/>
  <c r="N813" i="1" s="1"/>
  <c r="N803" i="1" a="1"/>
  <c r="N803" i="1" s="1"/>
  <c r="N793" i="1" a="1"/>
  <c r="N793" i="1" s="1"/>
  <c r="N783" i="1" a="1"/>
  <c r="N783" i="1" s="1"/>
  <c r="N773" i="1" a="1"/>
  <c r="N773" i="1" s="1"/>
  <c r="N753" i="1" a="1"/>
  <c r="N753" i="1" s="1"/>
  <c r="N733" i="1" a="1"/>
  <c r="N733" i="1" s="1"/>
  <c r="N713" i="1" a="1"/>
  <c r="N713" i="1" s="1"/>
  <c r="N693" i="1" a="1"/>
  <c r="N693" i="1" s="1"/>
  <c r="N673" i="1" a="1"/>
  <c r="N673" i="1" s="1"/>
  <c r="N836" i="1" a="1"/>
  <c r="N836" i="1" s="1"/>
  <c r="N825" i="1" a="1"/>
  <c r="N825" i="1" s="1"/>
  <c r="N815" i="1" a="1"/>
  <c r="N815" i="1" s="1"/>
  <c r="N827" i="1" a="1"/>
  <c r="N827" i="1" s="1"/>
  <c r="N777" i="1" a="1"/>
  <c r="N777" i="1" s="1"/>
  <c r="N767" i="1" a="1"/>
  <c r="N767" i="1" s="1"/>
  <c r="N755" i="1" a="1"/>
  <c r="N755" i="1" s="1"/>
  <c r="N743" i="1" a="1"/>
  <c r="N743" i="1" s="1"/>
  <c r="N731" i="1" a="1"/>
  <c r="N731" i="1" s="1"/>
  <c r="N661" i="1" a="1"/>
  <c r="N661" i="1" s="1"/>
  <c r="N654" i="1" a="1"/>
  <c r="N654" i="1" s="1"/>
  <c r="N645" i="1" a="1"/>
  <c r="N645" i="1" s="1"/>
  <c r="N840" i="1" a="1"/>
  <c r="N840" i="1" s="1"/>
  <c r="N821" i="1" a="1"/>
  <c r="N821" i="1" s="1"/>
  <c r="N785" i="1" a="1"/>
  <c r="N785" i="1" s="1"/>
  <c r="N848" i="1" a="1"/>
  <c r="N848" i="1" s="1"/>
  <c r="N832" i="1" a="1"/>
  <c r="N832" i="1" s="1"/>
  <c r="N771" i="1" a="1"/>
  <c r="N771" i="1" s="1"/>
  <c r="N739" i="1" a="1"/>
  <c r="N739" i="1" s="1"/>
  <c r="N705" i="1" a="1"/>
  <c r="N705" i="1" s="1"/>
  <c r="N697" i="1" a="1"/>
  <c r="N697" i="1" s="1"/>
  <c r="N679" i="1" a="1"/>
  <c r="N679" i="1" s="1"/>
  <c r="N653" i="1" a="1"/>
  <c r="N653" i="1" s="1"/>
  <c r="N646" i="1" a="1"/>
  <c r="N646" i="1" s="1"/>
  <c r="N641" i="1" a="1"/>
  <c r="N641" i="1" s="1"/>
  <c r="N632" i="1" a="1"/>
  <c r="N632" i="1" s="1"/>
  <c r="N623" i="1" a="1"/>
  <c r="N623" i="1" s="1"/>
  <c r="N612" i="1" a="1"/>
  <c r="N612" i="1" s="1"/>
  <c r="N603" i="1" a="1"/>
  <c r="N603" i="1" s="1"/>
  <c r="N592" i="1" a="1"/>
  <c r="N592" i="1" s="1"/>
  <c r="N583" i="1" a="1"/>
  <c r="N583" i="1" s="1"/>
  <c r="N572" i="1" a="1"/>
  <c r="N572" i="1" s="1"/>
  <c r="N563" i="1" a="1"/>
  <c r="N563" i="1" s="1"/>
  <c r="N552" i="1" a="1"/>
  <c r="N552" i="1" s="1"/>
  <c r="N543" i="1" a="1"/>
  <c r="N543" i="1" s="1"/>
  <c r="N805" i="1" a="1"/>
  <c r="N805" i="1" s="1"/>
  <c r="N799" i="1" a="1"/>
  <c r="N799" i="1" s="1"/>
  <c r="N689" i="1" a="1"/>
  <c r="N689" i="1" s="1"/>
  <c r="N671" i="1" a="1"/>
  <c r="N671" i="1" s="1"/>
  <c r="N663" i="1" a="1"/>
  <c r="N663" i="1" s="1"/>
  <c r="N648" i="1" a="1"/>
  <c r="N648" i="1" s="1"/>
  <c r="N634" i="1" a="1"/>
  <c r="N634" i="1" s="1"/>
  <c r="N625" i="1" a="1"/>
  <c r="N625" i="1" s="1"/>
  <c r="N614" i="1" a="1"/>
  <c r="N614" i="1" s="1"/>
  <c r="N605" i="1" a="1"/>
  <c r="N605" i="1" s="1"/>
  <c r="N594" i="1" a="1"/>
  <c r="N594" i="1" s="1"/>
  <c r="N585" i="1" a="1"/>
  <c r="N585" i="1" s="1"/>
  <c r="N574" i="1" a="1"/>
  <c r="N574" i="1" s="1"/>
  <c r="N565" i="1" a="1"/>
  <c r="N565" i="1" s="1"/>
  <c r="N554" i="1" a="1"/>
  <c r="N554" i="1" s="1"/>
  <c r="N545" i="1" a="1"/>
  <c r="N545" i="1" s="1"/>
  <c r="N811" i="1" a="1"/>
  <c r="N811" i="1" s="1"/>
  <c r="N795" i="1" a="1"/>
  <c r="N795" i="1" s="1"/>
  <c r="N789" i="1" a="1"/>
  <c r="N789" i="1" s="1"/>
  <c r="N765" i="1" a="1"/>
  <c r="N765" i="1" s="1"/>
  <c r="N757" i="1" a="1"/>
  <c r="N757" i="1" s="1"/>
  <c r="N749" i="1" a="1"/>
  <c r="N749" i="1" s="1"/>
  <c r="N723" i="1" a="1"/>
  <c r="N723" i="1" s="1"/>
  <c r="N715" i="1" a="1"/>
  <c r="N715" i="1" s="1"/>
  <c r="N707" i="1" a="1"/>
  <c r="N707" i="1" s="1"/>
  <c r="N699" i="1" a="1"/>
  <c r="N699" i="1" s="1"/>
  <c r="N681" i="1" a="1"/>
  <c r="N681" i="1" s="1"/>
  <c r="N655" i="1" a="1"/>
  <c r="N655" i="1" s="1"/>
  <c r="N643" i="1" a="1"/>
  <c r="N643" i="1" s="1"/>
  <c r="N636" i="1" a="1"/>
  <c r="N636" i="1" s="1"/>
  <c r="N627" i="1" a="1"/>
  <c r="N627" i="1" s="1"/>
  <c r="N817" i="1" a="1"/>
  <c r="N817" i="1" s="1"/>
  <c r="N759" i="1" a="1"/>
  <c r="N759" i="1" s="1"/>
  <c r="N741" i="1" a="1"/>
  <c r="N741" i="1" s="1"/>
  <c r="N665" i="1" a="1"/>
  <c r="N665" i="1" s="1"/>
  <c r="N650" i="1" a="1"/>
  <c r="N650" i="1" s="1"/>
  <c r="N638" i="1" a="1"/>
  <c r="N638" i="1" s="1"/>
  <c r="N629" i="1" a="1"/>
  <c r="N629" i="1" s="1"/>
  <c r="N850" i="1" a="1"/>
  <c r="N850" i="1" s="1"/>
  <c r="N831" i="1" a="1"/>
  <c r="N831" i="1" s="1"/>
  <c r="N801" i="1" a="1"/>
  <c r="N801" i="1" s="1"/>
  <c r="N779" i="1" a="1"/>
  <c r="N779" i="1" s="1"/>
  <c r="N709" i="1" a="1"/>
  <c r="N709" i="1" s="1"/>
  <c r="N701" i="1" a="1"/>
  <c r="N701" i="1" s="1"/>
  <c r="N691" i="1" a="1"/>
  <c r="N691" i="1" s="1"/>
  <c r="N657" i="1" a="1"/>
  <c r="N657" i="1" s="1"/>
  <c r="N640" i="1" a="1"/>
  <c r="N640" i="1" s="1"/>
  <c r="N631" i="1" a="1"/>
  <c r="N631" i="1" s="1"/>
  <c r="N620" i="1" a="1"/>
  <c r="N620" i="1" s="1"/>
  <c r="N829" i="1" a="1"/>
  <c r="N829" i="1" s="1"/>
  <c r="N809" i="1" a="1"/>
  <c r="N809" i="1" s="1"/>
  <c r="N781" i="1" a="1"/>
  <c r="N781" i="1" s="1"/>
  <c r="N675" i="1" a="1"/>
  <c r="N675" i="1" s="1"/>
  <c r="N761" i="1" a="1"/>
  <c r="N761" i="1" s="1"/>
  <c r="N711" i="1" a="1"/>
  <c r="N711" i="1" s="1"/>
  <c r="N649" i="1" a="1"/>
  <c r="N649" i="1" s="1"/>
  <c r="N624" i="1" a="1"/>
  <c r="N624" i="1" s="1"/>
  <c r="N609" i="1" a="1"/>
  <c r="N609" i="1" s="1"/>
  <c r="N570" i="1" a="1"/>
  <c r="N570" i="1" s="1"/>
  <c r="N567" i="1" a="1"/>
  <c r="N567" i="1" s="1"/>
  <c r="N562" i="1" a="1"/>
  <c r="N562" i="1" s="1"/>
  <c r="N807" i="1" a="1"/>
  <c r="N807" i="1" s="1"/>
  <c r="N769" i="1" a="1"/>
  <c r="N769" i="1" s="1"/>
  <c r="N604" i="1" a="1"/>
  <c r="N604" i="1" s="1"/>
  <c r="N596" i="1" a="1"/>
  <c r="N596" i="1" s="1"/>
  <c r="N588" i="1" a="1"/>
  <c r="N588" i="1" s="1"/>
  <c r="N580" i="1" a="1"/>
  <c r="N580" i="1" s="1"/>
  <c r="N575" i="1" a="1"/>
  <c r="N575" i="1" s="1"/>
  <c r="N559" i="1" a="1"/>
  <c r="N559" i="1" s="1"/>
  <c r="N551" i="1" a="1"/>
  <c r="N551" i="1" s="1"/>
  <c r="N546" i="1" a="1"/>
  <c r="N546" i="1" s="1"/>
  <c r="N844" i="1" a="1"/>
  <c r="N844" i="1" s="1"/>
  <c r="N838" i="1" a="1"/>
  <c r="N838" i="1" s="1"/>
  <c r="N797" i="1" a="1"/>
  <c r="N797" i="1" s="1"/>
  <c r="N735" i="1" a="1"/>
  <c r="N735" i="1" s="1"/>
  <c r="N719" i="1" a="1"/>
  <c r="N719" i="1" s="1"/>
  <c r="N669" i="1" a="1"/>
  <c r="N669" i="1" s="1"/>
  <c r="N637" i="1" a="1"/>
  <c r="N637" i="1" s="1"/>
  <c r="N633" i="1" a="1"/>
  <c r="N633" i="1" s="1"/>
  <c r="N630" i="1" a="1"/>
  <c r="N630" i="1" s="1"/>
  <c r="N617" i="1" a="1"/>
  <c r="N617" i="1" s="1"/>
  <c r="N601" i="1" a="1"/>
  <c r="N601" i="1" s="1"/>
  <c r="N593" i="1" a="1"/>
  <c r="N593" i="1" s="1"/>
  <c r="N725" i="1" a="1"/>
  <c r="N725" i="1" s="1"/>
  <c r="N703" i="1" a="1"/>
  <c r="N703" i="1" s="1"/>
  <c r="N687" i="1" a="1"/>
  <c r="N687" i="1" s="1"/>
  <c r="N619" i="1" a="1"/>
  <c r="N619" i="1" s="1"/>
  <c r="N598" i="1" a="1"/>
  <c r="N598" i="1" s="1"/>
  <c r="N595" i="1" a="1"/>
  <c r="N595" i="1" s="1"/>
  <c r="N582" i="1" a="1"/>
  <c r="N582" i="1" s="1"/>
  <c r="N542" i="1" a="1"/>
  <c r="N542" i="1" s="1"/>
  <c r="N729" i="1" a="1"/>
  <c r="N729" i="1" s="1"/>
  <c r="N635" i="1" a="1"/>
  <c r="N635" i="1" s="1"/>
  <c r="N622" i="1" a="1"/>
  <c r="N622" i="1" s="1"/>
  <c r="N615" i="1" a="1"/>
  <c r="N615" i="1" s="1"/>
  <c r="N611" i="1" a="1"/>
  <c r="N611" i="1" s="1"/>
  <c r="N591" i="1" a="1"/>
  <c r="N591" i="1" s="1"/>
  <c r="N566" i="1" a="1"/>
  <c r="N566" i="1" s="1"/>
  <c r="N557" i="1" a="1"/>
  <c r="N557" i="1" s="1"/>
  <c r="N846" i="1" a="1"/>
  <c r="N846" i="1" s="1"/>
  <c r="N685" i="1" a="1"/>
  <c r="N685" i="1" s="1"/>
  <c r="N659" i="1" a="1"/>
  <c r="N659" i="1" s="1"/>
  <c r="N644" i="1" a="1"/>
  <c r="N644" i="1" s="1"/>
  <c r="N626" i="1" a="1"/>
  <c r="N626" i="1" s="1"/>
  <c r="N587" i="1" a="1"/>
  <c r="N587" i="1" s="1"/>
  <c r="N578" i="1" a="1"/>
  <c r="N578" i="1" s="1"/>
  <c r="N819" i="1" a="1"/>
  <c r="N819" i="1" s="1"/>
  <c r="N717" i="1" a="1"/>
  <c r="N717" i="1" s="1"/>
  <c r="N695" i="1" a="1"/>
  <c r="N695" i="1" s="1"/>
  <c r="N639" i="1" a="1"/>
  <c r="N639" i="1" s="1"/>
  <c r="N618" i="1" a="1"/>
  <c r="N618" i="1" s="1"/>
  <c r="N607" i="1" a="1"/>
  <c r="N607" i="1" s="1"/>
  <c r="N600" i="1" a="1"/>
  <c r="N600" i="1" s="1"/>
  <c r="N597" i="1" a="1"/>
  <c r="N597" i="1" s="1"/>
  <c r="N584" i="1" a="1"/>
  <c r="N584" i="1" s="1"/>
  <c r="N581" i="1" a="1"/>
  <c r="N581" i="1" s="1"/>
  <c r="N556" i="1" a="1"/>
  <c r="N556" i="1" s="1"/>
  <c r="N553" i="1" a="1"/>
  <c r="N553" i="1" s="1"/>
  <c r="N547" i="1" a="1"/>
  <c r="N547" i="1" s="1"/>
  <c r="N791" i="1" a="1"/>
  <c r="N791" i="1" s="1"/>
  <c r="N751" i="1" a="1"/>
  <c r="N751" i="1" s="1"/>
  <c r="N727" i="1" a="1"/>
  <c r="N727" i="1" s="1"/>
  <c r="N613" i="1" a="1"/>
  <c r="N613" i="1" s="1"/>
  <c r="N608" i="1" a="1"/>
  <c r="N608" i="1" s="1"/>
  <c r="N599" i="1" a="1"/>
  <c r="N599" i="1" s="1"/>
  <c r="N589" i="1" a="1"/>
  <c r="N589" i="1" s="1"/>
  <c r="N568" i="1" a="1"/>
  <c r="N568" i="1" s="1"/>
  <c r="N564" i="1" a="1"/>
  <c r="N564" i="1" s="1"/>
  <c r="N834" i="1" a="1"/>
  <c r="N834" i="1" s="1"/>
  <c r="N763" i="1" a="1"/>
  <c r="N763" i="1" s="1"/>
  <c r="N667" i="1" a="1"/>
  <c r="N667" i="1" s="1"/>
  <c r="N647" i="1" a="1"/>
  <c r="N647" i="1" s="1"/>
  <c r="N642" i="1" a="1"/>
  <c r="N642" i="1" s="1"/>
  <c r="N576" i="1" a="1"/>
  <c r="N576" i="1" s="1"/>
  <c r="N571" i="1" a="1"/>
  <c r="N571" i="1" s="1"/>
  <c r="N555" i="1" a="1"/>
  <c r="N555" i="1" s="1"/>
  <c r="N745" i="1" a="1"/>
  <c r="N745" i="1" s="1"/>
  <c r="N721" i="1" a="1"/>
  <c r="N721" i="1" s="1"/>
  <c r="N652" i="1" a="1"/>
  <c r="N652" i="1" s="1"/>
  <c r="N550" i="1" a="1"/>
  <c r="N550" i="1" s="1"/>
  <c r="M423" i="1" a="1"/>
  <c r="N531" i="1" s="1" a="1"/>
  <c r="N531" i="1" s="1"/>
  <c r="N775" i="1" a="1"/>
  <c r="N775" i="1" s="1"/>
  <c r="N610" i="1" a="1"/>
  <c r="N610" i="1" s="1"/>
  <c r="N569" i="1" a="1"/>
  <c r="N569" i="1" s="1"/>
  <c r="N558" i="1" a="1"/>
  <c r="N558" i="1" s="1"/>
  <c r="N548" i="1" a="1"/>
  <c r="N548" i="1" s="1"/>
  <c r="N616" i="1" a="1"/>
  <c r="N616" i="1" s="1"/>
  <c r="N586" i="1" a="1"/>
  <c r="N586" i="1" s="1"/>
  <c r="N579" i="1" a="1"/>
  <c r="N579" i="1" s="1"/>
  <c r="N787" i="1" a="1"/>
  <c r="N787" i="1" s="1"/>
  <c r="N651" i="1" a="1"/>
  <c r="N651" i="1" s="1"/>
  <c r="N628" i="1" a="1"/>
  <c r="N628" i="1" s="1"/>
  <c r="N621" i="1" a="1"/>
  <c r="N621" i="1" s="1"/>
  <c r="N602" i="1" a="1"/>
  <c r="N602" i="1" s="1"/>
  <c r="N590" i="1" a="1"/>
  <c r="N590" i="1" s="1"/>
  <c r="N842" i="1" a="1"/>
  <c r="N842" i="1" s="1"/>
  <c r="N573" i="1" a="1"/>
  <c r="N573" i="1" s="1"/>
  <c r="N747" i="1" a="1"/>
  <c r="N747" i="1" s="1"/>
  <c r="N606" i="1" a="1"/>
  <c r="N606" i="1" s="1"/>
  <c r="N577" i="1" a="1"/>
  <c r="N577" i="1" s="1"/>
  <c r="N561" i="1" a="1"/>
  <c r="N561" i="1" s="1"/>
  <c r="N560" i="1" a="1"/>
  <c r="N560" i="1" s="1"/>
  <c r="N549" i="1" a="1"/>
  <c r="N549" i="1" s="1"/>
  <c r="N544" i="1" a="1"/>
  <c r="N544" i="1" s="1"/>
  <c r="N737" i="1" a="1"/>
  <c r="N737" i="1" s="1"/>
  <c r="N677" i="1" a="1"/>
  <c r="N677" i="1" s="1"/>
  <c r="N683" i="1" a="1"/>
  <c r="N683" i="1" s="1"/>
  <c r="N283" i="1" a="1"/>
  <c r="N283" i="1" s="1"/>
  <c r="N303" i="1" a="1"/>
  <c r="N303" i="1" s="1"/>
  <c r="N344" i="1" a="1"/>
  <c r="N344" i="1" s="1"/>
  <c r="N348" i="1" a="1"/>
  <c r="N348" i="1" s="1"/>
  <c r="N352" i="1" a="1"/>
  <c r="N352" i="1" s="1"/>
  <c r="N355" i="1" a="1"/>
  <c r="N355" i="1" s="1"/>
  <c r="N359" i="1" a="1"/>
  <c r="N359" i="1" s="1"/>
  <c r="N363" i="1" a="1"/>
  <c r="N363" i="1" s="1"/>
  <c r="N370" i="1" a="1"/>
  <c r="N370" i="1" s="1"/>
  <c r="N174" i="1" a="1"/>
  <c r="N174" i="1" s="1"/>
  <c r="N180" i="1" a="1"/>
  <c r="N180" i="1" s="1"/>
  <c r="N189" i="1" a="1"/>
  <c r="N189" i="1" s="1"/>
  <c r="N195" i="1" a="1"/>
  <c r="N195" i="1" s="1"/>
  <c r="N224" i="1" a="1"/>
  <c r="N224" i="1" s="1"/>
  <c r="N397" i="1" a="1"/>
  <c r="N397" i="1" s="1"/>
  <c r="N414" i="1" a="1"/>
  <c r="N414" i="1" s="1"/>
  <c r="N405" i="1" a="1"/>
  <c r="N405" i="1" s="1"/>
  <c r="N394" i="1" a="1"/>
  <c r="N394" i="1" s="1"/>
  <c r="N385" i="1" a="1"/>
  <c r="N385" i="1" s="1"/>
  <c r="N374" i="1" a="1"/>
  <c r="N374" i="1" s="1"/>
  <c r="N365" i="1" a="1"/>
  <c r="N365" i="1" s="1"/>
  <c r="N354" i="1" a="1"/>
  <c r="N354" i="1" s="1"/>
  <c r="N345" i="1" a="1"/>
  <c r="N345" i="1" s="1"/>
  <c r="N334" i="1" a="1"/>
  <c r="N334" i="1" s="1"/>
  <c r="N325" i="1" a="1"/>
  <c r="N325" i="1" s="1"/>
  <c r="N314" i="1" a="1"/>
  <c r="N314" i="1" s="1"/>
  <c r="N305" i="1" a="1"/>
  <c r="N305" i="1" s="1"/>
  <c r="N418" i="1" a="1"/>
  <c r="N418" i="1" s="1"/>
  <c r="N409" i="1" a="1"/>
  <c r="N409" i="1" s="1"/>
  <c r="N398" i="1" a="1"/>
  <c r="N398" i="1" s="1"/>
  <c r="N389" i="1" a="1"/>
  <c r="N389" i="1" s="1"/>
  <c r="N378" i="1" a="1"/>
  <c r="N378" i="1" s="1"/>
  <c r="N369" i="1" a="1"/>
  <c r="N369" i="1" s="1"/>
  <c r="N358" i="1" a="1"/>
  <c r="N358" i="1" s="1"/>
  <c r="N349" i="1" a="1"/>
  <c r="N349" i="1" s="1"/>
  <c r="N338" i="1" a="1"/>
  <c r="N338" i="1" s="1"/>
  <c r="N329" i="1" a="1"/>
  <c r="N329" i="1" s="1"/>
  <c r="N318" i="1" a="1"/>
  <c r="N318" i="1" s="1"/>
  <c r="N309" i="1" a="1"/>
  <c r="N309" i="1" s="1"/>
  <c r="N420" i="1" a="1"/>
  <c r="N420" i="1" s="1"/>
  <c r="N411" i="1" a="1"/>
  <c r="N411" i="1" s="1"/>
  <c r="N400" i="1" a="1"/>
  <c r="N400" i="1" s="1"/>
  <c r="N391" i="1" a="1"/>
  <c r="N391" i="1" s="1"/>
  <c r="N380" i="1" a="1"/>
  <c r="N380" i="1" s="1"/>
  <c r="N371" i="1" a="1"/>
  <c r="N371" i="1" s="1"/>
  <c r="N360" i="1" a="1"/>
  <c r="N360" i="1" s="1"/>
  <c r="N351" i="1" a="1"/>
  <c r="N351" i="1" s="1"/>
  <c r="N340" i="1" a="1"/>
  <c r="N340" i="1" s="1"/>
  <c r="N331" i="1" a="1"/>
  <c r="N331" i="1" s="1"/>
  <c r="N320" i="1" a="1"/>
  <c r="N320" i="1" s="1"/>
  <c r="N311" i="1" a="1"/>
  <c r="N311" i="1" s="1"/>
  <c r="N413" i="1" a="1"/>
  <c r="N413" i="1" s="1"/>
  <c r="N402" i="1" a="1"/>
  <c r="N402" i="1" s="1"/>
  <c r="N393" i="1" a="1"/>
  <c r="N393" i="1" s="1"/>
  <c r="N382" i="1" a="1"/>
  <c r="N382" i="1" s="1"/>
  <c r="N373" i="1" a="1"/>
  <c r="N373" i="1" s="1"/>
  <c r="N362" i="1" a="1"/>
  <c r="N362" i="1" s="1"/>
  <c r="N353" i="1" a="1"/>
  <c r="N353" i="1" s="1"/>
  <c r="N342" i="1" a="1"/>
  <c r="N342" i="1" s="1"/>
  <c r="N333" i="1" a="1"/>
  <c r="N333" i="1" s="1"/>
  <c r="N322" i="1" a="1"/>
  <c r="N322" i="1" s="1"/>
  <c r="N313" i="1" a="1"/>
  <c r="N313" i="1" s="1"/>
  <c r="N302" i="1" a="1"/>
  <c r="N302" i="1" s="1"/>
  <c r="N300" i="1" a="1"/>
  <c r="N300" i="1" s="1"/>
  <c r="N298" i="1" a="1"/>
  <c r="N298" i="1" s="1"/>
  <c r="N296" i="1" a="1"/>
  <c r="N296" i="1" s="1"/>
  <c r="N294" i="1" a="1"/>
  <c r="N294" i="1" s="1"/>
  <c r="N292" i="1" a="1"/>
  <c r="N292" i="1" s="1"/>
  <c r="N290" i="1" a="1"/>
  <c r="N290" i="1" s="1"/>
  <c r="N288" i="1" a="1"/>
  <c r="N288" i="1" s="1"/>
  <c r="N286" i="1" a="1"/>
  <c r="N286" i="1" s="1"/>
  <c r="N284" i="1" a="1"/>
  <c r="N284" i="1" s="1"/>
  <c r="N282" i="1" a="1"/>
  <c r="N282" i="1" s="1"/>
  <c r="N280" i="1" a="1"/>
  <c r="N280" i="1" s="1"/>
  <c r="N278" i="1" a="1"/>
  <c r="N278" i="1" s="1"/>
  <c r="N276" i="1" a="1"/>
  <c r="N276" i="1" s="1"/>
  <c r="N274" i="1" a="1"/>
  <c r="N274" i="1" s="1"/>
  <c r="N272" i="1" a="1"/>
  <c r="N272" i="1" s="1"/>
  <c r="N270" i="1" a="1"/>
  <c r="N270" i="1" s="1"/>
  <c r="N268" i="1" a="1"/>
  <c r="N268" i="1" s="1"/>
  <c r="N266" i="1" a="1"/>
  <c r="N266" i="1" s="1"/>
  <c r="N264" i="1" a="1"/>
  <c r="N264" i="1" s="1"/>
  <c r="N262" i="1" a="1"/>
  <c r="N262" i="1" s="1"/>
  <c r="N260" i="1" a="1"/>
  <c r="N260" i="1" s="1"/>
  <c r="N258" i="1" a="1"/>
  <c r="N258" i="1" s="1"/>
  <c r="N256" i="1" a="1"/>
  <c r="N256" i="1" s="1"/>
  <c r="N254" i="1" a="1"/>
  <c r="N254" i="1" s="1"/>
  <c r="N252" i="1" a="1"/>
  <c r="N252" i="1" s="1"/>
  <c r="N250" i="1" a="1"/>
  <c r="N250" i="1" s="1"/>
  <c r="N248" i="1" a="1"/>
  <c r="N248" i="1" s="1"/>
  <c r="N246" i="1" a="1"/>
  <c r="N246" i="1" s="1"/>
  <c r="N244" i="1" a="1"/>
  <c r="N244" i="1" s="1"/>
  <c r="N242" i="1" a="1"/>
  <c r="N242" i="1" s="1"/>
  <c r="N240" i="1" a="1"/>
  <c r="N240" i="1" s="1"/>
  <c r="N238" i="1" a="1"/>
  <c r="N238" i="1" s="1"/>
  <c r="N236" i="1" a="1"/>
  <c r="N236" i="1" s="1"/>
  <c r="N234" i="1" a="1"/>
  <c r="N234" i="1" s="1"/>
  <c r="N232" i="1" a="1"/>
  <c r="N232" i="1" s="1"/>
  <c r="N230" i="1" a="1"/>
  <c r="N230" i="1" s="1"/>
  <c r="N421" i="1" a="1"/>
  <c r="N421" i="1" s="1"/>
  <c r="N408" i="1" a="1"/>
  <c r="N408" i="1" s="1"/>
  <c r="N395" i="1" a="1"/>
  <c r="N395" i="1" s="1"/>
  <c r="N417" i="1" a="1"/>
  <c r="N417" i="1" s="1"/>
  <c r="N404" i="1" a="1"/>
  <c r="N404" i="1" s="1"/>
  <c r="N401" i="1" a="1"/>
  <c r="N401" i="1" s="1"/>
  <c r="N388" i="1" a="1"/>
  <c r="N388" i="1" s="1"/>
  <c r="N375" i="1" a="1"/>
  <c r="N375" i="1" s="1"/>
  <c r="N356" i="1" a="1"/>
  <c r="N356" i="1" s="1"/>
  <c r="N346" i="1" a="1"/>
  <c r="N346" i="1" s="1"/>
  <c r="N343" i="1" a="1"/>
  <c r="N343" i="1" s="1"/>
  <c r="N330" i="1" a="1"/>
  <c r="N330" i="1" s="1"/>
  <c r="N317" i="1" a="1"/>
  <c r="N317" i="1" s="1"/>
  <c r="N304" i="1" a="1"/>
  <c r="N304" i="1" s="1"/>
  <c r="N287" i="1" a="1"/>
  <c r="N287" i="1" s="1"/>
  <c r="N267" i="1" a="1"/>
  <c r="N267" i="1" s="1"/>
  <c r="N247" i="1" a="1"/>
  <c r="N247" i="1" s="1"/>
  <c r="N222" i="1" a="1"/>
  <c r="N222" i="1" s="1"/>
  <c r="N212" i="1" a="1"/>
  <c r="N212" i="1" s="1"/>
  <c r="N202" i="1" a="1"/>
  <c r="N202" i="1" s="1"/>
  <c r="N192" i="1" a="1"/>
  <c r="N192" i="1" s="1"/>
  <c r="N182" i="1" a="1"/>
  <c r="N182" i="1" s="1"/>
  <c r="N172" i="1" a="1"/>
  <c r="N172" i="1" s="1"/>
  <c r="N162" i="1" a="1"/>
  <c r="N162" i="1" s="1"/>
  <c r="N92" i="1" a="1"/>
  <c r="N92" i="1" s="1"/>
  <c r="N82" i="1" a="1"/>
  <c r="N82" i="1" s="1"/>
  <c r="N62" i="1" a="1"/>
  <c r="N62" i="1" s="1"/>
  <c r="N407" i="1" a="1"/>
  <c r="N407" i="1" s="1"/>
  <c r="N372" i="1" a="1"/>
  <c r="N372" i="1" s="1"/>
  <c r="N339" i="1" a="1"/>
  <c r="N339" i="1" s="1"/>
  <c r="N307" i="1" a="1"/>
  <c r="N307" i="1" s="1"/>
  <c r="N301" i="1" a="1"/>
  <c r="N301" i="1" s="1"/>
  <c r="N281" i="1" a="1"/>
  <c r="N281" i="1" s="1"/>
  <c r="N261" i="1" a="1"/>
  <c r="N261" i="1" s="1"/>
  <c r="N241" i="1" a="1"/>
  <c r="N241" i="1" s="1"/>
  <c r="N227" i="1" a="1"/>
  <c r="N227" i="1" s="1"/>
  <c r="N217" i="1" a="1"/>
  <c r="N217" i="1" s="1"/>
  <c r="N207" i="1" a="1"/>
  <c r="N207" i="1" s="1"/>
  <c r="N197" i="1" a="1"/>
  <c r="N197" i="1" s="1"/>
  <c r="N187" i="1" a="1"/>
  <c r="N187" i="1" s="1"/>
  <c r="N177" i="1" a="1"/>
  <c r="N177" i="1" s="1"/>
  <c r="N167" i="1" a="1"/>
  <c r="N167" i="1" s="1"/>
  <c r="N157" i="1" a="1"/>
  <c r="N157" i="1" s="1"/>
  <c r="N18" i="1" a="1"/>
  <c r="N18" i="1" s="1"/>
  <c r="N116" i="1" a="1"/>
  <c r="N116" i="1" s="1"/>
  <c r="N119" i="1" a="1"/>
  <c r="N119" i="1" s="1"/>
  <c r="N133" i="1" a="1"/>
  <c r="N133" i="1" s="1"/>
  <c r="N169" i="1" a="1"/>
  <c r="N169" i="1" s="1"/>
  <c r="N175" i="1" a="1"/>
  <c r="N175" i="1" s="1"/>
  <c r="N204" i="1" a="1"/>
  <c r="N204" i="1" s="1"/>
  <c r="N210" i="1" a="1"/>
  <c r="N210" i="1" s="1"/>
  <c r="N219" i="1" a="1"/>
  <c r="N219" i="1" s="1"/>
  <c r="N225" i="1" a="1"/>
  <c r="N225" i="1" s="1"/>
  <c r="N231" i="1" a="1"/>
  <c r="N231" i="1" s="1"/>
  <c r="N251" i="1" a="1"/>
  <c r="N251" i="1" s="1"/>
  <c r="N271" i="1" a="1"/>
  <c r="N271" i="1" s="1"/>
  <c r="N291" i="1" a="1"/>
  <c r="N291" i="1" s="1"/>
  <c r="N308" i="1" a="1"/>
  <c r="N308" i="1" s="1"/>
  <c r="N312" i="1" a="1"/>
  <c r="N312" i="1" s="1"/>
  <c r="N319" i="1" a="1"/>
  <c r="N319" i="1" s="1"/>
  <c r="N326" i="1" a="1"/>
  <c r="N326" i="1" s="1"/>
  <c r="N386" i="1" a="1"/>
  <c r="N386" i="1" s="1"/>
  <c r="N390" i="1" a="1"/>
  <c r="N390" i="1" s="1"/>
  <c r="N406" i="1" a="1"/>
  <c r="N406" i="1" s="1"/>
  <c r="N410" i="1" a="1"/>
  <c r="N410" i="1" s="1"/>
  <c r="N94" i="1" a="1"/>
  <c r="N94" i="1" s="1"/>
  <c r="N166" i="1" a="1"/>
  <c r="N166" i="1" s="1"/>
  <c r="N178" i="1" a="1"/>
  <c r="N178" i="1" s="1"/>
  <c r="N181" i="1" a="1"/>
  <c r="N181" i="1" s="1"/>
  <c r="N193" i="1" a="1"/>
  <c r="N193" i="1" s="1"/>
  <c r="N216" i="1" a="1"/>
  <c r="N216" i="1" s="1"/>
  <c r="N228" i="1" a="1"/>
  <c r="N228" i="1" s="1"/>
  <c r="N316" i="1" a="1"/>
  <c r="N316" i="1" s="1"/>
  <c r="N323" i="1" a="1"/>
  <c r="N323" i="1" s="1"/>
  <c r="N364" i="1" a="1"/>
  <c r="N364" i="1" s="1"/>
  <c r="N376" i="1" a="1"/>
  <c r="N376" i="1" s="1"/>
  <c r="N379" i="1" a="1"/>
  <c r="N379" i="1" s="1"/>
  <c r="N383" i="1" a="1"/>
  <c r="N383" i="1" s="1"/>
  <c r="N107" i="3" l="1" a="1"/>
  <c r="N107" i="3" s="1"/>
  <c r="N84" i="3" a="1"/>
  <c r="N84" i="3" s="1"/>
  <c r="N25" i="3" a="1"/>
  <c r="N25" i="3" s="1"/>
  <c r="N90" i="1" a="1"/>
  <c r="N90" i="1" s="1"/>
  <c r="N8" i="1" a="1"/>
  <c r="N8" i="1" s="1"/>
  <c r="N873" i="1" a="1"/>
  <c r="N873" i="1" s="1"/>
  <c r="N939" i="1" a="1"/>
  <c r="N939" i="1" s="1"/>
  <c r="N872" i="1" a="1"/>
  <c r="N872" i="1" s="1"/>
  <c r="N912" i="1" a="1"/>
  <c r="N912" i="1" s="1"/>
  <c r="N880" i="1" a="1"/>
  <c r="N880" i="1" s="1"/>
  <c r="N941" i="1" a="1"/>
  <c r="N941" i="1" s="1"/>
  <c r="N63" i="1" a="1"/>
  <c r="N63" i="1" s="1"/>
  <c r="N67" i="1" a="1"/>
  <c r="N67" i="1" s="1"/>
  <c r="N128" i="1" a="1"/>
  <c r="N128" i="1" s="1"/>
  <c r="N129" i="1" a="1"/>
  <c r="N129" i="1" s="1"/>
  <c r="N121" i="1" a="1"/>
  <c r="N121" i="1" s="1"/>
  <c r="N88" i="1" a="1"/>
  <c r="N88" i="1" s="1"/>
  <c r="N120" i="1" a="1"/>
  <c r="N120" i="1" s="1"/>
  <c r="N3" i="1" a="1"/>
  <c r="N3" i="1" s="1"/>
  <c r="N130" i="1" a="1"/>
  <c r="N130" i="1" s="1"/>
  <c r="N147" i="1" a="1"/>
  <c r="N147" i="1" s="1"/>
  <c r="N72" i="1" a="1"/>
  <c r="N72" i="1" s="1"/>
  <c r="N60" i="1" a="1"/>
  <c r="N60" i="1" s="1"/>
  <c r="N17" i="1" a="1"/>
  <c r="N17" i="1" s="1"/>
  <c r="N114" i="1" a="1"/>
  <c r="N114" i="1" s="1"/>
  <c r="N140" i="1" a="1"/>
  <c r="N140" i="1" s="1"/>
  <c r="N143" i="1" a="1"/>
  <c r="N143" i="1" s="1"/>
  <c r="N135" i="1" a="1"/>
  <c r="N135" i="1" s="1"/>
  <c r="N91" i="1" a="1"/>
  <c r="N91" i="1" s="1"/>
  <c r="N10" i="1" a="1"/>
  <c r="N10" i="1" s="1"/>
  <c r="N106" i="1" a="1"/>
  <c r="N106" i="1" s="1"/>
  <c r="N48" i="1" a="1"/>
  <c r="N48" i="1" s="1"/>
  <c r="N164" i="1" a="1"/>
  <c r="N164" i="1" s="1"/>
  <c r="N870" i="1" a="1"/>
  <c r="N870" i="1" s="1"/>
  <c r="N889" i="1" a="1"/>
  <c r="N889" i="1" s="1"/>
  <c r="N938" i="1" a="1"/>
  <c r="N938" i="1" s="1"/>
  <c r="N898" i="1" a="1"/>
  <c r="N898" i="1" s="1"/>
  <c r="N917" i="1" a="1"/>
  <c r="N917" i="1" s="1"/>
  <c r="M1083" i="2"/>
  <c r="M862" i="2"/>
  <c r="N1417" i="2" a="1"/>
  <c r="N1417" i="2" s="1"/>
  <c r="N1399" i="2" a="1"/>
  <c r="N1399" i="2" s="1"/>
  <c r="N1423" i="2" a="1"/>
  <c r="N1423" i="2" s="1"/>
  <c r="N1488" i="2" a="1"/>
  <c r="N1488" i="2" s="1"/>
  <c r="N1424" i="2" a="1"/>
  <c r="N1424" i="2" s="1"/>
  <c r="N1467" i="2" a="1"/>
  <c r="N1467" i="2" s="1"/>
  <c r="N1487" i="2" a="1"/>
  <c r="N1487" i="2" s="1"/>
  <c r="N1418" i="2" a="1"/>
  <c r="N1418" i="2" s="1"/>
  <c r="N1408" i="2" a="1"/>
  <c r="N1408" i="2" s="1"/>
  <c r="N1420" i="2" a="1"/>
  <c r="N1420" i="2" s="1"/>
  <c r="N1406" i="2" a="1"/>
  <c r="N1406" i="2" s="1"/>
  <c r="N1452" i="2" a="1"/>
  <c r="N1452" i="2" s="1"/>
  <c r="N1441" i="2" a="1"/>
  <c r="N1441" i="2" s="1"/>
  <c r="N1482" i="2" a="1"/>
  <c r="N1482" i="2" s="1"/>
  <c r="N1472" i="2" a="1"/>
  <c r="N1472" i="2" s="1"/>
  <c r="N1426" i="2" a="1"/>
  <c r="N1426" i="2" s="1"/>
  <c r="N1476" i="2" a="1"/>
  <c r="N1476" i="2" s="1"/>
  <c r="N1438" i="2" a="1"/>
  <c r="N1438" i="2" s="1"/>
  <c r="N1465" i="2" a="1"/>
  <c r="N1465" i="2" s="1"/>
  <c r="N1431" i="2" a="1"/>
  <c r="N1431" i="2" s="1"/>
  <c r="N1444" i="2" a="1"/>
  <c r="N1444" i="2" s="1"/>
  <c r="N1404" i="2" a="1"/>
  <c r="N1404" i="2" s="1"/>
  <c r="N1456" i="2" a="1"/>
  <c r="N1456" i="2" s="1"/>
  <c r="N1450" i="2" a="1"/>
  <c r="N1450" i="2" s="1"/>
  <c r="N1455" i="2" a="1"/>
  <c r="N1455" i="2" s="1"/>
  <c r="N1411" i="2" a="1"/>
  <c r="N1411" i="2" s="1"/>
  <c r="N1436" i="2" a="1"/>
  <c r="N1436" i="2" s="1"/>
  <c r="N1388" i="2" a="1"/>
  <c r="N1388" i="2" s="1"/>
  <c r="N1437" i="2" a="1"/>
  <c r="N1437" i="2" s="1"/>
  <c r="N1443" i="2" a="1"/>
  <c r="N1443" i="2" s="1"/>
  <c r="N49" i="1" a="1"/>
  <c r="N49" i="1" s="1"/>
  <c r="M2" i="1"/>
  <c r="N65" i="1" a="1"/>
  <c r="N65" i="1" s="1"/>
  <c r="N149" i="1" a="1"/>
  <c r="N149" i="1" s="1"/>
  <c r="N165" i="1" a="1"/>
  <c r="N165" i="1" s="1"/>
  <c r="N146" i="1" a="1"/>
  <c r="N146" i="1" s="1"/>
  <c r="N105" i="1" a="1"/>
  <c r="N105" i="1" s="1"/>
  <c r="N12" i="1" a="1"/>
  <c r="N12" i="1" s="1"/>
  <c r="N86" i="1" a="1"/>
  <c r="N86" i="1" s="1"/>
  <c r="N19" i="1" a="1"/>
  <c r="N19" i="1" s="1"/>
  <c r="N50" i="1" a="1"/>
  <c r="N50" i="1" s="1"/>
  <c r="N864" i="1" a="1"/>
  <c r="N864" i="1" s="1"/>
  <c r="N915" i="1" a="1"/>
  <c r="N915" i="1" s="1"/>
  <c r="N868" i="1" a="1"/>
  <c r="N868" i="1" s="1"/>
  <c r="N853" i="1" a="1"/>
  <c r="N853" i="1" s="1"/>
  <c r="N51" i="1" a="1"/>
  <c r="N51" i="1" s="1"/>
  <c r="N16" i="1" a="1"/>
  <c r="N16" i="1" s="1"/>
  <c r="N54" i="1" a="1"/>
  <c r="N54" i="1" s="1"/>
  <c r="N84" i="1" a="1"/>
  <c r="N84" i="1" s="1"/>
  <c r="N151" i="1" a="1"/>
  <c r="N151" i="1" s="1"/>
  <c r="N168" i="1" a="1"/>
  <c r="N168" i="1" s="1"/>
  <c r="N37" i="1" a="1"/>
  <c r="N37" i="1" s="1"/>
  <c r="N160" i="1" a="1"/>
  <c r="N160" i="1" s="1"/>
  <c r="N159" i="1" a="1"/>
  <c r="N159" i="1" s="1"/>
  <c r="N32" i="1" a="1"/>
  <c r="N32" i="1" s="1"/>
  <c r="N28" i="1" a="1"/>
  <c r="N28" i="1" s="1"/>
  <c r="N907" i="1" a="1"/>
  <c r="N907" i="1" s="1"/>
  <c r="N929" i="1" a="1"/>
  <c r="N929" i="1" s="1"/>
  <c r="N881" i="1" a="1"/>
  <c r="N881" i="1" s="1"/>
  <c r="N882" i="1" a="1"/>
  <c r="N882" i="1" s="1"/>
  <c r="N916" i="1" a="1"/>
  <c r="N916" i="1" s="1"/>
  <c r="N919" i="1" a="1"/>
  <c r="N919" i="1" s="1"/>
  <c r="N858" i="1" a="1"/>
  <c r="N858" i="1" s="1"/>
  <c r="N934" i="1" a="1"/>
  <c r="N934" i="1" s="1"/>
  <c r="N906" i="1" a="1"/>
  <c r="N906" i="1" s="1"/>
  <c r="N910" i="1" a="1"/>
  <c r="N910" i="1" s="1"/>
  <c r="N927" i="1" a="1"/>
  <c r="N927" i="1" s="1"/>
  <c r="N928" i="1" a="1"/>
  <c r="N928" i="1" s="1"/>
  <c r="N861" i="1" a="1"/>
  <c r="N861" i="1" s="1"/>
  <c r="N921" i="1" a="1"/>
  <c r="N921" i="1" s="1"/>
  <c r="N862" i="1" a="1"/>
  <c r="N862" i="1" s="1"/>
  <c r="N922" i="1" a="1"/>
  <c r="N922" i="1" s="1"/>
  <c r="N890" i="1" a="1"/>
  <c r="N890" i="1" s="1"/>
  <c r="N944" i="1" a="1"/>
  <c r="N944" i="1" s="1"/>
  <c r="N918" i="1" a="1"/>
  <c r="N918" i="1" s="1"/>
  <c r="N926" i="1" a="1"/>
  <c r="N926" i="1" s="1"/>
  <c r="N945" i="1" a="1"/>
  <c r="N945" i="1" s="1"/>
  <c r="N946" i="1" a="1"/>
  <c r="N946" i="1" s="1"/>
  <c r="N885" i="1" a="1"/>
  <c r="N885" i="1" s="1"/>
  <c r="N949" i="1" a="1"/>
  <c r="N949" i="1" s="1"/>
  <c r="N887" i="1" a="1"/>
  <c r="N887" i="1" s="1"/>
  <c r="N950" i="1" a="1"/>
  <c r="N950" i="1" s="1"/>
  <c r="N920" i="1" a="1"/>
  <c r="N920" i="1" s="1"/>
  <c r="N865" i="1" a="1"/>
  <c r="N865" i="1" s="1"/>
  <c r="N869" i="1" a="1"/>
  <c r="N869" i="1" s="1"/>
  <c r="N930" i="1" a="1"/>
  <c r="N930" i="1" s="1"/>
  <c r="N940" i="1" a="1"/>
  <c r="N940" i="1" s="1"/>
  <c r="N908" i="1" a="1"/>
  <c r="N908" i="1" s="1"/>
  <c r="N909" i="1" a="1"/>
  <c r="N909" i="1" s="1"/>
  <c r="N947" i="1" a="1"/>
  <c r="N947" i="1" s="1"/>
  <c r="N874" i="1" a="1"/>
  <c r="N874" i="1" s="1"/>
  <c r="N879" i="1" a="1"/>
  <c r="N879" i="1" s="1"/>
  <c r="N942" i="1" a="1"/>
  <c r="N942" i="1" s="1"/>
  <c r="N936" i="1" a="1"/>
  <c r="N936" i="1" s="1"/>
  <c r="N937" i="1" a="1"/>
  <c r="N937" i="1" s="1"/>
  <c r="N863" i="1" a="1"/>
  <c r="N863" i="1" s="1"/>
  <c r="N893" i="1" a="1"/>
  <c r="N893" i="1" s="1"/>
  <c r="N891" i="1" a="1"/>
  <c r="N891" i="1" s="1"/>
  <c r="N871" i="1" a="1"/>
  <c r="N871" i="1" s="1"/>
  <c r="N856" i="1" a="1"/>
  <c r="N856" i="1" s="1"/>
  <c r="N857" i="1" a="1"/>
  <c r="N857" i="1" s="1"/>
  <c r="N888" i="1" a="1"/>
  <c r="N888" i="1" s="1"/>
  <c r="N112" i="1" a="1"/>
  <c r="N112" i="1" s="1"/>
  <c r="N153" i="1" a="1"/>
  <c r="N153" i="1" s="1"/>
  <c r="N115" i="1" a="1"/>
  <c r="N115" i="1" s="1"/>
  <c r="N73" i="1" a="1"/>
  <c r="N73" i="1" s="1"/>
  <c r="N26" i="1" a="1"/>
  <c r="N26" i="1" s="1"/>
  <c r="N35" i="1" a="1"/>
  <c r="N35" i="1" s="1"/>
  <c r="N71" i="1" a="1"/>
  <c r="N71" i="1" s="1"/>
  <c r="N38" i="1" a="1"/>
  <c r="N38" i="1" s="1"/>
  <c r="N141" i="1" a="1"/>
  <c r="N141" i="1" s="1"/>
  <c r="N44" i="1" a="1"/>
  <c r="N44" i="1" s="1"/>
  <c r="N148" i="1" a="1"/>
  <c r="N148" i="1" s="1"/>
  <c r="N15" i="1" a="1"/>
  <c r="N15" i="1" s="1"/>
  <c r="N877" i="1" a="1"/>
  <c r="N877" i="1" s="1"/>
  <c r="N932" i="1" a="1"/>
  <c r="N932" i="1" s="1"/>
  <c r="N136" i="1" a="1"/>
  <c r="N136" i="1" s="1"/>
  <c r="N20" i="1" a="1"/>
  <c r="N20" i="1" s="1"/>
  <c r="N21" i="1" a="1"/>
  <c r="N21" i="1" s="1"/>
  <c r="N948" i="1" a="1"/>
  <c r="N948" i="1" s="1"/>
  <c r="N144" i="1" a="1"/>
  <c r="N144" i="1" s="1"/>
  <c r="N101" i="1" a="1"/>
  <c r="N101" i="1" s="1"/>
  <c r="N59" i="1" a="1"/>
  <c r="N59" i="1" s="1"/>
  <c r="N161" i="1" a="1"/>
  <c r="N161" i="1" s="1"/>
  <c r="N57" i="1" a="1"/>
  <c r="N57" i="1" s="1"/>
  <c r="N85" i="1" a="1"/>
  <c r="N85" i="1" s="1"/>
  <c r="N41" i="1" a="1"/>
  <c r="N41" i="1" s="1"/>
  <c r="N150" i="1" a="1"/>
  <c r="N150" i="1" s="1"/>
  <c r="N47" i="1" a="1"/>
  <c r="N47" i="1" s="1"/>
  <c r="N98" i="1" a="1"/>
  <c r="N98" i="1" s="1"/>
  <c r="N7" i="1" a="1"/>
  <c r="N7" i="1" s="1"/>
  <c r="N900" i="1" a="1"/>
  <c r="N900" i="1" s="1"/>
  <c r="N1396" i="2" a="1"/>
  <c r="N1396" i="2" s="1"/>
  <c r="N34" i="1" a="1"/>
  <c r="N34" i="1" s="1"/>
  <c r="N29" i="1" a="1"/>
  <c r="N29" i="1" s="1"/>
  <c r="N56" i="1" a="1"/>
  <c r="N56" i="1" s="1"/>
  <c r="N100" i="1" a="1"/>
  <c r="N100" i="1" s="1"/>
  <c r="N14" i="1" a="1"/>
  <c r="N14" i="1" s="1"/>
  <c r="N127" i="1" a="1"/>
  <c r="N127" i="1" s="1"/>
  <c r="N30" i="1" a="1"/>
  <c r="N30" i="1" s="1"/>
  <c r="N25" i="1" a="1"/>
  <c r="N25" i="1" s="1"/>
  <c r="N878" i="1" a="1"/>
  <c r="N878" i="1" s="1"/>
  <c r="N80" i="1" a="1"/>
  <c r="N80" i="1" s="1"/>
  <c r="N69" i="1" a="1"/>
  <c r="N69" i="1" s="1"/>
  <c r="N122" i="1" a="1"/>
  <c r="N122" i="1" s="1"/>
  <c r="N113" i="1" a="1"/>
  <c r="N113" i="1" s="1"/>
  <c r="N111" i="1" a="1"/>
  <c r="N111" i="1" s="1"/>
  <c r="N132" i="1" a="1"/>
  <c r="N132" i="1" s="1"/>
  <c r="N110" i="1" a="1"/>
  <c r="N110" i="1" s="1"/>
  <c r="N95" i="1" a="1"/>
  <c r="N95" i="1" s="1"/>
  <c r="N76" i="1" a="1"/>
  <c r="N76" i="1" s="1"/>
  <c r="N104" i="1" a="1"/>
  <c r="N104" i="1" s="1"/>
  <c r="N58" i="1" a="1"/>
  <c r="N58" i="1" s="1"/>
  <c r="N155" i="1" a="1"/>
  <c r="N155" i="1" s="1"/>
  <c r="N886" i="1" a="1"/>
  <c r="N886" i="1" s="1"/>
  <c r="N911" i="1" a="1"/>
  <c r="N911" i="1" s="1"/>
  <c r="N1407" i="2" a="1"/>
  <c r="N1407" i="2" s="1"/>
  <c r="N83" i="1" a="1"/>
  <c r="N83" i="1" s="1"/>
  <c r="N102" i="1" a="1"/>
  <c r="N102" i="1" s="1"/>
  <c r="N158" i="1" a="1"/>
  <c r="N158" i="1" s="1"/>
  <c r="N68" i="1" a="1"/>
  <c r="N68" i="1" s="1"/>
  <c r="N866" i="1" a="1"/>
  <c r="N866" i="1" s="1"/>
  <c r="N125" i="1" a="1"/>
  <c r="N125" i="1" s="1"/>
  <c r="N66" i="1" a="1"/>
  <c r="N66" i="1" s="1"/>
  <c r="N53" i="1" a="1"/>
  <c r="N53" i="1" s="1"/>
  <c r="N40" i="1" a="1"/>
  <c r="N40" i="1" s="1"/>
  <c r="N55" i="1" a="1"/>
  <c r="N55" i="1" s="1"/>
  <c r="N156" i="1" a="1"/>
  <c r="N156" i="1" s="1"/>
  <c r="N78" i="1" a="1"/>
  <c r="N78" i="1" s="1"/>
  <c r="N108" i="1" a="1"/>
  <c r="N108" i="1" s="1"/>
  <c r="N33" i="1" a="1"/>
  <c r="N33" i="1" s="1"/>
  <c r="N42" i="1" a="1"/>
  <c r="N42" i="1" s="1"/>
  <c r="N142" i="1" a="1"/>
  <c r="N142" i="1" s="1"/>
  <c r="N99" i="1" a="1"/>
  <c r="N99" i="1" s="1"/>
  <c r="N87" i="1" a="1"/>
  <c r="N87" i="1" s="1"/>
  <c r="N39" i="1" a="1"/>
  <c r="N39" i="1" s="1"/>
  <c r="N93" i="1" a="1"/>
  <c r="N93" i="1" s="1"/>
  <c r="N43" i="1" a="1"/>
  <c r="N43" i="1" s="1"/>
  <c r="N107" i="1" a="1"/>
  <c r="N107" i="1" s="1"/>
  <c r="N74" i="1" a="1"/>
  <c r="N74" i="1" s="1"/>
  <c r="N4" i="1" a="1"/>
  <c r="N4" i="1" s="1"/>
  <c r="N61" i="1" a="1"/>
  <c r="N61" i="1" s="1"/>
  <c r="N31" i="1" a="1"/>
  <c r="N31" i="1" s="1"/>
  <c r="N70" i="1" a="1"/>
  <c r="N70" i="1" s="1"/>
  <c r="N855" i="1" a="1"/>
  <c r="N855" i="1" s="1"/>
  <c r="N897" i="1" a="1"/>
  <c r="N897" i="1" s="1"/>
  <c r="N1428" i="2" a="1"/>
  <c r="N1428" i="2" s="1"/>
  <c r="N46" i="1" a="1"/>
  <c r="N46" i="1" s="1"/>
  <c r="N22" i="1" a="1"/>
  <c r="N22" i="1" s="1"/>
  <c r="N124" i="1" a="1"/>
  <c r="N124" i="1" s="1"/>
  <c r="N45" i="1" a="1"/>
  <c r="N45" i="1" s="1"/>
  <c r="N138" i="1" a="1"/>
  <c r="N138" i="1" s="1"/>
  <c r="N64" i="1" a="1"/>
  <c r="N64" i="1" s="1"/>
  <c r="N97" i="1" a="1"/>
  <c r="N97" i="1" s="1"/>
  <c r="N163" i="1" a="1"/>
  <c r="N163" i="1" s="1"/>
  <c r="N23" i="1" a="1"/>
  <c r="N23" i="1" s="1"/>
  <c r="N52" i="1" a="1"/>
  <c r="N52" i="1" s="1"/>
  <c r="N152" i="1" a="1"/>
  <c r="N152" i="1" s="1"/>
  <c r="N96" i="1" a="1"/>
  <c r="N96" i="1" s="1"/>
  <c r="N81" i="1" a="1"/>
  <c r="N81" i="1" s="1"/>
  <c r="N134" i="1" a="1"/>
  <c r="N134" i="1" s="1"/>
  <c r="N126" i="1" a="1"/>
  <c r="N126" i="1" s="1"/>
  <c r="N79" i="1" a="1"/>
  <c r="N79" i="1" s="1"/>
  <c r="N118" i="1" a="1"/>
  <c r="N118" i="1" s="1"/>
  <c r="N77" i="1" a="1"/>
  <c r="N77" i="1" s="1"/>
  <c r="N6" i="1" a="1"/>
  <c r="N6" i="1" s="1"/>
  <c r="N75" i="1" a="1"/>
  <c r="N75" i="1" s="1"/>
  <c r="N11" i="1" a="1"/>
  <c r="N11" i="1" s="1"/>
  <c r="N24" i="1" a="1"/>
  <c r="N24" i="1" s="1"/>
  <c r="N899" i="1" a="1"/>
  <c r="N899" i="1" s="1"/>
  <c r="N895" i="1" a="1"/>
  <c r="N895" i="1" s="1"/>
  <c r="N867" i="1" a="1"/>
  <c r="N867" i="1" s="1"/>
  <c r="N892" i="1" a="1"/>
  <c r="N892" i="1" s="1"/>
  <c r="N66" i="3" a="1"/>
  <c r="N66" i="3" s="1"/>
  <c r="N116" i="3" a="1"/>
  <c r="N116" i="3" s="1"/>
  <c r="N106" i="3" a="1"/>
  <c r="N106" i="3" s="1"/>
  <c r="N2569" i="3" a="1"/>
  <c r="N2569" i="3" s="1"/>
  <c r="K3999" i="3"/>
  <c r="L3999" i="3" s="1"/>
  <c r="L4002" i="3"/>
  <c r="L4012" i="3"/>
  <c r="L4022" i="3"/>
  <c r="L4032" i="3"/>
  <c r="L4004" i="3"/>
  <c r="L4015" i="3"/>
  <c r="L4026" i="3"/>
  <c r="L4037" i="3"/>
  <c r="L4047" i="3"/>
  <c r="L4057" i="3"/>
  <c r="L4010" i="3"/>
  <c r="L4023" i="3"/>
  <c r="L4035" i="3"/>
  <c r="L4046" i="3"/>
  <c r="L4058" i="3"/>
  <c r="L4011" i="3"/>
  <c r="L4024" i="3"/>
  <c r="L4036" i="3"/>
  <c r="L4048" i="3"/>
  <c r="L4000" i="3"/>
  <c r="L4013" i="3"/>
  <c r="L4025" i="3"/>
  <c r="L4038" i="3"/>
  <c r="L4049" i="3"/>
  <c r="L4001" i="3"/>
  <c r="L4014" i="3"/>
  <c r="L4027" i="3"/>
  <c r="L4039" i="3"/>
  <c r="L4050" i="3"/>
  <c r="L4003" i="3"/>
  <c r="L4016" i="3"/>
  <c r="L4028" i="3"/>
  <c r="L4040" i="3"/>
  <c r="L4051" i="3"/>
  <c r="L4005" i="3"/>
  <c r="L4017" i="3"/>
  <c r="L4029" i="3"/>
  <c r="L4041" i="3"/>
  <c r="L4052" i="3"/>
  <c r="L4009" i="3"/>
  <c r="L4021" i="3"/>
  <c r="L4034" i="3"/>
  <c r="L4045" i="3"/>
  <c r="L4056" i="3"/>
  <c r="L4007" i="3"/>
  <c r="L4044" i="3"/>
  <c r="L4008" i="3"/>
  <c r="L4053" i="3"/>
  <c r="L4018" i="3"/>
  <c r="L4054" i="3"/>
  <c r="L4042" i="3"/>
  <c r="L4043" i="3"/>
  <c r="L4055" i="3"/>
  <c r="L4006" i="3"/>
  <c r="L4019" i="3"/>
  <c r="L4020" i="3"/>
  <c r="L4030" i="3"/>
  <c r="L4031" i="3"/>
  <c r="L4033" i="3"/>
  <c r="N4114" i="3" a="1"/>
  <c r="N4114" i="3" s="1"/>
  <c r="N4172" i="3" a="1"/>
  <c r="N4172" i="3" s="1"/>
  <c r="N4065" i="3" a="1"/>
  <c r="N4065" i="3" s="1"/>
  <c r="N4167" i="3" a="1"/>
  <c r="N4167" i="3" s="1"/>
  <c r="N4090" i="3" a="1"/>
  <c r="N4090" i="3" s="1"/>
  <c r="N4089" i="3" a="1"/>
  <c r="N4089" i="3" s="1"/>
  <c r="N4130" i="3" a="1"/>
  <c r="N4130" i="3" s="1"/>
  <c r="N4088" i="3" a="1"/>
  <c r="N4088" i="3" s="1"/>
  <c r="N4166" i="3" a="1"/>
  <c r="N4166" i="3" s="1"/>
  <c r="N4137" i="3" a="1"/>
  <c r="N4137" i="3" s="1"/>
  <c r="N4061" i="3" a="1"/>
  <c r="N4061" i="3" s="1"/>
  <c r="O4059" i="3" s="1" a="1"/>
  <c r="O4059" i="3" s="1"/>
  <c r="N4152" i="3" a="1"/>
  <c r="N4152" i="3" s="1"/>
  <c r="N4069" i="3" a="1"/>
  <c r="N4069" i="3" s="1"/>
  <c r="N3386" i="3" a="1"/>
  <c r="N3386" i="3" s="1"/>
  <c r="N3370" i="3" a="1"/>
  <c r="N3370" i="3" s="1"/>
  <c r="N3462" i="3" a="1"/>
  <c r="N3462" i="3" s="1"/>
  <c r="N3410" i="3" a="1"/>
  <c r="N3410" i="3" s="1"/>
  <c r="N3418" i="3" a="1"/>
  <c r="N3418" i="3" s="1"/>
  <c r="N3419" i="3" a="1"/>
  <c r="N3419" i="3" s="1"/>
  <c r="N3414" i="3" a="1"/>
  <c r="N3414" i="3" s="1"/>
  <c r="N3657" i="3" a="1"/>
  <c r="N3657" i="3" s="1"/>
  <c r="N3682" i="3" a="1"/>
  <c r="N3682" i="3" s="1"/>
  <c r="N3678" i="3" a="1"/>
  <c r="N3678" i="3" s="1"/>
  <c r="N3733" i="3" a="1"/>
  <c r="N3733" i="3" s="1"/>
  <c r="N3666" i="3" a="1"/>
  <c r="N3666" i="3" s="1"/>
  <c r="N3687" i="3" a="1"/>
  <c r="N3687" i="3" s="1"/>
  <c r="N3701" i="3" a="1"/>
  <c r="N3701" i="3" s="1"/>
  <c r="N3707" i="3" a="1"/>
  <c r="N3707" i="3" s="1"/>
  <c r="N3728" i="3" a="1"/>
  <c r="N3728" i="3" s="1"/>
  <c r="N3769" i="3" a="1"/>
  <c r="N3769" i="3" s="1"/>
  <c r="N3661" i="3" a="1"/>
  <c r="N3661" i="3" s="1"/>
  <c r="N3776" i="3" a="1"/>
  <c r="N3776" i="3" s="1"/>
  <c r="N3676" i="3" a="1"/>
  <c r="N3676" i="3" s="1"/>
  <c r="N2992" i="3" a="1"/>
  <c r="N2992" i="3" s="1"/>
  <c r="N3028" i="3" a="1"/>
  <c r="N3028" i="3" s="1"/>
  <c r="N3006" i="3" a="1"/>
  <c r="N3006" i="3" s="1"/>
  <c r="N3743" i="3" a="1"/>
  <c r="N3743" i="3" s="1"/>
  <c r="N3770" i="3" a="1"/>
  <c r="N3770" i="3" s="1"/>
  <c r="N3703" i="3" a="1"/>
  <c r="N3703" i="3" s="1"/>
  <c r="N3665" i="3" a="1"/>
  <c r="N3665" i="3" s="1"/>
  <c r="N3690" i="3" a="1"/>
  <c r="N3690" i="3" s="1"/>
  <c r="N3695" i="3" a="1"/>
  <c r="N3695" i="3" s="1"/>
  <c r="N3717" i="3" a="1"/>
  <c r="N3717" i="3" s="1"/>
  <c r="N3758" i="3" a="1"/>
  <c r="N3758" i="3" s="1"/>
  <c r="N3766" i="3" a="1"/>
  <c r="N3766" i="3" s="1"/>
  <c r="N3667" i="3" a="1"/>
  <c r="N3667" i="3" s="1"/>
  <c r="N3018" i="3" a="1"/>
  <c r="N3018" i="3" s="1"/>
  <c r="N2996" i="3" a="1"/>
  <c r="N2996" i="3" s="1"/>
  <c r="N1184" i="3" a="1"/>
  <c r="N1184" i="3" s="1"/>
  <c r="N1180" i="3" a="1"/>
  <c r="N1180" i="3" s="1"/>
  <c r="N1213" i="3" a="1"/>
  <c r="N1213" i="3" s="1"/>
  <c r="N1234" i="3" a="1"/>
  <c r="N1234" i="3" s="1"/>
  <c r="N1217" i="3" a="1"/>
  <c r="N1217" i="3" s="1"/>
  <c r="N1254" i="3" a="1"/>
  <c r="N1254" i="3" s="1"/>
  <c r="K4059" i="3"/>
  <c r="L4059" i="3" s="1"/>
  <c r="L4065" i="3"/>
  <c r="L4075" i="3"/>
  <c r="L4085" i="3"/>
  <c r="L4095" i="3"/>
  <c r="L4105" i="3"/>
  <c r="L4115" i="3"/>
  <c r="L4125" i="3"/>
  <c r="L4135" i="3"/>
  <c r="L4145" i="3"/>
  <c r="L4155" i="3"/>
  <c r="L4165" i="3"/>
  <c r="L4175" i="3"/>
  <c r="L4185" i="3"/>
  <c r="L4195" i="3"/>
  <c r="L4205" i="3"/>
  <c r="L4215" i="3"/>
  <c r="L4225" i="3"/>
  <c r="L4235" i="3"/>
  <c r="L4245" i="3"/>
  <c r="L4255" i="3"/>
  <c r="L4265" i="3"/>
  <c r="L4275" i="3"/>
  <c r="L4285" i="3"/>
  <c r="L4066" i="3"/>
  <c r="L4076" i="3"/>
  <c r="L4086" i="3"/>
  <c r="L4096" i="3"/>
  <c r="L4106" i="3"/>
  <c r="L4116" i="3"/>
  <c r="L4126" i="3"/>
  <c r="L4136" i="3"/>
  <c r="L4146" i="3"/>
  <c r="L4156" i="3"/>
  <c r="L4166" i="3"/>
  <c r="L4176" i="3"/>
  <c r="L4186" i="3"/>
  <c r="L4196" i="3"/>
  <c r="L4206" i="3"/>
  <c r="L4216" i="3"/>
  <c r="L4226" i="3"/>
  <c r="L4236" i="3"/>
  <c r="L4246" i="3"/>
  <c r="L4256" i="3"/>
  <c r="L4266" i="3"/>
  <c r="L4276" i="3"/>
  <c r="L4286" i="3"/>
  <c r="L4296" i="3"/>
  <c r="L4306" i="3"/>
  <c r="L4067" i="3"/>
  <c r="L4077" i="3"/>
  <c r="L4087" i="3"/>
  <c r="L4097" i="3"/>
  <c r="L4107" i="3"/>
  <c r="L4117" i="3"/>
  <c r="L4127" i="3"/>
  <c r="L4137" i="3"/>
  <c r="L4147" i="3"/>
  <c r="L4157" i="3"/>
  <c r="L4167" i="3"/>
  <c r="L4177" i="3"/>
  <c r="L4187" i="3"/>
  <c r="L4197" i="3"/>
  <c r="L4207" i="3"/>
  <c r="L4217" i="3"/>
  <c r="L4227" i="3"/>
  <c r="L4237" i="3"/>
  <c r="L4247" i="3"/>
  <c r="L4257" i="3"/>
  <c r="L4267" i="3"/>
  <c r="L4277" i="3"/>
  <c r="L4287" i="3"/>
  <c r="L4297" i="3"/>
  <c r="L4307" i="3"/>
  <c r="L4069" i="3"/>
  <c r="L4082" i="3"/>
  <c r="L4098" i="3"/>
  <c r="L4111" i="3"/>
  <c r="L4124" i="3"/>
  <c r="L4140" i="3"/>
  <c r="L4153" i="3"/>
  <c r="L4169" i="3"/>
  <c r="L4182" i="3"/>
  <c r="L4198" i="3"/>
  <c r="L4211" i="3"/>
  <c r="L4224" i="3"/>
  <c r="L4240" i="3"/>
  <c r="L4253" i="3"/>
  <c r="L4269" i="3"/>
  <c r="L4282" i="3"/>
  <c r="L4295" i="3"/>
  <c r="L4309" i="3"/>
  <c r="L4072" i="3"/>
  <c r="L4088" i="3"/>
  <c r="L4101" i="3"/>
  <c r="L4114" i="3"/>
  <c r="L4130" i="3"/>
  <c r="L4143" i="3"/>
  <c r="L4159" i="3"/>
  <c r="L4172" i="3"/>
  <c r="L4188" i="3"/>
  <c r="L4071" i="3"/>
  <c r="L4090" i="3"/>
  <c r="L4108" i="3"/>
  <c r="L4123" i="3"/>
  <c r="L4142" i="3"/>
  <c r="L4161" i="3"/>
  <c r="L4179" i="3"/>
  <c r="L4194" i="3"/>
  <c r="L4212" i="3"/>
  <c r="L4229" i="3"/>
  <c r="L4243" i="3"/>
  <c r="L4260" i="3"/>
  <c r="L4274" i="3"/>
  <c r="L4291" i="3"/>
  <c r="L4304" i="3"/>
  <c r="L4073" i="3"/>
  <c r="L4091" i="3"/>
  <c r="L4109" i="3"/>
  <c r="L4128" i="3"/>
  <c r="L4144" i="3"/>
  <c r="L4162" i="3"/>
  <c r="L4180" i="3"/>
  <c r="L4199" i="3"/>
  <c r="L4213" i="3"/>
  <c r="L4230" i="3"/>
  <c r="L4244" i="3"/>
  <c r="L4261" i="3"/>
  <c r="L4278" i="3"/>
  <c r="L4292" i="3"/>
  <c r="L4305" i="3"/>
  <c r="L4074" i="3"/>
  <c r="L4092" i="3"/>
  <c r="L4110" i="3"/>
  <c r="L4129" i="3"/>
  <c r="L4148" i="3"/>
  <c r="L4163" i="3"/>
  <c r="L4181" i="3"/>
  <c r="L4200" i="3"/>
  <c r="L4214" i="3"/>
  <c r="L4231" i="3"/>
  <c r="L4248" i="3"/>
  <c r="L4262" i="3"/>
  <c r="L4279" i="3"/>
  <c r="L4293" i="3"/>
  <c r="L4308" i="3"/>
  <c r="L4060" i="3"/>
  <c r="L4078" i="3"/>
  <c r="L4093" i="3"/>
  <c r="L4112" i="3"/>
  <c r="L4131" i="3"/>
  <c r="L4149" i="3"/>
  <c r="L4164" i="3"/>
  <c r="L4183" i="3"/>
  <c r="L4201" i="3"/>
  <c r="L4218" i="3"/>
  <c r="L4232" i="3"/>
  <c r="L4249" i="3"/>
  <c r="L4263" i="3"/>
  <c r="L4280" i="3"/>
  <c r="L4294" i="3"/>
  <c r="L4310" i="3"/>
  <c r="L4061" i="3"/>
  <c r="L4079" i="3"/>
  <c r="L4094" i="3"/>
  <c r="L4113" i="3"/>
  <c r="L4132" i="3"/>
  <c r="L4150" i="3"/>
  <c r="L4168" i="3"/>
  <c r="L4184" i="3"/>
  <c r="L4202" i="3"/>
  <c r="L4219" i="3"/>
  <c r="L4233" i="3"/>
  <c r="L4250" i="3"/>
  <c r="L4264" i="3"/>
  <c r="L4281" i="3"/>
  <c r="L4298" i="3"/>
  <c r="L4311" i="3"/>
  <c r="L4062" i="3"/>
  <c r="L4080" i="3"/>
  <c r="L4099" i="3"/>
  <c r="L4118" i="3"/>
  <c r="L4133" i="3"/>
  <c r="L4151" i="3"/>
  <c r="L4170" i="3"/>
  <c r="L4189" i="3"/>
  <c r="L4203" i="3"/>
  <c r="L4220" i="3"/>
  <c r="L4234" i="3"/>
  <c r="L4251" i="3"/>
  <c r="L4268" i="3"/>
  <c r="L4283" i="3"/>
  <c r="L4299" i="3"/>
  <c r="L4312" i="3"/>
  <c r="L4070" i="3"/>
  <c r="L4089" i="3"/>
  <c r="L4104" i="3"/>
  <c r="L4122" i="3"/>
  <c r="L4141" i="3"/>
  <c r="L4160" i="3"/>
  <c r="L4178" i="3"/>
  <c r="L4193" i="3"/>
  <c r="L4210" i="3"/>
  <c r="L4228" i="3"/>
  <c r="L4242" i="3"/>
  <c r="L4259" i="3"/>
  <c r="L4273" i="3"/>
  <c r="L4290" i="3"/>
  <c r="L4303" i="3"/>
  <c r="L4100" i="3"/>
  <c r="L4154" i="3"/>
  <c r="L4209" i="3"/>
  <c r="L4270" i="3"/>
  <c r="L4102" i="3"/>
  <c r="L4158" i="3"/>
  <c r="L4221" i="3"/>
  <c r="L4271" i="3"/>
  <c r="L4103" i="3"/>
  <c r="L4171" i="3"/>
  <c r="L4222" i="3"/>
  <c r="L4272" i="3"/>
  <c r="L4119" i="3"/>
  <c r="L4173" i="3"/>
  <c r="L4223" i="3"/>
  <c r="L4284" i="3"/>
  <c r="L4063" i="3"/>
  <c r="L4120" i="3"/>
  <c r="L4174" i="3"/>
  <c r="L4238" i="3"/>
  <c r="L4288" i="3"/>
  <c r="L4064" i="3"/>
  <c r="L4121" i="3"/>
  <c r="L4190" i="3"/>
  <c r="L4239" i="3"/>
  <c r="L4289" i="3"/>
  <c r="L4068" i="3"/>
  <c r="L4134" i="3"/>
  <c r="L4191" i="3"/>
  <c r="L4241" i="3"/>
  <c r="L4300" i="3"/>
  <c r="L4081" i="3"/>
  <c r="L4138" i="3"/>
  <c r="L4192" i="3"/>
  <c r="L4252" i="3"/>
  <c r="L4301" i="3"/>
  <c r="L4083" i="3"/>
  <c r="L4139" i="3"/>
  <c r="L4204" i="3"/>
  <c r="L4254" i="3"/>
  <c r="L4302" i="3"/>
  <c r="L4084" i="3"/>
  <c r="L4152" i="3"/>
  <c r="L4208" i="3"/>
  <c r="L4258" i="3"/>
  <c r="L4313" i="3"/>
  <c r="N3756" i="3" a="1"/>
  <c r="N3756" i="3" s="1"/>
  <c r="N3659" i="3" a="1"/>
  <c r="N3659" i="3" s="1"/>
  <c r="N3008" i="3" a="1"/>
  <c r="N3008" i="3" s="1"/>
  <c r="K2990" i="3"/>
  <c r="L2990" i="3" s="1"/>
  <c r="L2992" i="3"/>
  <c r="L2993" i="3"/>
  <c r="L2994" i="3"/>
  <c r="L2995" i="3"/>
  <c r="L2996" i="3"/>
  <c r="L2997" i="3"/>
  <c r="L2998" i="3"/>
  <c r="L3008" i="3"/>
  <c r="L3018" i="3"/>
  <c r="L3028" i="3"/>
  <c r="L3038" i="3"/>
  <c r="L3048" i="3"/>
  <c r="L3058" i="3"/>
  <c r="L3068" i="3"/>
  <c r="L3078" i="3"/>
  <c r="L3088" i="3"/>
  <c r="L3098" i="3"/>
  <c r="L3108" i="3"/>
  <c r="L3118" i="3"/>
  <c r="L3128" i="3"/>
  <c r="L3138" i="3"/>
  <c r="L3148" i="3"/>
  <c r="L3158" i="3"/>
  <c r="L2999" i="3"/>
  <c r="L3009" i="3"/>
  <c r="L3019" i="3"/>
  <c r="L3029" i="3"/>
  <c r="L3039" i="3"/>
  <c r="L3049" i="3"/>
  <c r="L3059" i="3"/>
  <c r="L3069" i="3"/>
  <c r="L3079" i="3"/>
  <c r="L3089" i="3"/>
  <c r="L3099" i="3"/>
  <c r="L3109" i="3"/>
  <c r="L3119" i="3"/>
  <c r="L3129" i="3"/>
  <c r="L3139" i="3"/>
  <c r="L3149" i="3"/>
  <c r="L3159" i="3"/>
  <c r="L3000" i="3"/>
  <c r="L3010" i="3"/>
  <c r="L3020" i="3"/>
  <c r="L3030" i="3"/>
  <c r="L3040" i="3"/>
  <c r="L3050" i="3"/>
  <c r="L3060" i="3"/>
  <c r="L3070" i="3"/>
  <c r="L3080" i="3"/>
  <c r="L3090" i="3"/>
  <c r="L3100" i="3"/>
  <c r="L3110" i="3"/>
  <c r="L3120" i="3"/>
  <c r="L3130" i="3"/>
  <c r="L3140" i="3"/>
  <c r="L3150" i="3"/>
  <c r="L3160" i="3"/>
  <c r="L3001" i="3"/>
  <c r="L3011" i="3"/>
  <c r="L3021" i="3"/>
  <c r="L3031" i="3"/>
  <c r="L3041" i="3"/>
  <c r="L3051" i="3"/>
  <c r="L3061" i="3"/>
  <c r="L3071" i="3"/>
  <c r="L3081" i="3"/>
  <c r="L3091" i="3"/>
  <c r="L3101" i="3"/>
  <c r="L3111" i="3"/>
  <c r="L3121" i="3"/>
  <c r="L3131" i="3"/>
  <c r="L3141" i="3"/>
  <c r="L3151" i="3"/>
  <c r="L3161" i="3"/>
  <c r="L3002" i="3"/>
  <c r="L3016" i="3"/>
  <c r="L3034" i="3"/>
  <c r="L3052" i="3"/>
  <c r="L3066" i="3"/>
  <c r="L3084" i="3"/>
  <c r="L3102" i="3"/>
  <c r="L3116" i="3"/>
  <c r="L3134" i="3"/>
  <c r="L3152" i="3"/>
  <c r="L3166" i="3"/>
  <c r="L3003" i="3"/>
  <c r="L3017" i="3"/>
  <c r="L3035" i="3"/>
  <c r="L3053" i="3"/>
  <c r="L3067" i="3"/>
  <c r="L3085" i="3"/>
  <c r="L3103" i="3"/>
  <c r="L3117" i="3"/>
  <c r="L3135" i="3"/>
  <c r="L3153" i="3"/>
  <c r="L3004" i="3"/>
  <c r="L3022" i="3"/>
  <c r="L3005" i="3"/>
  <c r="L3023" i="3"/>
  <c r="L3037" i="3"/>
  <c r="L3055" i="3"/>
  <c r="L3073" i="3"/>
  <c r="L3087" i="3"/>
  <c r="L3105" i="3"/>
  <c r="L3123" i="3"/>
  <c r="L3137" i="3"/>
  <c r="L3155" i="3"/>
  <c r="L3013" i="3"/>
  <c r="L3027" i="3"/>
  <c r="L3045" i="3"/>
  <c r="L3015" i="3"/>
  <c r="L3006" i="3"/>
  <c r="L3042" i="3"/>
  <c r="L3064" i="3"/>
  <c r="L3092" i="3"/>
  <c r="L3113" i="3"/>
  <c r="L3136" i="3"/>
  <c r="L3162" i="3"/>
  <c r="L3007" i="3"/>
  <c r="L3043" i="3"/>
  <c r="L3065" i="3"/>
  <c r="L3093" i="3"/>
  <c r="L3114" i="3"/>
  <c r="L3142" i="3"/>
  <c r="L3163" i="3"/>
  <c r="L3012" i="3"/>
  <c r="L3044" i="3"/>
  <c r="L3072" i="3"/>
  <c r="L3094" i="3"/>
  <c r="L3115" i="3"/>
  <c r="L3143" i="3"/>
  <c r="L3164" i="3"/>
  <c r="L3014" i="3"/>
  <c r="L3046" i="3"/>
  <c r="L3074" i="3"/>
  <c r="L3095" i="3"/>
  <c r="L3122" i="3"/>
  <c r="L3144" i="3"/>
  <c r="L3165" i="3"/>
  <c r="L3024" i="3"/>
  <c r="L3047" i="3"/>
  <c r="L3075" i="3"/>
  <c r="L3096" i="3"/>
  <c r="L3124" i="3"/>
  <c r="L3145" i="3"/>
  <c r="L3025" i="3"/>
  <c r="L3054" i="3"/>
  <c r="L3076" i="3"/>
  <c r="L3097" i="3"/>
  <c r="L3125" i="3"/>
  <c r="L3146" i="3"/>
  <c r="L3026" i="3"/>
  <c r="L3056" i="3"/>
  <c r="L3077" i="3"/>
  <c r="L3104" i="3"/>
  <c r="L3126" i="3"/>
  <c r="L3147" i="3"/>
  <c r="L3032" i="3"/>
  <c r="L3057" i="3"/>
  <c r="L3082" i="3"/>
  <c r="L3106" i="3"/>
  <c r="L3127" i="3"/>
  <c r="L3154" i="3"/>
  <c r="L3033" i="3"/>
  <c r="L3062" i="3"/>
  <c r="L3083" i="3"/>
  <c r="L3107" i="3"/>
  <c r="L3132" i="3"/>
  <c r="L3156" i="3"/>
  <c r="L3036" i="3"/>
  <c r="L3063" i="3"/>
  <c r="L3086" i="3"/>
  <c r="L3112" i="3"/>
  <c r="L3133" i="3"/>
  <c r="L3157" i="3"/>
  <c r="L2991" i="3"/>
  <c r="N1782" i="1" a="1"/>
  <c r="N1782" i="1" s="1"/>
  <c r="N1888" i="1" a="1"/>
  <c r="N1888" i="1" s="1"/>
  <c r="N2235" i="2" a="1"/>
  <c r="N2235" i="2" s="1"/>
  <c r="N1829" i="3" a="1"/>
  <c r="N1829" i="3" s="1"/>
  <c r="N1842" i="3" a="1"/>
  <c r="N1842" i="3" s="1"/>
  <c r="N1784" i="3" a="1"/>
  <c r="N1784" i="3" s="1"/>
  <c r="N1897" i="3" a="1"/>
  <c r="N1897" i="3" s="1"/>
  <c r="N1788" i="3" a="1"/>
  <c r="N1788" i="3" s="1"/>
  <c r="N1888" i="3" a="1"/>
  <c r="N1888" i="3" s="1"/>
  <c r="N1877" i="3" a="1"/>
  <c r="N1877" i="3" s="1"/>
  <c r="N1843" i="3" a="1"/>
  <c r="N1843" i="3" s="1"/>
  <c r="N1873" i="3" a="1"/>
  <c r="N1873" i="3" s="1"/>
  <c r="N1800" i="3" a="1"/>
  <c r="N1800" i="3" s="1"/>
  <c r="N1251" i="3" a="1"/>
  <c r="N1251" i="3" s="1"/>
  <c r="N1248" i="3" a="1"/>
  <c r="N1248" i="3" s="1"/>
  <c r="N1205" i="3" a="1"/>
  <c r="N1205" i="3" s="1"/>
  <c r="N1267" i="3" a="1"/>
  <c r="N1267" i="3" s="1"/>
  <c r="N1207" i="3" a="1"/>
  <c r="N1207" i="3" s="1"/>
  <c r="N1228" i="3" a="1"/>
  <c r="N1228" i="3" s="1"/>
  <c r="N1239" i="3" a="1"/>
  <c r="N1239" i="3" s="1"/>
  <c r="N1221" i="3" a="1"/>
  <c r="N1221" i="3" s="1"/>
  <c r="N1259" i="3" a="1"/>
  <c r="N1259" i="3" s="1"/>
  <c r="N134" i="3" a="1"/>
  <c r="N134" i="3" s="1"/>
  <c r="N96" i="3" a="1"/>
  <c r="N96" i="3" s="1"/>
  <c r="N147" i="3" a="1"/>
  <c r="N147" i="3" s="1"/>
  <c r="N94" i="3" a="1"/>
  <c r="N94" i="3" s="1"/>
  <c r="N79" i="3" a="1"/>
  <c r="N79" i="3" s="1"/>
  <c r="N1865" i="3" a="1"/>
  <c r="N1865" i="3" s="1"/>
  <c r="N2601" i="3" a="1"/>
  <c r="N2601" i="3" s="1"/>
  <c r="N2491" i="3" a="1"/>
  <c r="N2491" i="3" s="1"/>
  <c r="M3362" i="3"/>
  <c r="N3362" i="3" s="1" a="1"/>
  <c r="N3362" i="3" s="1"/>
  <c r="N3425" i="3" a="1"/>
  <c r="N3425" i="3" s="1"/>
  <c r="N3426" i="3" a="1"/>
  <c r="N3426" i="3" s="1"/>
  <c r="N3427" i="3" a="1"/>
  <c r="N3427" i="3" s="1"/>
  <c r="N3450" i="3" a="1"/>
  <c r="N3450" i="3" s="1"/>
  <c r="N3381" i="3" a="1"/>
  <c r="N3381" i="3" s="1"/>
  <c r="N3452" i="3" a="1"/>
  <c r="N3452" i="3" s="1"/>
  <c r="N3383" i="3" a="1"/>
  <c r="N3383" i="3" s="1"/>
  <c r="N3453" i="3" a="1"/>
  <c r="N3453" i="3" s="1"/>
  <c r="N3384" i="3" a="1"/>
  <c r="N3384" i="3" s="1"/>
  <c r="N3470" i="3" a="1"/>
  <c r="N3470" i="3" s="1"/>
  <c r="N3401" i="3" a="1"/>
  <c r="N3401" i="3" s="1"/>
  <c r="N3402" i="3" a="1"/>
  <c r="N3402" i="3" s="1"/>
  <c r="N3406" i="3" a="1"/>
  <c r="N3406" i="3" s="1"/>
  <c r="N4010" i="3" a="1"/>
  <c r="N4010" i="3" s="1"/>
  <c r="N4003" i="3" a="1"/>
  <c r="N4003" i="3" s="1"/>
  <c r="N4174" i="3" a="1"/>
  <c r="N4174" i="3" s="1"/>
  <c r="N4067" i="3" a="1"/>
  <c r="N4067" i="3" s="1"/>
  <c r="N4125" i="3" a="1"/>
  <c r="N4125" i="3" s="1"/>
  <c r="N4124" i="3" a="1"/>
  <c r="N4124" i="3" s="1"/>
  <c r="N4150" i="3" a="1"/>
  <c r="N4150" i="3" s="1"/>
  <c r="N4149" i="3" a="1"/>
  <c r="N4149" i="3" s="1"/>
  <c r="N4071" i="3" a="1"/>
  <c r="N4071" i="3" s="1"/>
  <c r="N4131" i="3" a="1"/>
  <c r="N4131" i="3" s="1"/>
  <c r="N4112" i="3" a="1"/>
  <c r="N4112" i="3" s="1"/>
  <c r="N4153" i="3" a="1"/>
  <c r="N4153" i="3" s="1"/>
  <c r="N4127" i="3" a="1"/>
  <c r="N4127" i="3" s="1"/>
  <c r="N3454" i="3" a="1"/>
  <c r="N3454" i="3" s="1"/>
  <c r="N3456" i="3" a="1"/>
  <c r="N3456" i="3" s="1"/>
  <c r="N3436" i="3" a="1"/>
  <c r="N3436" i="3" s="1"/>
  <c r="N3420" i="3" a="1"/>
  <c r="N3420" i="3" s="1"/>
  <c r="N3432" i="3" a="1"/>
  <c r="N3432" i="3" s="1"/>
  <c r="N3444" i="3" a="1"/>
  <c r="N3444" i="3" s="1"/>
  <c r="N3374" i="3" a="1"/>
  <c r="N3374" i="3" s="1"/>
  <c r="N3388" i="3" a="1"/>
  <c r="N3388" i="3" s="1"/>
  <c r="N3389" i="3" a="1"/>
  <c r="N3389" i="3" s="1"/>
  <c r="N3373" i="3" a="1"/>
  <c r="N3373" i="3" s="1"/>
  <c r="N3752" i="3" a="1"/>
  <c r="N3752" i="3" s="1"/>
  <c r="N3715" i="3" a="1"/>
  <c r="N3715" i="3" s="1"/>
  <c r="N3760" i="3" a="1"/>
  <c r="N3760" i="3" s="1"/>
  <c r="N3779" i="3" a="1"/>
  <c r="N3779" i="3" s="1"/>
  <c r="N3660" i="3" a="1"/>
  <c r="N3660" i="3" s="1"/>
  <c r="N3784" i="3" a="1"/>
  <c r="N3784" i="3" s="1"/>
  <c r="N3673" i="3" a="1"/>
  <c r="N3673" i="3" s="1"/>
  <c r="N3694" i="3" a="1"/>
  <c r="N3694" i="3" s="1"/>
  <c r="N3735" i="3" a="1"/>
  <c r="N3735" i="3" s="1"/>
  <c r="K3653" i="3"/>
  <c r="L3653" i="3" s="1"/>
  <c r="L3663" i="3"/>
  <c r="L3673" i="3"/>
  <c r="L3683" i="3"/>
  <c r="L3693" i="3"/>
  <c r="L3703" i="3"/>
  <c r="L3713" i="3"/>
  <c r="L3723" i="3"/>
  <c r="L3733" i="3"/>
  <c r="L3743" i="3"/>
  <c r="L3753" i="3"/>
  <c r="L3763" i="3"/>
  <c r="L3773" i="3"/>
  <c r="L3783" i="3"/>
  <c r="L3793" i="3"/>
  <c r="L3803" i="3"/>
  <c r="L3813" i="3"/>
  <c r="L3823" i="3"/>
  <c r="L3833" i="3"/>
  <c r="L3843" i="3"/>
  <c r="L3853" i="3"/>
  <c r="L3863" i="3"/>
  <c r="L3873" i="3"/>
  <c r="L3883" i="3"/>
  <c r="L3893" i="3"/>
  <c r="L3903" i="3"/>
  <c r="L3913" i="3"/>
  <c r="L3923" i="3"/>
  <c r="L3933" i="3"/>
  <c r="L3943" i="3"/>
  <c r="L3953" i="3"/>
  <c r="L3963" i="3"/>
  <c r="L3973" i="3"/>
  <c r="L3983" i="3"/>
  <c r="L3993" i="3"/>
  <c r="L3656" i="3"/>
  <c r="L3666" i="3"/>
  <c r="L3662" i="3"/>
  <c r="L3672" i="3"/>
  <c r="L3682" i="3"/>
  <c r="L3692" i="3"/>
  <c r="L3702" i="3"/>
  <c r="L3712" i="3"/>
  <c r="L3722" i="3"/>
  <c r="L3732" i="3"/>
  <c r="L3742" i="3"/>
  <c r="L3752" i="3"/>
  <c r="L3762" i="3"/>
  <c r="L3772" i="3"/>
  <c r="L3782" i="3"/>
  <c r="L3792" i="3"/>
  <c r="L3802" i="3"/>
  <c r="L3812" i="3"/>
  <c r="L3822" i="3"/>
  <c r="L3832" i="3"/>
  <c r="L3842" i="3"/>
  <c r="L3852" i="3"/>
  <c r="L3862" i="3"/>
  <c r="L3872" i="3"/>
  <c r="L3882" i="3"/>
  <c r="L3892" i="3"/>
  <c r="L3902" i="3"/>
  <c r="L3912" i="3"/>
  <c r="L3922" i="3"/>
  <c r="L3932" i="3"/>
  <c r="L3942" i="3"/>
  <c r="L3952" i="3"/>
  <c r="L3962" i="3"/>
  <c r="L3972" i="3"/>
  <c r="L3982" i="3"/>
  <c r="L3992" i="3"/>
  <c r="L3665" i="3"/>
  <c r="L3678" i="3"/>
  <c r="L3690" i="3"/>
  <c r="L3704" i="3"/>
  <c r="L3716" i="3"/>
  <c r="L3728" i="3"/>
  <c r="L3740" i="3"/>
  <c r="L3754" i="3"/>
  <c r="L3766" i="3"/>
  <c r="L3778" i="3"/>
  <c r="L3790" i="3"/>
  <c r="L3804" i="3"/>
  <c r="L3816" i="3"/>
  <c r="L3828" i="3"/>
  <c r="L3840" i="3"/>
  <c r="L3854" i="3"/>
  <c r="L3866" i="3"/>
  <c r="L3878" i="3"/>
  <c r="L3890" i="3"/>
  <c r="L3904" i="3"/>
  <c r="L3916" i="3"/>
  <c r="L3928" i="3"/>
  <c r="L3940" i="3"/>
  <c r="L3954" i="3"/>
  <c r="L3966" i="3"/>
  <c r="L3978" i="3"/>
  <c r="L3990" i="3"/>
  <c r="L3657" i="3"/>
  <c r="L3671" i="3"/>
  <c r="L3686" i="3"/>
  <c r="L3699" i="3"/>
  <c r="L3714" i="3"/>
  <c r="L3727" i="3"/>
  <c r="L3741" i="3"/>
  <c r="L3756" i="3"/>
  <c r="L3769" i="3"/>
  <c r="L3784" i="3"/>
  <c r="L3797" i="3"/>
  <c r="L3810" i="3"/>
  <c r="L3825" i="3"/>
  <c r="L3838" i="3"/>
  <c r="L3851" i="3"/>
  <c r="L3867" i="3"/>
  <c r="L3880" i="3"/>
  <c r="L3895" i="3"/>
  <c r="L3908" i="3"/>
  <c r="L3921" i="3"/>
  <c r="L3936" i="3"/>
  <c r="L3949" i="3"/>
  <c r="L3964" i="3"/>
  <c r="L3977" i="3"/>
  <c r="L3991" i="3"/>
  <c r="L3658" i="3"/>
  <c r="L3674" i="3"/>
  <c r="L3687" i="3"/>
  <c r="L3700" i="3"/>
  <c r="L3715" i="3"/>
  <c r="L3729" i="3"/>
  <c r="L3744" i="3"/>
  <c r="L3757" i="3"/>
  <c r="L3770" i="3"/>
  <c r="L3785" i="3"/>
  <c r="L3798" i="3"/>
  <c r="L3811" i="3"/>
  <c r="L3826" i="3"/>
  <c r="L3839" i="3"/>
  <c r="L3855" i="3"/>
  <c r="L3868" i="3"/>
  <c r="L3881" i="3"/>
  <c r="L3896" i="3"/>
  <c r="L3909" i="3"/>
  <c r="L3924" i="3"/>
  <c r="L3937" i="3"/>
  <c r="L3950" i="3"/>
  <c r="L3965" i="3"/>
  <c r="L3979" i="3"/>
  <c r="L3994" i="3"/>
  <c r="L3659" i="3"/>
  <c r="L3675" i="3"/>
  <c r="L3688" i="3"/>
  <c r="L3701" i="3"/>
  <c r="L3717" i="3"/>
  <c r="L3730" i="3"/>
  <c r="L3745" i="3"/>
  <c r="L3758" i="3"/>
  <c r="L3771" i="3"/>
  <c r="L3786" i="3"/>
  <c r="L3799" i="3"/>
  <c r="L3814" i="3"/>
  <c r="L3827" i="3"/>
  <c r="L3841" i="3"/>
  <c r="L3856" i="3"/>
  <c r="L3869" i="3"/>
  <c r="L3884" i="3"/>
  <c r="L3897" i="3"/>
  <c r="L3910" i="3"/>
  <c r="L3925" i="3"/>
  <c r="L3938" i="3"/>
  <c r="L3951" i="3"/>
  <c r="L3967" i="3"/>
  <c r="L3980" i="3"/>
  <c r="L3995" i="3"/>
  <c r="L3660" i="3"/>
  <c r="L3676" i="3"/>
  <c r="L3689" i="3"/>
  <c r="L3705" i="3"/>
  <c r="L3718" i="3"/>
  <c r="L3731" i="3"/>
  <c r="L3746" i="3"/>
  <c r="L3759" i="3"/>
  <c r="L3774" i="3"/>
  <c r="L3787" i="3"/>
  <c r="L3800" i="3"/>
  <c r="L3815" i="3"/>
  <c r="L3829" i="3"/>
  <c r="L3844" i="3"/>
  <c r="L3857" i="3"/>
  <c r="L3870" i="3"/>
  <c r="L3885" i="3"/>
  <c r="L3898" i="3"/>
  <c r="L3911" i="3"/>
  <c r="L3926" i="3"/>
  <c r="L3661" i="3"/>
  <c r="L3677" i="3"/>
  <c r="L3691" i="3"/>
  <c r="L3706" i="3"/>
  <c r="L3719" i="3"/>
  <c r="L3734" i="3"/>
  <c r="L3747" i="3"/>
  <c r="L3760" i="3"/>
  <c r="L3775" i="3"/>
  <c r="L3788" i="3"/>
  <c r="L3801" i="3"/>
  <c r="L3817" i="3"/>
  <c r="L3830" i="3"/>
  <c r="L3845" i="3"/>
  <c r="L3858" i="3"/>
  <c r="L3871" i="3"/>
  <c r="L3886" i="3"/>
  <c r="L3899" i="3"/>
  <c r="L3914" i="3"/>
  <c r="L3927" i="3"/>
  <c r="L3941" i="3"/>
  <c r="L3956" i="3"/>
  <c r="L3969" i="3"/>
  <c r="L3984" i="3"/>
  <c r="L3997" i="3"/>
  <c r="L3655" i="3"/>
  <c r="L3685" i="3"/>
  <c r="L3711" i="3"/>
  <c r="L3739" i="3"/>
  <c r="L3768" i="3"/>
  <c r="L3796" i="3"/>
  <c r="L3824" i="3"/>
  <c r="L3850" i="3"/>
  <c r="L3879" i="3"/>
  <c r="L3907" i="3"/>
  <c r="L3935" i="3"/>
  <c r="L3959" i="3"/>
  <c r="L3985" i="3"/>
  <c r="L3664" i="3"/>
  <c r="L3694" i="3"/>
  <c r="L3720" i="3"/>
  <c r="L3748" i="3"/>
  <c r="L3776" i="3"/>
  <c r="L3805" i="3"/>
  <c r="L3831" i="3"/>
  <c r="L3859" i="3"/>
  <c r="L3887" i="3"/>
  <c r="L3915" i="3"/>
  <c r="L3939" i="3"/>
  <c r="L3960" i="3"/>
  <c r="L3986" i="3"/>
  <c r="L3667" i="3"/>
  <c r="L3695" i="3"/>
  <c r="L3721" i="3"/>
  <c r="L3749" i="3"/>
  <c r="L3777" i="3"/>
  <c r="L3806" i="3"/>
  <c r="L3834" i="3"/>
  <c r="L3860" i="3"/>
  <c r="L3888" i="3"/>
  <c r="L3917" i="3"/>
  <c r="L3944" i="3"/>
  <c r="L3961" i="3"/>
  <c r="L3987" i="3"/>
  <c r="L3668" i="3"/>
  <c r="L3696" i="3"/>
  <c r="L3724" i="3"/>
  <c r="L3750" i="3"/>
  <c r="L3779" i="3"/>
  <c r="L3807" i="3"/>
  <c r="L3835" i="3"/>
  <c r="L3861" i="3"/>
  <c r="L3889" i="3"/>
  <c r="L3918" i="3"/>
  <c r="L3945" i="3"/>
  <c r="L3968" i="3"/>
  <c r="L3988" i="3"/>
  <c r="L3669" i="3"/>
  <c r="L3697" i="3"/>
  <c r="L3725" i="3"/>
  <c r="L3751" i="3"/>
  <c r="L3780" i="3"/>
  <c r="L3808" i="3"/>
  <c r="L3836" i="3"/>
  <c r="L3864" i="3"/>
  <c r="L3891" i="3"/>
  <c r="L3919" i="3"/>
  <c r="L3946" i="3"/>
  <c r="L3970" i="3"/>
  <c r="L3989" i="3"/>
  <c r="L3670" i="3"/>
  <c r="L3698" i="3"/>
  <c r="L3726" i="3"/>
  <c r="L3755" i="3"/>
  <c r="L3781" i="3"/>
  <c r="L3809" i="3"/>
  <c r="L3837" i="3"/>
  <c r="L3865" i="3"/>
  <c r="L3894" i="3"/>
  <c r="L3920" i="3"/>
  <c r="L3947" i="3"/>
  <c r="L3971" i="3"/>
  <c r="L3996" i="3"/>
  <c r="L3679" i="3"/>
  <c r="L3707" i="3"/>
  <c r="L3735" i="3"/>
  <c r="L3761" i="3"/>
  <c r="L3789" i="3"/>
  <c r="L3818" i="3"/>
  <c r="L3846" i="3"/>
  <c r="L3874" i="3"/>
  <c r="L3900" i="3"/>
  <c r="L3929" i="3"/>
  <c r="L3948" i="3"/>
  <c r="L3974" i="3"/>
  <c r="L3998" i="3"/>
  <c r="L3710" i="3"/>
  <c r="L3819" i="3"/>
  <c r="L3905" i="3"/>
  <c r="L3981" i="3"/>
  <c r="L3736" i="3"/>
  <c r="L3820" i="3"/>
  <c r="L3906" i="3"/>
  <c r="L3737" i="3"/>
  <c r="L3821" i="3"/>
  <c r="L3930" i="3"/>
  <c r="L3738" i="3"/>
  <c r="L3847" i="3"/>
  <c r="L3931" i="3"/>
  <c r="L3654" i="3"/>
  <c r="L3764" i="3"/>
  <c r="L3848" i="3"/>
  <c r="L3934" i="3"/>
  <c r="L3680" i="3"/>
  <c r="L3765" i="3"/>
  <c r="L3849" i="3"/>
  <c r="L3955" i="3"/>
  <c r="L3681" i="3"/>
  <c r="L3767" i="3"/>
  <c r="L3875" i="3"/>
  <c r="L3957" i="3"/>
  <c r="L3684" i="3"/>
  <c r="L3791" i="3"/>
  <c r="L3876" i="3"/>
  <c r="L3958" i="3"/>
  <c r="L3708" i="3"/>
  <c r="L3794" i="3"/>
  <c r="L3877" i="3"/>
  <c r="L3975" i="3"/>
  <c r="L3709" i="3"/>
  <c r="L3795" i="3"/>
  <c r="L3901" i="3"/>
  <c r="L3976" i="3"/>
  <c r="N3061" i="3" a="1"/>
  <c r="N3061" i="3" s="1"/>
  <c r="N2998" i="3" a="1"/>
  <c r="N2998" i="3" s="1"/>
  <c r="N1876" i="1" a="1"/>
  <c r="N1876" i="1" s="1"/>
  <c r="N1897" i="1" a="1"/>
  <c r="N1897" i="1" s="1"/>
  <c r="N1799" i="3" a="1"/>
  <c r="N1799" i="3" s="1"/>
  <c r="N1798" i="3" a="1"/>
  <c r="N1798" i="3" s="1"/>
  <c r="N1898" i="3" a="1"/>
  <c r="N1898" i="3" s="1"/>
  <c r="N1852" i="3" a="1"/>
  <c r="N1852" i="3" s="1"/>
  <c r="N1835" i="3" a="1"/>
  <c r="N1835" i="3" s="1"/>
  <c r="N1840" i="3" a="1"/>
  <c r="N1840" i="3" s="1"/>
  <c r="N1264" i="3" a="1"/>
  <c r="N1264" i="3" s="1"/>
  <c r="N1243" i="3" a="1"/>
  <c r="N1243" i="3" s="1"/>
  <c r="N1258" i="3" a="1"/>
  <c r="N1258" i="3" s="1"/>
  <c r="N1215" i="3" a="1"/>
  <c r="N1215" i="3" s="1"/>
  <c r="N1266" i="3" a="1"/>
  <c r="N1266" i="3" s="1"/>
  <c r="N1231" i="3" a="1"/>
  <c r="N1231" i="3" s="1"/>
  <c r="N1212" i="3" a="1"/>
  <c r="N1212" i="3" s="1"/>
  <c r="N1233" i="3" a="1"/>
  <c r="N1233" i="3" s="1"/>
  <c r="N1250" i="3" a="1"/>
  <c r="N1250" i="3" s="1"/>
  <c r="N1256" i="3" a="1"/>
  <c r="N1256" i="3" s="1"/>
  <c r="N1244" i="3" a="1"/>
  <c r="N1244" i="3" s="1"/>
  <c r="N127" i="3" a="1"/>
  <c r="N127" i="3" s="1"/>
  <c r="N73" i="3" a="1"/>
  <c r="N73" i="3" s="1"/>
  <c r="N152" i="3" a="1"/>
  <c r="N152" i="3" s="1"/>
  <c r="N138" i="3" a="1"/>
  <c r="N138" i="3" s="1"/>
  <c r="N90" i="3" a="1"/>
  <c r="N90" i="3" s="1"/>
  <c r="M3653" i="3"/>
  <c r="N3653" i="3" s="1" a="1"/>
  <c r="N3653" i="3" s="1"/>
  <c r="N3722" i="3" a="1"/>
  <c r="N3722" i="3" s="1"/>
  <c r="N3774" i="3" a="1"/>
  <c r="N3774" i="3" s="1"/>
  <c r="N3775" i="3" a="1"/>
  <c r="N3775" i="3" s="1"/>
  <c r="N3777" i="3" a="1"/>
  <c r="N3777" i="3" s="1"/>
  <c r="N3658" i="3" a="1"/>
  <c r="N3658" i="3" s="1"/>
  <c r="N4018" i="3" a="1"/>
  <c r="N4018" i="3" s="1"/>
  <c r="N4004" i="3" a="1"/>
  <c r="N4004" i="3" s="1"/>
  <c r="N4005" i="3" a="1"/>
  <c r="N4005" i="3" s="1"/>
  <c r="N4109" i="3" a="1"/>
  <c r="N4109" i="3" s="1"/>
  <c r="N4159" i="3" a="1"/>
  <c r="N4159" i="3" s="1"/>
  <c r="N4113" i="3" a="1"/>
  <c r="N4113" i="3" s="1"/>
  <c r="N4108" i="3" a="1"/>
  <c r="N4108" i="3" s="1"/>
  <c r="N4138" i="3" a="1"/>
  <c r="N4138" i="3" s="1"/>
  <c r="N4133" i="3" a="1"/>
  <c r="N4133" i="3" s="1"/>
  <c r="N4175" i="3" a="1"/>
  <c r="N4175" i="3" s="1"/>
  <c r="N4171" i="3" a="1"/>
  <c r="N4171" i="3" s="1"/>
  <c r="N4118" i="3" a="1"/>
  <c r="N4118" i="3" s="1"/>
  <c r="N4104" i="3" a="1"/>
  <c r="N4104" i="3" s="1"/>
  <c r="N4136" i="3" a="1"/>
  <c r="N4136" i="3" s="1"/>
  <c r="N4119" i="3" a="1"/>
  <c r="N4119" i="3" s="1"/>
  <c r="N4168" i="3" a="1"/>
  <c r="N4168" i="3" s="1"/>
  <c r="N3423" i="3" a="1"/>
  <c r="N3423" i="3" s="1"/>
  <c r="N3405" i="3" a="1"/>
  <c r="N3405" i="3" s="1"/>
  <c r="N3417" i="3" a="1"/>
  <c r="N3417" i="3" s="1"/>
  <c r="N3431" i="3" a="1"/>
  <c r="N3431" i="3" s="1"/>
  <c r="N3364" i="3" a="1"/>
  <c r="N3364" i="3" s="1"/>
  <c r="N3379" i="3" a="1"/>
  <c r="N3379" i="3" s="1"/>
  <c r="N3380" i="3" a="1"/>
  <c r="N3380" i="3" s="1"/>
  <c r="N3395" i="3" a="1"/>
  <c r="N3395" i="3" s="1"/>
  <c r="N2997" i="3" a="1"/>
  <c r="N2997" i="3" s="1"/>
  <c r="N3693" i="3" a="1"/>
  <c r="N3693" i="3" s="1"/>
  <c r="N3681" i="3" a="1"/>
  <c r="N3681" i="3" s="1"/>
  <c r="N3737" i="3" a="1"/>
  <c r="N3737" i="3" s="1"/>
  <c r="N3781" i="3" a="1"/>
  <c r="N3781" i="3" s="1"/>
  <c r="N3767" i="3" a="1"/>
  <c r="N3767" i="3" s="1"/>
  <c r="N3768" i="3" a="1"/>
  <c r="N3768" i="3" s="1"/>
  <c r="N3708" i="3" a="1"/>
  <c r="N3708" i="3" s="1"/>
  <c r="N3773" i="3" a="1"/>
  <c r="N3773" i="3" s="1"/>
  <c r="N3655" i="3" a="1"/>
  <c r="N3655" i="3" s="1"/>
  <c r="N3683" i="3" a="1"/>
  <c r="N3683" i="3" s="1"/>
  <c r="N3724" i="3" a="1"/>
  <c r="N3724" i="3" s="1"/>
  <c r="N3736" i="3" a="1"/>
  <c r="N3736" i="3" s="1"/>
  <c r="N3393" i="3" a="1"/>
  <c r="N3393" i="3" s="1"/>
  <c r="N3051" i="3" a="1"/>
  <c r="N3051" i="3" s="1"/>
  <c r="N1819" i="3" a="1"/>
  <c r="N1819" i="3" s="1"/>
  <c r="N1810" i="3" a="1"/>
  <c r="N1810" i="3" s="1"/>
  <c r="N1807" i="3" a="1"/>
  <c r="N1807" i="3" s="1"/>
  <c r="N1260" i="3" a="1"/>
  <c r="N1260" i="3" s="1"/>
  <c r="N1236" i="3" a="1"/>
  <c r="N1236" i="3" s="1"/>
  <c r="N1265" i="3" a="1"/>
  <c r="N1265" i="3" s="1"/>
  <c r="N1225" i="3" a="1"/>
  <c r="N1225" i="3" s="1"/>
  <c r="N1216" i="3" a="1"/>
  <c r="N1216" i="3" s="1"/>
  <c r="N1237" i="3" a="1"/>
  <c r="N1237" i="3" s="1"/>
  <c r="N1238" i="3" a="1"/>
  <c r="N1238" i="3" s="1"/>
  <c r="N1176" i="3" a="1"/>
  <c r="N1176" i="3" s="1"/>
  <c r="N1261" i="3" a="1"/>
  <c r="N1261" i="3" s="1"/>
  <c r="N1220" i="3" a="1"/>
  <c r="N1220" i="3" s="1"/>
  <c r="N114" i="3" a="1"/>
  <c r="N114" i="3" s="1"/>
  <c r="N67" i="3" a="1"/>
  <c r="N67" i="3" s="1"/>
  <c r="N8" i="3" a="1"/>
  <c r="N8" i="3" s="1"/>
  <c r="N157" i="3" a="1"/>
  <c r="N157" i="3" s="1"/>
  <c r="N13" i="3" a="1"/>
  <c r="N13" i="3" s="1"/>
  <c r="N148" i="3" a="1"/>
  <c r="N148" i="3" s="1"/>
  <c r="N119" i="3" a="1"/>
  <c r="N119" i="3" s="1"/>
  <c r="N2630" i="3" a="1"/>
  <c r="N2630" i="3" s="1"/>
  <c r="N2541" i="3" a="1"/>
  <c r="N2541" i="3" s="1"/>
  <c r="N4027" i="3" a="1"/>
  <c r="N4027" i="3" s="1"/>
  <c r="N4020" i="3" a="1"/>
  <c r="N4020" i="3" s="1"/>
  <c r="N4143" i="3" a="1"/>
  <c r="N4143" i="3" s="1"/>
  <c r="N4097" i="3" a="1"/>
  <c r="N4097" i="3" s="1"/>
  <c r="N4092" i="3" a="1"/>
  <c r="N4092" i="3" s="1"/>
  <c r="N4122" i="3" a="1"/>
  <c r="N4122" i="3" s="1"/>
  <c r="N4117" i="3" a="1"/>
  <c r="N4117" i="3" s="1"/>
  <c r="N4163" i="3" a="1"/>
  <c r="N4163" i="3" s="1"/>
  <c r="N4158" i="3" a="1"/>
  <c r="N4158" i="3" s="1"/>
  <c r="N4107" i="3" a="1"/>
  <c r="N4107" i="3" s="1"/>
  <c r="N4095" i="3" a="1"/>
  <c r="N4095" i="3" s="1"/>
  <c r="N4128" i="3" a="1"/>
  <c r="N4128" i="3" s="1"/>
  <c r="N4110" i="3" a="1"/>
  <c r="N4110" i="3" s="1"/>
  <c r="N3368" i="3" a="1"/>
  <c r="N3368" i="3" s="1"/>
  <c r="N3407" i="3" a="1"/>
  <c r="N3407" i="3" s="1"/>
  <c r="N3392" i="3" a="1"/>
  <c r="N3392" i="3" s="1"/>
  <c r="N3404" i="3" a="1"/>
  <c r="N3404" i="3" s="1"/>
  <c r="N3416" i="3" a="1"/>
  <c r="N3416" i="3" s="1"/>
  <c r="N3468" i="3" a="1"/>
  <c r="N3468" i="3" s="1"/>
  <c r="N3371" i="3" a="1"/>
  <c r="N3371" i="3" s="1"/>
  <c r="N3469" i="3" a="1"/>
  <c r="N3469" i="3" s="1"/>
  <c r="N3372" i="3" a="1"/>
  <c r="N3372" i="3" s="1"/>
  <c r="N3415" i="3" a="1"/>
  <c r="N3415" i="3" s="1"/>
  <c r="N3376" i="3" a="1"/>
  <c r="N3376" i="3" s="1"/>
  <c r="N3012" i="3" a="1"/>
  <c r="N3012" i="3" s="1"/>
  <c r="N3753" i="3" a="1"/>
  <c r="N3753" i="3" s="1"/>
  <c r="N3704" i="3" a="1"/>
  <c r="N3704" i="3" s="1"/>
  <c r="N3755" i="3" a="1"/>
  <c r="N3755" i="3" s="1"/>
  <c r="N3749" i="3" a="1"/>
  <c r="N3749" i="3" s="1"/>
  <c r="N3765" i="3" a="1"/>
  <c r="N3765" i="3" s="1"/>
  <c r="N3782" i="3" a="1"/>
  <c r="N3782" i="3" s="1"/>
  <c r="N3757" i="3" a="1"/>
  <c r="N3757" i="3" s="1"/>
  <c r="N3697" i="3" a="1"/>
  <c r="N3697" i="3" s="1"/>
  <c r="N3762" i="3" a="1"/>
  <c r="N3762" i="3" s="1"/>
  <c r="N3783" i="3" a="1"/>
  <c r="N3783" i="3" s="1"/>
  <c r="N3672" i="3" a="1"/>
  <c r="N3672" i="3" s="1"/>
  <c r="N3713" i="3" a="1"/>
  <c r="N3713" i="3" s="1"/>
  <c r="N3726" i="3" a="1"/>
  <c r="N3726" i="3" s="1"/>
  <c r="N2999" i="3" a="1"/>
  <c r="N2999" i="3" s="1"/>
  <c r="N3041" i="3" a="1"/>
  <c r="N3041" i="3" s="1"/>
  <c r="N3056" i="3" a="1"/>
  <c r="N3056" i="3" s="1"/>
  <c r="N1206" i="3" a="1"/>
  <c r="N1206" i="3" s="1"/>
  <c r="N1268" i="3" a="1"/>
  <c r="N1268" i="3" s="1"/>
  <c r="N1249" i="3" a="1"/>
  <c r="N1249" i="3" s="1"/>
  <c r="N1181" i="3" a="1"/>
  <c r="N1181" i="3" s="1"/>
  <c r="N1253" i="3" a="1"/>
  <c r="N1253" i="3" s="1"/>
  <c r="N1177" i="3" a="1"/>
  <c r="N1177" i="3" s="1"/>
  <c r="M3999" i="3"/>
  <c r="N3999" i="3" s="1" a="1"/>
  <c r="N3999" i="3" s="1"/>
  <c r="N4006" i="3" a="1"/>
  <c r="N4006" i="3" s="1"/>
  <c r="N4032" i="3" a="1"/>
  <c r="N4032" i="3" s="1"/>
  <c r="N4007" i="3" a="1"/>
  <c r="N4007" i="3" s="1"/>
  <c r="N4034" i="3" a="1"/>
  <c r="N4034" i="3" s="1"/>
  <c r="N4008" i="3" a="1"/>
  <c r="N4008" i="3" s="1"/>
  <c r="N4014" i="3" a="1"/>
  <c r="N4014" i="3" s="1"/>
  <c r="N4015" i="3" a="1"/>
  <c r="N4015" i="3" s="1"/>
  <c r="N4022" i="3" a="1"/>
  <c r="N4022" i="3" s="1"/>
  <c r="N4023" i="3" a="1"/>
  <c r="N4023" i="3" s="1"/>
  <c r="N4035" i="3" a="1"/>
  <c r="N4035" i="3" s="1"/>
  <c r="N4029" i="3" a="1"/>
  <c r="N4029" i="3" s="1"/>
  <c r="N4084" i="3" a="1"/>
  <c r="N4084" i="3" s="1"/>
  <c r="N4173" i="3" a="1"/>
  <c r="N4173" i="3" s="1"/>
  <c r="N4081" i="3" a="1"/>
  <c r="N4081" i="3" s="1"/>
  <c r="N4106" i="3" a="1"/>
  <c r="N4106" i="3" s="1"/>
  <c r="N4074" i="3" a="1"/>
  <c r="N4074" i="3" s="1"/>
  <c r="N4148" i="3" a="1"/>
  <c r="N4148" i="3" s="1"/>
  <c r="N4147" i="3" a="1"/>
  <c r="N4147" i="3" s="1"/>
  <c r="N4096" i="3" a="1"/>
  <c r="N4096" i="3" s="1"/>
  <c r="N4170" i="3" a="1"/>
  <c r="N4170" i="3" s="1"/>
  <c r="N4087" i="3" a="1"/>
  <c r="N4087" i="3" s="1"/>
  <c r="N4111" i="3" a="1"/>
  <c r="N4111" i="3" s="1"/>
  <c r="N4102" i="3" a="1"/>
  <c r="N4102" i="3" s="1"/>
  <c r="N3387" i="3" a="1"/>
  <c r="N3387" i="3" s="1"/>
  <c r="N3394" i="3" a="1"/>
  <c r="N3394" i="3" s="1"/>
  <c r="N3378" i="3" a="1"/>
  <c r="N3378" i="3" s="1"/>
  <c r="N3391" i="3" a="1"/>
  <c r="N3391" i="3" s="1"/>
  <c r="N3403" i="3" a="1"/>
  <c r="N3403" i="3" s="1"/>
  <c r="N3460" i="3" a="1"/>
  <c r="N3460" i="3" s="1"/>
  <c r="N3458" i="3" a="1"/>
  <c r="N3458" i="3" s="1"/>
  <c r="N3459" i="3" a="1"/>
  <c r="N3459" i="3" s="1"/>
  <c r="N3363" i="3" a="1"/>
  <c r="N3363" i="3" s="1"/>
  <c r="N3441" i="3" a="1"/>
  <c r="N3441" i="3" s="1"/>
  <c r="N3400" i="3" a="1"/>
  <c r="N3400" i="3" s="1"/>
  <c r="N3025" i="3" a="1"/>
  <c r="N3025" i="3" s="1"/>
  <c r="N3698" i="3" a="1"/>
  <c r="N3698" i="3" s="1"/>
  <c r="N3778" i="3" a="1"/>
  <c r="N3778" i="3" s="1"/>
  <c r="N3677" i="3" a="1"/>
  <c r="N3677" i="3" s="1"/>
  <c r="N3732" i="3" a="1"/>
  <c r="N3732" i="3" s="1"/>
  <c r="N3731" i="3" a="1"/>
  <c r="N3731" i="3" s="1"/>
  <c r="N3748" i="3" a="1"/>
  <c r="N3748" i="3" s="1"/>
  <c r="N3764" i="3" a="1"/>
  <c r="N3764" i="3" s="1"/>
  <c r="N3745" i="3" a="1"/>
  <c r="N3745" i="3" s="1"/>
  <c r="N3685" i="3" a="1"/>
  <c r="N3685" i="3" s="1"/>
  <c r="N3751" i="3" a="1"/>
  <c r="N3751" i="3" s="1"/>
  <c r="N3772" i="3" a="1"/>
  <c r="N3772" i="3" s="1"/>
  <c r="N3663" i="3" a="1"/>
  <c r="N3663" i="3" s="1"/>
  <c r="N3702" i="3" a="1"/>
  <c r="N3702" i="3" s="1"/>
  <c r="N3716" i="3" a="1"/>
  <c r="N3716" i="3" s="1"/>
  <c r="N3013" i="3" a="1"/>
  <c r="N3013" i="3" s="1"/>
  <c r="N3031" i="3" a="1"/>
  <c r="N3031" i="3" s="1"/>
  <c r="N3046" i="3" a="1"/>
  <c r="N3046" i="3" s="1"/>
  <c r="K1387" i="1"/>
  <c r="L1387" i="1" s="1"/>
  <c r="L1526" i="1"/>
  <c r="L1536" i="1"/>
  <c r="L1546" i="1"/>
  <c r="L1556" i="1"/>
  <c r="L1566" i="1"/>
  <c r="L1576" i="1"/>
  <c r="L1586" i="1"/>
  <c r="L1596" i="1"/>
  <c r="L1606" i="1"/>
  <c r="L1616" i="1"/>
  <c r="L1626" i="1"/>
  <c r="L1636" i="1"/>
  <c r="L1646" i="1"/>
  <c r="L1656" i="1"/>
  <c r="L1666" i="1"/>
  <c r="L1676" i="1"/>
  <c r="L1686" i="1"/>
  <c r="L1696" i="1"/>
  <c r="L1706" i="1"/>
  <c r="L1716" i="1"/>
  <c r="L1726" i="1"/>
  <c r="L1736" i="1"/>
  <c r="L1746" i="1"/>
  <c r="L1756" i="1"/>
  <c r="L1766" i="1"/>
  <c r="L1776" i="1"/>
  <c r="L1395" i="1"/>
  <c r="L1405" i="1"/>
  <c r="L1415" i="1"/>
  <c r="L1425" i="1"/>
  <c r="L1435" i="1"/>
  <c r="L1445" i="1"/>
  <c r="L1455" i="1"/>
  <c r="L1465" i="1"/>
  <c r="L1475" i="1"/>
  <c r="L1485" i="1"/>
  <c r="L1495" i="1"/>
  <c r="L1505" i="1"/>
  <c r="L1515" i="1"/>
  <c r="L1527" i="1"/>
  <c r="L1537" i="1"/>
  <c r="L1547" i="1"/>
  <c r="L1557" i="1"/>
  <c r="L1567" i="1"/>
  <c r="L1577" i="1"/>
  <c r="L1587" i="1"/>
  <c r="L1597" i="1"/>
  <c r="L1607" i="1"/>
  <c r="L1617" i="1"/>
  <c r="L1627" i="1"/>
  <c r="L1637" i="1"/>
  <c r="L1647" i="1"/>
  <c r="L1657" i="1"/>
  <c r="L1667" i="1"/>
  <c r="L1677" i="1"/>
  <c r="L1687" i="1"/>
  <c r="L1697" i="1"/>
  <c r="L1707" i="1"/>
  <c r="L1717" i="1"/>
  <c r="L1727" i="1"/>
  <c r="L1737" i="1"/>
  <c r="L1747" i="1"/>
  <c r="L1757" i="1"/>
  <c r="L1767" i="1"/>
  <c r="L1777" i="1"/>
  <c r="L1396" i="1"/>
  <c r="L1406" i="1"/>
  <c r="L1416" i="1"/>
  <c r="L1426" i="1"/>
  <c r="L1436" i="1"/>
  <c r="L1446" i="1"/>
  <c r="L1456" i="1"/>
  <c r="L1466" i="1"/>
  <c r="L1476" i="1"/>
  <c r="L1486" i="1"/>
  <c r="L1496" i="1"/>
  <c r="L1506" i="1"/>
  <c r="L1516" i="1"/>
  <c r="L1529" i="1"/>
  <c r="L1539" i="1"/>
  <c r="L1549" i="1"/>
  <c r="L1559" i="1"/>
  <c r="L1569" i="1"/>
  <c r="L1579" i="1"/>
  <c r="L1589" i="1"/>
  <c r="L1599" i="1"/>
  <c r="L1609" i="1"/>
  <c r="L1619" i="1"/>
  <c r="L1629" i="1"/>
  <c r="L1639" i="1"/>
  <c r="L1649" i="1"/>
  <c r="L1659" i="1"/>
  <c r="L1669" i="1"/>
  <c r="L1679" i="1"/>
  <c r="L1689" i="1"/>
  <c r="L1699" i="1"/>
  <c r="L1709" i="1"/>
  <c r="L1719" i="1"/>
  <c r="L1729" i="1"/>
  <c r="L1739" i="1"/>
  <c r="L1749" i="1"/>
  <c r="L1759" i="1"/>
  <c r="L1769" i="1"/>
  <c r="L1779" i="1"/>
  <c r="L1398" i="1"/>
  <c r="L1408" i="1"/>
  <c r="L1418" i="1"/>
  <c r="L1428" i="1"/>
  <c r="L1438" i="1"/>
  <c r="L1448" i="1"/>
  <c r="L1458" i="1"/>
  <c r="L1468" i="1"/>
  <c r="L1478" i="1"/>
  <c r="L1488" i="1"/>
  <c r="L1498" i="1"/>
  <c r="L1508" i="1"/>
  <c r="L1518" i="1"/>
  <c r="L1531" i="1"/>
  <c r="L1541" i="1"/>
  <c r="L1551" i="1"/>
  <c r="L1561" i="1"/>
  <c r="L1571" i="1"/>
  <c r="L1581" i="1"/>
  <c r="L1591" i="1"/>
  <c r="L1601" i="1"/>
  <c r="L1611" i="1"/>
  <c r="L1621" i="1"/>
  <c r="L1631" i="1"/>
  <c r="L1641" i="1"/>
  <c r="L1651" i="1"/>
  <c r="L1661" i="1"/>
  <c r="L1671" i="1"/>
  <c r="L1681" i="1"/>
  <c r="L1691" i="1"/>
  <c r="L1701" i="1"/>
  <c r="L1711" i="1"/>
  <c r="L1721" i="1"/>
  <c r="L1731" i="1"/>
  <c r="L1741" i="1"/>
  <c r="L1751" i="1"/>
  <c r="L1761" i="1"/>
  <c r="L1771" i="1"/>
  <c r="L1390" i="1"/>
  <c r="L1400" i="1"/>
  <c r="L1410" i="1"/>
  <c r="L1420" i="1"/>
  <c r="L1430" i="1"/>
  <c r="L1440" i="1"/>
  <c r="L1450" i="1"/>
  <c r="L1460" i="1"/>
  <c r="L1470" i="1"/>
  <c r="L1480" i="1"/>
  <c r="L1490" i="1"/>
  <c r="L1500" i="1"/>
  <c r="L1510" i="1"/>
  <c r="L1520" i="1"/>
  <c r="L1534" i="1"/>
  <c r="L1552" i="1"/>
  <c r="L1568" i="1"/>
  <c r="L1584" i="1"/>
  <c r="L1602" i="1"/>
  <c r="L1618" i="1"/>
  <c r="L1634" i="1"/>
  <c r="L1652" i="1"/>
  <c r="L1668" i="1"/>
  <c r="L1684" i="1"/>
  <c r="L1702" i="1"/>
  <c r="L1718" i="1"/>
  <c r="L1734" i="1"/>
  <c r="L1752" i="1"/>
  <c r="L1768" i="1"/>
  <c r="L1393" i="1"/>
  <c r="L1411" i="1"/>
  <c r="L1427" i="1"/>
  <c r="L1443" i="1"/>
  <c r="L1461" i="1"/>
  <c r="L1477" i="1"/>
  <c r="L1493" i="1"/>
  <c r="L1511" i="1"/>
  <c r="L1535" i="1"/>
  <c r="L1553" i="1"/>
  <c r="L1570" i="1"/>
  <c r="L1585" i="1"/>
  <c r="L1603" i="1"/>
  <c r="L1620" i="1"/>
  <c r="L1635" i="1"/>
  <c r="L1653" i="1"/>
  <c r="L1670" i="1"/>
  <c r="L1685" i="1"/>
  <c r="L1703" i="1"/>
  <c r="L1720" i="1"/>
  <c r="L1735" i="1"/>
  <c r="L1753" i="1"/>
  <c r="L1770" i="1"/>
  <c r="L1394" i="1"/>
  <c r="L1412" i="1"/>
  <c r="L1429" i="1"/>
  <c r="L1444" i="1"/>
  <c r="L1462" i="1"/>
  <c r="L1479" i="1"/>
  <c r="L1494" i="1"/>
  <c r="L1512" i="1"/>
  <c r="L1522" i="1"/>
  <c r="L1538" i="1"/>
  <c r="L1554" i="1"/>
  <c r="L1572" i="1"/>
  <c r="L1588" i="1"/>
  <c r="L1604" i="1"/>
  <c r="L1622" i="1"/>
  <c r="L1638" i="1"/>
  <c r="L1654" i="1"/>
  <c r="L1672" i="1"/>
  <c r="L1688" i="1"/>
  <c r="L1704" i="1"/>
  <c r="L1722" i="1"/>
  <c r="L1738" i="1"/>
  <c r="L1754" i="1"/>
  <c r="L1772" i="1"/>
  <c r="L1397" i="1"/>
  <c r="L1413" i="1"/>
  <c r="L1431" i="1"/>
  <c r="L1447" i="1"/>
  <c r="L1463" i="1"/>
  <c r="L1481" i="1"/>
  <c r="L1497" i="1"/>
  <c r="L1513" i="1"/>
  <c r="L1523" i="1"/>
  <c r="L1540" i="1"/>
  <c r="L1555" i="1"/>
  <c r="L1573" i="1"/>
  <c r="L1590" i="1"/>
  <c r="L1605" i="1"/>
  <c r="L1623" i="1"/>
  <c r="L1640" i="1"/>
  <c r="L1655" i="1"/>
  <c r="L1673" i="1"/>
  <c r="L1690" i="1"/>
  <c r="L1705" i="1"/>
  <c r="L1723" i="1"/>
  <c r="L1740" i="1"/>
  <c r="L1755" i="1"/>
  <c r="L1773" i="1"/>
  <c r="L1399" i="1"/>
  <c r="L1414" i="1"/>
  <c r="L1432" i="1"/>
  <c r="L1449" i="1"/>
  <c r="L1464" i="1"/>
  <c r="L1482" i="1"/>
  <c r="L1499" i="1"/>
  <c r="L1514" i="1"/>
  <c r="L1524" i="1"/>
  <c r="L1542" i="1"/>
  <c r="L1558" i="1"/>
  <c r="L1574" i="1"/>
  <c r="L1592" i="1"/>
  <c r="L1608" i="1"/>
  <c r="L1624" i="1"/>
  <c r="L1642" i="1"/>
  <c r="L1658" i="1"/>
  <c r="L1674" i="1"/>
  <c r="L1692" i="1"/>
  <c r="L1708" i="1"/>
  <c r="L1724" i="1"/>
  <c r="L1742" i="1"/>
  <c r="L1758" i="1"/>
  <c r="L1774" i="1"/>
  <c r="L1401" i="1"/>
  <c r="L1417" i="1"/>
  <c r="L1433" i="1"/>
  <c r="L1451" i="1"/>
  <c r="L1467" i="1"/>
  <c r="L1483" i="1"/>
  <c r="L1501" i="1"/>
  <c r="L1517" i="1"/>
  <c r="L1525" i="1"/>
  <c r="L1543" i="1"/>
  <c r="L1560" i="1"/>
  <c r="L1575" i="1"/>
  <c r="L1593" i="1"/>
  <c r="L1610" i="1"/>
  <c r="L1625" i="1"/>
  <c r="L1643" i="1"/>
  <c r="L1660" i="1"/>
  <c r="L1675" i="1"/>
  <c r="L1693" i="1"/>
  <c r="L1710" i="1"/>
  <c r="L1725" i="1"/>
  <c r="L1743" i="1"/>
  <c r="L1760" i="1"/>
  <c r="L1775" i="1"/>
  <c r="L1402" i="1"/>
  <c r="L1419" i="1"/>
  <c r="L1434" i="1"/>
  <c r="L1452" i="1"/>
  <c r="L1469" i="1"/>
  <c r="L1484" i="1"/>
  <c r="L1502" i="1"/>
  <c r="L1519" i="1"/>
  <c r="L1528" i="1"/>
  <c r="L1544" i="1"/>
  <c r="L1562" i="1"/>
  <c r="L1578" i="1"/>
  <c r="L1594" i="1"/>
  <c r="L1612" i="1"/>
  <c r="L1628" i="1"/>
  <c r="L1644" i="1"/>
  <c r="L1662" i="1"/>
  <c r="L1678" i="1"/>
  <c r="L1694" i="1"/>
  <c r="L1712" i="1"/>
  <c r="L1728" i="1"/>
  <c r="L1744" i="1"/>
  <c r="L1762" i="1"/>
  <c r="L1778" i="1"/>
  <c r="L1403" i="1"/>
  <c r="L1421" i="1"/>
  <c r="L1437" i="1"/>
  <c r="L1453" i="1"/>
  <c r="L1471" i="1"/>
  <c r="L1487" i="1"/>
  <c r="L1503" i="1"/>
  <c r="L1521" i="1"/>
  <c r="L1530" i="1"/>
  <c r="L1545" i="1"/>
  <c r="L1563" i="1"/>
  <c r="L1580" i="1"/>
  <c r="L1595" i="1"/>
  <c r="L1613" i="1"/>
  <c r="L1630" i="1"/>
  <c r="L1645" i="1"/>
  <c r="L1663" i="1"/>
  <c r="L1680" i="1"/>
  <c r="L1695" i="1"/>
  <c r="L1713" i="1"/>
  <c r="L1730" i="1"/>
  <c r="L1745" i="1"/>
  <c r="L1763" i="1"/>
  <c r="L1389" i="1"/>
  <c r="L1404" i="1"/>
  <c r="L1422" i="1"/>
  <c r="L1439" i="1"/>
  <c r="L1454" i="1"/>
  <c r="L1472" i="1"/>
  <c r="L1489" i="1"/>
  <c r="L1504" i="1"/>
  <c r="L1388" i="1"/>
  <c r="L1532" i="1"/>
  <c r="L1548" i="1"/>
  <c r="L1564" i="1"/>
  <c r="L1582" i="1"/>
  <c r="L1598" i="1"/>
  <c r="L1614" i="1"/>
  <c r="L1632" i="1"/>
  <c r="L1648" i="1"/>
  <c r="L1664" i="1"/>
  <c r="L1682" i="1"/>
  <c r="L1698" i="1"/>
  <c r="L1714" i="1"/>
  <c r="L1732" i="1"/>
  <c r="L1748" i="1"/>
  <c r="L1764" i="1"/>
  <c r="L1391" i="1"/>
  <c r="L1407" i="1"/>
  <c r="L1423" i="1"/>
  <c r="L1441" i="1"/>
  <c r="L1457" i="1"/>
  <c r="L1473" i="1"/>
  <c r="L1491" i="1"/>
  <c r="L1507" i="1"/>
  <c r="L1533" i="1"/>
  <c r="L1550" i="1"/>
  <c r="L1565" i="1"/>
  <c r="L1583" i="1"/>
  <c r="L1600" i="1"/>
  <c r="L1615" i="1"/>
  <c r="L1633" i="1"/>
  <c r="L1650" i="1"/>
  <c r="L1665" i="1"/>
  <c r="L1683" i="1"/>
  <c r="L1700" i="1"/>
  <c r="L1715" i="1"/>
  <c r="L1733" i="1"/>
  <c r="L1750" i="1"/>
  <c r="L1765" i="1"/>
  <c r="L1392" i="1"/>
  <c r="L1409" i="1"/>
  <c r="L1424" i="1"/>
  <c r="L1442" i="1"/>
  <c r="L1459" i="1"/>
  <c r="L1474" i="1"/>
  <c r="L1492" i="1"/>
  <c r="L1509" i="1"/>
  <c r="N1197" i="3" a="1"/>
  <c r="N1197" i="3" s="1"/>
  <c r="N1246" i="3" a="1"/>
  <c r="N1246" i="3" s="1"/>
  <c r="N1208" i="3" a="1"/>
  <c r="N1208" i="3" s="1"/>
  <c r="N1198" i="3" a="1"/>
  <c r="N1198" i="3" s="1"/>
  <c r="N1187" i="3" a="1"/>
  <c r="N1187" i="3" s="1"/>
  <c r="N1179" i="3" a="1"/>
  <c r="N1179" i="3" s="1"/>
  <c r="N1226" i="3" a="1"/>
  <c r="N1226" i="3" s="1"/>
  <c r="N2552" i="3" a="1"/>
  <c r="N2552" i="3" s="1"/>
  <c r="N4068" i="3" a="1"/>
  <c r="N4068" i="3" s="1"/>
  <c r="N4157" i="3" a="1"/>
  <c r="N4157" i="3" s="1"/>
  <c r="N4066" i="3" a="1"/>
  <c r="N4066" i="3" s="1"/>
  <c r="N4091" i="3" a="1"/>
  <c r="N4091" i="3" s="1"/>
  <c r="N4132" i="3" a="1"/>
  <c r="N4132" i="3" s="1"/>
  <c r="N4134" i="3" a="1"/>
  <c r="N4134" i="3" s="1"/>
  <c r="N4083" i="3" a="1"/>
  <c r="N4083" i="3" s="1"/>
  <c r="N4162" i="3" a="1"/>
  <c r="N4162" i="3" s="1"/>
  <c r="N4079" i="3" a="1"/>
  <c r="N4079" i="3" s="1"/>
  <c r="N4103" i="3" a="1"/>
  <c r="N4103" i="3" s="1"/>
  <c r="N4094" i="3" a="1"/>
  <c r="N4094" i="3" s="1"/>
  <c r="N3382" i="3" a="1"/>
  <c r="N3382" i="3" s="1"/>
  <c r="N3367" i="3" a="1"/>
  <c r="N3367" i="3" s="1"/>
  <c r="N3390" i="3" a="1"/>
  <c r="N3390" i="3" s="1"/>
  <c r="N3446" i="3" a="1"/>
  <c r="N3446" i="3" s="1"/>
  <c r="N3448" i="3" a="1"/>
  <c r="N3448" i="3" s="1"/>
  <c r="N3449" i="3" a="1"/>
  <c r="N3449" i="3" s="1"/>
  <c r="K3362" i="3"/>
  <c r="L3362" i="3" s="1"/>
  <c r="L3369" i="3"/>
  <c r="L3379" i="3"/>
  <c r="L3389" i="3"/>
  <c r="L3399" i="3"/>
  <c r="L3409" i="3"/>
  <c r="L3371" i="3"/>
  <c r="L3382" i="3"/>
  <c r="L3366" i="3"/>
  <c r="L3378" i="3"/>
  <c r="L3391" i="3"/>
  <c r="L3402" i="3"/>
  <c r="L3413" i="3"/>
  <c r="L3423" i="3"/>
  <c r="L3433" i="3"/>
  <c r="L3443" i="3"/>
  <c r="L3453" i="3"/>
  <c r="L3463" i="3"/>
  <c r="L3473" i="3"/>
  <c r="L3483" i="3"/>
  <c r="L3493" i="3"/>
  <c r="L3503" i="3"/>
  <c r="L3513" i="3"/>
  <c r="L3523" i="3"/>
  <c r="L3533" i="3"/>
  <c r="L3543" i="3"/>
  <c r="L3553" i="3"/>
  <c r="L3563" i="3"/>
  <c r="L3573" i="3"/>
  <c r="L3367" i="3"/>
  <c r="L3380" i="3"/>
  <c r="L3392" i="3"/>
  <c r="L3403" i="3"/>
  <c r="L3414" i="3"/>
  <c r="L3424" i="3"/>
  <c r="L3434" i="3"/>
  <c r="L3444" i="3"/>
  <c r="L3454" i="3"/>
  <c r="L3464" i="3"/>
  <c r="L3474" i="3"/>
  <c r="L3484" i="3"/>
  <c r="L3494" i="3"/>
  <c r="L3504" i="3"/>
  <c r="L3514" i="3"/>
  <c r="L3524" i="3"/>
  <c r="L3534" i="3"/>
  <c r="L3544" i="3"/>
  <c r="L3554" i="3"/>
  <c r="L3564" i="3"/>
  <c r="L3363" i="3"/>
  <c r="L3377" i="3"/>
  <c r="L3394" i="3"/>
  <c r="L3407" i="3"/>
  <c r="L3420" i="3"/>
  <c r="L3432" i="3"/>
  <c r="L3446" i="3"/>
  <c r="L3458" i="3"/>
  <c r="L3470" i="3"/>
  <c r="L3482" i="3"/>
  <c r="L3496" i="3"/>
  <c r="L3508" i="3"/>
  <c r="L3520" i="3"/>
  <c r="L3532" i="3"/>
  <c r="L3546" i="3"/>
  <c r="L3558" i="3"/>
  <c r="L3570" i="3"/>
  <c r="L3581" i="3"/>
  <c r="L3591" i="3"/>
  <c r="L3601" i="3"/>
  <c r="L3611" i="3"/>
  <c r="L3621" i="3"/>
  <c r="L3631" i="3"/>
  <c r="L3641" i="3"/>
  <c r="L3651" i="3"/>
  <c r="L3364" i="3"/>
  <c r="L3381" i="3"/>
  <c r="L3395" i="3"/>
  <c r="L3408" i="3"/>
  <c r="L3421" i="3"/>
  <c r="L3435" i="3"/>
  <c r="L3447" i="3"/>
  <c r="L3459" i="3"/>
  <c r="L3471" i="3"/>
  <c r="L3485" i="3"/>
  <c r="L3497" i="3"/>
  <c r="L3509" i="3"/>
  <c r="L3521" i="3"/>
  <c r="L3535" i="3"/>
  <c r="L3547" i="3"/>
  <c r="L3559" i="3"/>
  <c r="L3571" i="3"/>
  <c r="L3582" i="3"/>
  <c r="L3592" i="3"/>
  <c r="L3602" i="3"/>
  <c r="L3612" i="3"/>
  <c r="L3622" i="3"/>
  <c r="L3632" i="3"/>
  <c r="L3642" i="3"/>
  <c r="L3652" i="3"/>
  <c r="L3365" i="3"/>
  <c r="L3383" i="3"/>
  <c r="L3396" i="3"/>
  <c r="L3410" i="3"/>
  <c r="L3422" i="3"/>
  <c r="L3436" i="3"/>
  <c r="L3448" i="3"/>
  <c r="L3460" i="3"/>
  <c r="L3472" i="3"/>
  <c r="L3486" i="3"/>
  <c r="L3498" i="3"/>
  <c r="L3510" i="3"/>
  <c r="L3522" i="3"/>
  <c r="L3536" i="3"/>
  <c r="L3548" i="3"/>
  <c r="L3560" i="3"/>
  <c r="L3572" i="3"/>
  <c r="L3583" i="3"/>
  <c r="L3593" i="3"/>
  <c r="L3603" i="3"/>
  <c r="L3613" i="3"/>
  <c r="L3623" i="3"/>
  <c r="L3633" i="3"/>
  <c r="L3643" i="3"/>
  <c r="L3368" i="3"/>
  <c r="L3384" i="3"/>
  <c r="L3397" i="3"/>
  <c r="L3411" i="3"/>
  <c r="L3425" i="3"/>
  <c r="L3437" i="3"/>
  <c r="L3449" i="3"/>
  <c r="L3461" i="3"/>
  <c r="L3475" i="3"/>
  <c r="L3487" i="3"/>
  <c r="L3499" i="3"/>
  <c r="L3511" i="3"/>
  <c r="L3525" i="3"/>
  <c r="L3537" i="3"/>
  <c r="L3549" i="3"/>
  <c r="L3561" i="3"/>
  <c r="L3574" i="3"/>
  <c r="L3584" i="3"/>
  <c r="L3594" i="3"/>
  <c r="L3604" i="3"/>
  <c r="L3614" i="3"/>
  <c r="L3624" i="3"/>
  <c r="L3634" i="3"/>
  <c r="L3644" i="3"/>
  <c r="L3370" i="3"/>
  <c r="L3385" i="3"/>
  <c r="L3398" i="3"/>
  <c r="L3412" i="3"/>
  <c r="L3426" i="3"/>
  <c r="L3438" i="3"/>
  <c r="L3450" i="3"/>
  <c r="L3462" i="3"/>
  <c r="L3476" i="3"/>
  <c r="L3488" i="3"/>
  <c r="L3500" i="3"/>
  <c r="L3512" i="3"/>
  <c r="L3526" i="3"/>
  <c r="L3538" i="3"/>
  <c r="L3550" i="3"/>
  <c r="L3562" i="3"/>
  <c r="L3575" i="3"/>
  <c r="L3585" i="3"/>
  <c r="L3595" i="3"/>
  <c r="L3605" i="3"/>
  <c r="L3615" i="3"/>
  <c r="L3625" i="3"/>
  <c r="L3635" i="3"/>
  <c r="L3645" i="3"/>
  <c r="L3372" i="3"/>
  <c r="L3386" i="3"/>
  <c r="L3400" i="3"/>
  <c r="L3415" i="3"/>
  <c r="L3427" i="3"/>
  <c r="L3439" i="3"/>
  <c r="L3451" i="3"/>
  <c r="L3465" i="3"/>
  <c r="L3477" i="3"/>
  <c r="L3489" i="3"/>
  <c r="L3501" i="3"/>
  <c r="L3515" i="3"/>
  <c r="L3527" i="3"/>
  <c r="L3539" i="3"/>
  <c r="L3551" i="3"/>
  <c r="L3565" i="3"/>
  <c r="L3576" i="3"/>
  <c r="L3586" i="3"/>
  <c r="L3596" i="3"/>
  <c r="L3606" i="3"/>
  <c r="L3616" i="3"/>
  <c r="L3626" i="3"/>
  <c r="L3636" i="3"/>
  <c r="L3646" i="3"/>
  <c r="L3373" i="3"/>
  <c r="L3387" i="3"/>
  <c r="L3401" i="3"/>
  <c r="L3416" i="3"/>
  <c r="L3428" i="3"/>
  <c r="L3440" i="3"/>
  <c r="L3452" i="3"/>
  <c r="L3466" i="3"/>
  <c r="L3478" i="3"/>
  <c r="L3490" i="3"/>
  <c r="L3502" i="3"/>
  <c r="L3516" i="3"/>
  <c r="L3528" i="3"/>
  <c r="L3540" i="3"/>
  <c r="L3552" i="3"/>
  <c r="L3566" i="3"/>
  <c r="L3577" i="3"/>
  <c r="L3587" i="3"/>
  <c r="L3597" i="3"/>
  <c r="L3607" i="3"/>
  <c r="L3617" i="3"/>
  <c r="L3627" i="3"/>
  <c r="L3637" i="3"/>
  <c r="L3647" i="3"/>
  <c r="L3375" i="3"/>
  <c r="L3419" i="3"/>
  <c r="L3467" i="3"/>
  <c r="L3506" i="3"/>
  <c r="L3545" i="3"/>
  <c r="L3588" i="3"/>
  <c r="L3619" i="3"/>
  <c r="L3650" i="3"/>
  <c r="L3376" i="3"/>
  <c r="L3429" i="3"/>
  <c r="L3468" i="3"/>
  <c r="L3507" i="3"/>
  <c r="L3555" i="3"/>
  <c r="L3589" i="3"/>
  <c r="L3620" i="3"/>
  <c r="L3388" i="3"/>
  <c r="L3430" i="3"/>
  <c r="L3469" i="3"/>
  <c r="L3517" i="3"/>
  <c r="L3556" i="3"/>
  <c r="L3590" i="3"/>
  <c r="L3628" i="3"/>
  <c r="L3390" i="3"/>
  <c r="L3431" i="3"/>
  <c r="L3479" i="3"/>
  <c r="L3518" i="3"/>
  <c r="L3557" i="3"/>
  <c r="L3598" i="3"/>
  <c r="L3629" i="3"/>
  <c r="L3393" i="3"/>
  <c r="L3441" i="3"/>
  <c r="L3480" i="3"/>
  <c r="L3519" i="3"/>
  <c r="L3567" i="3"/>
  <c r="L3599" i="3"/>
  <c r="L3630" i="3"/>
  <c r="L3404" i="3"/>
  <c r="L3442" i="3"/>
  <c r="L3481" i="3"/>
  <c r="L3529" i="3"/>
  <c r="L3568" i="3"/>
  <c r="L3600" i="3"/>
  <c r="L3638" i="3"/>
  <c r="L3405" i="3"/>
  <c r="L3445" i="3"/>
  <c r="L3491" i="3"/>
  <c r="L3530" i="3"/>
  <c r="L3569" i="3"/>
  <c r="L3608" i="3"/>
  <c r="L3639" i="3"/>
  <c r="L3406" i="3"/>
  <c r="L3455" i="3"/>
  <c r="L3492" i="3"/>
  <c r="L3531" i="3"/>
  <c r="L3578" i="3"/>
  <c r="L3609" i="3"/>
  <c r="L3640" i="3"/>
  <c r="L3417" i="3"/>
  <c r="L3456" i="3"/>
  <c r="L3495" i="3"/>
  <c r="L3541" i="3"/>
  <c r="L3579" i="3"/>
  <c r="L3610" i="3"/>
  <c r="L3648" i="3"/>
  <c r="L3374" i="3"/>
  <c r="L3418" i="3"/>
  <c r="L3457" i="3"/>
  <c r="L3505" i="3"/>
  <c r="L3542" i="3"/>
  <c r="L3580" i="3"/>
  <c r="L3618" i="3"/>
  <c r="L3649" i="3"/>
  <c r="N3465" i="3" a="1"/>
  <c r="N3465" i="3" s="1"/>
  <c r="N3424" i="3" a="1"/>
  <c r="N3424" i="3" s="1"/>
  <c r="N3040" i="3" a="1"/>
  <c r="N3040" i="3" s="1"/>
  <c r="N3754" i="3" a="1"/>
  <c r="N3754" i="3" s="1"/>
  <c r="N3725" i="3" a="1"/>
  <c r="N3725" i="3" s="1"/>
  <c r="N3763" i="3" a="1"/>
  <c r="N3763" i="3" s="1"/>
  <c r="N3700" i="3" a="1"/>
  <c r="N3700" i="3" s="1"/>
  <c r="N3711" i="3" a="1"/>
  <c r="N3711" i="3" s="1"/>
  <c r="N3730" i="3" a="1"/>
  <c r="N3730" i="3" s="1"/>
  <c r="N3744" i="3" a="1"/>
  <c r="N3744" i="3" s="1"/>
  <c r="N3734" i="3" a="1"/>
  <c r="N3734" i="3" s="1"/>
  <c r="N3674" i="3" a="1"/>
  <c r="N3674" i="3" s="1"/>
  <c r="N3740" i="3" a="1"/>
  <c r="N3740" i="3" s="1"/>
  <c r="N3761" i="3" a="1"/>
  <c r="N3761" i="3" s="1"/>
  <c r="N3654" i="3" a="1"/>
  <c r="N3654" i="3" s="1"/>
  <c r="N3691" i="3" a="1"/>
  <c r="N3691" i="3" s="1"/>
  <c r="N3706" i="3" a="1"/>
  <c r="N3706" i="3" s="1"/>
  <c r="N3027" i="3" a="1"/>
  <c r="N3027" i="3" s="1"/>
  <c r="N3021" i="3" a="1"/>
  <c r="N3021" i="3" s="1"/>
  <c r="N3058" i="3" a="1"/>
  <c r="N3058" i="3" s="1"/>
  <c r="N3036" i="3" a="1"/>
  <c r="N3036" i="3" s="1"/>
  <c r="N4009" i="3" a="1"/>
  <c r="N4009" i="3" s="1"/>
  <c r="N4013" i="3" a="1"/>
  <c r="N4013" i="3" s="1"/>
  <c r="N4001" i="3" a="1"/>
  <c r="N4001" i="3" s="1"/>
  <c r="N4141" i="3" a="1"/>
  <c r="N4141" i="3" s="1"/>
  <c r="N4093" i="3" a="1"/>
  <c r="N4093" i="3" s="1"/>
  <c r="N4076" i="3" a="1"/>
  <c r="N4076" i="3" s="1"/>
  <c r="N4121" i="3" a="1"/>
  <c r="N4121" i="3" s="1"/>
  <c r="N4116" i="3" a="1"/>
  <c r="N4116" i="3" s="1"/>
  <c r="N4123" i="3" a="1"/>
  <c r="N4123" i="3" s="1"/>
  <c r="N4072" i="3" a="1"/>
  <c r="N4072" i="3" s="1"/>
  <c r="N4154" i="3" a="1"/>
  <c r="N4154" i="3" s="1"/>
  <c r="N4070" i="3" a="1"/>
  <c r="N4070" i="3" s="1"/>
  <c r="N4086" i="3" a="1"/>
  <c r="N4086" i="3" s="1"/>
  <c r="N4169" i="3" a="1"/>
  <c r="N4169" i="3" s="1"/>
  <c r="N4085" i="3" a="1"/>
  <c r="N4085" i="3" s="1"/>
  <c r="N4011" i="3" a="1"/>
  <c r="N4011" i="3" s="1"/>
  <c r="N3435" i="3" a="1"/>
  <c r="N3435" i="3" s="1"/>
  <c r="N3369" i="3" a="1"/>
  <c r="N3369" i="3" s="1"/>
  <c r="N3377" i="3" a="1"/>
  <c r="N3377" i="3" s="1"/>
  <c r="N3434" i="3" a="1"/>
  <c r="N3434" i="3" s="1"/>
  <c r="N3438" i="3" a="1"/>
  <c r="N3438" i="3" s="1"/>
  <c r="N3439" i="3" a="1"/>
  <c r="N3439" i="3" s="1"/>
  <c r="N3375" i="3" a="1"/>
  <c r="N3375" i="3" s="1"/>
  <c r="N3443" i="3" a="1"/>
  <c r="N3443" i="3" s="1"/>
  <c r="N3054" i="3" a="1"/>
  <c r="N3054" i="3" s="1"/>
  <c r="N3771" i="3" a="1"/>
  <c r="N3771" i="3" s="1"/>
  <c r="N3699" i="3" a="1"/>
  <c r="N3699" i="3" s="1"/>
  <c r="N3670" i="3" a="1"/>
  <c r="N3670" i="3" s="1"/>
  <c r="N3738" i="3" a="1"/>
  <c r="N3738" i="3" s="1"/>
  <c r="N3671" i="3" a="1"/>
  <c r="N3671" i="3" s="1"/>
  <c r="N3689" i="3" a="1"/>
  <c r="N3689" i="3" s="1"/>
  <c r="N3710" i="3" a="1"/>
  <c r="N3710" i="3" s="1"/>
  <c r="N3727" i="3" a="1"/>
  <c r="N3727" i="3" s="1"/>
  <c r="N3723" i="3" a="1"/>
  <c r="N3723" i="3" s="1"/>
  <c r="N3664" i="3" a="1"/>
  <c r="N3664" i="3" s="1"/>
  <c r="N3729" i="3" a="1"/>
  <c r="N3729" i="3" s="1"/>
  <c r="N3750" i="3" a="1"/>
  <c r="N3750" i="3" s="1"/>
  <c r="N3680" i="3" a="1"/>
  <c r="N3680" i="3" s="1"/>
  <c r="N3696" i="3" a="1"/>
  <c r="N3696" i="3" s="1"/>
  <c r="N3042" i="3" a="1"/>
  <c r="N3042" i="3" s="1"/>
  <c r="N3011" i="3" a="1"/>
  <c r="N3011" i="3" s="1"/>
  <c r="N3048" i="3" a="1"/>
  <c r="N3048" i="3" s="1"/>
  <c r="N1842" i="1" a="1"/>
  <c r="N1842" i="1" s="1"/>
  <c r="N1875" i="1" a="1"/>
  <c r="N1875" i="1" s="1"/>
  <c r="N1846" i="1" a="1"/>
  <c r="N1846" i="1" s="1"/>
  <c r="N1848" i="3" a="1"/>
  <c r="N1848" i="3" s="1"/>
  <c r="N1861" i="3" a="1"/>
  <c r="N1861" i="3" s="1"/>
  <c r="N1836" i="3" a="1"/>
  <c r="N1836" i="3" s="1"/>
  <c r="N1859" i="3" a="1"/>
  <c r="N1859" i="3" s="1"/>
  <c r="N1872" i="3" a="1"/>
  <c r="N1872" i="3" s="1"/>
  <c r="N1204" i="3" a="1"/>
  <c r="N1204" i="3" s="1"/>
  <c r="N1200" i="3" a="1"/>
  <c r="N1200" i="3" s="1"/>
  <c r="N1257" i="3" a="1"/>
  <c r="N1257" i="3" s="1"/>
  <c r="N1171" i="3" a="1"/>
  <c r="N1171" i="3" s="1"/>
  <c r="N1173" i="3" a="1"/>
  <c r="N1173" i="3" s="1"/>
  <c r="N1192" i="3" a="1"/>
  <c r="N1192" i="3" s="1"/>
  <c r="N1210" i="3" a="1"/>
  <c r="N1210" i="3" s="1"/>
  <c r="N1223" i="3" a="1"/>
  <c r="N1223" i="3" s="1"/>
  <c r="N167" i="3" a="1"/>
  <c r="N167" i="3" s="1"/>
  <c r="N56" i="3" a="1"/>
  <c r="N56" i="3" s="1"/>
  <c r="N39" i="3" a="1"/>
  <c r="N39" i="3" s="1"/>
  <c r="N102" i="3" a="1"/>
  <c r="N102" i="3" s="1"/>
  <c r="N57" i="3" a="1"/>
  <c r="N57" i="3" s="1"/>
  <c r="N112" i="3" a="1"/>
  <c r="N112" i="3" s="1"/>
  <c r="N135" i="3" a="1"/>
  <c r="N135" i="3" s="1"/>
  <c r="M2990" i="3"/>
  <c r="N2990" i="3" s="1" a="1"/>
  <c r="N2990" i="3" s="1"/>
  <c r="N3000" i="3" a="1"/>
  <c r="N3000" i="3" s="1"/>
  <c r="N3014" i="3" a="1"/>
  <c r="N3014" i="3" s="1"/>
  <c r="N3029" i="3" a="1"/>
  <c r="N3029" i="3" s="1"/>
  <c r="N3043" i="3" a="1"/>
  <c r="N3043" i="3" s="1"/>
  <c r="N3057" i="3" a="1"/>
  <c r="N3057" i="3" s="1"/>
  <c r="N3002" i="3" a="1"/>
  <c r="N3002" i="3" s="1"/>
  <c r="N3015" i="3" a="1"/>
  <c r="N3015" i="3" s="1"/>
  <c r="N3030" i="3" a="1"/>
  <c r="N3030" i="3" s="1"/>
  <c r="N3044" i="3" a="1"/>
  <c r="N3044" i="3" s="1"/>
  <c r="N3059" i="3" a="1"/>
  <c r="N3059" i="3" s="1"/>
  <c r="N3003" i="3" a="1"/>
  <c r="N3003" i="3" s="1"/>
  <c r="N3017" i="3" a="1"/>
  <c r="N3017" i="3" s="1"/>
  <c r="N3032" i="3" a="1"/>
  <c r="N3032" i="3" s="1"/>
  <c r="N3045" i="3" a="1"/>
  <c r="N3045" i="3" s="1"/>
  <c r="N3060" i="3" a="1"/>
  <c r="N3060" i="3" s="1"/>
  <c r="N3004" i="3" a="1"/>
  <c r="N3004" i="3" s="1"/>
  <c r="N3019" i="3" a="1"/>
  <c r="N3019" i="3" s="1"/>
  <c r="N3033" i="3" a="1"/>
  <c r="N3033" i="3" s="1"/>
  <c r="N3047" i="3" a="1"/>
  <c r="N3047" i="3" s="1"/>
  <c r="N3062" i="3" a="1"/>
  <c r="N3062" i="3" s="1"/>
  <c r="N2993" i="3" a="1"/>
  <c r="N2993" i="3" s="1"/>
  <c r="N3005" i="3" a="1"/>
  <c r="N3005" i="3" s="1"/>
  <c r="N3020" i="3" a="1"/>
  <c r="N3020" i="3" s="1"/>
  <c r="N3034" i="3" a="1"/>
  <c r="N3034" i="3" s="1"/>
  <c r="N3049" i="3" a="1"/>
  <c r="N3049" i="3" s="1"/>
  <c r="N3063" i="3" a="1"/>
  <c r="N3063" i="3" s="1"/>
  <c r="N2994" i="3" a="1"/>
  <c r="N2994" i="3" s="1"/>
  <c r="N3007" i="3" a="1"/>
  <c r="N3007" i="3" s="1"/>
  <c r="N3022" i="3" a="1"/>
  <c r="N3022" i="3" s="1"/>
  <c r="N3035" i="3" a="1"/>
  <c r="N3035" i="3" s="1"/>
  <c r="N3050" i="3" a="1"/>
  <c r="N3050" i="3" s="1"/>
  <c r="N3064" i="3" a="1"/>
  <c r="N3064" i="3" s="1"/>
  <c r="N2995" i="3" a="1"/>
  <c r="N2995" i="3" s="1"/>
  <c r="N3009" i="3" a="1"/>
  <c r="N3009" i="3" s="1"/>
  <c r="N3023" i="3" a="1"/>
  <c r="N3023" i="3" s="1"/>
  <c r="N3037" i="3" a="1"/>
  <c r="N3037" i="3" s="1"/>
  <c r="N3052" i="3" a="1"/>
  <c r="N3052" i="3" s="1"/>
  <c r="N2991" i="3" a="1"/>
  <c r="N2991" i="3" s="1"/>
  <c r="N3010" i="3" a="1"/>
  <c r="N3010" i="3" s="1"/>
  <c r="N3024" i="3" a="1"/>
  <c r="N3024" i="3" s="1"/>
  <c r="N3039" i="3" a="1"/>
  <c r="N3039" i="3" s="1"/>
  <c r="N3053" i="3" a="1"/>
  <c r="N3053" i="3" s="1"/>
  <c r="N4126" i="3" a="1"/>
  <c r="N4126" i="3" s="1"/>
  <c r="N4080" i="3" a="1"/>
  <c r="N4080" i="3" s="1"/>
  <c r="N4063" i="3" a="1"/>
  <c r="N4063" i="3" s="1"/>
  <c r="N4105" i="3" a="1"/>
  <c r="N4105" i="3" s="1"/>
  <c r="N4101" i="3" a="1"/>
  <c r="N4101" i="3" s="1"/>
  <c r="N4146" i="3" a="1"/>
  <c r="N4146" i="3" s="1"/>
  <c r="N4099" i="3" a="1"/>
  <c r="N4099" i="3" s="1"/>
  <c r="N4145" i="3" a="1"/>
  <c r="N4145" i="3" s="1"/>
  <c r="N4062" i="3" a="1"/>
  <c r="N4062" i="3" s="1"/>
  <c r="N4078" i="3" a="1"/>
  <c r="N4078" i="3" s="1"/>
  <c r="N4160" i="3" a="1"/>
  <c r="N4160" i="3" s="1"/>
  <c r="N4077" i="3" a="1"/>
  <c r="N4077" i="3" s="1"/>
  <c r="N3365" i="3" a="1"/>
  <c r="N3365" i="3" s="1"/>
  <c r="N3455" i="3" a="1"/>
  <c r="N3455" i="3" s="1"/>
  <c r="N3366" i="3" a="1"/>
  <c r="N3366" i="3" s="1"/>
  <c r="N3422" i="3" a="1"/>
  <c r="N3422" i="3" s="1"/>
  <c r="N3428" i="3" a="1"/>
  <c r="N3428" i="3" s="1"/>
  <c r="N3429" i="3" a="1"/>
  <c r="N3429" i="3" s="1"/>
  <c r="N3397" i="3" a="1"/>
  <c r="N3397" i="3" s="1"/>
  <c r="N3467" i="3" a="1"/>
  <c r="N3467" i="3" s="1"/>
  <c r="N3720" i="3" a="1"/>
  <c r="N3720" i="3" s="1"/>
  <c r="N3719" i="3" a="1"/>
  <c r="N3719" i="3" s="1"/>
  <c r="N3742" i="3" a="1"/>
  <c r="N3742" i="3" s="1"/>
  <c r="N3714" i="3" a="1"/>
  <c r="N3714" i="3" s="1"/>
  <c r="N3759" i="3" a="1"/>
  <c r="N3759" i="3" s="1"/>
  <c r="N3668" i="3" a="1"/>
  <c r="N3668" i="3" s="1"/>
  <c r="N3688" i="3" a="1"/>
  <c r="N3688" i="3" s="1"/>
  <c r="N3709" i="3" a="1"/>
  <c r="N3709" i="3" s="1"/>
  <c r="N3712" i="3" a="1"/>
  <c r="N3712" i="3" s="1"/>
  <c r="N3656" i="3" a="1"/>
  <c r="N3656" i="3" s="1"/>
  <c r="N3718" i="3" a="1"/>
  <c r="N3718" i="3" s="1"/>
  <c r="N3739" i="3" a="1"/>
  <c r="N3739" i="3" s="1"/>
  <c r="N3780" i="3" a="1"/>
  <c r="N3780" i="3" s="1"/>
  <c r="N3669" i="3" a="1"/>
  <c r="N3669" i="3" s="1"/>
  <c r="N3686" i="3" a="1"/>
  <c r="N3686" i="3" s="1"/>
  <c r="N3055" i="3" a="1"/>
  <c r="N3055" i="3" s="1"/>
  <c r="N3001" i="3" a="1"/>
  <c r="N3001" i="3" s="1"/>
  <c r="N3038" i="3" a="1"/>
  <c r="N3038" i="3" s="1"/>
  <c r="N3016" i="3" a="1"/>
  <c r="N3016" i="3" s="1"/>
  <c r="N3721" i="3" a="1"/>
  <c r="N3721" i="3" s="1"/>
  <c r="M3167" i="3"/>
  <c r="N3167" i="3" s="1" a="1"/>
  <c r="N3167" i="3" s="1"/>
  <c r="N3174" i="3" a="1"/>
  <c r="N3174" i="3" s="1"/>
  <c r="N3184" i="3" a="1"/>
  <c r="N3184" i="3" s="1"/>
  <c r="N3194" i="3" a="1"/>
  <c r="N3194" i="3" s="1"/>
  <c r="N3204" i="3" a="1"/>
  <c r="N3204" i="3" s="1"/>
  <c r="N3214" i="3" a="1"/>
  <c r="N3214" i="3" s="1"/>
  <c r="N3224" i="3" a="1"/>
  <c r="N3224" i="3" s="1"/>
  <c r="N3234" i="3" a="1"/>
  <c r="N3234" i="3" s="1"/>
  <c r="N3175" i="3" a="1"/>
  <c r="N3175" i="3" s="1"/>
  <c r="N3185" i="3" a="1"/>
  <c r="N3185" i="3" s="1"/>
  <c r="N3195" i="3" a="1"/>
  <c r="N3195" i="3" s="1"/>
  <c r="N3205" i="3" a="1"/>
  <c r="N3205" i="3" s="1"/>
  <c r="N3215" i="3" a="1"/>
  <c r="N3215" i="3" s="1"/>
  <c r="N3225" i="3" a="1"/>
  <c r="N3225" i="3" s="1"/>
  <c r="N3235" i="3" a="1"/>
  <c r="N3235" i="3" s="1"/>
  <c r="N3177" i="3" a="1"/>
  <c r="N3177" i="3" s="1"/>
  <c r="N3168" i="3" a="1"/>
  <c r="N3168" i="3" s="1"/>
  <c r="N3178" i="3" a="1"/>
  <c r="N3178" i="3" s="1"/>
  <c r="N3188" i="3" a="1"/>
  <c r="N3188" i="3" s="1"/>
  <c r="N3198" i="3" a="1"/>
  <c r="N3198" i="3" s="1"/>
  <c r="N3208" i="3" a="1"/>
  <c r="N3208" i="3" s="1"/>
  <c r="N3218" i="3" a="1"/>
  <c r="N3218" i="3" s="1"/>
  <c r="N3228" i="3" a="1"/>
  <c r="N3228" i="3" s="1"/>
  <c r="N3238" i="3" a="1"/>
  <c r="N3238" i="3" s="1"/>
  <c r="N3176" i="3" a="1"/>
  <c r="N3176" i="3" s="1"/>
  <c r="N3197" i="3" a="1"/>
  <c r="N3197" i="3" s="1"/>
  <c r="N3169" i="3" a="1"/>
  <c r="N3169" i="3" s="1"/>
  <c r="N3179" i="3" a="1"/>
  <c r="N3179" i="3" s="1"/>
  <c r="N3189" i="3" a="1"/>
  <c r="N3189" i="3" s="1"/>
  <c r="N3199" i="3" a="1"/>
  <c r="N3199" i="3" s="1"/>
  <c r="N3209" i="3" a="1"/>
  <c r="N3209" i="3" s="1"/>
  <c r="N3219" i="3" a="1"/>
  <c r="N3219" i="3" s="1"/>
  <c r="N3229" i="3" a="1"/>
  <c r="N3229" i="3" s="1"/>
  <c r="N3239" i="3" a="1"/>
  <c r="N3239" i="3" s="1"/>
  <c r="N3186" i="3" a="1"/>
  <c r="N3186" i="3" s="1"/>
  <c r="N3237" i="3" a="1"/>
  <c r="N3237" i="3" s="1"/>
  <c r="N3170" i="3" a="1"/>
  <c r="N3170" i="3" s="1"/>
  <c r="N3180" i="3" a="1"/>
  <c r="N3180" i="3" s="1"/>
  <c r="N3190" i="3" a="1"/>
  <c r="N3190" i="3" s="1"/>
  <c r="N3200" i="3" a="1"/>
  <c r="N3200" i="3" s="1"/>
  <c r="N3210" i="3" a="1"/>
  <c r="N3210" i="3" s="1"/>
  <c r="N3220" i="3" a="1"/>
  <c r="N3220" i="3" s="1"/>
  <c r="N3230" i="3" a="1"/>
  <c r="N3230" i="3" s="1"/>
  <c r="N3240" i="3" a="1"/>
  <c r="N3240" i="3" s="1"/>
  <c r="N3216" i="3" a="1"/>
  <c r="N3216" i="3" s="1"/>
  <c r="N3227" i="3" a="1"/>
  <c r="N3227" i="3" s="1"/>
  <c r="N3171" i="3" a="1"/>
  <c r="N3171" i="3" s="1"/>
  <c r="N3181" i="3" a="1"/>
  <c r="N3181" i="3" s="1"/>
  <c r="N3191" i="3" a="1"/>
  <c r="N3191" i="3" s="1"/>
  <c r="N3201" i="3" a="1"/>
  <c r="N3201" i="3" s="1"/>
  <c r="N3211" i="3" a="1"/>
  <c r="N3211" i="3" s="1"/>
  <c r="N3221" i="3" a="1"/>
  <c r="N3221" i="3" s="1"/>
  <c r="N3231" i="3" a="1"/>
  <c r="N3231" i="3" s="1"/>
  <c r="N3241" i="3" a="1"/>
  <c r="N3241" i="3" s="1"/>
  <c r="N3196" i="3" a="1"/>
  <c r="N3196" i="3" s="1"/>
  <c r="N3236" i="3" a="1"/>
  <c r="N3236" i="3" s="1"/>
  <c r="N3187" i="3" a="1"/>
  <c r="N3187" i="3" s="1"/>
  <c r="N3172" i="3" a="1"/>
  <c r="N3172" i="3" s="1"/>
  <c r="N3182" i="3" a="1"/>
  <c r="N3182" i="3" s="1"/>
  <c r="N3192" i="3" a="1"/>
  <c r="N3192" i="3" s="1"/>
  <c r="N3202" i="3" a="1"/>
  <c r="N3202" i="3" s="1"/>
  <c r="N3212" i="3" a="1"/>
  <c r="N3212" i="3" s="1"/>
  <c r="N3222" i="3" a="1"/>
  <c r="N3222" i="3" s="1"/>
  <c r="N3232" i="3" a="1"/>
  <c r="N3232" i="3" s="1"/>
  <c r="N3242" i="3" a="1"/>
  <c r="N3242" i="3" s="1"/>
  <c r="N3206" i="3" a="1"/>
  <c r="N3206" i="3" s="1"/>
  <c r="N3217" i="3" a="1"/>
  <c r="N3217" i="3" s="1"/>
  <c r="N3173" i="3" a="1"/>
  <c r="N3173" i="3" s="1"/>
  <c r="N3183" i="3" a="1"/>
  <c r="N3183" i="3" s="1"/>
  <c r="N3193" i="3" a="1"/>
  <c r="N3193" i="3" s="1"/>
  <c r="N3203" i="3" a="1"/>
  <c r="N3203" i="3" s="1"/>
  <c r="N3213" i="3" a="1"/>
  <c r="N3213" i="3" s="1"/>
  <c r="N3223" i="3" a="1"/>
  <c r="N3223" i="3" s="1"/>
  <c r="N3233" i="3" a="1"/>
  <c r="N3233" i="3" s="1"/>
  <c r="N3243" i="3" a="1"/>
  <c r="N3243" i="3" s="1"/>
  <c r="N3226" i="3" a="1"/>
  <c r="N3226" i="3" s="1"/>
  <c r="N3207" i="3" a="1"/>
  <c r="N3207" i="3" s="1"/>
  <c r="L1793" i="3"/>
  <c r="L1840" i="3"/>
  <c r="L1876" i="3"/>
  <c r="L1811" i="3"/>
  <c r="L1861" i="3"/>
  <c r="L1966" i="3"/>
  <c r="L1923" i="3"/>
  <c r="L1961" i="3"/>
  <c r="L2141" i="3"/>
  <c r="L1829" i="3"/>
  <c r="L1903" i="3"/>
  <c r="L2099" i="3"/>
  <c r="L1854" i="3"/>
  <c r="L2003" i="3"/>
  <c r="L1940" i="3"/>
  <c r="L2227" i="3"/>
  <c r="L1867" i="3"/>
  <c r="L1986" i="3"/>
  <c r="L1888" i="3"/>
  <c r="L2014" i="3"/>
  <c r="L1788" i="3"/>
  <c r="L1897" i="3"/>
  <c r="L2063" i="3"/>
  <c r="L2081" i="3"/>
  <c r="L1842" i="3"/>
  <c r="L1983" i="3"/>
  <c r="L2159" i="3"/>
  <c r="L2061" i="3"/>
  <c r="L2195" i="3"/>
  <c r="L2169" i="3"/>
  <c r="L2118" i="3"/>
  <c r="L2008" i="3"/>
  <c r="L2120" i="3"/>
  <c r="L2049" i="3"/>
  <c r="L2197" i="3"/>
  <c r="L1865" i="3"/>
  <c r="L1979" i="3"/>
  <c r="L2090" i="3"/>
  <c r="L2192" i="3"/>
  <c r="L2173" i="3"/>
  <c r="L2181" i="3"/>
  <c r="L1957" i="3"/>
  <c r="L2057" i="3"/>
  <c r="L2157" i="3"/>
  <c r="L2198" i="3"/>
  <c r="N37" i="3" a="1"/>
  <c r="N37" i="3" s="1"/>
  <c r="N83" i="3" a="1"/>
  <c r="N83" i="3" s="1"/>
  <c r="N1806" i="3" a="1"/>
  <c r="N1806" i="3" s="1"/>
  <c r="N1791" i="3" a="1"/>
  <c r="N1791" i="3" s="1"/>
  <c r="N2603" i="3" a="1"/>
  <c r="N2603" i="3" s="1"/>
  <c r="N2605" i="3" a="1"/>
  <c r="N2605" i="3" s="1"/>
  <c r="N2647" i="3" a="1"/>
  <c r="N2647" i="3" s="1"/>
  <c r="N2516" i="3" a="1"/>
  <c r="N2516" i="3" s="1"/>
  <c r="N2619" i="3" a="1"/>
  <c r="N2619" i="3" s="1"/>
  <c r="N2483" i="3" a="1"/>
  <c r="N2483" i="3" s="1"/>
  <c r="N2646" i="3" a="1"/>
  <c r="N2646" i="3" s="1"/>
  <c r="N2515" i="3" a="1"/>
  <c r="N2515" i="3" s="1"/>
  <c r="N2573" i="3" a="1"/>
  <c r="N2573" i="3" s="1"/>
  <c r="N2572" i="3" a="1"/>
  <c r="N2572" i="3" s="1"/>
  <c r="N2598" i="3" a="1"/>
  <c r="N2598" i="3" s="1"/>
  <c r="N2579" i="3" a="1"/>
  <c r="N2579" i="3" s="1"/>
  <c r="N2451" i="3" a="1"/>
  <c r="N2451" i="3" s="1"/>
  <c r="N2525" i="3" a="1"/>
  <c r="N2525" i="3" s="1"/>
  <c r="N2581" i="3" a="1"/>
  <c r="N2581" i="3" s="1"/>
  <c r="N2459" i="3" a="1"/>
  <c r="N2459" i="3" s="1"/>
  <c r="N2571" i="3" a="1"/>
  <c r="N2571" i="3" s="1"/>
  <c r="N2471" i="3" a="1"/>
  <c r="N2471" i="3" s="1"/>
  <c r="N2623" i="3" a="1"/>
  <c r="N2623" i="3" s="1"/>
  <c r="N2631" i="3" a="1"/>
  <c r="N2631" i="3" s="1"/>
  <c r="N2638" i="3" a="1"/>
  <c r="N2638" i="3" s="1"/>
  <c r="N2506" i="3" a="1"/>
  <c r="N2506" i="3" s="1"/>
  <c r="N2611" i="3" a="1"/>
  <c r="N2611" i="3" s="1"/>
  <c r="N2457" i="3" a="1"/>
  <c r="N2457" i="3" s="1"/>
  <c r="N2627" i="3" a="1"/>
  <c r="N2627" i="3" s="1"/>
  <c r="N2505" i="3" a="1"/>
  <c r="N2505" i="3" s="1"/>
  <c r="N2563" i="3" a="1"/>
  <c r="N2563" i="3" s="1"/>
  <c r="N2562" i="3" a="1"/>
  <c r="N2562" i="3" s="1"/>
  <c r="N2580" i="3" a="1"/>
  <c r="N2580" i="3" s="1"/>
  <c r="N2570" i="3" a="1"/>
  <c r="N2570" i="3" s="1"/>
  <c r="N2502" i="3" a="1"/>
  <c r="N2502" i="3" s="1"/>
  <c r="N2517" i="3" a="1"/>
  <c r="N2517" i="3" s="1"/>
  <c r="N2556" i="3" a="1"/>
  <c r="N2556" i="3" s="1"/>
  <c r="N2472" i="3" a="1"/>
  <c r="N2472" i="3" s="1"/>
  <c r="N2565" i="3" a="1"/>
  <c r="N2565" i="3" s="1"/>
  <c r="N2463" i="3" a="1"/>
  <c r="N2463" i="3" s="1"/>
  <c r="N2561" i="3" a="1"/>
  <c r="N2561" i="3" s="1"/>
  <c r="N2495" i="3" a="1"/>
  <c r="N2495" i="3" s="1"/>
  <c r="N2510" i="3" a="1"/>
  <c r="N2510" i="3" s="1"/>
  <c r="N2540" i="3" a="1"/>
  <c r="N2540" i="3" s="1"/>
  <c r="N2464" i="3" a="1"/>
  <c r="N2464" i="3" s="1"/>
  <c r="N2557" i="3" a="1"/>
  <c r="N2557" i="3" s="1"/>
  <c r="N2455" i="3" a="1"/>
  <c r="N2455" i="3" s="1"/>
  <c r="M1780" i="3"/>
  <c r="N1780" i="3" s="1" a="1"/>
  <c r="N1780" i="3" s="1"/>
  <c r="N1881" i="3" a="1"/>
  <c r="N1881" i="3" s="1"/>
  <c r="N2475" i="3" a="1"/>
  <c r="N2475" i="3" s="1"/>
  <c r="N2620" i="3" a="1"/>
  <c r="N2620" i="3" s="1"/>
  <c r="N2458" i="3" a="1"/>
  <c r="N2458" i="3" s="1"/>
  <c r="N2592" i="3" a="1"/>
  <c r="N2592" i="3" s="1"/>
  <c r="N2591" i="3" a="1"/>
  <c r="N2591" i="3" s="1"/>
  <c r="N2482" i="3" a="1"/>
  <c r="N2482" i="3" s="1"/>
  <c r="N2644" i="3" a="1"/>
  <c r="N2644" i="3" s="1"/>
  <c r="N2544" i="3" a="1"/>
  <c r="N2544" i="3" s="1"/>
  <c r="N2543" i="3" a="1"/>
  <c r="N2543" i="3" s="1"/>
  <c r="N2531" i="3" a="1"/>
  <c r="N2531" i="3" s="1"/>
  <c r="N2551" i="3" a="1"/>
  <c r="N2551" i="3" s="1"/>
  <c r="N2487" i="3" a="1"/>
  <c r="N2487" i="3" s="1"/>
  <c r="N2494" i="3" a="1"/>
  <c r="N2494" i="3" s="1"/>
  <c r="N2533" i="3" a="1"/>
  <c r="N2533" i="3" s="1"/>
  <c r="N2456" i="3" a="1"/>
  <c r="N2456" i="3" s="1"/>
  <c r="N2550" i="3" a="1"/>
  <c r="N2550" i="3" s="1"/>
  <c r="K2448" i="3"/>
  <c r="L2448" i="3" s="1"/>
  <c r="L2451" i="3"/>
  <c r="L2461" i="3"/>
  <c r="L2471" i="3"/>
  <c r="L2481" i="3"/>
  <c r="L2491" i="3"/>
  <c r="L2501" i="3"/>
  <c r="L2511" i="3"/>
  <c r="L2521" i="3"/>
  <c r="L2531" i="3"/>
  <c r="L2452" i="3"/>
  <c r="L2463" i="3"/>
  <c r="L2474" i="3"/>
  <c r="L2485" i="3"/>
  <c r="L2496" i="3"/>
  <c r="L2507" i="3"/>
  <c r="L2518" i="3"/>
  <c r="L2529" i="3"/>
  <c r="L2540" i="3"/>
  <c r="L2550" i="3"/>
  <c r="L2560" i="3"/>
  <c r="L2570" i="3"/>
  <c r="L2580" i="3"/>
  <c r="L2590" i="3"/>
  <c r="L2600" i="3"/>
  <c r="L2610" i="3"/>
  <c r="L2620" i="3"/>
  <c r="L2630" i="3"/>
  <c r="L2453" i="3"/>
  <c r="L2465" i="3"/>
  <c r="L2477" i="3"/>
  <c r="L2489" i="3"/>
  <c r="L2502" i="3"/>
  <c r="L2514" i="3"/>
  <c r="L2526" i="3"/>
  <c r="L2538" i="3"/>
  <c r="L2549" i="3"/>
  <c r="L2561" i="3"/>
  <c r="L2572" i="3"/>
  <c r="L2583" i="3"/>
  <c r="L2594" i="3"/>
  <c r="L2605" i="3"/>
  <c r="L2616" i="3"/>
  <c r="L2627" i="3"/>
  <c r="L2638" i="3"/>
  <c r="L2648" i="3"/>
  <c r="L2658" i="3"/>
  <c r="L2668" i="3"/>
  <c r="L2678" i="3"/>
  <c r="L2688" i="3"/>
  <c r="L2698" i="3"/>
  <c r="L2708" i="3"/>
  <c r="L2718" i="3"/>
  <c r="L2728" i="3"/>
  <c r="L2738" i="3"/>
  <c r="L2748" i="3"/>
  <c r="L2758" i="3"/>
  <c r="L2768" i="3"/>
  <c r="L2778" i="3"/>
  <c r="L2788" i="3"/>
  <c r="L2798" i="3"/>
  <c r="L2808" i="3"/>
  <c r="L2818" i="3"/>
  <c r="L2828" i="3"/>
  <c r="L2838" i="3"/>
  <c r="L2848" i="3"/>
  <c r="L2858" i="3"/>
  <c r="L2868" i="3"/>
  <c r="L2878" i="3"/>
  <c r="L2888" i="3"/>
  <c r="L2898" i="3"/>
  <c r="L2908" i="3"/>
  <c r="L2918" i="3"/>
  <c r="L2928" i="3"/>
  <c r="L2938" i="3"/>
  <c r="L2948" i="3"/>
  <c r="L2958" i="3"/>
  <c r="L2968" i="3"/>
  <c r="L2978" i="3"/>
  <c r="L2988" i="3"/>
  <c r="L2454" i="3"/>
  <c r="L2466" i="3"/>
  <c r="L2478" i="3"/>
  <c r="L2490" i="3"/>
  <c r="L2503" i="3"/>
  <c r="L2515" i="3"/>
  <c r="L2527" i="3"/>
  <c r="L2539" i="3"/>
  <c r="L2551" i="3"/>
  <c r="L2562" i="3"/>
  <c r="L2573" i="3"/>
  <c r="L2584" i="3"/>
  <c r="L2595" i="3"/>
  <c r="L2606" i="3"/>
  <c r="L2617" i="3"/>
  <c r="L2628" i="3"/>
  <c r="L2639" i="3"/>
  <c r="L2649" i="3"/>
  <c r="L2659" i="3"/>
  <c r="L2669" i="3"/>
  <c r="L2679" i="3"/>
  <c r="L2689" i="3"/>
  <c r="L2699" i="3"/>
  <c r="L2709" i="3"/>
  <c r="L2719" i="3"/>
  <c r="L2729" i="3"/>
  <c r="L2739" i="3"/>
  <c r="L2749" i="3"/>
  <c r="L2759" i="3"/>
  <c r="L2769" i="3"/>
  <c r="L2779" i="3"/>
  <c r="L2789" i="3"/>
  <c r="L2799" i="3"/>
  <c r="L2809" i="3"/>
  <c r="L2819" i="3"/>
  <c r="L2829" i="3"/>
  <c r="L2839" i="3"/>
  <c r="L2849" i="3"/>
  <c r="L2859" i="3"/>
  <c r="L2869" i="3"/>
  <c r="L2879" i="3"/>
  <c r="L2889" i="3"/>
  <c r="L2455" i="3"/>
  <c r="L2467" i="3"/>
  <c r="L2479" i="3"/>
  <c r="L2492" i="3"/>
  <c r="L2504" i="3"/>
  <c r="L2516" i="3"/>
  <c r="L2528" i="3"/>
  <c r="L2541" i="3"/>
  <c r="L2552" i="3"/>
  <c r="L2563" i="3"/>
  <c r="L2574" i="3"/>
  <c r="L2585" i="3"/>
  <c r="L2596" i="3"/>
  <c r="L2607" i="3"/>
  <c r="L2618" i="3"/>
  <c r="L2629" i="3"/>
  <c r="L2640" i="3"/>
  <c r="L2650" i="3"/>
  <c r="L2660" i="3"/>
  <c r="L2670" i="3"/>
  <c r="L2680" i="3"/>
  <c r="L2690" i="3"/>
  <c r="L2700" i="3"/>
  <c r="L2710" i="3"/>
  <c r="L2720" i="3"/>
  <c r="L2730" i="3"/>
  <c r="L2450" i="3"/>
  <c r="L2470" i="3"/>
  <c r="L2487" i="3"/>
  <c r="L2506" i="3"/>
  <c r="L2523" i="3"/>
  <c r="L2542" i="3"/>
  <c r="L2556" i="3"/>
  <c r="L2571" i="3"/>
  <c r="L2588" i="3"/>
  <c r="L2603" i="3"/>
  <c r="L2621" i="3"/>
  <c r="L2635" i="3"/>
  <c r="L2651" i="3"/>
  <c r="L2664" i="3"/>
  <c r="L2677" i="3"/>
  <c r="L2693" i="3"/>
  <c r="L2706" i="3"/>
  <c r="L2722" i="3"/>
  <c r="L2735" i="3"/>
  <c r="L2747" i="3"/>
  <c r="L2761" i="3"/>
  <c r="L2773" i="3"/>
  <c r="L2785" i="3"/>
  <c r="L2797" i="3"/>
  <c r="L2811" i="3"/>
  <c r="L2823" i="3"/>
  <c r="L2835" i="3"/>
  <c r="L2847" i="3"/>
  <c r="L2861" i="3"/>
  <c r="L2873" i="3"/>
  <c r="L2885" i="3"/>
  <c r="L2897" i="3"/>
  <c r="L2909" i="3"/>
  <c r="L2920" i="3"/>
  <c r="L2931" i="3"/>
  <c r="L2942" i="3"/>
  <c r="L2953" i="3"/>
  <c r="L2964" i="3"/>
  <c r="L2975" i="3"/>
  <c r="L2986" i="3"/>
  <c r="L2456" i="3"/>
  <c r="L2472" i="3"/>
  <c r="L2488" i="3"/>
  <c r="L2508" i="3"/>
  <c r="L2524" i="3"/>
  <c r="L2543" i="3"/>
  <c r="L2557" i="3"/>
  <c r="L2575" i="3"/>
  <c r="L2589" i="3"/>
  <c r="L2604" i="3"/>
  <c r="L2622" i="3"/>
  <c r="L2636" i="3"/>
  <c r="L2652" i="3"/>
  <c r="L2665" i="3"/>
  <c r="L2681" i="3"/>
  <c r="L2694" i="3"/>
  <c r="L2707" i="3"/>
  <c r="L2723" i="3"/>
  <c r="L2736" i="3"/>
  <c r="L2750" i="3"/>
  <c r="L2762" i="3"/>
  <c r="L2774" i="3"/>
  <c r="L2786" i="3"/>
  <c r="L2800" i="3"/>
  <c r="L2812" i="3"/>
  <c r="L2824" i="3"/>
  <c r="L2836" i="3"/>
  <c r="L2850" i="3"/>
  <c r="L2862" i="3"/>
  <c r="L2874" i="3"/>
  <c r="L2886" i="3"/>
  <c r="L2899" i="3"/>
  <c r="L2910" i="3"/>
  <c r="L2921" i="3"/>
  <c r="L2932" i="3"/>
  <c r="L2943" i="3"/>
  <c r="L2954" i="3"/>
  <c r="L2965" i="3"/>
  <c r="L2976" i="3"/>
  <c r="L2987" i="3"/>
  <c r="L2457" i="3"/>
  <c r="L2473" i="3"/>
  <c r="L2493" i="3"/>
  <c r="L2509" i="3"/>
  <c r="L2525" i="3"/>
  <c r="L2544" i="3"/>
  <c r="L2558" i="3"/>
  <c r="L2576" i="3"/>
  <c r="L2591" i="3"/>
  <c r="L2608" i="3"/>
  <c r="L2623" i="3"/>
  <c r="L2637" i="3"/>
  <c r="L2653" i="3"/>
  <c r="L2666" i="3"/>
  <c r="L2682" i="3"/>
  <c r="L2695" i="3"/>
  <c r="L2711" i="3"/>
  <c r="L2724" i="3"/>
  <c r="L2737" i="3"/>
  <c r="L2751" i="3"/>
  <c r="L2763" i="3"/>
  <c r="L2775" i="3"/>
  <c r="L2787" i="3"/>
  <c r="L2801" i="3"/>
  <c r="L2813" i="3"/>
  <c r="L2825" i="3"/>
  <c r="L2837" i="3"/>
  <c r="L2851" i="3"/>
  <c r="L2863" i="3"/>
  <c r="L2875" i="3"/>
  <c r="L2887" i="3"/>
  <c r="L2900" i="3"/>
  <c r="L2911" i="3"/>
  <c r="L2922" i="3"/>
  <c r="L2933" i="3"/>
  <c r="L2944" i="3"/>
  <c r="L2955" i="3"/>
  <c r="L2966" i="3"/>
  <c r="L2977" i="3"/>
  <c r="L2989" i="3"/>
  <c r="L2458" i="3"/>
  <c r="L2475" i="3"/>
  <c r="L2494" i="3"/>
  <c r="L2510" i="3"/>
  <c r="L2530" i="3"/>
  <c r="L2545" i="3"/>
  <c r="L2559" i="3"/>
  <c r="L2577" i="3"/>
  <c r="L2592" i="3"/>
  <c r="L2609" i="3"/>
  <c r="L2624" i="3"/>
  <c r="L2641" i="3"/>
  <c r="L2654" i="3"/>
  <c r="L2667" i="3"/>
  <c r="L2683" i="3"/>
  <c r="L2696" i="3"/>
  <c r="L2712" i="3"/>
  <c r="L2725" i="3"/>
  <c r="L2740" i="3"/>
  <c r="L2752" i="3"/>
  <c r="L2764" i="3"/>
  <c r="L2776" i="3"/>
  <c r="L2790" i="3"/>
  <c r="L2802" i="3"/>
  <c r="L2814" i="3"/>
  <c r="L2826" i="3"/>
  <c r="L2840" i="3"/>
  <c r="L2852" i="3"/>
  <c r="L2864" i="3"/>
  <c r="L2876" i="3"/>
  <c r="L2890" i="3"/>
  <c r="L2901" i="3"/>
  <c r="L2912" i="3"/>
  <c r="L2923" i="3"/>
  <c r="L2934" i="3"/>
  <c r="L2945" i="3"/>
  <c r="L2956" i="3"/>
  <c r="L2967" i="3"/>
  <c r="L2979" i="3"/>
  <c r="L2459" i="3"/>
  <c r="L2476" i="3"/>
  <c r="L2495" i="3"/>
  <c r="L2512" i="3"/>
  <c r="L2532" i="3"/>
  <c r="L2546" i="3"/>
  <c r="L2564" i="3"/>
  <c r="L2578" i="3"/>
  <c r="L2593" i="3"/>
  <c r="L2611" i="3"/>
  <c r="L2625" i="3"/>
  <c r="L2642" i="3"/>
  <c r="L2655" i="3"/>
  <c r="L2671" i="3"/>
  <c r="L2684" i="3"/>
  <c r="L2697" i="3"/>
  <c r="L2713" i="3"/>
  <c r="L2726" i="3"/>
  <c r="L2741" i="3"/>
  <c r="L2753" i="3"/>
  <c r="L2765" i="3"/>
  <c r="L2777" i="3"/>
  <c r="L2791" i="3"/>
  <c r="L2803" i="3"/>
  <c r="L2815" i="3"/>
  <c r="L2827" i="3"/>
  <c r="L2841" i="3"/>
  <c r="L2853" i="3"/>
  <c r="L2865" i="3"/>
  <c r="L2877" i="3"/>
  <c r="L2891" i="3"/>
  <c r="L2902" i="3"/>
  <c r="L2913" i="3"/>
  <c r="L2924" i="3"/>
  <c r="L2935" i="3"/>
  <c r="L2946" i="3"/>
  <c r="L2957" i="3"/>
  <c r="L2969" i="3"/>
  <c r="L2980" i="3"/>
  <c r="L2460" i="3"/>
  <c r="L2480" i="3"/>
  <c r="L2497" i="3"/>
  <c r="L2513" i="3"/>
  <c r="L2533" i="3"/>
  <c r="L2547" i="3"/>
  <c r="L2565" i="3"/>
  <c r="L2579" i="3"/>
  <c r="L2597" i="3"/>
  <c r="L2612" i="3"/>
  <c r="L2626" i="3"/>
  <c r="L2643" i="3"/>
  <c r="L2656" i="3"/>
  <c r="L2672" i="3"/>
  <c r="L2685" i="3"/>
  <c r="L2701" i="3"/>
  <c r="L2714" i="3"/>
  <c r="L2727" i="3"/>
  <c r="L2742" i="3"/>
  <c r="L2754" i="3"/>
  <c r="L2766" i="3"/>
  <c r="L2780" i="3"/>
  <c r="L2792" i="3"/>
  <c r="L2804" i="3"/>
  <c r="L2816" i="3"/>
  <c r="L2830" i="3"/>
  <c r="L2842" i="3"/>
  <c r="L2854" i="3"/>
  <c r="L2866" i="3"/>
  <c r="L2880" i="3"/>
  <c r="L2892" i="3"/>
  <c r="L2903" i="3"/>
  <c r="L2914" i="3"/>
  <c r="L2925" i="3"/>
  <c r="L2936" i="3"/>
  <c r="L2947" i="3"/>
  <c r="L2959" i="3"/>
  <c r="L2970" i="3"/>
  <c r="L2981" i="3"/>
  <c r="L2462" i="3"/>
  <c r="L2482" i="3"/>
  <c r="L2498" i="3"/>
  <c r="L2517" i="3"/>
  <c r="L2534" i="3"/>
  <c r="L2548" i="3"/>
  <c r="L2566" i="3"/>
  <c r="L2581" i="3"/>
  <c r="L2598" i="3"/>
  <c r="L2613" i="3"/>
  <c r="L2631" i="3"/>
  <c r="L2644" i="3"/>
  <c r="L2657" i="3"/>
  <c r="L2673" i="3"/>
  <c r="L2686" i="3"/>
  <c r="L2702" i="3"/>
  <c r="L2715" i="3"/>
  <c r="L2731" i="3"/>
  <c r="L2743" i="3"/>
  <c r="L2755" i="3"/>
  <c r="L2767" i="3"/>
  <c r="L2781" i="3"/>
  <c r="L2793" i="3"/>
  <c r="L2805" i="3"/>
  <c r="L2817" i="3"/>
  <c r="L2831" i="3"/>
  <c r="L2843" i="3"/>
  <c r="L2855" i="3"/>
  <c r="L2867" i="3"/>
  <c r="L2881" i="3"/>
  <c r="L2893" i="3"/>
  <c r="L2904" i="3"/>
  <c r="L2915" i="3"/>
  <c r="L2926" i="3"/>
  <c r="L2937" i="3"/>
  <c r="L2949" i="3"/>
  <c r="L2960" i="3"/>
  <c r="L2971" i="3"/>
  <c r="L2982" i="3"/>
  <c r="L2464" i="3"/>
  <c r="L2483" i="3"/>
  <c r="L2499" i="3"/>
  <c r="L2519" i="3"/>
  <c r="L2535" i="3"/>
  <c r="L2553" i="3"/>
  <c r="L2567" i="3"/>
  <c r="L2582" i="3"/>
  <c r="L2599" i="3"/>
  <c r="L2614" i="3"/>
  <c r="L2632" i="3"/>
  <c r="L2645" i="3"/>
  <c r="L2661" i="3"/>
  <c r="L2674" i="3"/>
  <c r="L2687" i="3"/>
  <c r="L2703" i="3"/>
  <c r="L2716" i="3"/>
  <c r="L2732" i="3"/>
  <c r="L2744" i="3"/>
  <c r="L2756" i="3"/>
  <c r="L2770" i="3"/>
  <c r="L2782" i="3"/>
  <c r="L2794" i="3"/>
  <c r="L2806" i="3"/>
  <c r="L2820" i="3"/>
  <c r="L2832" i="3"/>
  <c r="L2844" i="3"/>
  <c r="L2856" i="3"/>
  <c r="L2870" i="3"/>
  <c r="L2882" i="3"/>
  <c r="L2894" i="3"/>
  <c r="L2905" i="3"/>
  <c r="L2916" i="3"/>
  <c r="L2927" i="3"/>
  <c r="L2939" i="3"/>
  <c r="L2950" i="3"/>
  <c r="L2961" i="3"/>
  <c r="L2972" i="3"/>
  <c r="L2983" i="3"/>
  <c r="L2468" i="3"/>
  <c r="L2484" i="3"/>
  <c r="L2500" i="3"/>
  <c r="L2520" i="3"/>
  <c r="L2536" i="3"/>
  <c r="L2554" i="3"/>
  <c r="L2568" i="3"/>
  <c r="L2586" i="3"/>
  <c r="L2601" i="3"/>
  <c r="L2615" i="3"/>
  <c r="L2633" i="3"/>
  <c r="L2646" i="3"/>
  <c r="L2662" i="3"/>
  <c r="L2675" i="3"/>
  <c r="L2691" i="3"/>
  <c r="L2704" i="3"/>
  <c r="L2717" i="3"/>
  <c r="L2733" i="3"/>
  <c r="L2745" i="3"/>
  <c r="L2757" i="3"/>
  <c r="L2771" i="3"/>
  <c r="L2783" i="3"/>
  <c r="L2795" i="3"/>
  <c r="L2807" i="3"/>
  <c r="L2821" i="3"/>
  <c r="L2833" i="3"/>
  <c r="L2845" i="3"/>
  <c r="L2857" i="3"/>
  <c r="L2871" i="3"/>
  <c r="L2883" i="3"/>
  <c r="L2895" i="3"/>
  <c r="L2906" i="3"/>
  <c r="L2917" i="3"/>
  <c r="L2929" i="3"/>
  <c r="L2940" i="3"/>
  <c r="L2951" i="3"/>
  <c r="L2962" i="3"/>
  <c r="L2973" i="3"/>
  <c r="L2984" i="3"/>
  <c r="L2449" i="3"/>
  <c r="L2469" i="3"/>
  <c r="L2486" i="3"/>
  <c r="L2505" i="3"/>
  <c r="L2522" i="3"/>
  <c r="L2537" i="3"/>
  <c r="L2555" i="3"/>
  <c r="L2569" i="3"/>
  <c r="L2587" i="3"/>
  <c r="L2602" i="3"/>
  <c r="L2619" i="3"/>
  <c r="L2634" i="3"/>
  <c r="L2647" i="3"/>
  <c r="L2663" i="3"/>
  <c r="L2676" i="3"/>
  <c r="L2692" i="3"/>
  <c r="L2705" i="3"/>
  <c r="L2721" i="3"/>
  <c r="L2734" i="3"/>
  <c r="L2746" i="3"/>
  <c r="L2760" i="3"/>
  <c r="L2772" i="3"/>
  <c r="L2784" i="3"/>
  <c r="L2796" i="3"/>
  <c r="L2810" i="3"/>
  <c r="L2822" i="3"/>
  <c r="L2834" i="3"/>
  <c r="L2846" i="3"/>
  <c r="L2860" i="3"/>
  <c r="L2872" i="3"/>
  <c r="L2884" i="3"/>
  <c r="L2896" i="3"/>
  <c r="L2907" i="3"/>
  <c r="L2919" i="3"/>
  <c r="L2930" i="3"/>
  <c r="L2941" i="3"/>
  <c r="L2952" i="3"/>
  <c r="L2963" i="3"/>
  <c r="L2974" i="3"/>
  <c r="L2985" i="3"/>
  <c r="N1815" i="3" a="1"/>
  <c r="N1815" i="3" s="1"/>
  <c r="N2518" i="3" a="1"/>
  <c r="N2518" i="3" s="1"/>
  <c r="N2602" i="3" a="1"/>
  <c r="N2602" i="3" s="1"/>
  <c r="N2575" i="3" a="1"/>
  <c r="N2575" i="3" s="1"/>
  <c r="N2583" i="3" a="1"/>
  <c r="N2583" i="3" s="1"/>
  <c r="N2470" i="3" a="1"/>
  <c r="N2470" i="3" s="1"/>
  <c r="N2635" i="3" a="1"/>
  <c r="N2635" i="3" s="1"/>
  <c r="N2534" i="3" a="1"/>
  <c r="N2534" i="3" s="1"/>
  <c r="N2532" i="3" a="1"/>
  <c r="N2532" i="3" s="1"/>
  <c r="N2522" i="3" a="1"/>
  <c r="N2522" i="3" s="1"/>
  <c r="N2641" i="3" a="1"/>
  <c r="N2641" i="3" s="1"/>
  <c r="N2539" i="3" a="1"/>
  <c r="N2539" i="3" s="1"/>
  <c r="N2478" i="3" a="1"/>
  <c r="N2478" i="3" s="1"/>
  <c r="N2486" i="3" a="1"/>
  <c r="N2486" i="3" s="1"/>
  <c r="N2645" i="3" a="1"/>
  <c r="N2645" i="3" s="1"/>
  <c r="N2524" i="3" a="1"/>
  <c r="N2524" i="3" s="1"/>
  <c r="N2643" i="3" a="1"/>
  <c r="N2643" i="3" s="1"/>
  <c r="N2542" i="3" a="1"/>
  <c r="N2542" i="3" s="1"/>
  <c r="N2585" i="3" a="1"/>
  <c r="N2585" i="3" s="1"/>
  <c r="N2519" i="3" a="1"/>
  <c r="N2519" i="3" s="1"/>
  <c r="N2497" i="3" a="1"/>
  <c r="N2497" i="3" s="1"/>
  <c r="N1832" i="3" a="1"/>
  <c r="N1832" i="3" s="1"/>
  <c r="N1802" i="3" a="1"/>
  <c r="N1802" i="3" s="1"/>
  <c r="N1787" i="3" a="1"/>
  <c r="N1787" i="3" s="1"/>
  <c r="N2508" i="3" a="1"/>
  <c r="N2508" i="3" s="1"/>
  <c r="N2548" i="3" a="1"/>
  <c r="N2548" i="3" s="1"/>
  <c r="N2593" i="3" a="1"/>
  <c r="N2593" i="3" s="1"/>
  <c r="N2555" i="3" a="1"/>
  <c r="N2555" i="3" s="1"/>
  <c r="N2574" i="3" a="1"/>
  <c r="N2574" i="3" s="1"/>
  <c r="N2454" i="3" a="1"/>
  <c r="N2454" i="3" s="1"/>
  <c r="N2618" i="3" a="1"/>
  <c r="N2618" i="3" s="1"/>
  <c r="N2523" i="3" a="1"/>
  <c r="N2523" i="3" s="1"/>
  <c r="N2634" i="3" a="1"/>
  <c r="N2634" i="3" s="1"/>
  <c r="N2503" i="3" a="1"/>
  <c r="N2503" i="3" s="1"/>
  <c r="N2512" i="3" a="1"/>
  <c r="N2512" i="3" s="1"/>
  <c r="N2633" i="3" a="1"/>
  <c r="N2633" i="3" s="1"/>
  <c r="N2530" i="3" a="1"/>
  <c r="N2530" i="3" s="1"/>
  <c r="N2469" i="3" a="1"/>
  <c r="N2469" i="3" s="1"/>
  <c r="N2477" i="3" a="1"/>
  <c r="N2477" i="3" s="1"/>
  <c r="N2637" i="3" a="1"/>
  <c r="N2637" i="3" s="1"/>
  <c r="N2509" i="3" a="1"/>
  <c r="N2509" i="3" s="1"/>
  <c r="N2636" i="3" a="1"/>
  <c r="N2636" i="3" s="1"/>
  <c r="N2521" i="3" a="1"/>
  <c r="N2521" i="3" s="1"/>
  <c r="N2614" i="3" a="1"/>
  <c r="N2614" i="3" s="1"/>
  <c r="N2558" i="3" a="1"/>
  <c r="N2558" i="3" s="1"/>
  <c r="N2488" i="3" a="1"/>
  <c r="N2488" i="3" s="1"/>
  <c r="N2528" i="3" a="1"/>
  <c r="N2528" i="3" s="1"/>
  <c r="N2632" i="3" a="1"/>
  <c r="N2632" i="3" s="1"/>
  <c r="N2474" i="3" a="1"/>
  <c r="N2474" i="3" s="1"/>
  <c r="N2612" i="3" a="1"/>
  <c r="N2612" i="3" s="1"/>
  <c r="N2584" i="3" a="1"/>
  <c r="N2584" i="3" s="1"/>
  <c r="N2546" i="3" a="1"/>
  <c r="N2546" i="3" s="1"/>
  <c r="N2564" i="3" a="1"/>
  <c r="N2564" i="3" s="1"/>
  <c r="N2609" i="3" a="1"/>
  <c r="N2609" i="3" s="1"/>
  <c r="N2513" i="3" a="1"/>
  <c r="N2513" i="3" s="1"/>
  <c r="N2626" i="3" a="1"/>
  <c r="N2626" i="3" s="1"/>
  <c r="N2490" i="3" a="1"/>
  <c r="N2490" i="3" s="1"/>
  <c r="N2489" i="3" a="1"/>
  <c r="N2489" i="3" s="1"/>
  <c r="N2624" i="3" a="1"/>
  <c r="N2624" i="3" s="1"/>
  <c r="N2520" i="3" a="1"/>
  <c r="N2520" i="3" s="1"/>
  <c r="N2461" i="3" a="1"/>
  <c r="N2461" i="3" s="1"/>
  <c r="N2468" i="3" a="1"/>
  <c r="N2468" i="3" s="1"/>
  <c r="N2628" i="3" a="1"/>
  <c r="N2628" i="3" s="1"/>
  <c r="N2501" i="3" a="1"/>
  <c r="N2501" i="3" s="1"/>
  <c r="N2629" i="3" a="1"/>
  <c r="N2629" i="3" s="1"/>
  <c r="N2514" i="3" a="1"/>
  <c r="N2514" i="3" s="1"/>
  <c r="N2640" i="3" a="1"/>
  <c r="N2640" i="3" s="1"/>
  <c r="N2586" i="3" a="1"/>
  <c r="N2586" i="3" s="1"/>
  <c r="N2527" i="3" a="1"/>
  <c r="N2527" i="3" s="1"/>
  <c r="N2560" i="3" a="1"/>
  <c r="N2560" i="3" s="1"/>
  <c r="N2498" i="3" a="1"/>
  <c r="N2498" i="3" s="1"/>
  <c r="N2511" i="3" a="1"/>
  <c r="N2511" i="3" s="1"/>
  <c r="N2639" i="3" a="1"/>
  <c r="N2639" i="3" s="1"/>
  <c r="N2576" i="3" a="1"/>
  <c r="N2576" i="3" s="1"/>
  <c r="N2536" i="3" a="1"/>
  <c r="N2536" i="3" s="1"/>
  <c r="N2554" i="3" a="1"/>
  <c r="N2554" i="3" s="1"/>
  <c r="N2599" i="3" a="1"/>
  <c r="N2599" i="3" s="1"/>
  <c r="N2504" i="3" a="1"/>
  <c r="N2504" i="3" s="1"/>
  <c r="N2617" i="3" a="1"/>
  <c r="N2617" i="3" s="1"/>
  <c r="N2480" i="3" a="1"/>
  <c r="N2480" i="3" s="1"/>
  <c r="N2642" i="3" a="1"/>
  <c r="N2642" i="3" s="1"/>
  <c r="N2479" i="3" a="1"/>
  <c r="N2479" i="3" s="1"/>
  <c r="N2616" i="3" a="1"/>
  <c r="N2616" i="3" s="1"/>
  <c r="N2499" i="3" a="1"/>
  <c r="N2499" i="3" s="1"/>
  <c r="N2450" i="3" a="1"/>
  <c r="N2450" i="3" s="1"/>
  <c r="N2460" i="3" a="1"/>
  <c r="N2460" i="3" s="1"/>
  <c r="N2613" i="3" a="1"/>
  <c r="N2613" i="3" s="1"/>
  <c r="N2493" i="3" a="1"/>
  <c r="N2493" i="3" s="1"/>
  <c r="N2622" i="3" a="1"/>
  <c r="N2622" i="3" s="1"/>
  <c r="N2507" i="3" a="1"/>
  <c r="N2507" i="3" s="1"/>
  <c r="N2615" i="3" a="1"/>
  <c r="N2615" i="3" s="1"/>
  <c r="N2559" i="3" a="1"/>
  <c r="N2559" i="3" s="1"/>
  <c r="N2594" i="3" a="1"/>
  <c r="N2594" i="3" s="1"/>
  <c r="N2529" i="3" a="1"/>
  <c r="N2529" i="3" s="1"/>
  <c r="L2103" i="3"/>
  <c r="L2076" i="3"/>
  <c r="L2111" i="3"/>
  <c r="L2190" i="3"/>
  <c r="L1992" i="3"/>
  <c r="L2209" i="3"/>
  <c r="L1999" i="3"/>
  <c r="L2044" i="3"/>
  <c r="L2115" i="3"/>
  <c r="L2021" i="3"/>
  <c r="L2154" i="3"/>
  <c r="L2124" i="3"/>
  <c r="L2106" i="3"/>
  <c r="L2231" i="3"/>
  <c r="L2093" i="3"/>
  <c r="L2023" i="3"/>
  <c r="L2161" i="3"/>
  <c r="L1953" i="3"/>
  <c r="L2068" i="3"/>
  <c r="L2176" i="3"/>
  <c r="L2156" i="3"/>
  <c r="L2160" i="3"/>
  <c r="L1937" i="3"/>
  <c r="L2037" i="3"/>
  <c r="L2137" i="3"/>
  <c r="L2178" i="3"/>
  <c r="N1785" i="3" a="1"/>
  <c r="N1785" i="3" s="1"/>
  <c r="N2538" i="3" a="1"/>
  <c r="N2538" i="3" s="1"/>
  <c r="N2547" i="3" a="1"/>
  <c r="N2547" i="3" s="1"/>
  <c r="N2462" i="3" a="1"/>
  <c r="N2462" i="3" s="1"/>
  <c r="N2567" i="3" a="1"/>
  <c r="N2567" i="3" s="1"/>
  <c r="N2526" i="3" a="1"/>
  <c r="N2526" i="3" s="1"/>
  <c r="N2545" i="3" a="1"/>
  <c r="N2545" i="3" s="1"/>
  <c r="N2590" i="3" a="1"/>
  <c r="N2590" i="3" s="1"/>
  <c r="N2481" i="3" a="1"/>
  <c r="N2481" i="3" s="1"/>
  <c r="N2608" i="3" a="1"/>
  <c r="N2608" i="3" s="1"/>
  <c r="N2466" i="3" a="1"/>
  <c r="N2466" i="3" s="1"/>
  <c r="N2625" i="3" a="1"/>
  <c r="N2625" i="3" s="1"/>
  <c r="N2606" i="3" a="1"/>
  <c r="N2606" i="3" s="1"/>
  <c r="N2476" i="3" a="1"/>
  <c r="N2476" i="3" s="1"/>
  <c r="N2566" i="3" a="1"/>
  <c r="N2566" i="3" s="1"/>
  <c r="N2449" i="3" a="1"/>
  <c r="N2449" i="3" s="1"/>
  <c r="N2604" i="3" a="1"/>
  <c r="N2604" i="3" s="1"/>
  <c r="N2485" i="3" a="1"/>
  <c r="N2485" i="3" s="1"/>
  <c r="N2600" i="3" a="1"/>
  <c r="N2600" i="3" s="1"/>
  <c r="N2500" i="3" a="1"/>
  <c r="N2500" i="3" s="1"/>
  <c r="N2648" i="3" a="1"/>
  <c r="N2648" i="3" s="1"/>
  <c r="N2587" i="3" a="1"/>
  <c r="N2587" i="3" s="1"/>
  <c r="N2568" i="3" a="1"/>
  <c r="N2568" i="3" s="1"/>
  <c r="N2577" i="3" a="1"/>
  <c r="N2577" i="3" s="1"/>
  <c r="N2537" i="3" a="1"/>
  <c r="N2537" i="3" s="1"/>
  <c r="N2496" i="3" a="1"/>
  <c r="N2496" i="3" s="1"/>
  <c r="N2535" i="3" a="1"/>
  <c r="N2535" i="3" s="1"/>
  <c r="N2582" i="3" a="1"/>
  <c r="N2582" i="3" s="1"/>
  <c r="N2453" i="3" a="1"/>
  <c r="N2453" i="3" s="1"/>
  <c r="N2589" i="3" a="1"/>
  <c r="N2589" i="3" s="1"/>
  <c r="N2452" i="3" a="1"/>
  <c r="N2452" i="3" s="1"/>
  <c r="N2607" i="3" a="1"/>
  <c r="N2607" i="3" s="1"/>
  <c r="N2597" i="3" a="1"/>
  <c r="N2597" i="3" s="1"/>
  <c r="N2465" i="3" a="1"/>
  <c r="N2465" i="3" s="1"/>
  <c r="N2549" i="3" a="1"/>
  <c r="N2549" i="3" s="1"/>
  <c r="N2588" i="3" a="1"/>
  <c r="N2588" i="3" s="1"/>
  <c r="N2467" i="3" a="1"/>
  <c r="N2467" i="3" s="1"/>
  <c r="N2578" i="3" a="1"/>
  <c r="N2578" i="3" s="1"/>
  <c r="N2492" i="3" a="1"/>
  <c r="N2492" i="3" s="1"/>
  <c r="N2621" i="3" a="1"/>
  <c r="N2621" i="3" s="1"/>
  <c r="N2595" i="3" a="1"/>
  <c r="N2595" i="3" s="1"/>
  <c r="N2596" i="3" a="1"/>
  <c r="N2596" i="3" s="1"/>
  <c r="N2484" i="3" a="1"/>
  <c r="N2484" i="3" s="1"/>
  <c r="N1419" i="3" a="1"/>
  <c r="N1419" i="3" s="1"/>
  <c r="N1399" i="3" a="1"/>
  <c r="N1399" i="3" s="1"/>
  <c r="N1455" i="3" a="1"/>
  <c r="N1455" i="3" s="1"/>
  <c r="N931" i="3" a="1"/>
  <c r="N931" i="3" s="1"/>
  <c r="N495" i="3" a="1"/>
  <c r="N495" i="3" s="1"/>
  <c r="N440" i="3" a="1"/>
  <c r="N440" i="3" s="1"/>
  <c r="N64" i="3" a="1"/>
  <c r="N64" i="3" s="1"/>
  <c r="N15" i="3" a="1"/>
  <c r="N15" i="3" s="1"/>
  <c r="N115" i="3" a="1"/>
  <c r="N115" i="3" s="1"/>
  <c r="N126" i="3" a="1"/>
  <c r="N126" i="3" s="1"/>
  <c r="N30" i="3" a="1"/>
  <c r="N30" i="3" s="1"/>
  <c r="N1252" i="3" a="1"/>
  <c r="N1252" i="3" s="1"/>
  <c r="N1190" i="3" a="1"/>
  <c r="N1190" i="3" s="1"/>
  <c r="N1183" i="3" a="1"/>
  <c r="N1183" i="3" s="1"/>
  <c r="N1201" i="3" a="1"/>
  <c r="N1201" i="3" s="1"/>
  <c r="N1172" i="3" a="1"/>
  <c r="N1172" i="3" s="1"/>
  <c r="N1431" i="3" a="1"/>
  <c r="N1431" i="3" s="1"/>
  <c r="N1453" i="3" a="1"/>
  <c r="N1453" i="3" s="1"/>
  <c r="N1475" i="3" a="1"/>
  <c r="N1475" i="3" s="1"/>
  <c r="N161" i="3" a="1"/>
  <c r="N161" i="3" s="1"/>
  <c r="L1971" i="3"/>
  <c r="L1800" i="3"/>
  <c r="N2299" i="3" a="1"/>
  <c r="N2299" i="3" s="1"/>
  <c r="N2271" i="3" a="1"/>
  <c r="N2271" i="3" s="1"/>
  <c r="N1397" i="3" a="1"/>
  <c r="N1397" i="3" s="1"/>
  <c r="N1420" i="3" a="1"/>
  <c r="N1420" i="3" s="1"/>
  <c r="N944" i="3" a="1"/>
  <c r="N944" i="3" s="1"/>
  <c r="N945" i="3" a="1"/>
  <c r="N945" i="3" s="1"/>
  <c r="N896" i="3" a="1"/>
  <c r="N896" i="3" s="1"/>
  <c r="N882" i="3" a="1"/>
  <c r="N882" i="3" s="1"/>
  <c r="N937" i="3" a="1"/>
  <c r="N937" i="3" s="1"/>
  <c r="N887" i="3" a="1"/>
  <c r="N887" i="3" s="1"/>
  <c r="N858" i="3" a="1"/>
  <c r="N858" i="3" s="1"/>
  <c r="N873" i="3" a="1"/>
  <c r="N873" i="3" s="1"/>
  <c r="N502" i="3" a="1"/>
  <c r="N502" i="3" s="1"/>
  <c r="N434" i="3" a="1"/>
  <c r="N434" i="3" s="1"/>
  <c r="N34" i="3" a="1"/>
  <c r="N34" i="3" s="1"/>
  <c r="N124" i="3" a="1"/>
  <c r="N124" i="3" s="1"/>
  <c r="N101" i="3" a="1"/>
  <c r="N101" i="3" s="1"/>
  <c r="N45" i="3" a="1"/>
  <c r="N45" i="3" s="1"/>
  <c r="N145" i="3" a="1"/>
  <c r="N145" i="3" s="1"/>
  <c r="N139" i="3" a="1"/>
  <c r="N139" i="3" s="1"/>
  <c r="N61" i="3" a="1"/>
  <c r="N61" i="3" s="1"/>
  <c r="N77" i="3" a="1"/>
  <c r="N77" i="3" s="1"/>
  <c r="N2319" i="3" a="1"/>
  <c r="N2319" i="3" s="1"/>
  <c r="N1448" i="3" a="1"/>
  <c r="N1448" i="3" s="1"/>
  <c r="N1402" i="3" a="1"/>
  <c r="N1402" i="3" s="1"/>
  <c r="N1417" i="3" a="1"/>
  <c r="N1417" i="3" s="1"/>
  <c r="N904" i="3" a="1"/>
  <c r="N904" i="3" s="1"/>
  <c r="N859" i="3" a="1"/>
  <c r="N859" i="3" s="1"/>
  <c r="N897" i="3" a="1"/>
  <c r="N897" i="3" s="1"/>
  <c r="N895" i="3" a="1"/>
  <c r="N895" i="3" s="1"/>
  <c r="N880" i="3" a="1"/>
  <c r="N880" i="3" s="1"/>
  <c r="N884" i="3" a="1"/>
  <c r="N884" i="3" s="1"/>
  <c r="N928" i="3" a="1"/>
  <c r="N928" i="3" s="1"/>
  <c r="N512" i="3" a="1"/>
  <c r="N512" i="3" s="1"/>
  <c r="N442" i="3" a="1"/>
  <c r="N442" i="3" s="1"/>
  <c r="N49" i="3" a="1"/>
  <c r="N49" i="3" s="1"/>
  <c r="N128" i="3" a="1"/>
  <c r="N128" i="3" s="1"/>
  <c r="N133" i="3" a="1"/>
  <c r="N133" i="3" s="1"/>
  <c r="N55" i="3" a="1"/>
  <c r="N55" i="3" s="1"/>
  <c r="N155" i="3" a="1"/>
  <c r="N155" i="3" s="1"/>
  <c r="N149" i="3" a="1"/>
  <c r="N149" i="3" s="1"/>
  <c r="N32" i="3" a="1"/>
  <c r="N32" i="3" s="1"/>
  <c r="N1406" i="3" a="1"/>
  <c r="N1406" i="3" s="1"/>
  <c r="N1447" i="3" a="1"/>
  <c r="N1447" i="3" s="1"/>
  <c r="N1428" i="3" a="1"/>
  <c r="N1428" i="3" s="1"/>
  <c r="N1470" i="3" a="1"/>
  <c r="N1470" i="3" s="1"/>
  <c r="N1446" i="3" a="1"/>
  <c r="N1446" i="3" s="1"/>
  <c r="N1432" i="3" a="1"/>
  <c r="N1432" i="3" s="1"/>
  <c r="N949" i="3" a="1"/>
  <c r="N949" i="3" s="1"/>
  <c r="N922" i="3" a="1"/>
  <c r="N922" i="3" s="1"/>
  <c r="N932" i="3" a="1"/>
  <c r="N932" i="3" s="1"/>
  <c r="N924" i="3" a="1"/>
  <c r="N924" i="3" s="1"/>
  <c r="N920" i="3" a="1"/>
  <c r="N920" i="3" s="1"/>
  <c r="N948" i="3" a="1"/>
  <c r="N948" i="3" s="1"/>
  <c r="N488" i="3" a="1"/>
  <c r="N488" i="3" s="1"/>
  <c r="N491" i="3" a="1"/>
  <c r="N491" i="3" s="1"/>
  <c r="N431" i="3" a="1"/>
  <c r="N431" i="3" s="1"/>
  <c r="N446" i="3" a="1"/>
  <c r="N446" i="3" s="1"/>
  <c r="N60" i="3" a="1"/>
  <c r="N60" i="3" s="1"/>
  <c r="N166" i="3" a="1"/>
  <c r="N166" i="3" s="1"/>
  <c r="N137" i="3" a="1"/>
  <c r="N137" i="3" s="1"/>
  <c r="N65" i="3" a="1"/>
  <c r="N65" i="3" s="1"/>
  <c r="N165" i="3" a="1"/>
  <c r="N165" i="3" s="1"/>
  <c r="N159" i="3" a="1"/>
  <c r="N159" i="3" s="1"/>
  <c r="N26" i="3" a="1"/>
  <c r="N26" i="3" s="1"/>
  <c r="N1440" i="3" a="1"/>
  <c r="N1440" i="3" s="1"/>
  <c r="N1473" i="3" a="1"/>
  <c r="N1473" i="3" s="1"/>
  <c r="N1389" i="3" a="1"/>
  <c r="N1389" i="3" s="1"/>
  <c r="N1439" i="3" a="1"/>
  <c r="N1439" i="3" s="1"/>
  <c r="N1418" i="3" a="1"/>
  <c r="N1418" i="3" s="1"/>
  <c r="N1443" i="3" a="1"/>
  <c r="N1443" i="3" s="1"/>
  <c r="N1458" i="3" a="1"/>
  <c r="N1458" i="3" s="1"/>
  <c r="N1452" i="3" a="1"/>
  <c r="N1452" i="3" s="1"/>
  <c r="N940" i="3" a="1"/>
  <c r="N940" i="3" s="1"/>
  <c r="N883" i="3" a="1"/>
  <c r="N883" i="3" s="1"/>
  <c r="N860" i="3" a="1"/>
  <c r="N860" i="3" s="1"/>
  <c r="N943" i="3" a="1"/>
  <c r="N943" i="3" s="1"/>
  <c r="N925" i="3" a="1"/>
  <c r="N925" i="3" s="1"/>
  <c r="N527" i="3" a="1"/>
  <c r="N527" i="3" s="1"/>
  <c r="N439" i="3" a="1"/>
  <c r="N439" i="3" s="1"/>
  <c r="N466" i="3" a="1"/>
  <c r="N466" i="3" s="1"/>
  <c r="N71" i="3" a="1"/>
  <c r="N71" i="3" s="1"/>
  <c r="N27" i="3" a="1"/>
  <c r="N27" i="3" s="1"/>
  <c r="N141" i="3" a="1"/>
  <c r="N141" i="3" s="1"/>
  <c r="N75" i="3" a="1"/>
  <c r="N75" i="3" s="1"/>
  <c r="N21" i="3" a="1"/>
  <c r="N21" i="3" s="1"/>
  <c r="N915" i="3" a="1"/>
  <c r="N915" i="3" s="1"/>
  <c r="N906" i="3" a="1"/>
  <c r="N906" i="3" s="1"/>
  <c r="N853" i="3" a="1"/>
  <c r="N853" i="3" s="1"/>
  <c r="N934" i="3" a="1"/>
  <c r="N934" i="3" s="1"/>
  <c r="N443" i="3" a="1"/>
  <c r="N443" i="3" s="1"/>
  <c r="N162" i="3" a="1"/>
  <c r="N162" i="3" s="1"/>
  <c r="N85" i="3" a="1"/>
  <c r="N85" i="3" s="1"/>
  <c r="N7" i="3" a="1"/>
  <c r="N7" i="3" s="1"/>
  <c r="N2318" i="3" a="1"/>
  <c r="N2318" i="3" s="1"/>
  <c r="N1393" i="3" a="1"/>
  <c r="N1393" i="3" s="1"/>
  <c r="N2269" i="3" a="1"/>
  <c r="N2269" i="3" s="1"/>
  <c r="N1489" i="3" a="1"/>
  <c r="N1489" i="3" s="1"/>
  <c r="N1414" i="3" a="1"/>
  <c r="N1414" i="3" s="1"/>
  <c r="N910" i="3" a="1"/>
  <c r="N910" i="3" s="1"/>
  <c r="N864" i="3" a="1"/>
  <c r="N864" i="3" s="1"/>
  <c r="N539" i="3" a="1"/>
  <c r="N539" i="3" s="1"/>
  <c r="N463" i="3" a="1"/>
  <c r="N463" i="3" s="1"/>
  <c r="N492" i="3" a="1"/>
  <c r="N492" i="3" s="1"/>
  <c r="N103" i="3" a="1"/>
  <c r="N103" i="3" s="1"/>
  <c r="N97" i="3" a="1"/>
  <c r="N97" i="3" s="1"/>
  <c r="N42" i="3" a="1"/>
  <c r="N42" i="3" s="1"/>
  <c r="N95" i="3" a="1"/>
  <c r="N95" i="3" s="1"/>
  <c r="N146" i="3" a="1"/>
  <c r="N146" i="3" s="1"/>
  <c r="N2272" i="3" a="1"/>
  <c r="N2272" i="3" s="1"/>
  <c r="N1437" i="3" a="1"/>
  <c r="N1437" i="3" s="1"/>
  <c r="N1487" i="3" a="1"/>
  <c r="N1487" i="3" s="1"/>
  <c r="N1444" i="3" a="1"/>
  <c r="N1444" i="3" s="1"/>
  <c r="N1425" i="3" a="1"/>
  <c r="N1425" i="3" s="1"/>
  <c r="N914" i="3" a="1"/>
  <c r="N914" i="3" s="1"/>
  <c r="N868" i="3" a="1"/>
  <c r="N868" i="3" s="1"/>
  <c r="N497" i="3" a="1"/>
  <c r="N497" i="3" s="1"/>
  <c r="N108" i="3" a="1"/>
  <c r="N108" i="3" s="1"/>
  <c r="N53" i="3" a="1"/>
  <c r="N53" i="3" s="1"/>
  <c r="N5" i="3" a="1"/>
  <c r="N5" i="3" s="1"/>
  <c r="N105" i="3" a="1"/>
  <c r="N105" i="3" s="1"/>
  <c r="N132" i="3" a="1"/>
  <c r="N132" i="3" s="1"/>
  <c r="N2266" i="3" a="1"/>
  <c r="N2266" i="3" s="1"/>
  <c r="N2241" i="3" a="1"/>
  <c r="N2241" i="3" s="1"/>
  <c r="N2261" i="3" a="1"/>
  <c r="N2261" i="3" s="1"/>
  <c r="L851" i="3"/>
  <c r="L841" i="3"/>
  <c r="L831" i="3"/>
  <c r="L821" i="3"/>
  <c r="L811" i="3"/>
  <c r="L801" i="3"/>
  <c r="L791" i="3"/>
  <c r="L781" i="3"/>
  <c r="L771" i="3"/>
  <c r="L761" i="3"/>
  <c r="L751" i="3"/>
  <c r="L843" i="3"/>
  <c r="L832" i="3"/>
  <c r="L817" i="3"/>
  <c r="L806" i="3"/>
  <c r="L795" i="3"/>
  <c r="L780" i="3"/>
  <c r="L769" i="3"/>
  <c r="L758" i="3"/>
  <c r="L754" i="3"/>
  <c r="L747" i="3"/>
  <c r="L737" i="3"/>
  <c r="L727" i="3"/>
  <c r="L717" i="3"/>
  <c r="L707" i="3"/>
  <c r="L697" i="3"/>
  <c r="L687" i="3"/>
  <c r="L677" i="3"/>
  <c r="L667" i="3"/>
  <c r="L657" i="3"/>
  <c r="L647" i="3"/>
  <c r="L637" i="3"/>
  <c r="L627" i="3"/>
  <c r="L617" i="3"/>
  <c r="L607" i="3"/>
  <c r="L597" i="3"/>
  <c r="L587" i="3"/>
  <c r="L577" i="3"/>
  <c r="L567" i="3"/>
  <c r="L557" i="3"/>
  <c r="L547" i="3"/>
  <c r="L537" i="3"/>
  <c r="L527" i="3"/>
  <c r="L517" i="3"/>
  <c r="L507" i="3"/>
  <c r="L497" i="3"/>
  <c r="L487" i="3"/>
  <c r="L477" i="3"/>
  <c r="L467" i="3"/>
  <c r="L457" i="3"/>
  <c r="L447" i="3"/>
  <c r="L437" i="3"/>
  <c r="L427" i="3"/>
  <c r="L850" i="3"/>
  <c r="L839" i="3"/>
  <c r="L828" i="3"/>
  <c r="L824" i="3"/>
  <c r="L813" i="3"/>
  <c r="L802" i="3"/>
  <c r="L787" i="3"/>
  <c r="L776" i="3"/>
  <c r="L765" i="3"/>
  <c r="L750" i="3"/>
  <c r="L740" i="3"/>
  <c r="L730" i="3"/>
  <c r="L720" i="3"/>
  <c r="L710" i="3"/>
  <c r="L700" i="3"/>
  <c r="L690" i="3"/>
  <c r="L680" i="3"/>
  <c r="L670" i="3"/>
  <c r="L660" i="3"/>
  <c r="L650" i="3"/>
  <c r="L640" i="3"/>
  <c r="L630" i="3"/>
  <c r="L620" i="3"/>
  <c r="L610" i="3"/>
  <c r="L600" i="3"/>
  <c r="L590" i="3"/>
  <c r="L580" i="3"/>
  <c r="L570" i="3"/>
  <c r="L560" i="3"/>
  <c r="L550" i="3"/>
  <c r="L540" i="3"/>
  <c r="L530" i="3"/>
  <c r="L520" i="3"/>
  <c r="L510" i="3"/>
  <c r="L500" i="3"/>
  <c r="L490" i="3"/>
  <c r="L480" i="3"/>
  <c r="L470" i="3"/>
  <c r="L460" i="3"/>
  <c r="L450" i="3"/>
  <c r="L846" i="3"/>
  <c r="L835" i="3"/>
  <c r="L820" i="3"/>
  <c r="L809" i="3"/>
  <c r="L798" i="3"/>
  <c r="L794" i="3"/>
  <c r="L783" i="3"/>
  <c r="L772" i="3"/>
  <c r="L757" i="3"/>
  <c r="L743" i="3"/>
  <c r="L733" i="3"/>
  <c r="L723" i="3"/>
  <c r="L713" i="3"/>
  <c r="L703" i="3"/>
  <c r="L693" i="3"/>
  <c r="L683" i="3"/>
  <c r="L673" i="3"/>
  <c r="L663" i="3"/>
  <c r="L653" i="3"/>
  <c r="L643" i="3"/>
  <c r="L633" i="3"/>
  <c r="L623" i="3"/>
  <c r="L613" i="3"/>
  <c r="L603" i="3"/>
  <c r="L593" i="3"/>
  <c r="L583" i="3"/>
  <c r="L573" i="3"/>
  <c r="L563" i="3"/>
  <c r="L553" i="3"/>
  <c r="L543" i="3"/>
  <c r="L533" i="3"/>
  <c r="L523" i="3"/>
  <c r="L513" i="3"/>
  <c r="L503" i="3"/>
  <c r="L493" i="3"/>
  <c r="L483" i="3"/>
  <c r="L473" i="3"/>
  <c r="L463" i="3"/>
  <c r="L453" i="3"/>
  <c r="L443" i="3"/>
  <c r="L433" i="3"/>
  <c r="L849" i="3"/>
  <c r="L845" i="3"/>
  <c r="L830" i="3"/>
  <c r="L819" i="3"/>
  <c r="L808" i="3"/>
  <c r="L804" i="3"/>
  <c r="L793" i="3"/>
  <c r="L782" i="3"/>
  <c r="L767" i="3"/>
  <c r="L756" i="3"/>
  <c r="L742" i="3"/>
  <c r="L732" i="3"/>
  <c r="L722" i="3"/>
  <c r="L712" i="3"/>
  <c r="L702" i="3"/>
  <c r="L692" i="3"/>
  <c r="L682" i="3"/>
  <c r="L672" i="3"/>
  <c r="L662" i="3"/>
  <c r="L652" i="3"/>
  <c r="L642" i="3"/>
  <c r="L632" i="3"/>
  <c r="L622" i="3"/>
  <c r="L612" i="3"/>
  <c r="L602" i="3"/>
  <c r="L592" i="3"/>
  <c r="L582" i="3"/>
  <c r="L825" i="3"/>
  <c r="L812" i="3"/>
  <c r="L788" i="3"/>
  <c r="L775" i="3"/>
  <c r="L739" i="3"/>
  <c r="L734" i="3"/>
  <c r="L728" i="3"/>
  <c r="L689" i="3"/>
  <c r="L684" i="3"/>
  <c r="L678" i="3"/>
  <c r="L639" i="3"/>
  <c r="L634" i="3"/>
  <c r="L628" i="3"/>
  <c r="L589" i="3"/>
  <c r="L584" i="3"/>
  <c r="L578" i="3"/>
  <c r="L568" i="3"/>
  <c r="L554" i="3"/>
  <c r="L539" i="3"/>
  <c r="L525" i="3"/>
  <c r="L511" i="3"/>
  <c r="L496" i="3"/>
  <c r="L482" i="3"/>
  <c r="L468" i="3"/>
  <c r="L454" i="3"/>
  <c r="L829" i="3"/>
  <c r="L816" i="3"/>
  <c r="L792" i="3"/>
  <c r="L779" i="3"/>
  <c r="L755" i="3"/>
  <c r="L726" i="3"/>
  <c r="L721" i="3"/>
  <c r="L715" i="3"/>
  <c r="L676" i="3"/>
  <c r="L671" i="3"/>
  <c r="L665" i="3"/>
  <c r="L626" i="3"/>
  <c r="L621" i="3"/>
  <c r="L615" i="3"/>
  <c r="L576" i="3"/>
  <c r="L566" i="3"/>
  <c r="L552" i="3"/>
  <c r="L538" i="3"/>
  <c r="L524" i="3"/>
  <c r="L509" i="3"/>
  <c r="L495" i="3"/>
  <c r="L481" i="3"/>
  <c r="L466" i="3"/>
  <c r="L452" i="3"/>
  <c r="L430" i="3"/>
  <c r="L837" i="3"/>
  <c r="L800" i="3"/>
  <c r="L763" i="3"/>
  <c r="L745" i="3"/>
  <c r="L833" i="3"/>
  <c r="L815" i="3"/>
  <c r="L807" i="3"/>
  <c r="L797" i="3"/>
  <c r="L789" i="3"/>
  <c r="L753" i="3"/>
  <c r="L714" i="3"/>
  <c r="L679" i="3"/>
  <c r="L658" i="3"/>
  <c r="L624" i="3"/>
  <c r="L616" i="3"/>
  <c r="L609" i="3"/>
  <c r="L556" i="3"/>
  <c r="L551" i="3"/>
  <c r="L545" i="3"/>
  <c r="L515" i="3"/>
  <c r="L485" i="3"/>
  <c r="L479" i="3"/>
  <c r="L474" i="3"/>
  <c r="L444" i="3"/>
  <c r="L438" i="3"/>
  <c r="L428" i="3"/>
  <c r="L848" i="3"/>
  <c r="L786" i="3"/>
  <c r="L768" i="3"/>
  <c r="L735" i="3"/>
  <c r="L719" i="3"/>
  <c r="L691" i="3"/>
  <c r="L656" i="3"/>
  <c r="L649" i="3"/>
  <c r="L635" i="3"/>
  <c r="L601" i="3"/>
  <c r="L594" i="3"/>
  <c r="L586" i="3"/>
  <c r="L561" i="3"/>
  <c r="L555" i="3"/>
  <c r="L549" i="3"/>
  <c r="L519" i="3"/>
  <c r="L489" i="3"/>
  <c r="L484" i="3"/>
  <c r="L478" i="3"/>
  <c r="L448" i="3"/>
  <c r="L426" i="3"/>
  <c r="L847" i="3"/>
  <c r="L803" i="3"/>
  <c r="L785" i="3"/>
  <c r="L777" i="3"/>
  <c r="L759" i="3"/>
  <c r="L711" i="3"/>
  <c r="L704" i="3"/>
  <c r="L669" i="3"/>
  <c r="L655" i="3"/>
  <c r="L648" i="3"/>
  <c r="L614" i="3"/>
  <c r="L579" i="3"/>
  <c r="L572" i="3"/>
  <c r="L542" i="3"/>
  <c r="L536" i="3"/>
  <c r="L531" i="3"/>
  <c r="L501" i="3"/>
  <c r="L471" i="3"/>
  <c r="L465" i="3"/>
  <c r="L459" i="3"/>
  <c r="L436" i="3"/>
  <c r="L431" i="3"/>
  <c r="L834" i="3"/>
  <c r="L822" i="3"/>
  <c r="L784" i="3"/>
  <c r="L694" i="3"/>
  <c r="L674" i="3"/>
  <c r="L664" i="3"/>
  <c r="L644" i="3"/>
  <c r="L604" i="3"/>
  <c r="L565" i="3"/>
  <c r="L548" i="3"/>
  <c r="L498" i="3"/>
  <c r="L472" i="3"/>
  <c r="L464" i="3"/>
  <c r="L455" i="3"/>
  <c r="L424" i="3"/>
  <c r="L796" i="3"/>
  <c r="L746" i="3"/>
  <c r="L724" i="3"/>
  <c r="L574" i="3"/>
  <c r="L522" i="3"/>
  <c r="L514" i="3"/>
  <c r="L505" i="3"/>
  <c r="L488" i="3"/>
  <c r="L844" i="3"/>
  <c r="L818" i="3"/>
  <c r="L805" i="3"/>
  <c r="L744" i="3"/>
  <c r="L709" i="3"/>
  <c r="L701" i="3"/>
  <c r="L651" i="3"/>
  <c r="L631" i="3"/>
  <c r="L611" i="3"/>
  <c r="L591" i="3"/>
  <c r="L581" i="3"/>
  <c r="L571" i="3"/>
  <c r="L564" i="3"/>
  <c r="L521" i="3"/>
  <c r="L504" i="3"/>
  <c r="L486" i="3"/>
  <c r="L469" i="3"/>
  <c r="L461" i="3"/>
  <c r="L842" i="3"/>
  <c r="L766" i="3"/>
  <c r="L731" i="3"/>
  <c r="L699" i="3"/>
  <c r="L659" i="3"/>
  <c r="L619" i="3"/>
  <c r="L599" i="3"/>
  <c r="L562" i="3"/>
  <c r="L528" i="3"/>
  <c r="L494" i="3"/>
  <c r="L476" i="3"/>
  <c r="L435" i="3"/>
  <c r="L827" i="3"/>
  <c r="L790" i="3"/>
  <c r="L778" i="3"/>
  <c r="L741" i="3"/>
  <c r="L718" i="3"/>
  <c r="L708" i="3"/>
  <c r="L698" i="3"/>
  <c r="L688" i="3"/>
  <c r="L668" i="3"/>
  <c r="L629" i="3"/>
  <c r="L598" i="3"/>
  <c r="L518" i="3"/>
  <c r="L502" i="3"/>
  <c r="L451" i="3"/>
  <c r="L442" i="3"/>
  <c r="L840" i="3"/>
  <c r="L764" i="3"/>
  <c r="L752" i="3"/>
  <c r="L729" i="3"/>
  <c r="L716" i="3"/>
  <c r="L696" i="3"/>
  <c r="L638" i="3"/>
  <c r="L618" i="3"/>
  <c r="L608" i="3"/>
  <c r="L588" i="3"/>
  <c r="L569" i="3"/>
  <c r="L544" i="3"/>
  <c r="L535" i="3"/>
  <c r="L526" i="3"/>
  <c r="L475" i="3"/>
  <c r="L458" i="3"/>
  <c r="L441" i="3"/>
  <c r="L434" i="3"/>
  <c r="L836" i="3"/>
  <c r="L823" i="3"/>
  <c r="L810" i="3"/>
  <c r="L799" i="3"/>
  <c r="L773" i="3"/>
  <c r="L760" i="3"/>
  <c r="L736" i="3"/>
  <c r="L654" i="3"/>
  <c r="L645" i="3"/>
  <c r="L595" i="3"/>
  <c r="L575" i="3"/>
  <c r="L558" i="3"/>
  <c r="L541" i="3"/>
  <c r="L532" i="3"/>
  <c r="L506" i="3"/>
  <c r="L446" i="3"/>
  <c r="L439" i="3"/>
  <c r="L432" i="3"/>
  <c r="L705" i="3"/>
  <c r="L636" i="3"/>
  <c r="L605" i="3"/>
  <c r="L516" i="3"/>
  <c r="L774" i="3"/>
  <c r="L738" i="3"/>
  <c r="L666" i="3"/>
  <c r="L512" i="3"/>
  <c r="L456" i="3"/>
  <c r="L429" i="3"/>
  <c r="L814" i="3"/>
  <c r="L425" i="3"/>
  <c r="L770" i="3"/>
  <c r="L695" i="3"/>
  <c r="L661" i="3"/>
  <c r="L596" i="3"/>
  <c r="L508" i="3"/>
  <c r="L449" i="3"/>
  <c r="L725" i="3"/>
  <c r="L625" i="3"/>
  <c r="L559" i="3"/>
  <c r="L534" i="3"/>
  <c r="L762" i="3"/>
  <c r="L686" i="3"/>
  <c r="L529" i="3"/>
  <c r="L499" i="3"/>
  <c r="L445" i="3"/>
  <c r="L838" i="3"/>
  <c r="L685" i="3"/>
  <c r="L585" i="3"/>
  <c r="L749" i="3"/>
  <c r="L681" i="3"/>
  <c r="L646" i="3"/>
  <c r="L440" i="3"/>
  <c r="L748" i="3"/>
  <c r="L675" i="3"/>
  <c r="L492" i="3"/>
  <c r="L826" i="3"/>
  <c r="L706" i="3"/>
  <c r="L641" i="3"/>
  <c r="L606" i="3"/>
  <c r="L546" i="3"/>
  <c r="L491" i="3"/>
  <c r="L462" i="3"/>
  <c r="N76" i="3" a="1"/>
  <c r="N76" i="3" s="1"/>
  <c r="N122" i="3" a="1"/>
  <c r="N122" i="3" s="1"/>
  <c r="N2298" i="3" a="1"/>
  <c r="N2298" i="3" s="1"/>
  <c r="N2252" i="3" a="1"/>
  <c r="N2252" i="3" s="1"/>
  <c r="N2305" i="3" a="1"/>
  <c r="N2305" i="3" s="1"/>
  <c r="N2285" i="3" a="1"/>
  <c r="N2285" i="3" s="1"/>
  <c r="N2310" i="3" a="1"/>
  <c r="N2310" i="3" s="1"/>
  <c r="N2244" i="3" a="1"/>
  <c r="N2244" i="3" s="1"/>
  <c r="N2263" i="3" a="1"/>
  <c r="N2263" i="3" s="1"/>
  <c r="N2246" i="3" a="1"/>
  <c r="N2246" i="3" s="1"/>
  <c r="N2235" i="3" a="1"/>
  <c r="N2235" i="3" s="1"/>
  <c r="N2256" i="3" a="1"/>
  <c r="N2256" i="3" s="1"/>
  <c r="N2309" i="3" a="1"/>
  <c r="N2309" i="3" s="1"/>
  <c r="N2289" i="3" a="1"/>
  <c r="N2289" i="3" s="1"/>
  <c r="N2254" i="3" a="1"/>
  <c r="N2254" i="3" s="1"/>
  <c r="N2257" i="3" a="1"/>
  <c r="N2257" i="3" s="1"/>
  <c r="N1464" i="3" a="1"/>
  <c r="N1464" i="3" s="1"/>
  <c r="N1410" i="3" a="1"/>
  <c r="N1410" i="3" s="1"/>
  <c r="N1390" i="3" a="1"/>
  <c r="N1390" i="3" s="1"/>
  <c r="N1438" i="3" a="1"/>
  <c r="N1438" i="3" s="1"/>
  <c r="N1469" i="3" a="1"/>
  <c r="N1469" i="3" s="1"/>
  <c r="N1465" i="3" a="1"/>
  <c r="N1465" i="3" s="1"/>
  <c r="N1442" i="3" a="1"/>
  <c r="N1442" i="3" s="1"/>
  <c r="N862" i="3" a="1"/>
  <c r="N862" i="3" s="1"/>
  <c r="N942" i="3" a="1"/>
  <c r="N942" i="3" s="1"/>
  <c r="N921" i="3" a="1"/>
  <c r="N921" i="3" s="1"/>
  <c r="N938" i="3" a="1"/>
  <c r="N938" i="3" s="1"/>
  <c r="N511" i="3" a="1"/>
  <c r="N511" i="3" s="1"/>
  <c r="N518" i="3" a="1"/>
  <c r="N518" i="3" s="1"/>
  <c r="N525" i="3" a="1"/>
  <c r="N525" i="3" s="1"/>
  <c r="N521" i="3" a="1"/>
  <c r="N521" i="3" s="1"/>
  <c r="N438" i="3" a="1"/>
  <c r="N438" i="3" s="1"/>
  <c r="N435" i="3" a="1"/>
  <c r="N435" i="3" s="1"/>
  <c r="N456" i="3" a="1"/>
  <c r="N456" i="3" s="1"/>
  <c r="N453" i="3" a="1"/>
  <c r="N453" i="3" s="1"/>
  <c r="N430" i="3" a="1"/>
  <c r="N430" i="3" s="1"/>
  <c r="N530" i="3" a="1"/>
  <c r="N530" i="3" s="1"/>
  <c r="N509" i="3" a="1"/>
  <c r="N509" i="3" s="1"/>
  <c r="N100" i="3" a="1"/>
  <c r="N100" i="3" s="1"/>
  <c r="N6" i="3" a="1"/>
  <c r="N6" i="3" s="1"/>
  <c r="N58" i="3" a="1"/>
  <c r="N58" i="3" s="1"/>
  <c r="N98" i="3" a="1"/>
  <c r="N98" i="3" s="1"/>
  <c r="N168" i="3" a="1"/>
  <c r="N168" i="3" s="1"/>
  <c r="N14" i="3" a="1"/>
  <c r="N14" i="3" s="1"/>
  <c r="N2264" i="3" a="1"/>
  <c r="N2264" i="3" s="1"/>
  <c r="N2295" i="3" a="1"/>
  <c r="N2295" i="3" s="1"/>
  <c r="L1772" i="3"/>
  <c r="L1762" i="3"/>
  <c r="L1768" i="3"/>
  <c r="L1754" i="3"/>
  <c r="L1744" i="3"/>
  <c r="L1734" i="3"/>
  <c r="L1771" i="3"/>
  <c r="L1760" i="3"/>
  <c r="L1750" i="3"/>
  <c r="L1740" i="3"/>
  <c r="L1775" i="3"/>
  <c r="L1770" i="3"/>
  <c r="L1761" i="3"/>
  <c r="L1732" i="3"/>
  <c r="L1722" i="3"/>
  <c r="L1712" i="3"/>
  <c r="L1702" i="3"/>
  <c r="L1692" i="3"/>
  <c r="L1682" i="3"/>
  <c r="L1672" i="3"/>
  <c r="L1662" i="3"/>
  <c r="L1652" i="3"/>
  <c r="L1642" i="3"/>
  <c r="L1632" i="3"/>
  <c r="L1622" i="3"/>
  <c r="L1612" i="3"/>
  <c r="L1602" i="3"/>
  <c r="L1592" i="3"/>
  <c r="L1582" i="3"/>
  <c r="L1572" i="3"/>
  <c r="L1779" i="3"/>
  <c r="L1774" i="3"/>
  <c r="L1765" i="3"/>
  <c r="L1756" i="3"/>
  <c r="L1752" i="3"/>
  <c r="L1748" i="3"/>
  <c r="L1725" i="3"/>
  <c r="L1715" i="3"/>
  <c r="L1705" i="3"/>
  <c r="L1695" i="3"/>
  <c r="L1685" i="3"/>
  <c r="L1675" i="3"/>
  <c r="L1665" i="3"/>
  <c r="L1655" i="3"/>
  <c r="L1645" i="3"/>
  <c r="L1635" i="3"/>
  <c r="L1778" i="3"/>
  <c r="L1753" i="3"/>
  <c r="L1728" i="3"/>
  <c r="L1724" i="3"/>
  <c r="L1720" i="3"/>
  <c r="L1716" i="3"/>
  <c r="L1678" i="3"/>
  <c r="L1674" i="3"/>
  <c r="L1670" i="3"/>
  <c r="L1666" i="3"/>
  <c r="L1629" i="3"/>
  <c r="L1625" i="3"/>
  <c r="L1614" i="3"/>
  <c r="L1603" i="3"/>
  <c r="L1588" i="3"/>
  <c r="L1577" i="3"/>
  <c r="L1566" i="3"/>
  <c r="L1559" i="3"/>
  <c r="L1549" i="3"/>
  <c r="L1539" i="3"/>
  <c r="L1529" i="3"/>
  <c r="L1519" i="3"/>
  <c r="L1509" i="3"/>
  <c r="L1499" i="3"/>
  <c r="L1489" i="3"/>
  <c r="L1479" i="3"/>
  <c r="L1469" i="3"/>
  <c r="L1459" i="3"/>
  <c r="L1449" i="3"/>
  <c r="L1439" i="3"/>
  <c r="L1429" i="3"/>
  <c r="L1419" i="3"/>
  <c r="L1409" i="3"/>
  <c r="L1399" i="3"/>
  <c r="L1389" i="3"/>
  <c r="L1776" i="3"/>
  <c r="L1769" i="3"/>
  <c r="L1763" i="3"/>
  <c r="L1758" i="3"/>
  <c r="L1747" i="3"/>
  <c r="L1742" i="3"/>
  <c r="L1737" i="3"/>
  <c r="L1711" i="3"/>
  <c r="L1707" i="3"/>
  <c r="L1703" i="3"/>
  <c r="L1699" i="3"/>
  <c r="L1661" i="3"/>
  <c r="L1657" i="3"/>
  <c r="L1653" i="3"/>
  <c r="L1649" i="3"/>
  <c r="L1621" i="3"/>
  <c r="L1610" i="3"/>
  <c r="L1599" i="3"/>
  <c r="L1595" i="3"/>
  <c r="L1584" i="3"/>
  <c r="L1573" i="3"/>
  <c r="L1562" i="3"/>
  <c r="L1552" i="3"/>
  <c r="L1542" i="3"/>
  <c r="L1532" i="3"/>
  <c r="L1522" i="3"/>
  <c r="L1512" i="3"/>
  <c r="L1502" i="3"/>
  <c r="L1492" i="3"/>
  <c r="L1482" i="3"/>
  <c r="L1472" i="3"/>
  <c r="L1462" i="3"/>
  <c r="L1452" i="3"/>
  <c r="L1442" i="3"/>
  <c r="L1432" i="3"/>
  <c r="L1422" i="3"/>
  <c r="L1412" i="3"/>
  <c r="L1402" i="3"/>
  <c r="L1392" i="3"/>
  <c r="L1773" i="3"/>
  <c r="L1767" i="3"/>
  <c r="L1751" i="3"/>
  <c r="L1741" i="3"/>
  <c r="L1735" i="3"/>
  <c r="L1718" i="3"/>
  <c r="L1714" i="3"/>
  <c r="L1710" i="3"/>
  <c r="L1706" i="3"/>
  <c r="L1668" i="3"/>
  <c r="L1664" i="3"/>
  <c r="L1660" i="3"/>
  <c r="L1656" i="3"/>
  <c r="L1731" i="3"/>
  <c r="L1701" i="3"/>
  <c r="L1696" i="3"/>
  <c r="L1654" i="3"/>
  <c r="L1623" i="3"/>
  <c r="L1609" i="3"/>
  <c r="L1600" i="3"/>
  <c r="L1586" i="3"/>
  <c r="L1563" i="3"/>
  <c r="L1525" i="3"/>
  <c r="L1521" i="3"/>
  <c r="L1517" i="3"/>
  <c r="L1513" i="3"/>
  <c r="L1475" i="3"/>
  <c r="L1471" i="3"/>
  <c r="L1467" i="3"/>
  <c r="L1463" i="3"/>
  <c r="L1425" i="3"/>
  <c r="L1421" i="3"/>
  <c r="L1417" i="3"/>
  <c r="L1413" i="3"/>
  <c r="L1743" i="3"/>
  <c r="L1736" i="3"/>
  <c r="L1700" i="3"/>
  <c r="L1676" i="3"/>
  <c r="L1658" i="3"/>
  <c r="L1641" i="3"/>
  <c r="L1598" i="3"/>
  <c r="L1575" i="3"/>
  <c r="L1528" i="3"/>
  <c r="L1524" i="3"/>
  <c r="L1520" i="3"/>
  <c r="L1516" i="3"/>
  <c r="L1478" i="3"/>
  <c r="L1474" i="3"/>
  <c r="L1470" i="3"/>
  <c r="L1466" i="3"/>
  <c r="L1428" i="3"/>
  <c r="L1424" i="3"/>
  <c r="L1420" i="3"/>
  <c r="L1416" i="3"/>
  <c r="L1757" i="3"/>
  <c r="L1729" i="3"/>
  <c r="L1698" i="3"/>
  <c r="L1687" i="3"/>
  <c r="L1669" i="3"/>
  <c r="L1663" i="3"/>
  <c r="L1630" i="3"/>
  <c r="L1616" i="3"/>
  <c r="L1607" i="3"/>
  <c r="L1593" i="3"/>
  <c r="L1579" i="3"/>
  <c r="L1570" i="3"/>
  <c r="L1548" i="3"/>
  <c r="L1544" i="3"/>
  <c r="L1540" i="3"/>
  <c r="L1536" i="3"/>
  <c r="L1498" i="3"/>
  <c r="L1494" i="3"/>
  <c r="L1490" i="3"/>
  <c r="L1486" i="3"/>
  <c r="L1448" i="3"/>
  <c r="L1444" i="3"/>
  <c r="L1440" i="3"/>
  <c r="L1436" i="3"/>
  <c r="L1398" i="3"/>
  <c r="L1394" i="3"/>
  <c r="L1390" i="3"/>
  <c r="L1749" i="3"/>
  <c r="L1686" i="3"/>
  <c r="L1679" i="3"/>
  <c r="L1637" i="3"/>
  <c r="L1590" i="3"/>
  <c r="L1583" i="3"/>
  <c r="L1546" i="3"/>
  <c r="L1534" i="3"/>
  <c r="L1510" i="3"/>
  <c r="L1504" i="3"/>
  <c r="L1468" i="3"/>
  <c r="L1433" i="3"/>
  <c r="L1403" i="3"/>
  <c r="L1397" i="3"/>
  <c r="L1391" i="3"/>
  <c r="L1759" i="3"/>
  <c r="L1738" i="3"/>
  <c r="L1694" i="3"/>
  <c r="L1677" i="3"/>
  <c r="L1651" i="3"/>
  <c r="L1636" i="3"/>
  <c r="L1576" i="3"/>
  <c r="L1569" i="3"/>
  <c r="L1557" i="3"/>
  <c r="L1551" i="3"/>
  <c r="L1545" i="3"/>
  <c r="L1527" i="3"/>
  <c r="L1515" i="3"/>
  <c r="L1485" i="3"/>
  <c r="L1480" i="3"/>
  <c r="L1456" i="3"/>
  <c r="L1450" i="3"/>
  <c r="L1438" i="3"/>
  <c r="L1414" i="3"/>
  <c r="L1408" i="3"/>
  <c r="L1688" i="3"/>
  <c r="L1671" i="3"/>
  <c r="L1646" i="3"/>
  <c r="L1638" i="3"/>
  <c r="L1631" i="3"/>
  <c r="L1624" i="3"/>
  <c r="L1618" i="3"/>
  <c r="L1611" i="3"/>
  <c r="L1591" i="3"/>
  <c r="L1585" i="3"/>
  <c r="L1578" i="3"/>
  <c r="L1553" i="3"/>
  <c r="L1547" i="3"/>
  <c r="L1541" i="3"/>
  <c r="L1523" i="3"/>
  <c r="L1511" i="3"/>
  <c r="L1505" i="3"/>
  <c r="L1481" i="3"/>
  <c r="L1476" i="3"/>
  <c r="L1446" i="3"/>
  <c r="L1434" i="3"/>
  <c r="L1410" i="3"/>
  <c r="L1404" i="3"/>
  <c r="L1745" i="3"/>
  <c r="L1693" i="3"/>
  <c r="L1683" i="3"/>
  <c r="L1634" i="3"/>
  <c r="L1626" i="3"/>
  <c r="L1615" i="3"/>
  <c r="L1606" i="3"/>
  <c r="L1597" i="3"/>
  <c r="L1587" i="3"/>
  <c r="L1568" i="3"/>
  <c r="L1560" i="3"/>
  <c r="L1543" i="3"/>
  <c r="L1526" i="3"/>
  <c r="L1508" i="3"/>
  <c r="L1491" i="3"/>
  <c r="L1458" i="3"/>
  <c r="L1441" i="3"/>
  <c r="L1431" i="3"/>
  <c r="L1415" i="3"/>
  <c r="L1777" i="3"/>
  <c r="L1730" i="3"/>
  <c r="L1717" i="3"/>
  <c r="L1681" i="3"/>
  <c r="L1644" i="3"/>
  <c r="L1596" i="3"/>
  <c r="L1550" i="3"/>
  <c r="L1533" i="3"/>
  <c r="L1500" i="3"/>
  <c r="L1483" i="3"/>
  <c r="L1473" i="3"/>
  <c r="L1465" i="3"/>
  <c r="L1457" i="3"/>
  <c r="L1423" i="3"/>
  <c r="L1406" i="3"/>
  <c r="L1727" i="3"/>
  <c r="L1704" i="3"/>
  <c r="L1680" i="3"/>
  <c r="L1667" i="3"/>
  <c r="L1643" i="3"/>
  <c r="L1605" i="3"/>
  <c r="L1567" i="3"/>
  <c r="L1558" i="3"/>
  <c r="L1507" i="3"/>
  <c r="L1455" i="3"/>
  <c r="L1405" i="3"/>
  <c r="L1396" i="3"/>
  <c r="L1388" i="3"/>
  <c r="L1755" i="3"/>
  <c r="L1691" i="3"/>
  <c r="L1633" i="3"/>
  <c r="L1613" i="3"/>
  <c r="L1604" i="3"/>
  <c r="L1594" i="3"/>
  <c r="L1531" i="3"/>
  <c r="L1514" i="3"/>
  <c r="L1497" i="3"/>
  <c r="L1464" i="3"/>
  <c r="L1447" i="3"/>
  <c r="L1430" i="3"/>
  <c r="L1395" i="3"/>
  <c r="L1739" i="3"/>
  <c r="L1726" i="3"/>
  <c r="L1690" i="3"/>
  <c r="L1574" i="3"/>
  <c r="L1565" i="3"/>
  <c r="L1556" i="3"/>
  <c r="L1506" i="3"/>
  <c r="L1713" i="3"/>
  <c r="L1689" i="3"/>
  <c r="L1640" i="3"/>
  <c r="L1620" i="3"/>
  <c r="L1601" i="3"/>
  <c r="L1564" i="3"/>
  <c r="L1555" i="3"/>
  <c r="L1538" i="3"/>
  <c r="L1496" i="3"/>
  <c r="L1488" i="3"/>
  <c r="L1461" i="3"/>
  <c r="L1445" i="3"/>
  <c r="L1411" i="3"/>
  <c r="L1650" i="3"/>
  <c r="L1628" i="3"/>
  <c r="L1530" i="3"/>
  <c r="L1503" i="3"/>
  <c r="L1495" i="3"/>
  <c r="L1487" i="3"/>
  <c r="L1453" i="3"/>
  <c r="L1435" i="3"/>
  <c r="L1427" i="3"/>
  <c r="L1418" i="3"/>
  <c r="L1401" i="3"/>
  <c r="L1766" i="3"/>
  <c r="L1723" i="3"/>
  <c r="L1639" i="3"/>
  <c r="L1581" i="3"/>
  <c r="L1554" i="3"/>
  <c r="L1537" i="3"/>
  <c r="L1477" i="3"/>
  <c r="L1460" i="3"/>
  <c r="L1443" i="3"/>
  <c r="L1426" i="3"/>
  <c r="L1393" i="3"/>
  <c r="L1764" i="3"/>
  <c r="L1721" i="3"/>
  <c r="L1709" i="3"/>
  <c r="L1697" i="3"/>
  <c r="L1684" i="3"/>
  <c r="L1673" i="3"/>
  <c r="L1648" i="3"/>
  <c r="L1627" i="3"/>
  <c r="L1619" i="3"/>
  <c r="L1608" i="3"/>
  <c r="L1589" i="3"/>
  <c r="L1580" i="3"/>
  <c r="L1571" i="3"/>
  <c r="L1561" i="3"/>
  <c r="L1451" i="3"/>
  <c r="L1400" i="3"/>
  <c r="L1746" i="3"/>
  <c r="L1733" i="3"/>
  <c r="L1719" i="3"/>
  <c r="L1708" i="3"/>
  <c r="L1535" i="3"/>
  <c r="L1454" i="3"/>
  <c r="L1407" i="3"/>
  <c r="L1518" i="3"/>
  <c r="L1659" i="3"/>
  <c r="L1501" i="3"/>
  <c r="L1437" i="3"/>
  <c r="L1647" i="3"/>
  <c r="L1493" i="3"/>
  <c r="L1484" i="3"/>
  <c r="L1617" i="3"/>
  <c r="N2297" i="3" a="1"/>
  <c r="N2297" i="3" s="1"/>
  <c r="N2274" i="3" a="1"/>
  <c r="N2274" i="3" s="1"/>
  <c r="N1426" i="3" a="1"/>
  <c r="N1426" i="3" s="1"/>
  <c r="N1456" i="3" a="1"/>
  <c r="N1456" i="3" s="1"/>
  <c r="N1477" i="3" a="1"/>
  <c r="N1477" i="3" s="1"/>
  <c r="N1403" i="3" a="1"/>
  <c r="N1403" i="3" s="1"/>
  <c r="N1396" i="3" a="1"/>
  <c r="N1396" i="3" s="1"/>
  <c r="N1485" i="3" a="1"/>
  <c r="N1485" i="3" s="1"/>
  <c r="N1462" i="3" a="1"/>
  <c r="N1462" i="3" s="1"/>
  <c r="N950" i="3" a="1"/>
  <c r="N950" i="3" s="1"/>
  <c r="N941" i="3" a="1"/>
  <c r="N941" i="3" s="1"/>
  <c r="N936" i="3" a="1"/>
  <c r="N936" i="3" s="1"/>
  <c r="N451" i="3" a="1"/>
  <c r="N451" i="3" s="1"/>
  <c r="N537" i="3" a="1"/>
  <c r="N537" i="3" s="1"/>
  <c r="N532" i="3" a="1"/>
  <c r="N532" i="3" s="1"/>
  <c r="N457" i="3" a="1"/>
  <c r="N457" i="3" s="1"/>
  <c r="N444" i="3" a="1"/>
  <c r="N444" i="3" s="1"/>
  <c r="N476" i="3" a="1"/>
  <c r="N476" i="3" s="1"/>
  <c r="N473" i="3" a="1"/>
  <c r="N473" i="3" s="1"/>
  <c r="N450" i="3" a="1"/>
  <c r="N450" i="3" s="1"/>
  <c r="N535" i="3" a="1"/>
  <c r="N535" i="3" s="1"/>
  <c r="N484" i="3" a="1"/>
  <c r="N484" i="3" s="1"/>
  <c r="N498" i="3" a="1"/>
  <c r="N498" i="3" s="1"/>
  <c r="N143" i="3" a="1"/>
  <c r="N143" i="3" s="1"/>
  <c r="M2" i="3"/>
  <c r="N2" i="3" s="1" a="1"/>
  <c r="N2" i="3" s="1"/>
  <c r="N136" i="3" a="1"/>
  <c r="N136" i="3" s="1"/>
  <c r="N130" i="3" a="1"/>
  <c r="N130" i="3" s="1"/>
  <c r="N10" i="3" a="1"/>
  <c r="N10" i="3" s="1"/>
  <c r="N24" i="3" a="1"/>
  <c r="N24" i="3" s="1"/>
  <c r="N150" i="3" a="1"/>
  <c r="N150" i="3" s="1"/>
  <c r="N19" i="3" a="1"/>
  <c r="N19" i="3" s="1"/>
  <c r="N156" i="3" a="1"/>
  <c r="N156" i="3" s="1"/>
  <c r="N47" i="3" a="1"/>
  <c r="N47" i="3" s="1"/>
  <c r="N70" i="3" a="1"/>
  <c r="N70" i="3" s="1"/>
  <c r="N117" i="3" a="1"/>
  <c r="N117" i="3" s="1"/>
  <c r="N93" i="3" a="1"/>
  <c r="N93" i="3" s="1"/>
  <c r="N69" i="3" a="1"/>
  <c r="N69" i="3" s="1"/>
  <c r="N2290" i="3" a="1"/>
  <c r="N2290" i="3" s="1"/>
  <c r="N2245" i="3" a="1"/>
  <c r="N2245" i="3" s="1"/>
  <c r="N2242" i="3" a="1"/>
  <c r="N2242" i="3" s="1"/>
  <c r="N2239" i="3" a="1"/>
  <c r="N2239" i="3" s="1"/>
  <c r="N2237" i="3" a="1"/>
  <c r="N2237" i="3" s="1"/>
  <c r="N2236" i="3" a="1"/>
  <c r="N2236" i="3" s="1"/>
  <c r="N2247" i="3" a="1"/>
  <c r="N2247" i="3" s="1"/>
  <c r="N2287" i="3" a="1"/>
  <c r="N2287" i="3" s="1"/>
  <c r="N2308" i="3" a="1"/>
  <c r="N2308" i="3" s="1"/>
  <c r="N2311" i="3" a="1"/>
  <c r="N2311" i="3" s="1"/>
  <c r="N2233" i="3" a="1"/>
  <c r="N2233" i="3" s="1"/>
  <c r="N2303" i="3" a="1"/>
  <c r="N2303" i="3" s="1"/>
  <c r="L2441" i="3"/>
  <c r="L2431" i="3"/>
  <c r="L2421" i="3"/>
  <c r="L2411" i="3"/>
  <c r="L2401" i="3"/>
  <c r="L2391" i="3"/>
  <c r="L2381" i="3"/>
  <c r="L2371" i="3"/>
  <c r="L2361" i="3"/>
  <c r="L2351" i="3"/>
  <c r="L2341" i="3"/>
  <c r="L2331" i="3"/>
  <c r="L2321" i="3"/>
  <c r="L2311" i="3"/>
  <c r="L2301" i="3"/>
  <c r="L2291" i="3"/>
  <c r="L2281" i="3"/>
  <c r="L2271" i="3"/>
  <c r="L2261" i="3"/>
  <c r="L2251" i="3"/>
  <c r="L2241" i="3"/>
  <c r="L2444" i="3"/>
  <c r="L2434" i="3"/>
  <c r="L2424" i="3"/>
  <c r="L2414" i="3"/>
  <c r="L2404" i="3"/>
  <c r="L2394" i="3"/>
  <c r="L2384" i="3"/>
  <c r="L2374" i="3"/>
  <c r="L2364" i="3"/>
  <c r="L2354" i="3"/>
  <c r="L2344" i="3"/>
  <c r="L2334" i="3"/>
  <c r="L2324" i="3"/>
  <c r="L2314" i="3"/>
  <c r="L2304" i="3"/>
  <c r="L2294" i="3"/>
  <c r="L2284" i="3"/>
  <c r="L2447" i="3"/>
  <c r="L2437" i="3"/>
  <c r="L2427" i="3"/>
  <c r="L2417" i="3"/>
  <c r="L2407" i="3"/>
  <c r="L2397" i="3"/>
  <c r="L2387" i="3"/>
  <c r="L2377" i="3"/>
  <c r="L2367" i="3"/>
  <c r="L2357" i="3"/>
  <c r="L2347" i="3"/>
  <c r="L2337" i="3"/>
  <c r="L2327" i="3"/>
  <c r="L2438" i="3"/>
  <c r="L2423" i="3"/>
  <c r="L2409" i="3"/>
  <c r="L2395" i="3"/>
  <c r="L2380" i="3"/>
  <c r="L2366" i="3"/>
  <c r="L2352" i="3"/>
  <c r="L2338" i="3"/>
  <c r="L2323" i="3"/>
  <c r="L2319" i="3"/>
  <c r="L2315" i="3"/>
  <c r="L2278" i="3"/>
  <c r="L2274" i="3"/>
  <c r="L2263" i="3"/>
  <c r="L2252" i="3"/>
  <c r="L2237" i="3"/>
  <c r="L2442" i="3"/>
  <c r="L2428" i="3"/>
  <c r="L2413" i="3"/>
  <c r="L2399" i="3"/>
  <c r="L2385" i="3"/>
  <c r="L2370" i="3"/>
  <c r="L2356" i="3"/>
  <c r="L2342" i="3"/>
  <c r="L2328" i="3"/>
  <c r="L2310" i="3"/>
  <c r="L2306" i="3"/>
  <c r="L2302" i="3"/>
  <c r="L2298" i="3"/>
  <c r="L2270" i="3"/>
  <c r="L2259" i="3"/>
  <c r="L2248" i="3"/>
  <c r="L2244" i="3"/>
  <c r="L2233" i="3"/>
  <c r="L2446" i="3"/>
  <c r="L2432" i="3"/>
  <c r="L2418" i="3"/>
  <c r="L2403" i="3"/>
  <c r="L2436" i="3"/>
  <c r="L2422" i="3"/>
  <c r="L2408" i="3"/>
  <c r="L2393" i="3"/>
  <c r="L2379" i="3"/>
  <c r="L2365" i="3"/>
  <c r="L2350" i="3"/>
  <c r="L2336" i="3"/>
  <c r="L2322" i="3"/>
  <c r="L2318" i="3"/>
  <c r="L2273" i="3"/>
  <c r="L2262" i="3"/>
  <c r="L2247" i="3"/>
  <c r="L2236" i="3"/>
  <c r="L2440" i="3"/>
  <c r="L2445" i="3"/>
  <c r="L2430" i="3"/>
  <c r="L2416" i="3"/>
  <c r="L2402" i="3"/>
  <c r="L2388" i="3"/>
  <c r="L2373" i="3"/>
  <c r="L2359" i="3"/>
  <c r="L2345" i="3"/>
  <c r="L2330" i="3"/>
  <c r="L2300" i="3"/>
  <c r="L2296" i="3"/>
  <c r="L2292" i="3"/>
  <c r="L2288" i="3"/>
  <c r="L2276" i="3"/>
  <c r="L2435" i="3"/>
  <c r="L2443" i="3"/>
  <c r="L2400" i="3"/>
  <c r="L2383" i="3"/>
  <c r="L2376" i="3"/>
  <c r="L2368" i="3"/>
  <c r="L2320" i="3"/>
  <c r="L2313" i="3"/>
  <c r="L2286" i="3"/>
  <c r="L2279" i="3"/>
  <c r="L2268" i="3"/>
  <c r="L2257" i="3"/>
  <c r="L2429" i="3"/>
  <c r="L2419" i="3"/>
  <c r="L2375" i="3"/>
  <c r="L2343" i="3"/>
  <c r="L2335" i="3"/>
  <c r="L2299" i="3"/>
  <c r="L2285" i="3"/>
  <c r="L2246" i="3"/>
  <c r="L2439" i="3"/>
  <c r="L2398" i="3"/>
  <c r="L2390" i="3"/>
  <c r="L2382" i="3"/>
  <c r="L2326" i="3"/>
  <c r="L2312" i="3"/>
  <c r="L2305" i="3"/>
  <c r="L2272" i="3"/>
  <c r="L2267" i="3"/>
  <c r="L2240" i="3"/>
  <c r="L2235" i="3"/>
  <c r="L2426" i="3"/>
  <c r="L2406" i="3"/>
  <c r="L2389" i="3"/>
  <c r="L2358" i="3"/>
  <c r="L2349" i="3"/>
  <c r="L2425" i="3"/>
  <c r="L2396" i="3"/>
  <c r="L2340" i="3"/>
  <c r="L2333" i="3"/>
  <c r="L2325" i="3"/>
  <c r="L2317" i="3"/>
  <c r="L2290" i="3"/>
  <c r="L2255" i="3"/>
  <c r="L2245" i="3"/>
  <c r="L2239" i="3"/>
  <c r="L2234" i="3"/>
  <c r="L2415" i="3"/>
  <c r="L2372" i="3"/>
  <c r="L2363" i="3"/>
  <c r="L2332" i="3"/>
  <c r="L2303" i="3"/>
  <c r="L2289" i="3"/>
  <c r="L2265" i="3"/>
  <c r="L2260" i="3"/>
  <c r="L2254" i="3"/>
  <c r="L2405" i="3"/>
  <c r="L2355" i="3"/>
  <c r="L2348" i="3"/>
  <c r="L2339" i="3"/>
  <c r="L2316" i="3"/>
  <c r="L2309" i="3"/>
  <c r="L2282" i="3"/>
  <c r="L2249" i="3"/>
  <c r="L2243" i="3"/>
  <c r="L2412" i="3"/>
  <c r="L2386" i="3"/>
  <c r="L2378" i="3"/>
  <c r="L2346" i="3"/>
  <c r="L2295" i="3"/>
  <c r="L2287" i="3"/>
  <c r="L2275" i="3"/>
  <c r="L2269" i="3"/>
  <c r="L2264" i="3"/>
  <c r="L2238" i="3"/>
  <c r="L2433" i="3"/>
  <c r="L2420" i="3"/>
  <c r="L2369" i="3"/>
  <c r="L2362" i="3"/>
  <c r="L2353" i="3"/>
  <c r="L2308" i="3"/>
  <c r="L2280" i="3"/>
  <c r="L2410" i="3"/>
  <c r="L2392" i="3"/>
  <c r="L2360" i="3"/>
  <c r="L2329" i="3"/>
  <c r="L2307" i="3"/>
  <c r="L2293" i="3"/>
  <c r="L2242" i="3"/>
  <c r="L2256" i="3"/>
  <c r="L2253" i="3"/>
  <c r="L2297" i="3"/>
  <c r="L2250" i="3"/>
  <c r="L2283" i="3"/>
  <c r="L2277" i="3"/>
  <c r="L2266" i="3"/>
  <c r="L2258" i="3"/>
  <c r="N2248" i="3" a="1"/>
  <c r="N2248" i="3" s="1"/>
  <c r="N2307" i="3" a="1"/>
  <c r="N2307" i="3" s="1"/>
  <c r="N2284" i="3" a="1"/>
  <c r="N2284" i="3" s="1"/>
  <c r="N2316" i="3" a="1"/>
  <c r="N2316" i="3" s="1"/>
  <c r="N2275" i="3" a="1"/>
  <c r="N2275" i="3" s="1"/>
  <c r="N1430" i="3" a="1"/>
  <c r="N1430" i="3" s="1"/>
  <c r="N1468" i="3" a="1"/>
  <c r="N1468" i="3" s="1"/>
  <c r="N1491" i="3" a="1"/>
  <c r="N1491" i="3" s="1"/>
  <c r="N1474" i="3" a="1"/>
  <c r="N1474" i="3" s="1"/>
  <c r="N1481" i="3" a="1"/>
  <c r="N1481" i="3" s="1"/>
  <c r="N1407" i="3" a="1"/>
  <c r="N1407" i="3" s="1"/>
  <c r="N1400" i="3" a="1"/>
  <c r="N1400" i="3" s="1"/>
  <c r="N1395" i="3" a="1"/>
  <c r="N1395" i="3" s="1"/>
  <c r="N1472" i="3" a="1"/>
  <c r="N1472" i="3" s="1"/>
  <c r="N1484" i="3" a="1"/>
  <c r="N1484" i="3" s="1"/>
  <c r="N855" i="3" a="1"/>
  <c r="N855" i="3" s="1"/>
  <c r="N933" i="3" a="1"/>
  <c r="N933" i="3" s="1"/>
  <c r="N875" i="3" a="1"/>
  <c r="N875" i="3" s="1"/>
  <c r="N899" i="3" a="1"/>
  <c r="N899" i="3" s="1"/>
  <c r="N939" i="3" a="1"/>
  <c r="N939" i="3" s="1"/>
  <c r="N888" i="3" a="1"/>
  <c r="N888" i="3" s="1"/>
  <c r="N872" i="3" a="1"/>
  <c r="N872" i="3" s="1"/>
  <c r="N462" i="3" a="1"/>
  <c r="N462" i="3" s="1"/>
  <c r="N428" i="3" a="1"/>
  <c r="N428" i="3" s="1"/>
  <c r="N471" i="3" a="1"/>
  <c r="N471" i="3" s="1"/>
  <c r="N458" i="3" a="1"/>
  <c r="N458" i="3" s="1"/>
  <c r="N486" i="3" a="1"/>
  <c r="N486" i="3" s="1"/>
  <c r="N483" i="3" a="1"/>
  <c r="N483" i="3" s="1"/>
  <c r="N460" i="3" a="1"/>
  <c r="N460" i="3" s="1"/>
  <c r="N475" i="3" a="1"/>
  <c r="N475" i="3" s="1"/>
  <c r="N467" i="3" a="1"/>
  <c r="N467" i="3" s="1"/>
  <c r="N489" i="3" a="1"/>
  <c r="N489" i="3" s="1"/>
  <c r="N158" i="3" a="1"/>
  <c r="N158" i="3" s="1"/>
  <c r="N72" i="3" a="1"/>
  <c r="N72" i="3" s="1"/>
  <c r="N123" i="3" a="1"/>
  <c r="N123" i="3" s="1"/>
  <c r="N63" i="3" a="1"/>
  <c r="N63" i="3" s="1"/>
  <c r="N2313" i="3" a="1"/>
  <c r="N2313" i="3" s="1"/>
  <c r="N2283" i="3" a="1"/>
  <c r="N2283" i="3" s="1"/>
  <c r="N2253" i="3" a="1"/>
  <c r="N2253" i="3" s="1"/>
  <c r="N2296" i="3" a="1"/>
  <c r="N2296" i="3" s="1"/>
  <c r="N2243" i="3" a="1"/>
  <c r="N2243" i="3" s="1"/>
  <c r="N2240" i="3" a="1"/>
  <c r="N2240" i="3" s="1"/>
  <c r="N2259" i="3" a="1"/>
  <c r="N2259" i="3" s="1"/>
  <c r="N2317" i="3" a="1"/>
  <c r="N2317" i="3" s="1"/>
  <c r="N2294" i="3" a="1"/>
  <c r="N2294" i="3" s="1"/>
  <c r="N2282" i="3" a="1"/>
  <c r="N2282" i="3" s="1"/>
  <c r="N2238" i="3" a="1"/>
  <c r="N2238" i="3" s="1"/>
  <c r="N2320" i="3" a="1"/>
  <c r="N2320" i="3" s="1"/>
  <c r="N1483" i="3" a="1"/>
  <c r="N1483" i="3" s="1"/>
  <c r="N1413" i="3" a="1"/>
  <c r="N1413" i="3" s="1"/>
  <c r="N1478" i="3" a="1"/>
  <c r="N1478" i="3" s="1"/>
  <c r="N1416" i="3" a="1"/>
  <c r="N1416" i="3" s="1"/>
  <c r="N1480" i="3" a="1"/>
  <c r="N1480" i="3" s="1"/>
  <c r="N1411" i="3" a="1"/>
  <c r="N1411" i="3" s="1"/>
  <c r="N1404" i="3" a="1"/>
  <c r="N1404" i="3" s="1"/>
  <c r="N1405" i="3" a="1"/>
  <c r="N1405" i="3" s="1"/>
  <c r="N1482" i="3" a="1"/>
  <c r="N1482" i="3" s="1"/>
  <c r="N1467" i="3" a="1"/>
  <c r="N1467" i="3" s="1"/>
  <c r="N877" i="3" a="1"/>
  <c r="N877" i="3" s="1"/>
  <c r="N886" i="3" a="1"/>
  <c r="N886" i="3" s="1"/>
  <c r="N903" i="3" a="1"/>
  <c r="N903" i="3" s="1"/>
  <c r="N912" i="3" a="1"/>
  <c r="N912" i="3" s="1"/>
  <c r="N861" i="3" a="1"/>
  <c r="N861" i="3" s="1"/>
  <c r="N857" i="3" a="1"/>
  <c r="N857" i="3" s="1"/>
  <c r="N445" i="3" a="1"/>
  <c r="N445" i="3" s="1"/>
  <c r="N425" i="3" a="1"/>
  <c r="N425" i="3" s="1"/>
  <c r="N485" i="3" a="1"/>
  <c r="N485" i="3" s="1"/>
  <c r="N472" i="3" a="1"/>
  <c r="N472" i="3" s="1"/>
  <c r="N496" i="3" a="1"/>
  <c r="N496" i="3" s="1"/>
  <c r="N493" i="3" a="1"/>
  <c r="N493" i="3" s="1"/>
  <c r="N470" i="3" a="1"/>
  <c r="N470" i="3" s="1"/>
  <c r="N468" i="3" a="1"/>
  <c r="N468" i="3" s="1"/>
  <c r="N481" i="3" a="1"/>
  <c r="N481" i="3" s="1"/>
  <c r="N151" i="3" a="1"/>
  <c r="N151" i="3" s="1"/>
  <c r="N54" i="3" a="1"/>
  <c r="N54" i="3" s="1"/>
  <c r="N111" i="3" a="1"/>
  <c r="N111" i="3" s="1"/>
  <c r="N110" i="3" a="1"/>
  <c r="N110" i="3" s="1"/>
  <c r="N46" i="3" a="1"/>
  <c r="N46" i="3" s="1"/>
  <c r="N2250" i="3" a="1"/>
  <c r="N2250" i="3" s="1"/>
  <c r="N2293" i="3" a="1"/>
  <c r="N2293" i="3" s="1"/>
  <c r="L1165" i="3"/>
  <c r="L1155" i="3"/>
  <c r="L1163" i="3"/>
  <c r="L1152" i="3"/>
  <c r="L1145" i="3"/>
  <c r="L1135" i="3"/>
  <c r="L1125" i="3"/>
  <c r="L1115" i="3"/>
  <c r="L1105" i="3"/>
  <c r="L1095" i="3"/>
  <c r="L1085" i="3"/>
  <c r="L1075" i="3"/>
  <c r="L1065" i="3"/>
  <c r="L1055" i="3"/>
  <c r="L1045" i="3"/>
  <c r="L1035" i="3"/>
  <c r="L1025" i="3"/>
  <c r="L1015" i="3"/>
  <c r="L1005" i="3"/>
  <c r="L995" i="3"/>
  <c r="L985" i="3"/>
  <c r="L975" i="3"/>
  <c r="L965" i="3"/>
  <c r="L955" i="3"/>
  <c r="L945" i="3"/>
  <c r="L935" i="3"/>
  <c r="L925" i="3"/>
  <c r="L915" i="3"/>
  <c r="L905" i="3"/>
  <c r="L895" i="3"/>
  <c r="L1159" i="3"/>
  <c r="L1148" i="3"/>
  <c r="L1138" i="3"/>
  <c r="L1128" i="3"/>
  <c r="L1118" i="3"/>
  <c r="L1108" i="3"/>
  <c r="L1098" i="3"/>
  <c r="L1088" i="3"/>
  <c r="L1078" i="3"/>
  <c r="L1068" i="3"/>
  <c r="L1058" i="3"/>
  <c r="L1048" i="3"/>
  <c r="L1038" i="3"/>
  <c r="L1028" i="3"/>
  <c r="L1018" i="3"/>
  <c r="L1008" i="3"/>
  <c r="L998" i="3"/>
  <c r="L988" i="3"/>
  <c r="L978" i="3"/>
  <c r="L968" i="3"/>
  <c r="L958" i="3"/>
  <c r="L948" i="3"/>
  <c r="L938" i="3"/>
  <c r="L928" i="3"/>
  <c r="L918" i="3"/>
  <c r="L1169" i="3"/>
  <c r="L1160" i="3"/>
  <c r="L1121" i="3"/>
  <c r="L1117" i="3"/>
  <c r="L1113" i="3"/>
  <c r="L1109" i="3"/>
  <c r="L1071" i="3"/>
  <c r="L1067" i="3"/>
  <c r="L1063" i="3"/>
  <c r="L1059" i="3"/>
  <c r="L1021" i="3"/>
  <c r="L1017" i="3"/>
  <c r="L1013" i="3"/>
  <c r="L1009" i="3"/>
  <c r="L971" i="3"/>
  <c r="L967" i="3"/>
  <c r="L963" i="3"/>
  <c r="L959" i="3"/>
  <c r="L921" i="3"/>
  <c r="L917" i="3"/>
  <c r="L906" i="3"/>
  <c r="L888" i="3"/>
  <c r="L878" i="3"/>
  <c r="L868" i="3"/>
  <c r="L858" i="3"/>
  <c r="L1168" i="3"/>
  <c r="L1153" i="3"/>
  <c r="L1139" i="3"/>
  <c r="L1134" i="3"/>
  <c r="L1120" i="3"/>
  <c r="L1102" i="3"/>
  <c r="L1097" i="3"/>
  <c r="L1083" i="3"/>
  <c r="L1060" i="3"/>
  <c r="L1046" i="3"/>
  <c r="L1041" i="3"/>
  <c r="L1023" i="3"/>
  <c r="L1004" i="3"/>
  <c r="L986" i="3"/>
  <c r="L981" i="3"/>
  <c r="L949" i="3"/>
  <c r="L944" i="3"/>
  <c r="L926" i="3"/>
  <c r="L908" i="3"/>
  <c r="L904" i="3"/>
  <c r="L900" i="3"/>
  <c r="L896" i="3"/>
  <c r="L892" i="3"/>
  <c r="L877" i="3"/>
  <c r="L866" i="3"/>
  <c r="L855" i="3"/>
  <c r="L1143" i="3"/>
  <c r="L1129" i="3"/>
  <c r="L1124" i="3"/>
  <c r="L1106" i="3"/>
  <c r="L1101" i="3"/>
  <c r="L1092" i="3"/>
  <c r="L1087" i="3"/>
  <c r="L1069" i="3"/>
  <c r="L1064" i="3"/>
  <c r="L1050" i="3"/>
  <c r="L1032" i="3"/>
  <c r="L1027" i="3"/>
  <c r="L990" i="3"/>
  <c r="L972" i="3"/>
  <c r="L953" i="3"/>
  <c r="L930" i="3"/>
  <c r="L916" i="3"/>
  <c r="L912" i="3"/>
  <c r="L884" i="3"/>
  <c r="L873" i="3"/>
  <c r="L862" i="3"/>
  <c r="L1162" i="3"/>
  <c r="L1157" i="3"/>
  <c r="L1147" i="3"/>
  <c r="L1133" i="3"/>
  <c r="L1110" i="3"/>
  <c r="L1096" i="3"/>
  <c r="L1091" i="3"/>
  <c r="L1073" i="3"/>
  <c r="L1054" i="3"/>
  <c r="L1036" i="3"/>
  <c r="L1031" i="3"/>
  <c r="L999" i="3"/>
  <c r="L994" i="3"/>
  <c r="L976" i="3"/>
  <c r="L962" i="3"/>
  <c r="L957" i="3"/>
  <c r="L939" i="3"/>
  <c r="L934" i="3"/>
  <c r="L920" i="3"/>
  <c r="L891" i="3"/>
  <c r="L880" i="3"/>
  <c r="L869" i="3"/>
  <c r="L854" i="3"/>
  <c r="L1166" i="3"/>
  <c r="L1161" i="3"/>
  <c r="L1146" i="3"/>
  <c r="L1141" i="3"/>
  <c r="L1123" i="3"/>
  <c r="L1104" i="3"/>
  <c r="L1086" i="3"/>
  <c r="L1081" i="3"/>
  <c r="L1049" i="3"/>
  <c r="L1044" i="3"/>
  <c r="L1026" i="3"/>
  <c r="L1012" i="3"/>
  <c r="L1007" i="3"/>
  <c r="L989" i="3"/>
  <c r="L984" i="3"/>
  <c r="L970" i="3"/>
  <c r="L952" i="3"/>
  <c r="L947" i="3"/>
  <c r="L933" i="3"/>
  <c r="L898" i="3"/>
  <c r="L894" i="3"/>
  <c r="L883" i="3"/>
  <c r="L872" i="3"/>
  <c r="L857" i="3"/>
  <c r="L1156" i="3"/>
  <c r="L1150" i="3"/>
  <c r="L1132" i="3"/>
  <c r="L1127" i="3"/>
  <c r="L1090" i="3"/>
  <c r="L1072" i="3"/>
  <c r="L1053" i="3"/>
  <c r="L1030" i="3"/>
  <c r="L1016" i="3"/>
  <c r="L1011" i="3"/>
  <c r="L993" i="3"/>
  <c r="L979" i="3"/>
  <c r="L974" i="3"/>
  <c r="L956" i="3"/>
  <c r="L951" i="3"/>
  <c r="L942" i="3"/>
  <c r="L937" i="3"/>
  <c r="L919" i="3"/>
  <c r="L902" i="3"/>
  <c r="L890" i="3"/>
  <c r="L879" i="3"/>
  <c r="L864" i="3"/>
  <c r="L853" i="3"/>
  <c r="L1167" i="3"/>
  <c r="L1137" i="3"/>
  <c r="L1119" i="3"/>
  <c r="L1100" i="3"/>
  <c r="L1082" i="3"/>
  <c r="L980" i="3"/>
  <c r="L961" i="3"/>
  <c r="L943" i="3"/>
  <c r="L924" i="3"/>
  <c r="L907" i="3"/>
  <c r="L899" i="3"/>
  <c r="L876" i="3"/>
  <c r="L861" i="3"/>
  <c r="L1136" i="3"/>
  <c r="L1099" i="3"/>
  <c r="L1062" i="3"/>
  <c r="L1034" i="3"/>
  <c r="L997" i="3"/>
  <c r="L960" i="3"/>
  <c r="L941" i="3"/>
  <c r="L923" i="3"/>
  <c r="L914" i="3"/>
  <c r="L875" i="3"/>
  <c r="L1164" i="3"/>
  <c r="L1144" i="3"/>
  <c r="L1126" i="3"/>
  <c r="L1107" i="3"/>
  <c r="L1089" i="3"/>
  <c r="L1070" i="3"/>
  <c r="L1052" i="3"/>
  <c r="L1033" i="3"/>
  <c r="L996" i="3"/>
  <c r="L931" i="3"/>
  <c r="L913" i="3"/>
  <c r="L889" i="3"/>
  <c r="L874" i="3"/>
  <c r="L1116" i="3"/>
  <c r="L1079" i="3"/>
  <c r="L1051" i="3"/>
  <c r="L1042" i="3"/>
  <c r="L1014" i="3"/>
  <c r="L977" i="3"/>
  <c r="L940" i="3"/>
  <c r="L922" i="3"/>
  <c r="L881" i="3"/>
  <c r="L859" i="3"/>
  <c r="L1149" i="3"/>
  <c r="L1112" i="3"/>
  <c r="L1084" i="3"/>
  <c r="L1047" i="3"/>
  <c r="L1010" i="3"/>
  <c r="L991" i="3"/>
  <c r="L973" i="3"/>
  <c r="L954" i="3"/>
  <c r="L936" i="3"/>
  <c r="L909" i="3"/>
  <c r="L863" i="3"/>
  <c r="L1158" i="3"/>
  <c r="L1130" i="3"/>
  <c r="L1111" i="3"/>
  <c r="L1093" i="3"/>
  <c r="L1074" i="3"/>
  <c r="L1056" i="3"/>
  <c r="L1037" i="3"/>
  <c r="L1019" i="3"/>
  <c r="L1000" i="3"/>
  <c r="L982" i="3"/>
  <c r="L885" i="3"/>
  <c r="L870" i="3"/>
  <c r="L1154" i="3"/>
  <c r="L1131" i="3"/>
  <c r="L1151" i="3"/>
  <c r="L992" i="3"/>
  <c r="L966" i="3"/>
  <c r="L901" i="3"/>
  <c r="L1076" i="3"/>
  <c r="L1006" i="3"/>
  <c r="L983" i="3"/>
  <c r="L1142" i="3"/>
  <c r="L1122" i="3"/>
  <c r="L1029" i="3"/>
  <c r="L1003" i="3"/>
  <c r="L911" i="3"/>
  <c r="L893" i="3"/>
  <c r="L1114" i="3"/>
  <c r="L1080" i="3"/>
  <c r="L886" i="3"/>
  <c r="L1077" i="3"/>
  <c r="L1043" i="3"/>
  <c r="L946" i="3"/>
  <c r="L910" i="3"/>
  <c r="L860" i="3"/>
  <c r="L1040" i="3"/>
  <c r="L1039" i="3"/>
  <c r="L1002" i="3"/>
  <c r="L856" i="3"/>
  <c r="L1103" i="3"/>
  <c r="L1001" i="3"/>
  <c r="L969" i="3"/>
  <c r="L932" i="3"/>
  <c r="L903" i="3"/>
  <c r="L1140" i="3"/>
  <c r="L1094" i="3"/>
  <c r="L1066" i="3"/>
  <c r="L929" i="3"/>
  <c r="L871" i="3"/>
  <c r="L1061" i="3"/>
  <c r="L1024" i="3"/>
  <c r="L964" i="3"/>
  <c r="L897" i="3"/>
  <c r="L1057" i="3"/>
  <c r="L1022" i="3"/>
  <c r="L927" i="3"/>
  <c r="L950" i="3"/>
  <c r="L887" i="3"/>
  <c r="L865" i="3"/>
  <c r="L882" i="3"/>
  <c r="L987" i="3"/>
  <c r="L867" i="3"/>
  <c r="L1020" i="3"/>
  <c r="N2312" i="3" a="1"/>
  <c r="N2312" i="3" s="1"/>
  <c r="N2276" i="3" a="1"/>
  <c r="N2276" i="3" s="1"/>
  <c r="N2258" i="3" a="1"/>
  <c r="N2258" i="3" s="1"/>
  <c r="N2255" i="3" a="1"/>
  <c r="N2255" i="3" s="1"/>
  <c r="N2270" i="3" a="1"/>
  <c r="N2270" i="3" s="1"/>
  <c r="N2304" i="3" a="1"/>
  <c r="N2304" i="3" s="1"/>
  <c r="N2249" i="3" a="1"/>
  <c r="N2249" i="3" s="1"/>
  <c r="N2286" i="3" a="1"/>
  <c r="N2286" i="3" s="1"/>
  <c r="L1202" i="3"/>
  <c r="L1192" i="3"/>
  <c r="L1182" i="3"/>
  <c r="L1172" i="3"/>
  <c r="L1208" i="3"/>
  <c r="L1197" i="3"/>
  <c r="L1186" i="3"/>
  <c r="L1171" i="3"/>
  <c r="L1204" i="3"/>
  <c r="L1193" i="3"/>
  <c r="L1178" i="3"/>
  <c r="L1207" i="3"/>
  <c r="L1198" i="3"/>
  <c r="L1184" i="3"/>
  <c r="L1175" i="3"/>
  <c r="L1188" i="3"/>
  <c r="L1174" i="3"/>
  <c r="L1205" i="3"/>
  <c r="L1194" i="3"/>
  <c r="L1199" i="3"/>
  <c r="L1187" i="3"/>
  <c r="L1181" i="3"/>
  <c r="L1176" i="3"/>
  <c r="L1209" i="3"/>
  <c r="L1203" i="3"/>
  <c r="L1191" i="3"/>
  <c r="L1185" i="3"/>
  <c r="L1180" i="3"/>
  <c r="L1196" i="3"/>
  <c r="L1179" i="3"/>
  <c r="L1173" i="3"/>
  <c r="L1206" i="3"/>
  <c r="L1183" i="3"/>
  <c r="L1201" i="3"/>
  <c r="L1190" i="3"/>
  <c r="L1200" i="3"/>
  <c r="L1189" i="3"/>
  <c r="L1177" i="3"/>
  <c r="L1195" i="3"/>
  <c r="N1466" i="3" a="1"/>
  <c r="N1466" i="3" s="1"/>
  <c r="N1490" i="3" a="1"/>
  <c r="N1490" i="3" s="1"/>
  <c r="N1436" i="3" a="1"/>
  <c r="N1436" i="3" s="1"/>
  <c r="N1451" i="3" a="1"/>
  <c r="N1451" i="3" s="1"/>
  <c r="N1486" i="3" a="1"/>
  <c r="N1486" i="3" s="1"/>
  <c r="N1449" i="3" a="1"/>
  <c r="N1449" i="3" s="1"/>
  <c r="N1408" i="3" a="1"/>
  <c r="N1408" i="3" s="1"/>
  <c r="N1415" i="3" a="1"/>
  <c r="N1415" i="3" s="1"/>
  <c r="N1392" i="3" a="1"/>
  <c r="N1392" i="3" s="1"/>
  <c r="N1492" i="3" a="1"/>
  <c r="N1492" i="3" s="1"/>
  <c r="N907" i="3" a="1"/>
  <c r="N907" i="3" s="1"/>
  <c r="N916" i="3" a="1"/>
  <c r="N916" i="3" s="1"/>
  <c r="N871" i="3" a="1"/>
  <c r="N871" i="3" s="1"/>
  <c r="N522" i="3" a="1"/>
  <c r="N522" i="3" s="1"/>
  <c r="N429" i="3" a="1"/>
  <c r="N429" i="3" s="1"/>
  <c r="N494" i="3" a="1"/>
  <c r="N494" i="3" s="1"/>
  <c r="N441" i="3" a="1"/>
  <c r="N441" i="3" s="1"/>
  <c r="N499" i="3" a="1"/>
  <c r="N499" i="3" s="1"/>
  <c r="N487" i="3" a="1"/>
  <c r="N487" i="3" s="1"/>
  <c r="N506" i="3" a="1"/>
  <c r="N506" i="3" s="1"/>
  <c r="N503" i="3" a="1"/>
  <c r="N503" i="3" s="1"/>
  <c r="N480" i="3" a="1"/>
  <c r="N480" i="3" s="1"/>
  <c r="N464" i="3" a="1"/>
  <c r="N464" i="3" s="1"/>
  <c r="N113" i="3" a="1"/>
  <c r="N113" i="3" s="1"/>
  <c r="N48" i="3" a="1"/>
  <c r="N48" i="3" s="1"/>
  <c r="N88" i="3" a="1"/>
  <c r="N88" i="3" s="1"/>
  <c r="N104" i="3" a="1"/>
  <c r="N104" i="3" s="1"/>
  <c r="N40" i="3" a="1"/>
  <c r="N40" i="3" s="1"/>
  <c r="N911" i="3" a="1"/>
  <c r="N911" i="3" s="1"/>
  <c r="N854" i="3" a="1"/>
  <c r="N854" i="3" s="1"/>
  <c r="N930" i="3" a="1"/>
  <c r="N930" i="3" s="1"/>
  <c r="N881" i="3" a="1"/>
  <c r="N881" i="3" s="1"/>
  <c r="N898" i="3" a="1"/>
  <c r="N898" i="3" s="1"/>
  <c r="N505" i="3" a="1"/>
  <c r="N505" i="3" s="1"/>
  <c r="N478" i="3" a="1"/>
  <c r="N478" i="3" s="1"/>
  <c r="N447" i="3" a="1"/>
  <c r="N447" i="3" s="1"/>
  <c r="N454" i="3" a="1"/>
  <c r="N454" i="3" s="1"/>
  <c r="N449" i="3" a="1"/>
  <c r="N449" i="3" s="1"/>
  <c r="N514" i="3" a="1"/>
  <c r="N514" i="3" s="1"/>
  <c r="N501" i="3" a="1"/>
  <c r="N501" i="3" s="1"/>
  <c r="N516" i="3" a="1"/>
  <c r="N516" i="3" s="1"/>
  <c r="N513" i="3" a="1"/>
  <c r="N513" i="3" s="1"/>
  <c r="N490" i="3" a="1"/>
  <c r="N490" i="3" s="1"/>
  <c r="L416" i="3"/>
  <c r="L406" i="3"/>
  <c r="L396" i="3"/>
  <c r="L386" i="3"/>
  <c r="L376" i="3"/>
  <c r="L366" i="3"/>
  <c r="L356" i="3"/>
  <c r="L346" i="3"/>
  <c r="L336" i="3"/>
  <c r="L326" i="3"/>
  <c r="L316" i="3"/>
  <c r="L306" i="3"/>
  <c r="L296" i="3"/>
  <c r="L286" i="3"/>
  <c r="L276" i="3"/>
  <c r="L266" i="3"/>
  <c r="L256" i="3"/>
  <c r="L246" i="3"/>
  <c r="L236" i="3"/>
  <c r="L226" i="3"/>
  <c r="L216" i="3"/>
  <c r="L206" i="3"/>
  <c r="L196" i="3"/>
  <c r="L186" i="3"/>
  <c r="L176" i="3"/>
  <c r="L166" i="3"/>
  <c r="L156" i="3"/>
  <c r="L146" i="3"/>
  <c r="L136" i="3"/>
  <c r="L126" i="3"/>
  <c r="L116" i="3"/>
  <c r="L412" i="3"/>
  <c r="L402" i="3"/>
  <c r="L392" i="3"/>
  <c r="L382" i="3"/>
  <c r="L372" i="3"/>
  <c r="L362" i="3"/>
  <c r="L352" i="3"/>
  <c r="L342" i="3"/>
  <c r="L332" i="3"/>
  <c r="L322" i="3"/>
  <c r="L312" i="3"/>
  <c r="L302" i="3"/>
  <c r="L292" i="3"/>
  <c r="L282" i="3"/>
  <c r="L272" i="3"/>
  <c r="L262" i="3"/>
  <c r="L252" i="3"/>
  <c r="L242" i="3"/>
  <c r="L232" i="3"/>
  <c r="L222" i="3"/>
  <c r="L212" i="3"/>
  <c r="L202" i="3"/>
  <c r="L192" i="3"/>
  <c r="L182" i="3"/>
  <c r="L172" i="3"/>
  <c r="L162" i="3"/>
  <c r="L152" i="3"/>
  <c r="L142" i="3"/>
  <c r="L132" i="3"/>
  <c r="L122" i="3"/>
  <c r="L112" i="3"/>
  <c r="L102" i="3"/>
  <c r="L92" i="3"/>
  <c r="L82" i="3"/>
  <c r="L72" i="3"/>
  <c r="L62" i="3"/>
  <c r="L52" i="3"/>
  <c r="L42" i="3"/>
  <c r="L32" i="3"/>
  <c r="L22" i="3"/>
  <c r="L12" i="3"/>
  <c r="L395" i="3"/>
  <c r="L391" i="3"/>
  <c r="L387" i="3"/>
  <c r="L383" i="3"/>
  <c r="L345" i="3"/>
  <c r="L341" i="3"/>
  <c r="L337" i="3"/>
  <c r="L333" i="3"/>
  <c r="L295" i="3"/>
  <c r="L291" i="3"/>
  <c r="L287" i="3"/>
  <c r="L283" i="3"/>
  <c r="L245" i="3"/>
  <c r="L241" i="3"/>
  <c r="L237" i="3"/>
  <c r="L233" i="3"/>
  <c r="L411" i="3"/>
  <c r="L393" i="3"/>
  <c r="L388" i="3"/>
  <c r="L379" i="3"/>
  <c r="L374" i="3"/>
  <c r="L351" i="3"/>
  <c r="L314" i="3"/>
  <c r="L419" i="3"/>
  <c r="L410" i="3"/>
  <c r="L405" i="3"/>
  <c r="L373" i="3"/>
  <c r="L368" i="3"/>
  <c r="L359" i="3"/>
  <c r="L350" i="3"/>
  <c r="L331" i="3"/>
  <c r="L313" i="3"/>
  <c r="L308" i="3"/>
  <c r="L294" i="3"/>
  <c r="L271" i="3"/>
  <c r="L257" i="3"/>
  <c r="L234" i="3"/>
  <c r="L208" i="3"/>
  <c r="L204" i="3"/>
  <c r="L200" i="3"/>
  <c r="L179" i="3"/>
  <c r="L158" i="3"/>
  <c r="L154" i="3"/>
  <c r="L150" i="3"/>
  <c r="L129" i="3"/>
  <c r="L109" i="3"/>
  <c r="L105" i="3"/>
  <c r="L94" i="3"/>
  <c r="L83" i="3"/>
  <c r="L68" i="3"/>
  <c r="L57" i="3"/>
  <c r="L46" i="3"/>
  <c r="L31" i="3"/>
  <c r="L414" i="3"/>
  <c r="L377" i="3"/>
  <c r="L354" i="3"/>
  <c r="L349" i="3"/>
  <c r="L340" i="3"/>
  <c r="L335" i="3"/>
  <c r="L317" i="3"/>
  <c r="L303" i="3"/>
  <c r="L298" i="3"/>
  <c r="L289" i="3"/>
  <c r="L280" i="3"/>
  <c r="L275" i="3"/>
  <c r="L261" i="3"/>
  <c r="L243" i="3"/>
  <c r="L238" i="3"/>
  <c r="L229" i="3"/>
  <c r="L195" i="3"/>
  <c r="L191" i="3"/>
  <c r="L187" i="3"/>
  <c r="L183" i="3"/>
  <c r="L145" i="3"/>
  <c r="L141" i="3"/>
  <c r="L137" i="3"/>
  <c r="L133" i="3"/>
  <c r="L101" i="3"/>
  <c r="L90" i="3"/>
  <c r="L79" i="3"/>
  <c r="L75" i="3"/>
  <c r="L64" i="3"/>
  <c r="L53" i="3"/>
  <c r="L38" i="3"/>
  <c r="L27" i="3"/>
  <c r="L413" i="3"/>
  <c r="L399" i="3"/>
  <c r="L380" i="3"/>
  <c r="L360" i="3"/>
  <c r="L353" i="3"/>
  <c r="L347" i="3"/>
  <c r="L327" i="3"/>
  <c r="L320" i="3"/>
  <c r="L281" i="3"/>
  <c r="L269" i="3"/>
  <c r="L258" i="3"/>
  <c r="L228" i="3"/>
  <c r="L218" i="3"/>
  <c r="L404" i="3"/>
  <c r="L371" i="3"/>
  <c r="L344" i="3"/>
  <c r="L338" i="3"/>
  <c r="L318" i="3"/>
  <c r="L311" i="3"/>
  <c r="L305" i="3"/>
  <c r="L285" i="3"/>
  <c r="L279" i="3"/>
  <c r="L239" i="3"/>
  <c r="L227" i="3"/>
  <c r="L217" i="3"/>
  <c r="L211" i="3"/>
  <c r="L201" i="3"/>
  <c r="L185" i="3"/>
  <c r="L175" i="3"/>
  <c r="L123" i="3"/>
  <c r="L113" i="3"/>
  <c r="L99" i="3"/>
  <c r="L76" i="3"/>
  <c r="L39" i="3"/>
  <c r="L17" i="3"/>
  <c r="L6" i="3"/>
  <c r="L409" i="3"/>
  <c r="L403" i="3"/>
  <c r="L370" i="3"/>
  <c r="L363" i="3"/>
  <c r="L415" i="3"/>
  <c r="L389" i="3"/>
  <c r="L369" i="3"/>
  <c r="L343" i="3"/>
  <c r="L323" i="3"/>
  <c r="L310" i="3"/>
  <c r="L290" i="3"/>
  <c r="L265" i="3"/>
  <c r="L260" i="3"/>
  <c r="L231" i="3"/>
  <c r="L220" i="3"/>
  <c r="L210" i="3"/>
  <c r="L199" i="3"/>
  <c r="L194" i="3"/>
  <c r="L189" i="3"/>
  <c r="L184" i="3"/>
  <c r="L178" i="3"/>
  <c r="L168" i="3"/>
  <c r="L111" i="3"/>
  <c r="L97" i="3"/>
  <c r="L88" i="3"/>
  <c r="L74" i="3"/>
  <c r="L65" i="3"/>
  <c r="L60" i="3"/>
  <c r="L51" i="3"/>
  <c r="L37" i="3"/>
  <c r="L28" i="3"/>
  <c r="L16" i="3"/>
  <c r="L420" i="3"/>
  <c r="L407" i="3"/>
  <c r="L400" i="3"/>
  <c r="L367" i="3"/>
  <c r="L334" i="3"/>
  <c r="L307" i="3"/>
  <c r="L301" i="3"/>
  <c r="L264" i="3"/>
  <c r="L253" i="3"/>
  <c r="L235" i="3"/>
  <c r="L230" i="3"/>
  <c r="L378" i="3"/>
  <c r="L365" i="3"/>
  <c r="L328" i="3"/>
  <c r="L209" i="3"/>
  <c r="L128" i="3"/>
  <c r="L98" i="3"/>
  <c r="L86" i="3"/>
  <c r="L69" i="3"/>
  <c r="L63" i="3"/>
  <c r="L45" i="3"/>
  <c r="L40" i="3"/>
  <c r="L34" i="3"/>
  <c r="L18" i="3"/>
  <c r="L9" i="3"/>
  <c r="L4" i="3"/>
  <c r="K2" i="3"/>
  <c r="L2" i="3" s="1"/>
  <c r="L355" i="3"/>
  <c r="L417" i="3"/>
  <c r="L390" i="3"/>
  <c r="L364" i="3"/>
  <c r="L315" i="3"/>
  <c r="L293" i="3"/>
  <c r="L273" i="3"/>
  <c r="L254" i="3"/>
  <c r="L244" i="3"/>
  <c r="L225" i="3"/>
  <c r="L207" i="3"/>
  <c r="L193" i="3"/>
  <c r="L180" i="3"/>
  <c r="L173" i="3"/>
  <c r="L167" i="3"/>
  <c r="L147" i="3"/>
  <c r="L121" i="3"/>
  <c r="L103" i="3"/>
  <c r="L80" i="3"/>
  <c r="L13" i="3"/>
  <c r="L8" i="3"/>
  <c r="L381" i="3"/>
  <c r="L277" i="3"/>
  <c r="L375" i="3"/>
  <c r="L348" i="3"/>
  <c r="L325" i="3"/>
  <c r="L304" i="3"/>
  <c r="L263" i="3"/>
  <c r="L224" i="3"/>
  <c r="L215" i="3"/>
  <c r="L160" i="3"/>
  <c r="L153" i="3"/>
  <c r="L140" i="3"/>
  <c r="L134" i="3"/>
  <c r="L127" i="3"/>
  <c r="L120" i="3"/>
  <c r="L114" i="3"/>
  <c r="L108" i="3"/>
  <c r="L91" i="3"/>
  <c r="L85" i="3"/>
  <c r="L56" i="3"/>
  <c r="L33" i="3"/>
  <c r="L401" i="3"/>
  <c r="L361" i="3"/>
  <c r="L324" i="3"/>
  <c r="L251" i="3"/>
  <c r="L223" i="3"/>
  <c r="L198" i="3"/>
  <c r="L165" i="3"/>
  <c r="L159" i="3"/>
  <c r="L96" i="3"/>
  <c r="L78" i="3"/>
  <c r="L73" i="3"/>
  <c r="L67" i="3"/>
  <c r="L55" i="3"/>
  <c r="L50" i="3"/>
  <c r="L44" i="3"/>
  <c r="L3" i="3"/>
  <c r="L408" i="3"/>
  <c r="L41" i="3"/>
  <c r="L30" i="3"/>
  <c r="L385" i="3"/>
  <c r="L270" i="3"/>
  <c r="L214" i="3"/>
  <c r="L205" i="3"/>
  <c r="L139" i="3"/>
  <c r="L119" i="3"/>
  <c r="L107" i="3"/>
  <c r="L84" i="3"/>
  <c r="L61" i="3"/>
  <c r="L49" i="3"/>
  <c r="L26" i="3"/>
  <c r="L21" i="3"/>
  <c r="L7" i="3"/>
  <c r="L248" i="3"/>
  <c r="L203" i="3"/>
  <c r="L36" i="3"/>
  <c r="L398" i="3"/>
  <c r="L358" i="3"/>
  <c r="L300" i="3"/>
  <c r="L278" i="3"/>
  <c r="L250" i="3"/>
  <c r="L240" i="3"/>
  <c r="L213" i="3"/>
  <c r="L197" i="3"/>
  <c r="L190" i="3"/>
  <c r="L177" i="3"/>
  <c r="L171" i="3"/>
  <c r="L164" i="3"/>
  <c r="L157" i="3"/>
  <c r="L151" i="3"/>
  <c r="L138" i="3"/>
  <c r="L131" i="3"/>
  <c r="L125" i="3"/>
  <c r="L95" i="3"/>
  <c r="L89" i="3"/>
  <c r="L66" i="3"/>
  <c r="L43" i="3"/>
  <c r="L11" i="3"/>
  <c r="L397" i="3"/>
  <c r="L384" i="3"/>
  <c r="L357" i="3"/>
  <c r="L321" i="3"/>
  <c r="L299" i="3"/>
  <c r="L288" i="3"/>
  <c r="L268" i="3"/>
  <c r="L259" i="3"/>
  <c r="L249" i="3"/>
  <c r="L221" i="3"/>
  <c r="L170" i="3"/>
  <c r="L144" i="3"/>
  <c r="L124" i="3"/>
  <c r="L118" i="3"/>
  <c r="L106" i="3"/>
  <c r="L100" i="3"/>
  <c r="L77" i="3"/>
  <c r="L71" i="3"/>
  <c r="L54" i="3"/>
  <c r="L48" i="3"/>
  <c r="L25" i="3"/>
  <c r="L20" i="3"/>
  <c r="L15" i="3"/>
  <c r="L309" i="3"/>
  <c r="L169" i="3"/>
  <c r="L163" i="3"/>
  <c r="L59" i="3"/>
  <c r="L421" i="3"/>
  <c r="L394" i="3"/>
  <c r="L330" i="3"/>
  <c r="L319" i="3"/>
  <c r="L297" i="3"/>
  <c r="L267" i="3"/>
  <c r="L247" i="3"/>
  <c r="L219" i="3"/>
  <c r="L188" i="3"/>
  <c r="L149" i="3"/>
  <c r="L143" i="3"/>
  <c r="L130" i="3"/>
  <c r="L117" i="3"/>
  <c r="L93" i="3"/>
  <c r="L70" i="3"/>
  <c r="L47" i="3"/>
  <c r="L24" i="3"/>
  <c r="L19" i="3"/>
  <c r="L10" i="3"/>
  <c r="L5" i="3"/>
  <c r="L418" i="3"/>
  <c r="L339" i="3"/>
  <c r="L329" i="3"/>
  <c r="L284" i="3"/>
  <c r="L274" i="3"/>
  <c r="L255" i="3"/>
  <c r="L181" i="3"/>
  <c r="L174" i="3"/>
  <c r="L161" i="3"/>
  <c r="L155" i="3"/>
  <c r="L148" i="3"/>
  <c r="L135" i="3"/>
  <c r="L115" i="3"/>
  <c r="L110" i="3"/>
  <c r="L104" i="3"/>
  <c r="L87" i="3"/>
  <c r="L81" i="3"/>
  <c r="L58" i="3"/>
  <c r="L35" i="3"/>
  <c r="L29" i="3"/>
  <c r="L23" i="3"/>
  <c r="L14" i="3"/>
  <c r="N31" i="3" a="1"/>
  <c r="N31" i="3" s="1"/>
  <c r="N82" i="3" a="1"/>
  <c r="N82" i="3" s="1"/>
  <c r="N99" i="3" a="1"/>
  <c r="N99" i="3" s="1"/>
  <c r="N18" i="3" a="1"/>
  <c r="N18" i="3" s="1"/>
  <c r="N2314" i="3" a="1"/>
  <c r="N2314" i="3" s="1"/>
  <c r="N2279" i="3" a="1"/>
  <c r="N2279" i="3" s="1"/>
  <c r="N2267" i="3" a="1"/>
  <c r="N2267" i="3" s="1"/>
  <c r="N2291" i="3" a="1"/>
  <c r="N2291" i="3" s="1"/>
  <c r="N2277" i="3" a="1"/>
  <c r="N2277" i="3" s="1"/>
  <c r="N2302" i="3" a="1"/>
  <c r="N2302" i="3" s="1"/>
  <c r="N2315" i="3" a="1"/>
  <c r="N2315" i="3" s="1"/>
  <c r="N2273" i="3" a="1"/>
  <c r="N2273" i="3" s="1"/>
  <c r="N1488" i="3" a="1"/>
  <c r="N1488" i="3" s="1"/>
  <c r="N1479" i="3" a="1"/>
  <c r="N1479" i="3" s="1"/>
  <c r="N1471" i="3" a="1"/>
  <c r="N1471" i="3" s="1"/>
  <c r="N1463" i="3" a="1"/>
  <c r="N1463" i="3" s="1"/>
  <c r="N1441" i="3" a="1"/>
  <c r="N1441" i="3" s="1"/>
  <c r="N1394" i="3" a="1"/>
  <c r="N1394" i="3" s="1"/>
  <c r="N1433" i="3" a="1"/>
  <c r="N1433" i="3" s="1"/>
  <c r="N1429" i="3" a="1"/>
  <c r="N1429" i="3" s="1"/>
  <c r="N1476" i="3" a="1"/>
  <c r="N1476" i="3" s="1"/>
  <c r="N1424" i="3" a="1"/>
  <c r="N1424" i="3" s="1"/>
  <c r="N1459" i="3" a="1"/>
  <c r="N1459" i="3" s="1"/>
  <c r="N1423" i="3" a="1"/>
  <c r="N1423" i="3" s="1"/>
  <c r="N1457" i="3" a="1"/>
  <c r="N1457" i="3" s="1"/>
  <c r="N1450" i="3" a="1"/>
  <c r="N1450" i="3" s="1"/>
  <c r="N1435" i="3" a="1"/>
  <c r="N1435" i="3" s="1"/>
  <c r="N1412" i="3" a="1"/>
  <c r="N1412" i="3" s="1"/>
  <c r="N1391" i="3" a="1"/>
  <c r="N1391" i="3" s="1"/>
  <c r="N935" i="3" a="1"/>
  <c r="N935" i="3" s="1"/>
  <c r="N891" i="3" a="1"/>
  <c r="N891" i="3" s="1"/>
  <c r="N432" i="3" a="1"/>
  <c r="N432" i="3" s="1"/>
  <c r="N541" i="3" a="1"/>
  <c r="N541" i="3" s="1"/>
  <c r="N482" i="3" a="1"/>
  <c r="N482" i="3" s="1"/>
  <c r="N538" i="3" a="1"/>
  <c r="N538" i="3" s="1"/>
  <c r="N508" i="3" a="1"/>
  <c r="N508" i="3" s="1"/>
  <c r="N452" i="3" a="1"/>
  <c r="N452" i="3" s="1"/>
  <c r="N534" i="3" a="1"/>
  <c r="N534" i="3" s="1"/>
  <c r="N504" i="3" a="1"/>
  <c r="N504" i="3" s="1"/>
  <c r="N448" i="3" a="1"/>
  <c r="N448" i="3" s="1"/>
  <c r="N474" i="3" a="1"/>
  <c r="N474" i="3" s="1"/>
  <c r="N524" i="3" a="1"/>
  <c r="N524" i="3" s="1"/>
  <c r="N469" i="3" a="1"/>
  <c r="N469" i="3" s="1"/>
  <c r="N437" i="3" a="1"/>
  <c r="N437" i="3" s="1"/>
  <c r="N517" i="3" a="1"/>
  <c r="N517" i="3" s="1"/>
  <c r="N433" i="3" a="1"/>
  <c r="N433" i="3" s="1"/>
  <c r="N477" i="3" a="1"/>
  <c r="N477" i="3" s="1"/>
  <c r="N459" i="3" a="1"/>
  <c r="N459" i="3" s="1"/>
  <c r="N455" i="3" a="1"/>
  <c r="N455" i="3" s="1"/>
  <c r="N528" i="3" a="1"/>
  <c r="N528" i="3" s="1"/>
  <c r="N515" i="3" a="1"/>
  <c r="N515" i="3" s="1"/>
  <c r="N426" i="3" a="1"/>
  <c r="N426" i="3" s="1"/>
  <c r="N526" i="3" a="1"/>
  <c r="N526" i="3" s="1"/>
  <c r="N523" i="3" a="1"/>
  <c r="N523" i="3" s="1"/>
  <c r="N500" i="3" a="1"/>
  <c r="N500" i="3" s="1"/>
  <c r="N16" i="3" a="1"/>
  <c r="N16" i="3" s="1"/>
  <c r="N144" i="3" a="1"/>
  <c r="N144" i="3" s="1"/>
  <c r="N20" i="3" a="1"/>
  <c r="N20" i="3" s="1"/>
  <c r="N59" i="3" a="1"/>
  <c r="N59" i="3" s="1"/>
  <c r="N87" i="3" a="1"/>
  <c r="N87" i="3" s="1"/>
  <c r="N9" i="3" a="1"/>
  <c r="N9" i="3" s="1"/>
  <c r="N2292" i="3" a="1"/>
  <c r="N2292" i="3" s="1"/>
  <c r="N2265" i="3" a="1"/>
  <c r="N2265" i="3" s="1"/>
  <c r="N2280" i="3" a="1"/>
  <c r="N2280" i="3" s="1"/>
  <c r="N2262" i="3" a="1"/>
  <c r="N2262" i="3" s="1"/>
  <c r="N2251" i="3" a="1"/>
  <c r="N2251" i="3" s="1"/>
  <c r="N2278" i="3" a="1"/>
  <c r="N2278" i="3" s="1"/>
  <c r="N2260" i="3" a="1"/>
  <c r="N2260" i="3" s="1"/>
  <c r="N2301" i="3" a="1"/>
  <c r="N2301" i="3" s="1"/>
  <c r="N2281" i="3" a="1"/>
  <c r="N2281" i="3" s="1"/>
  <c r="N2306" i="3" a="1"/>
  <c r="N2306" i="3" s="1"/>
  <c r="N2234" i="3" a="1"/>
  <c r="N2234" i="3" s="1"/>
  <c r="N2300" i="3" a="1"/>
  <c r="N2300" i="3" s="1"/>
  <c r="N2268" i="3" a="1"/>
  <c r="N2268" i="3" s="1"/>
  <c r="N1398" i="3" a="1"/>
  <c r="N1398" i="3" s="1"/>
  <c r="N1388" i="3" a="1"/>
  <c r="N1388" i="3" s="1"/>
  <c r="N1421" i="3" a="1"/>
  <c r="N1421" i="3" s="1"/>
  <c r="N1401" i="3" a="1"/>
  <c r="N1401" i="3" s="1"/>
  <c r="N1460" i="3" a="1"/>
  <c r="N1460" i="3" s="1"/>
  <c r="N1409" i="3" a="1"/>
  <c r="N1409" i="3" s="1"/>
  <c r="N1427" i="3" a="1"/>
  <c r="N1427" i="3" s="1"/>
  <c r="N1461" i="3" a="1"/>
  <c r="N1461" i="3" s="1"/>
  <c r="N1454" i="3" a="1"/>
  <c r="N1454" i="3" s="1"/>
  <c r="N1445" i="3" a="1"/>
  <c r="N1445" i="3" s="1"/>
  <c r="N1422" i="3" a="1"/>
  <c r="N1422" i="3" s="1"/>
  <c r="N947" i="3" a="1"/>
  <c r="N947" i="3" s="1"/>
  <c r="N863" i="3" a="1"/>
  <c r="N863" i="3" s="1"/>
  <c r="N909" i="3" a="1"/>
  <c r="N909" i="3" s="1"/>
  <c r="N905" i="3" a="1"/>
  <c r="N905" i="3" s="1"/>
  <c r="N878" i="3" a="1"/>
  <c r="N878" i="3" s="1"/>
  <c r="N901" i="3" a="1"/>
  <c r="N901" i="3" s="1"/>
  <c r="N927" i="3" a="1"/>
  <c r="N927" i="3" s="1"/>
  <c r="N894" i="3" a="1"/>
  <c r="N894" i="3" s="1"/>
  <c r="N867" i="3" a="1"/>
  <c r="N867" i="3" s="1"/>
  <c r="N856" i="3" a="1"/>
  <c r="N856" i="3" s="1"/>
  <c r="N889" i="3" a="1"/>
  <c r="N889" i="3" s="1"/>
  <c r="N929" i="3" a="1"/>
  <c r="N929" i="3" s="1"/>
  <c r="N869" i="3" a="1"/>
  <c r="N869" i="3" s="1"/>
  <c r="N902" i="3" a="1"/>
  <c r="N902" i="3" s="1"/>
  <c r="N918" i="3" a="1"/>
  <c r="N918" i="3" s="1"/>
  <c r="N893" i="3" a="1"/>
  <c r="N893" i="3" s="1"/>
  <c r="N507" i="3" a="1"/>
  <c r="N507" i="3" s="1"/>
  <c r="N465" i="3" a="1"/>
  <c r="N465" i="3" s="1"/>
  <c r="N461" i="3" a="1"/>
  <c r="N461" i="3" s="1"/>
  <c r="N427" i="3" a="1"/>
  <c r="N427" i="3" s="1"/>
  <c r="N529" i="3" a="1"/>
  <c r="N529" i="3" s="1"/>
  <c r="N436" i="3" a="1"/>
  <c r="N436" i="3" s="1"/>
  <c r="N536" i="3" a="1"/>
  <c r="N536" i="3" s="1"/>
  <c r="N533" i="3" a="1"/>
  <c r="N533" i="3" s="1"/>
  <c r="N510" i="3" a="1"/>
  <c r="N510" i="3" s="1"/>
  <c r="N11" i="3" a="1"/>
  <c r="N11" i="3" s="1"/>
  <c r="N118" i="3" a="1"/>
  <c r="N118" i="3" s="1"/>
  <c r="N36" i="3" a="1"/>
  <c r="N36" i="3" s="1"/>
  <c r="N81" i="3" a="1"/>
  <c r="N81" i="3" s="1"/>
  <c r="N4" i="3" a="1"/>
  <c r="N4" i="3" s="1"/>
  <c r="M992" i="2"/>
  <c r="M1081" i="2"/>
  <c r="M961" i="2"/>
  <c r="M1055" i="2"/>
  <c r="M1050" i="2"/>
  <c r="M864" i="2"/>
  <c r="M968" i="2"/>
  <c r="M964" i="2"/>
  <c r="M1120" i="2"/>
  <c r="M1064" i="2"/>
  <c r="M970" i="2"/>
  <c r="M1164" i="2"/>
  <c r="M1031" i="2"/>
  <c r="M985" i="2"/>
  <c r="M1089" i="2"/>
  <c r="M893" i="2"/>
  <c r="M1101" i="2"/>
  <c r="M1061" i="2"/>
  <c r="M1017" i="2"/>
  <c r="M939" i="2"/>
  <c r="M1023" i="2"/>
  <c r="M866" i="2"/>
  <c r="M1169" i="2"/>
  <c r="N2255" i="2" a="1"/>
  <c r="N2255" i="2" s="1"/>
  <c r="N2299" i="2" a="1"/>
  <c r="N2299" i="2" s="1"/>
  <c r="M1033" i="2"/>
  <c r="M1108" i="2"/>
  <c r="M963" i="2"/>
  <c r="N2282" i="2" a="1"/>
  <c r="N2282" i="2" s="1"/>
  <c r="N2263" i="2" a="1"/>
  <c r="N2263" i="2" s="1"/>
  <c r="M923" i="2"/>
  <c r="M1030" i="2"/>
  <c r="M1067" i="2"/>
  <c r="N2250" i="2" a="1"/>
  <c r="N2250" i="2" s="1"/>
  <c r="N2309" i="2" a="1"/>
  <c r="N2309" i="2" s="1"/>
  <c r="N870" i="2" a="1"/>
  <c r="N870" i="2" s="1"/>
  <c r="M1137" i="2"/>
  <c r="M855" i="2"/>
  <c r="N2246" i="2" a="1"/>
  <c r="N2246" i="2" s="1"/>
  <c r="N2313" i="2" a="1"/>
  <c r="N2313" i="2" s="1"/>
  <c r="L2232" i="2"/>
  <c r="N2232" i="2" s="1" a="1"/>
  <c r="N2232" i="2" s="1"/>
  <c r="N2318" i="2" a="1"/>
  <c r="N2318" i="2" s="1"/>
  <c r="L1780" i="2"/>
  <c r="N1780" i="2" s="1" a="1"/>
  <c r="N1780" i="2" s="1"/>
  <c r="N1887" i="2" a="1"/>
  <c r="N1887" i="2" s="1"/>
  <c r="N1817" i="2" a="1"/>
  <c r="N1817" i="2" s="1"/>
  <c r="N1792" i="2" a="1"/>
  <c r="N1792" i="2" s="1"/>
  <c r="N1885" i="2" a="1"/>
  <c r="N1885" i="2" s="1"/>
  <c r="N1805" i="2" a="1"/>
  <c r="N1805" i="2" s="1"/>
  <c r="N1877" i="2" a="1"/>
  <c r="N1877" i="2" s="1"/>
  <c r="N1838" i="2" a="1"/>
  <c r="N1838" i="2" s="1"/>
  <c r="N1842" i="2" a="1"/>
  <c r="N1842" i="2" s="1"/>
  <c r="N1814" i="2" a="1"/>
  <c r="N1814" i="2" s="1"/>
  <c r="N1843" i="2" a="1"/>
  <c r="N1843" i="2" s="1"/>
  <c r="N1782" i="2" a="1"/>
  <c r="N1782" i="2" s="1"/>
  <c r="N1881" i="2" a="1"/>
  <c r="N1881" i="2" s="1"/>
  <c r="N1793" i="2" a="1"/>
  <c r="N1793" i="2" s="1"/>
  <c r="N1873" i="2" a="1"/>
  <c r="N1873" i="2" s="1"/>
  <c r="N1866" i="2" a="1"/>
  <c r="N1866" i="2" s="1"/>
  <c r="N1803" i="2" a="1"/>
  <c r="N1803" i="2" s="1"/>
  <c r="N1850" i="2" a="1"/>
  <c r="N1850" i="2" s="1"/>
  <c r="N1812" i="2" a="1"/>
  <c r="N1812" i="2" s="1"/>
  <c r="N1869" i="2" a="1"/>
  <c r="N1869" i="2" s="1"/>
  <c r="N1874" i="2" a="1"/>
  <c r="N1874" i="2" s="1"/>
  <c r="N1801" i="2" a="1"/>
  <c r="N1801" i="2" s="1"/>
  <c r="N1849" i="2" a="1"/>
  <c r="N1849" i="2" s="1"/>
  <c r="N1804" i="2" a="1"/>
  <c r="N1804" i="2" s="1"/>
  <c r="N1864" i="2" a="1"/>
  <c r="N1864" i="2" s="1"/>
  <c r="N1788" i="2" a="1"/>
  <c r="N1788" i="2" s="1"/>
  <c r="M1481" i="2"/>
  <c r="M1504" i="2"/>
  <c r="M1517" i="2"/>
  <c r="M1721" i="2"/>
  <c r="M1705" i="2"/>
  <c r="M1605" i="2"/>
  <c r="M1742" i="2"/>
  <c r="M1638" i="2"/>
  <c r="M1522" i="2"/>
  <c r="M1422" i="2"/>
  <c r="M1704" i="2"/>
  <c r="M1593" i="2"/>
  <c r="M1488" i="2"/>
  <c r="M1388" i="2"/>
  <c r="M1759" i="2"/>
  <c r="M1729" i="2"/>
  <c r="M1647" i="2"/>
  <c r="M1520" i="2"/>
  <c r="M1395" i="2"/>
  <c r="M1614" i="2"/>
  <c r="M1499" i="2"/>
  <c r="M1747" i="2"/>
  <c r="M1544" i="2"/>
  <c r="M1436" i="2"/>
  <c r="M1669" i="2"/>
  <c r="M1776" i="2"/>
  <c r="M1636" i="2"/>
  <c r="M1510" i="2"/>
  <c r="M1663" i="2"/>
  <c r="M1566" i="2"/>
  <c r="M1723" i="2"/>
  <c r="M1598" i="2"/>
  <c r="M1480" i="2"/>
  <c r="M1629" i="2"/>
  <c r="M1671" i="2"/>
  <c r="M1455" i="2"/>
  <c r="M1409" i="2"/>
  <c r="M1533" i="2"/>
  <c r="M1695" i="2"/>
  <c r="M1595" i="2"/>
  <c r="M1738" i="2"/>
  <c r="M1627" i="2"/>
  <c r="M1512" i="2"/>
  <c r="M1412" i="2"/>
  <c r="M1693" i="2"/>
  <c r="M1582" i="2"/>
  <c r="M1478" i="2"/>
  <c r="M1774" i="2"/>
  <c r="M1744" i="2"/>
  <c r="M1714" i="2"/>
  <c r="M1633" i="2"/>
  <c r="M1516" i="2"/>
  <c r="M1771" i="2"/>
  <c r="M1600" i="2"/>
  <c r="M1461" i="2"/>
  <c r="M1710" i="2"/>
  <c r="M1540" i="2"/>
  <c r="M1415" i="2"/>
  <c r="M1646" i="2"/>
  <c r="M1761" i="2"/>
  <c r="M1622" i="2"/>
  <c r="M1506" i="2"/>
  <c r="M1654" i="2"/>
  <c r="M1557" i="2"/>
  <c r="M1708" i="2"/>
  <c r="M1584" i="2"/>
  <c r="M1750" i="2"/>
  <c r="M1620" i="2"/>
  <c r="M1437" i="2"/>
  <c r="M1414" i="2"/>
  <c r="M1454" i="2"/>
  <c r="M1685" i="2"/>
  <c r="M1585" i="2"/>
  <c r="M1727" i="2"/>
  <c r="M1616" i="2"/>
  <c r="M1502" i="2"/>
  <c r="M1402" i="2"/>
  <c r="M1682" i="2"/>
  <c r="M1578" i="2"/>
  <c r="M1468" i="2"/>
  <c r="M1763" i="2"/>
  <c r="M1733" i="2"/>
  <c r="M1703" i="2"/>
  <c r="M1624" i="2"/>
  <c r="M1495" i="2"/>
  <c r="M1749" i="2"/>
  <c r="M1591" i="2"/>
  <c r="M1457" i="2"/>
  <c r="M1697" i="2"/>
  <c r="M1536" i="2"/>
  <c r="M1394" i="2"/>
  <c r="M1632" i="2"/>
  <c r="M1739" i="2"/>
  <c r="M1613" i="2"/>
  <c r="M1485" i="2"/>
  <c r="M1640" i="2"/>
  <c r="M1552" i="2"/>
  <c r="M1686" i="2"/>
  <c r="M1570" i="2"/>
  <c r="M1713" i="2"/>
  <c r="M1606" i="2"/>
  <c r="M1728" i="2"/>
  <c r="M1467" i="2"/>
  <c r="M1433" i="2"/>
  <c r="M1775" i="2"/>
  <c r="M1675" i="2"/>
  <c r="M1575" i="2"/>
  <c r="M1716" i="2"/>
  <c r="M1601" i="2"/>
  <c r="M1492" i="2"/>
  <c r="M1392" i="2"/>
  <c r="M1678" i="2"/>
  <c r="M1567" i="2"/>
  <c r="M1458" i="2"/>
  <c r="M1752" i="2"/>
  <c r="M1722" i="2"/>
  <c r="M1772" i="2"/>
  <c r="M1610" i="2"/>
  <c r="M1474" i="2"/>
  <c r="M1734" i="2"/>
  <c r="M1577" i="2"/>
  <c r="M1453" i="2"/>
  <c r="M1660" i="2"/>
  <c r="M1515" i="2"/>
  <c r="M1390" i="2"/>
  <c r="M1609" i="2"/>
  <c r="M1724" i="2"/>
  <c r="M1608" i="2"/>
  <c r="M1768" i="2"/>
  <c r="M1631" i="2"/>
  <c r="M1543" i="2"/>
  <c r="M1681" i="2"/>
  <c r="M1561" i="2"/>
  <c r="M1694" i="2"/>
  <c r="M1592" i="2"/>
  <c r="M1460" i="2"/>
  <c r="N1835" i="2" a="1"/>
  <c r="N1835" i="2" s="1"/>
  <c r="M1154" i="2"/>
  <c r="M1054" i="2"/>
  <c r="M954" i="2"/>
  <c r="M854" i="2"/>
  <c r="M1073" i="2"/>
  <c r="M1063" i="2"/>
  <c r="M952" i="2"/>
  <c r="M1165" i="2"/>
  <c r="M1039" i="2"/>
  <c r="M928" i="2"/>
  <c r="M1057" i="2"/>
  <c r="M1075" i="2"/>
  <c r="M860" i="2"/>
  <c r="M962" i="2"/>
  <c r="M1157" i="2"/>
  <c r="M1025" i="2"/>
  <c r="M1100" i="2"/>
  <c r="M861" i="2"/>
  <c r="M958" i="2"/>
  <c r="M1110" i="2"/>
  <c r="M942" i="2"/>
  <c r="M967" i="2"/>
  <c r="M1008" i="2"/>
  <c r="M1007" i="2"/>
  <c r="M1126" i="2"/>
  <c r="M909" i="2"/>
  <c r="M996" i="2"/>
  <c r="M1003" i="2"/>
  <c r="M1059" i="2"/>
  <c r="M891" i="2"/>
  <c r="M1112" i="2"/>
  <c r="M1144" i="2"/>
  <c r="M1044" i="2"/>
  <c r="M944" i="2"/>
  <c r="M1163" i="2"/>
  <c r="M1167" i="2"/>
  <c r="M1052" i="2"/>
  <c r="M941" i="2"/>
  <c r="M1161" i="2"/>
  <c r="M1028" i="2"/>
  <c r="M1156" i="2"/>
  <c r="M1046" i="2"/>
  <c r="M1042" i="2"/>
  <c r="M856" i="2"/>
  <c r="M957" i="2"/>
  <c r="M1151" i="2"/>
  <c r="M980" i="2"/>
  <c r="M1091" i="2"/>
  <c r="M1159" i="2"/>
  <c r="M951" i="2"/>
  <c r="M1078" i="2"/>
  <c r="M911" i="2"/>
  <c r="M959" i="2"/>
  <c r="M990" i="2"/>
  <c r="M998" i="2"/>
  <c r="M1095" i="2"/>
  <c r="M901" i="2"/>
  <c r="M988" i="2"/>
  <c r="M979" i="2"/>
  <c r="M1011" i="2"/>
  <c r="M870" i="2"/>
  <c r="M1040" i="2"/>
  <c r="M1134" i="2"/>
  <c r="M1034" i="2"/>
  <c r="M934" i="2"/>
  <c r="M1153" i="2"/>
  <c r="M1146" i="2"/>
  <c r="M1041" i="2"/>
  <c r="M937" i="2"/>
  <c r="M1140" i="2"/>
  <c r="M1013" i="2"/>
  <c r="M1152" i="2"/>
  <c r="M1035" i="2"/>
  <c r="M1032" i="2"/>
  <c r="M1139" i="2"/>
  <c r="M948" i="2"/>
  <c r="M1145" i="2"/>
  <c r="M971" i="2"/>
  <c r="M1021" i="2"/>
  <c r="M1116" i="2"/>
  <c r="M945" i="2"/>
  <c r="M1056" i="2"/>
  <c r="M882" i="2"/>
  <c r="M933" i="2"/>
  <c r="M917" i="2"/>
  <c r="M982" i="2"/>
  <c r="M1072" i="2"/>
  <c r="M879" i="2"/>
  <c r="M955" i="2"/>
  <c r="M946" i="2"/>
  <c r="M993" i="2"/>
  <c r="M960" i="2"/>
  <c r="M1022" i="2"/>
  <c r="M1124" i="2"/>
  <c r="M1024" i="2"/>
  <c r="M924" i="2"/>
  <c r="M1143" i="2"/>
  <c r="M1142" i="2"/>
  <c r="M1037" i="2"/>
  <c r="M926" i="2"/>
  <c r="M1119" i="2"/>
  <c r="M1002" i="2"/>
  <c r="M1148" i="2"/>
  <c r="M1020" i="2"/>
  <c r="M1005" i="2"/>
  <c r="M1128" i="2"/>
  <c r="M925" i="2"/>
  <c r="M1121" i="2"/>
  <c r="M966" i="2"/>
  <c r="M1006" i="2"/>
  <c r="M1058" i="2"/>
  <c r="M919" i="2"/>
  <c r="M1048" i="2"/>
  <c r="M868" i="2"/>
  <c r="M918" i="2"/>
  <c r="M910" i="2"/>
  <c r="M956" i="2"/>
  <c r="M1016" i="2"/>
  <c r="M871" i="2"/>
  <c r="M930" i="2"/>
  <c r="M922" i="2"/>
  <c r="M1060" i="2"/>
  <c r="M936" i="2"/>
  <c r="M920" i="2"/>
  <c r="M1114" i="2"/>
  <c r="M1014" i="2"/>
  <c r="M914" i="2"/>
  <c r="M1133" i="2"/>
  <c r="M1138" i="2"/>
  <c r="M1026" i="2"/>
  <c r="M915" i="2"/>
  <c r="M1115" i="2"/>
  <c r="M991" i="2"/>
  <c r="M1127" i="2"/>
  <c r="M1009" i="2"/>
  <c r="M986" i="2"/>
  <c r="M1086" i="2"/>
  <c r="M921" i="2"/>
  <c r="M1109" i="2"/>
  <c r="M943" i="2"/>
  <c r="M938" i="2"/>
  <c r="M1043" i="2"/>
  <c r="M913" i="2"/>
  <c r="M1029" i="2"/>
  <c r="M1130" i="2"/>
  <c r="M903" i="2"/>
  <c r="M887" i="2"/>
  <c r="M916" i="2"/>
  <c r="M981" i="2"/>
  <c r="M857" i="2"/>
  <c r="M908" i="2"/>
  <c r="M899" i="2"/>
  <c r="M977" i="2"/>
  <c r="M886" i="2"/>
  <c r="M898" i="2"/>
  <c r="M905" i="2"/>
  <c r="M1104" i="2"/>
  <c r="M1004" i="2"/>
  <c r="M904" i="2"/>
  <c r="M1123" i="2"/>
  <c r="M1117" i="2"/>
  <c r="M1015" i="2"/>
  <c r="M900" i="2"/>
  <c r="M1111" i="2"/>
  <c r="M987" i="2"/>
  <c r="M1106" i="2"/>
  <c r="M1141" i="2"/>
  <c r="M972" i="2"/>
  <c r="M1080" i="2"/>
  <c r="M896" i="2"/>
  <c r="M1097" i="2"/>
  <c r="M929" i="2"/>
  <c r="M932" i="2"/>
  <c r="M1027" i="2"/>
  <c r="M895" i="2"/>
  <c r="M1010" i="2"/>
  <c r="M1066" i="2"/>
  <c r="M1149" i="2"/>
  <c r="M881" i="2"/>
  <c r="M880" i="2"/>
  <c r="M973" i="2"/>
  <c r="K852" i="2"/>
  <c r="M852" i="2" s="1"/>
  <c r="M1166" i="2"/>
  <c r="M877" i="2"/>
  <c r="M875" i="2"/>
  <c r="M869" i="2"/>
  <c r="M876" i="2"/>
  <c r="M1094" i="2"/>
  <c r="M994" i="2"/>
  <c r="M894" i="2"/>
  <c r="M1113" i="2"/>
  <c r="M1096" i="2"/>
  <c r="M1000" i="2"/>
  <c r="M889" i="2"/>
  <c r="M1090" i="2"/>
  <c r="M976" i="2"/>
  <c r="M1102" i="2"/>
  <c r="M1105" i="2"/>
  <c r="M949" i="2"/>
  <c r="M1068" i="2"/>
  <c r="M892" i="2"/>
  <c r="M1085" i="2"/>
  <c r="M867" i="2"/>
  <c r="M907" i="2"/>
  <c r="M1019" i="2"/>
  <c r="M883" i="2"/>
  <c r="M1001" i="2"/>
  <c r="M1047" i="2"/>
  <c r="M1129" i="2"/>
  <c r="M1160" i="2"/>
  <c r="M873" i="2"/>
  <c r="M947" i="2"/>
  <c r="M1168" i="2"/>
  <c r="M1136" i="2"/>
  <c r="M1155" i="2"/>
  <c r="M858" i="2"/>
  <c r="M1070" i="2"/>
  <c r="M953" i="2"/>
  <c r="M885" i="2"/>
  <c r="N1412" i="2" a="1"/>
  <c r="N1412" i="2" s="1"/>
  <c r="N1446" i="2" a="1"/>
  <c r="N1446" i="2" s="1"/>
  <c r="N1468" i="2" a="1"/>
  <c r="N1468" i="2" s="1"/>
  <c r="N1425" i="2" a="1"/>
  <c r="N1425" i="2" s="1"/>
  <c r="N1401" i="2" a="1"/>
  <c r="N1401" i="2" s="1"/>
  <c r="N1432" i="2" a="1"/>
  <c r="N1432" i="2" s="1"/>
  <c r="N1458" i="2" a="1"/>
  <c r="N1458" i="2" s="1"/>
  <c r="N1397" i="2" a="1"/>
  <c r="N1397" i="2" s="1"/>
  <c r="N1415" i="2" a="1"/>
  <c r="N1415" i="2" s="1"/>
  <c r="N1491" i="2" a="1"/>
  <c r="N1491" i="2" s="1"/>
  <c r="N1391" i="2" a="1"/>
  <c r="N1391" i="2" s="1"/>
  <c r="N1394" i="2" a="1"/>
  <c r="N1394" i="2" s="1"/>
  <c r="N1470" i="2" a="1"/>
  <c r="N1470" i="2" s="1"/>
  <c r="N1392" i="2" a="1"/>
  <c r="N1392" i="2" s="1"/>
  <c r="N1416" i="2" a="1"/>
  <c r="N1416" i="2" s="1"/>
  <c r="N1483" i="2" a="1"/>
  <c r="N1483" i="2" s="1"/>
  <c r="N1405" i="2" a="1"/>
  <c r="N1405" i="2" s="1"/>
  <c r="N1481" i="2" a="1"/>
  <c r="N1481" i="2" s="1"/>
  <c r="N1478" i="2" a="1"/>
  <c r="N1478" i="2" s="1"/>
  <c r="N1390" i="2" a="1"/>
  <c r="N1390" i="2" s="1"/>
  <c r="N1442" i="2" a="1"/>
  <c r="N1442" i="2" s="1"/>
  <c r="N1430" i="2" a="1"/>
  <c r="N1430" i="2" s="1"/>
  <c r="N1414" i="2" a="1"/>
  <c r="N1414" i="2" s="1"/>
  <c r="N1439" i="2" a="1"/>
  <c r="N1439" i="2" s="1"/>
  <c r="L1387" i="2"/>
  <c r="N1387" i="2" s="1" a="1"/>
  <c r="N1387" i="2" s="1"/>
  <c r="N1395" i="2" a="1"/>
  <c r="N1395" i="2" s="1"/>
  <c r="N1471" i="2" a="1"/>
  <c r="N1471" i="2" s="1"/>
  <c r="N1457" i="2" a="1"/>
  <c r="N1457" i="2" s="1"/>
  <c r="N1477" i="2" a="1"/>
  <c r="N1477" i="2" s="1"/>
  <c r="N1484" i="2" a="1"/>
  <c r="N1484" i="2" s="1"/>
  <c r="N1447" i="2" a="1"/>
  <c r="N1447" i="2" s="1"/>
  <c r="N1492" i="2" a="1"/>
  <c r="N1492" i="2" s="1"/>
  <c r="N1413" i="2" a="1"/>
  <c r="N1413" i="2" s="1"/>
  <c r="N1393" i="2" a="1"/>
  <c r="N1393" i="2" s="1"/>
  <c r="N1485" i="2" a="1"/>
  <c r="N1485" i="2" s="1"/>
  <c r="N1461" i="2" a="1"/>
  <c r="N1461" i="2" s="1"/>
  <c r="N1453" i="2" a="1"/>
  <c r="N1453" i="2" s="1"/>
  <c r="N1490" i="2" a="1"/>
  <c r="N1490" i="2" s="1"/>
  <c r="N1473" i="2" a="1"/>
  <c r="N1473" i="2" s="1"/>
  <c r="N1480" i="2" a="1"/>
  <c r="N1480" i="2" s="1"/>
  <c r="N1454" i="2" a="1"/>
  <c r="N1454" i="2" s="1"/>
  <c r="N1389" i="2" a="1"/>
  <c r="N1389" i="2" s="1"/>
  <c r="N1429" i="2" a="1"/>
  <c r="N1429" i="2" s="1"/>
  <c r="N1475" i="2" a="1"/>
  <c r="N1475" i="2" s="1"/>
  <c r="N1451" i="2" a="1"/>
  <c r="N1451" i="2" s="1"/>
  <c r="N1449" i="2" a="1"/>
  <c r="N1449" i="2" s="1"/>
  <c r="N1486" i="2" a="1"/>
  <c r="N1486" i="2" s="1"/>
  <c r="N1469" i="2" a="1"/>
  <c r="N1469" i="2" s="1"/>
  <c r="N1466" i="2" a="1"/>
  <c r="N1466" i="2" s="1"/>
  <c r="N1479" i="2" a="1"/>
  <c r="N1479" i="2" s="1"/>
  <c r="M1171" i="2"/>
  <c r="M1188" i="2"/>
  <c r="K1170" i="2"/>
  <c r="M1170" i="2" s="1"/>
  <c r="M1208" i="2"/>
  <c r="M1200" i="2"/>
  <c r="M1187" i="2"/>
  <c r="M1190" i="2"/>
  <c r="M1203" i="2"/>
  <c r="M1180" i="2"/>
  <c r="M1199" i="2"/>
  <c r="M1193" i="2"/>
  <c r="M1195" i="2"/>
  <c r="N907" i="2" a="1"/>
  <c r="N907" i="2" s="1"/>
  <c r="N868" i="2" a="1"/>
  <c r="N868" i="2" s="1"/>
  <c r="N1440" i="2" a="1"/>
  <c r="N1440" i="2" s="1"/>
  <c r="N1403" i="2" a="1"/>
  <c r="N1403" i="2" s="1"/>
  <c r="N1421" i="2" a="1"/>
  <c r="N1421" i="2" s="1"/>
  <c r="N1445" i="2" a="1"/>
  <c r="N1445" i="2" s="1"/>
  <c r="M1736" i="2"/>
  <c r="M1456" i="2"/>
  <c r="N1433" i="2" a="1"/>
  <c r="N1433" i="2" s="1"/>
  <c r="N1402" i="2" a="1"/>
  <c r="N1402" i="2" s="1"/>
  <c r="M1209" i="2"/>
  <c r="M1196" i="2"/>
  <c r="M1191" i="2"/>
  <c r="N479" i="2" a="1"/>
  <c r="N479" i="2" s="1"/>
  <c r="M1051" i="2"/>
  <c r="M1132" i="2"/>
  <c r="M995" i="2"/>
  <c r="M1131" i="2"/>
  <c r="M1071" i="2"/>
  <c r="M1053" i="2"/>
  <c r="M931" i="2"/>
  <c r="M1158" i="2"/>
  <c r="M1045" i="2"/>
  <c r="M1076" i="2"/>
  <c r="M1018" i="2"/>
  <c r="M975" i="2"/>
  <c r="M1162" i="2"/>
  <c r="M997" i="2"/>
  <c r="M890" i="2"/>
  <c r="M1125" i="2"/>
  <c r="M1062" i="2"/>
  <c r="M859" i="2"/>
  <c r="M999" i="2"/>
  <c r="M897" i="2"/>
  <c r="M1087" i="2"/>
  <c r="M1077" i="2"/>
  <c r="M950" i="2"/>
  <c r="M1065" i="2"/>
  <c r="M863" i="2"/>
  <c r="M978" i="2"/>
  <c r="M1088" i="2"/>
  <c r="M1093" i="2"/>
  <c r="M874" i="2"/>
  <c r="M974" i="2"/>
  <c r="M1074" i="2"/>
  <c r="M969" i="2"/>
  <c r="M1049" i="2"/>
  <c r="M1122" i="2"/>
  <c r="M1135" i="2"/>
  <c r="M1082" i="2"/>
  <c r="M1147" i="2"/>
  <c r="M940" i="2"/>
  <c r="M865" i="2"/>
  <c r="M1118" i="2"/>
  <c r="M1107" i="2"/>
  <c r="M1038" i="2"/>
  <c r="M983" i="2"/>
  <c r="M872" i="2"/>
  <c r="M1012" i="2"/>
  <c r="M902" i="2"/>
  <c r="M1150" i="2"/>
  <c r="M1079" i="2"/>
  <c r="M888" i="2"/>
  <c r="M1036" i="2"/>
  <c r="M935" i="2"/>
  <c r="M1099" i="2"/>
  <c r="M1098" i="2"/>
  <c r="M965" i="2"/>
  <c r="M1069" i="2"/>
  <c r="M878" i="2"/>
  <c r="M989" i="2"/>
  <c r="M1092" i="2"/>
  <c r="M1103" i="2"/>
  <c r="M884" i="2"/>
  <c r="M984" i="2"/>
  <c r="M1084" i="2"/>
  <c r="N1235" i="2" a="1"/>
  <c r="N1235" i="2" s="1"/>
  <c r="N1266" i="2" a="1"/>
  <c r="N1266" i="2" s="1"/>
  <c r="N884" i="2" a="1"/>
  <c r="N884" i="2" s="1"/>
  <c r="N1231" i="2" a="1"/>
  <c r="N1231" i="2" s="1"/>
  <c r="N1257" i="2" a="1"/>
  <c r="N1257" i="2" s="1"/>
  <c r="N1236" i="2" a="1"/>
  <c r="N1236" i="2" s="1"/>
  <c r="N1213" i="2" a="1"/>
  <c r="N1213" i="2" s="1"/>
  <c r="N1224" i="2" a="1"/>
  <c r="N1224" i="2" s="1"/>
  <c r="N1238" i="2" a="1"/>
  <c r="N1238" i="2" s="1"/>
  <c r="N1172" i="2" a="1"/>
  <c r="N1172" i="2" s="1"/>
  <c r="N1268" i="2" a="1"/>
  <c r="N1268" i="2" s="1"/>
  <c r="N1234" i="2" a="1"/>
  <c r="N1234" i="2" s="1"/>
  <c r="N864" i="2" a="1"/>
  <c r="N864" i="2" s="1"/>
  <c r="N469" i="2" a="1"/>
  <c r="N469" i="2" s="1"/>
  <c r="N494" i="2" a="1"/>
  <c r="N494" i="2" s="1"/>
  <c r="N1464" i="2" a="1"/>
  <c r="N1464" i="2" s="1"/>
  <c r="M1758" i="2"/>
  <c r="M1662" i="2"/>
  <c r="M1525" i="2"/>
  <c r="M1487" i="2"/>
  <c r="M1459" i="2"/>
  <c r="M1427" i="2"/>
  <c r="M1404" i="2"/>
  <c r="M1588" i="2"/>
  <c r="M1483" i="2"/>
  <c r="M1451" i="2"/>
  <c r="M1423" i="2"/>
  <c r="M1400" i="2"/>
  <c r="M1521" i="2"/>
  <c r="M1476" i="2"/>
  <c r="M1447" i="2"/>
  <c r="M1421" i="2"/>
  <c r="M1397" i="2"/>
  <c r="M1475" i="2"/>
  <c r="M1446" i="2"/>
  <c r="M1393" i="2"/>
  <c r="M1743" i="2"/>
  <c r="M1639" i="2"/>
  <c r="M1471" i="2"/>
  <c r="M1441" i="2"/>
  <c r="M1417" i="2"/>
  <c r="M1391" i="2"/>
  <c r="M1634" i="2"/>
  <c r="M1551" i="2"/>
  <c r="M1509" i="2"/>
  <c r="M1469" i="2"/>
  <c r="M1439" i="2"/>
  <c r="M1435" i="2"/>
  <c r="K1387" i="2"/>
  <c r="M1387" i="2" s="1"/>
  <c r="M1706" i="2"/>
  <c r="M1464" i="2"/>
  <c r="M1410" i="2"/>
  <c r="M1611" i="2"/>
  <c r="M1537" i="2"/>
  <c r="M1463" i="2"/>
  <c r="M1434" i="2"/>
  <c r="M1597" i="2"/>
  <c r="M1496" i="2"/>
  <c r="M1429" i="2"/>
  <c r="M1405" i="2"/>
  <c r="N1410" i="2" a="1"/>
  <c r="N1410" i="2" s="1"/>
  <c r="N1839" i="2" a="1"/>
  <c r="N1839" i="2" s="1"/>
  <c r="N1830" i="2" a="1"/>
  <c r="N1830" i="2" s="1"/>
  <c r="N1821" i="2" a="1"/>
  <c r="N1821" i="2" s="1"/>
  <c r="N1891" i="2" a="1"/>
  <c r="N1891" i="2" s="1"/>
  <c r="N1833" i="2" a="1"/>
  <c r="N1833" i="2" s="1"/>
  <c r="N1799" i="2" a="1"/>
  <c r="N1799" i="2" s="1"/>
  <c r="N1186" i="2" a="1"/>
  <c r="N1186" i="2" s="1"/>
  <c r="N878" i="2" a="1"/>
  <c r="N878" i="2" s="1"/>
  <c r="N900" i="2" a="1"/>
  <c r="N900" i="2" s="1"/>
  <c r="N905" i="2" a="1"/>
  <c r="N905" i="2" s="1"/>
  <c r="N946" i="2" a="1"/>
  <c r="N946" i="2" s="1"/>
  <c r="N874" i="2" a="1"/>
  <c r="N874" i="2" s="1"/>
  <c r="N503" i="2" a="1"/>
  <c r="N503" i="2" s="1"/>
  <c r="N1871" i="2" a="1"/>
  <c r="N1871" i="2" s="1"/>
  <c r="N1786" i="2" a="1"/>
  <c r="N1786" i="2" s="1"/>
  <c r="N929" i="2" a="1"/>
  <c r="N929" i="2" s="1"/>
  <c r="N944" i="2" a="1"/>
  <c r="N944" i="2" s="1"/>
  <c r="N933" i="2" a="1"/>
  <c r="N933" i="2" s="1"/>
  <c r="N887" i="2" a="1"/>
  <c r="N887" i="2" s="1"/>
  <c r="N523" i="2" a="1"/>
  <c r="N523" i="2" s="1"/>
  <c r="M1207" i="2"/>
  <c r="M1182" i="2"/>
  <c r="M1206" i="2"/>
  <c r="M1179" i="2"/>
  <c r="M1205" i="2"/>
  <c r="M1178" i="2"/>
  <c r="M1204" i="2"/>
  <c r="M1177" i="2"/>
  <c r="M1198" i="2"/>
  <c r="M1176" i="2"/>
  <c r="M1197" i="2"/>
  <c r="M1175" i="2"/>
  <c r="M1194" i="2"/>
  <c r="M1173" i="2"/>
  <c r="M1186" i="2"/>
  <c r="M1172" i="2"/>
  <c r="M1184" i="2"/>
  <c r="M1183" i="2"/>
  <c r="N1853" i="2" a="1"/>
  <c r="N1853" i="2" s="1"/>
  <c r="N1875" i="2" a="1"/>
  <c r="N1875" i="2" s="1"/>
  <c r="N1837" i="2" a="1"/>
  <c r="N1837" i="2" s="1"/>
  <c r="N1796" i="2" a="1"/>
  <c r="N1796" i="2" s="1"/>
  <c r="N871" i="2" a="1"/>
  <c r="N871" i="2" s="1"/>
  <c r="N897" i="2" a="1"/>
  <c r="N897" i="2" s="1"/>
  <c r="N1798" i="2" a="1"/>
  <c r="N1798" i="2" s="1"/>
  <c r="N1884" i="2" a="1"/>
  <c r="N1884" i="2" s="1"/>
  <c r="N1846" i="2" a="1"/>
  <c r="N1846" i="2" s="1"/>
  <c r="N879" i="2" a="1"/>
  <c r="N879" i="2" s="1"/>
  <c r="N947" i="2" a="1"/>
  <c r="N947" i="2" s="1"/>
  <c r="N1886" i="2" a="1"/>
  <c r="N1886" i="2" s="1"/>
  <c r="N1888" i="2" a="1"/>
  <c r="N1888" i="2" s="1"/>
  <c r="N1893" i="2" a="1"/>
  <c r="N1893" i="2" s="1"/>
  <c r="N912" i="2" a="1"/>
  <c r="N912" i="2" s="1"/>
  <c r="N438" i="2" a="1"/>
  <c r="N438" i="2" s="1"/>
  <c r="N1797" i="2" a="1"/>
  <c r="N1797" i="2" s="1"/>
  <c r="N1841" i="2" a="1"/>
  <c r="N1841" i="2" s="1"/>
  <c r="N1890" i="2" a="1"/>
  <c r="N1890" i="2" s="1"/>
  <c r="N1895" i="2" a="1"/>
  <c r="N1895" i="2" s="1"/>
  <c r="N1176" i="2" a="1"/>
  <c r="N1176" i="2" s="1"/>
  <c r="N1173" i="2" a="1"/>
  <c r="N1173" i="2" s="1"/>
  <c r="N916" i="2" a="1"/>
  <c r="N916" i="2" s="1"/>
  <c r="N456" i="2" a="1"/>
  <c r="N456" i="2" s="1"/>
  <c r="N453" i="2" a="1"/>
  <c r="N453" i="2" s="1"/>
  <c r="M912" i="2"/>
  <c r="M906" i="2"/>
  <c r="M853" i="2"/>
  <c r="M927" i="2"/>
  <c r="N924" i="2" a="1"/>
  <c r="N924" i="2" s="1"/>
  <c r="N459" i="2" a="1"/>
  <c r="N459" i="2" s="1"/>
  <c r="N476" i="2" a="1"/>
  <c r="N476" i="2" s="1"/>
  <c r="N1784" i="2" a="1"/>
  <c r="N1784" i="2" s="1"/>
  <c r="N1844" i="2" a="1"/>
  <c r="N1844" i="2" s="1"/>
  <c r="N1847" i="2" a="1"/>
  <c r="N1847" i="2" s="1"/>
  <c r="N1223" i="2" a="1"/>
  <c r="N1223" i="2" s="1"/>
  <c r="N1184" i="2" a="1"/>
  <c r="N1184" i="2" s="1"/>
  <c r="N1199" i="2" a="1"/>
  <c r="N1199" i="2" s="1"/>
  <c r="N945" i="2" a="1"/>
  <c r="N945" i="2" s="1"/>
  <c r="N860" i="2" a="1"/>
  <c r="N860" i="2" s="1"/>
  <c r="N489" i="2" a="1"/>
  <c r="N489" i="2" s="1"/>
  <c r="N1463" i="2" a="1"/>
  <c r="N1463" i="2" s="1"/>
  <c r="N1459" i="2" a="1"/>
  <c r="N1459" i="2" s="1"/>
  <c r="N1434" i="2" a="1"/>
  <c r="N1434" i="2" s="1"/>
  <c r="N1409" i="2" a="1"/>
  <c r="N1409" i="2" s="1"/>
  <c r="N1872" i="2" a="1"/>
  <c r="N1872" i="2" s="1"/>
  <c r="N1827" i="2" a="1"/>
  <c r="N1827" i="2" s="1"/>
  <c r="N1868" i="2" a="1"/>
  <c r="N1868" i="2" s="1"/>
  <c r="N1862" i="2" a="1"/>
  <c r="N1862" i="2" s="1"/>
  <c r="N1828" i="2" a="1"/>
  <c r="N1828" i="2" s="1"/>
  <c r="N1834" i="2" a="1"/>
  <c r="N1834" i="2" s="1"/>
  <c r="N1865" i="2" a="1"/>
  <c r="N1865" i="2" s="1"/>
  <c r="N1851" i="2" a="1"/>
  <c r="N1851" i="2" s="1"/>
  <c r="N1880" i="2" a="1"/>
  <c r="N1880" i="2" s="1"/>
  <c r="N1878" i="2" a="1"/>
  <c r="N1878" i="2" s="1"/>
  <c r="N1899" i="2" a="1"/>
  <c r="N1899" i="2" s="1"/>
  <c r="N1197" i="2" a="1"/>
  <c r="N1197" i="2" s="1"/>
  <c r="N1239" i="2" a="1"/>
  <c r="N1239" i="2" s="1"/>
  <c r="N1203" i="2" a="1"/>
  <c r="N1203" i="2" s="1"/>
  <c r="N1214" i="2" a="1"/>
  <c r="N1214" i="2" s="1"/>
  <c r="N1809" i="2" a="1"/>
  <c r="N1809" i="2" s="1"/>
  <c r="N908" i="2" a="1"/>
  <c r="N908" i="2" s="1"/>
  <c r="N863" i="2" a="1"/>
  <c r="N863" i="2" s="1"/>
  <c r="N930" i="2" a="1"/>
  <c r="N930" i="2" s="1"/>
  <c r="N935" i="2" a="1"/>
  <c r="N935" i="2" s="1"/>
  <c r="N859" i="2" a="1"/>
  <c r="N859" i="2" s="1"/>
  <c r="N877" i="2" a="1"/>
  <c r="N877" i="2" s="1"/>
  <c r="N931" i="2" a="1"/>
  <c r="N931" i="2" s="1"/>
  <c r="N159" i="2" a="1"/>
  <c r="N159" i="2" s="1"/>
  <c r="N152" i="2" a="1"/>
  <c r="N152" i="2" s="1"/>
  <c r="N161" i="2" a="1"/>
  <c r="N161" i="2" s="1"/>
  <c r="N163" i="2" a="1"/>
  <c r="N163" i="2" s="1"/>
  <c r="N454" i="2" a="1"/>
  <c r="N454" i="2" s="1"/>
  <c r="N433" i="2" a="1"/>
  <c r="N433" i="2" s="1"/>
  <c r="N444" i="2" a="1"/>
  <c r="N444" i="2" s="1"/>
  <c r="N487" i="2" a="1"/>
  <c r="N487" i="2" s="1"/>
  <c r="N484" i="2" a="1"/>
  <c r="N484" i="2" s="1"/>
  <c r="N468" i="2" a="1"/>
  <c r="N468" i="2" s="1"/>
  <c r="N537" i="2" a="1"/>
  <c r="N537" i="2" s="1"/>
  <c r="N451" i="2" a="1"/>
  <c r="N451" i="2" s="1"/>
  <c r="N450" i="2" a="1"/>
  <c r="N450" i="2" s="1"/>
  <c r="N154" i="2" a="1"/>
  <c r="N154" i="2" s="1"/>
  <c r="N472" i="2" a="1"/>
  <c r="N472" i="2" s="1"/>
  <c r="N541" i="2" a="1"/>
  <c r="N541" i="2" s="1"/>
  <c r="N462" i="2" a="1"/>
  <c r="N462" i="2" s="1"/>
  <c r="N460" i="2" a="1"/>
  <c r="N460" i="2" s="1"/>
  <c r="N162" i="2" a="1"/>
  <c r="N162" i="2" s="1"/>
  <c r="N160" i="2" a="1"/>
  <c r="N160" i="2" s="1"/>
  <c r="N165" i="2" a="1"/>
  <c r="N165" i="2" s="1"/>
  <c r="N156" i="2" a="1"/>
  <c r="N156" i="2" s="1"/>
  <c r="N164" i="2" a="1"/>
  <c r="N164" i="2" s="1"/>
  <c r="N150" i="2" a="1"/>
  <c r="N150" i="2" s="1"/>
  <c r="N146" i="2" a="1"/>
  <c r="N146" i="2" s="1"/>
  <c r="N517" i="2" a="1"/>
  <c r="N517" i="2" s="1"/>
  <c r="N473" i="2" a="1"/>
  <c r="N473" i="2" s="1"/>
  <c r="N470" i="2" a="1"/>
  <c r="N470" i="2" s="1"/>
  <c r="N529" i="2" a="1"/>
  <c r="N529" i="2" s="1"/>
  <c r="M2441" i="2"/>
  <c r="M2431" i="2"/>
  <c r="M2421" i="2"/>
  <c r="M2411" i="2"/>
  <c r="M2401" i="2"/>
  <c r="M2391" i="2"/>
  <c r="M2381" i="2"/>
  <c r="M2371" i="2"/>
  <c r="M2361" i="2"/>
  <c r="M2351" i="2"/>
  <c r="M2341" i="2"/>
  <c r="M2331" i="2"/>
  <c r="M2321" i="2"/>
  <c r="M2311" i="2"/>
  <c r="M2301" i="2"/>
  <c r="M2291" i="2"/>
  <c r="M2281" i="2"/>
  <c r="M2271" i="2"/>
  <c r="M2261" i="2"/>
  <c r="M2251" i="2"/>
  <c r="M2241" i="2"/>
  <c r="M2447" i="2"/>
  <c r="M2436" i="2"/>
  <c r="M2425" i="2"/>
  <c r="M2410" i="2"/>
  <c r="M2399" i="2"/>
  <c r="M2388" i="2"/>
  <c r="M2384" i="2"/>
  <c r="M2373" i="2"/>
  <c r="M2362" i="2"/>
  <c r="M2347" i="2"/>
  <c r="M2336" i="2"/>
  <c r="M2325" i="2"/>
  <c r="M2310" i="2"/>
  <c r="M2299" i="2"/>
  <c r="M2288" i="2"/>
  <c r="M2284" i="2"/>
  <c r="M2273" i="2"/>
  <c r="M2262" i="2"/>
  <c r="M2247" i="2"/>
  <c r="M2236" i="2"/>
  <c r="M2446" i="2"/>
  <c r="M2435" i="2"/>
  <c r="M2420" i="2"/>
  <c r="M2409" i="2"/>
  <c r="M2398" i="2"/>
  <c r="M2394" i="2"/>
  <c r="M2383" i="2"/>
  <c r="M2372" i="2"/>
  <c r="M2357" i="2"/>
  <c r="M2346" i="2"/>
  <c r="M2335" i="2"/>
  <c r="M2320" i="2"/>
  <c r="M2309" i="2"/>
  <c r="M2298" i="2"/>
  <c r="M2294" i="2"/>
  <c r="M2283" i="2"/>
  <c r="M2272" i="2"/>
  <c r="M2442" i="2"/>
  <c r="M2433" i="2"/>
  <c r="M2419" i="2"/>
  <c r="M2405" i="2"/>
  <c r="M2396" i="2"/>
  <c r="M2382" i="2"/>
  <c r="M2368" i="2"/>
  <c r="M2359" i="2"/>
  <c r="M2354" i="2"/>
  <c r="M2345" i="2"/>
  <c r="M2322" i="2"/>
  <c r="M2317" i="2"/>
  <c r="M2308" i="2"/>
  <c r="M2285" i="2"/>
  <c r="M2280" i="2"/>
  <c r="M2258" i="2"/>
  <c r="M2437" i="2"/>
  <c r="M2428" i="2"/>
  <c r="M2423" i="2"/>
  <c r="M2414" i="2"/>
  <c r="M2400" i="2"/>
  <c r="M2386" i="2"/>
  <c r="M2377" i="2"/>
  <c r="M2363" i="2"/>
  <c r="M2349" i="2"/>
  <c r="M2340" i="2"/>
  <c r="M2326" i="2"/>
  <c r="M2312" i="2"/>
  <c r="M2303" i="2"/>
  <c r="M2289" i="2"/>
  <c r="M2275" i="2"/>
  <c r="M2266" i="2"/>
  <c r="M2237" i="2"/>
  <c r="M2233" i="2"/>
  <c r="K2232" i="2"/>
  <c r="M2232" i="2" s="1"/>
  <c r="M2432" i="2"/>
  <c r="M2427" i="2"/>
  <c r="M2404" i="2"/>
  <c r="M2395" i="2"/>
  <c r="M2390" i="2"/>
  <c r="M2367" i="2"/>
  <c r="M2358" i="2"/>
  <c r="M2353" i="2"/>
  <c r="M2344" i="2"/>
  <c r="M2330" i="2"/>
  <c r="M2316" i="2"/>
  <c r="M2307" i="2"/>
  <c r="M2293" i="2"/>
  <c r="M2279" i="2"/>
  <c r="M2270" i="2"/>
  <c r="M2257" i="2"/>
  <c r="M2253" i="2"/>
  <c r="M2249" i="2"/>
  <c r="M2245" i="2"/>
  <c r="M2418" i="2"/>
  <c r="M2413" i="2"/>
  <c r="M2376" i="2"/>
  <c r="M2339" i="2"/>
  <c r="M2334" i="2"/>
  <c r="M2302" i="2"/>
  <c r="M2297" i="2"/>
  <c r="M2274" i="2"/>
  <c r="M2265" i="2"/>
  <c r="M2445" i="2"/>
  <c r="M2422" i="2"/>
  <c r="M2417" i="2"/>
  <c r="M2408" i="2"/>
  <c r="M2385" i="2"/>
  <c r="M2380" i="2"/>
  <c r="M2348" i="2"/>
  <c r="M2343" i="2"/>
  <c r="M2306" i="2"/>
  <c r="M2269" i="2"/>
  <c r="M2244" i="2"/>
  <c r="M2240" i="2"/>
  <c r="M2444" i="2"/>
  <c r="M2430" i="2"/>
  <c r="M2416" i="2"/>
  <c r="M2407" i="2"/>
  <c r="M2393" i="2"/>
  <c r="M2379" i="2"/>
  <c r="M2370" i="2"/>
  <c r="M2356" i="2"/>
  <c r="M2342" i="2"/>
  <c r="M2333" i="2"/>
  <c r="M2319" i="2"/>
  <c r="M2305" i="2"/>
  <c r="M2296" i="2"/>
  <c r="M2282" i="2"/>
  <c r="M2268" i="2"/>
  <c r="M2243" i="2"/>
  <c r="M2239" i="2"/>
  <c r="M2235" i="2"/>
  <c r="M2439" i="2"/>
  <c r="M2434" i="2"/>
  <c r="M2402" i="2"/>
  <c r="M2397" i="2"/>
  <c r="M2374" i="2"/>
  <c r="M2365" i="2"/>
  <c r="M2360" i="2"/>
  <c r="M2337" i="2"/>
  <c r="M2328" i="2"/>
  <c r="M2323" i="2"/>
  <c r="M2443" i="2"/>
  <c r="M2429" i="2"/>
  <c r="M2412" i="2"/>
  <c r="M2366" i="2"/>
  <c r="M2263" i="2"/>
  <c r="M2252" i="2"/>
  <c r="M2426" i="2"/>
  <c r="M2364" i="2"/>
  <c r="M2350" i="2"/>
  <c r="M2440" i="2"/>
  <c r="M2424" i="2"/>
  <c r="M2378" i="2"/>
  <c r="M2318" i="2"/>
  <c r="M2438" i="2"/>
  <c r="M2406" i="2"/>
  <c r="M2392" i="2"/>
  <c r="M2375" i="2"/>
  <c r="M2329" i="2"/>
  <c r="M2315" i="2"/>
  <c r="M2304" i="2"/>
  <c r="M2292" i="2"/>
  <c r="M2259" i="2"/>
  <c r="M2248" i="2"/>
  <c r="M2389" i="2"/>
  <c r="M2327" i="2"/>
  <c r="M2314" i="2"/>
  <c r="M2238" i="2"/>
  <c r="M2403" i="2"/>
  <c r="M2369" i="2"/>
  <c r="M2355" i="2"/>
  <c r="M2338" i="2"/>
  <c r="M2287" i="2"/>
  <c r="M2264" i="2"/>
  <c r="M2255" i="2"/>
  <c r="M2234" i="2"/>
  <c r="M2290" i="2"/>
  <c r="M2242" i="2"/>
  <c r="M2260" i="2"/>
  <c r="M2286" i="2"/>
  <c r="M2256" i="2"/>
  <c r="M2313" i="2"/>
  <c r="M2278" i="2"/>
  <c r="M2254" i="2"/>
  <c r="M2277" i="2"/>
  <c r="M2387" i="2"/>
  <c r="M2276" i="2"/>
  <c r="M2250" i="2"/>
  <c r="M2415" i="2"/>
  <c r="M2352" i="2"/>
  <c r="M2332" i="2"/>
  <c r="M2300" i="2"/>
  <c r="M2324" i="2"/>
  <c r="M2246" i="2"/>
  <c r="M2267" i="2"/>
  <c r="M2295" i="2"/>
  <c r="M2228" i="2"/>
  <c r="M2218" i="2"/>
  <c r="M2208" i="2"/>
  <c r="M2198" i="2"/>
  <c r="M2188" i="2"/>
  <c r="M2178" i="2"/>
  <c r="M2225" i="2"/>
  <c r="M2221" i="2"/>
  <c r="M2210" i="2"/>
  <c r="M2199" i="2"/>
  <c r="M2184" i="2"/>
  <c r="M2173" i="2"/>
  <c r="M2166" i="2"/>
  <c r="M2156" i="2"/>
  <c r="M2146" i="2"/>
  <c r="M2136" i="2"/>
  <c r="M2126" i="2"/>
  <c r="M2116" i="2"/>
  <c r="M2106" i="2"/>
  <c r="M2096" i="2"/>
  <c r="M2086" i="2"/>
  <c r="M2076" i="2"/>
  <c r="M2066" i="2"/>
  <c r="M2056" i="2"/>
  <c r="M2046" i="2"/>
  <c r="M2036" i="2"/>
  <c r="M2026" i="2"/>
  <c r="M2016" i="2"/>
  <c r="M2006" i="2"/>
  <c r="M1996" i="2"/>
  <c r="M1986" i="2"/>
  <c r="M1976" i="2"/>
  <c r="M1966" i="2"/>
  <c r="M1956" i="2"/>
  <c r="M1946" i="2"/>
  <c r="M1936" i="2"/>
  <c r="M1926" i="2"/>
  <c r="M1916" i="2"/>
  <c r="M1906" i="2"/>
  <c r="M1896" i="2"/>
  <c r="M1886" i="2"/>
  <c r="M1876" i="2"/>
  <c r="M1866" i="2"/>
  <c r="M2229" i="2"/>
  <c r="M2204" i="2"/>
  <c r="M2200" i="2"/>
  <c r="M2196" i="2"/>
  <c r="M2192" i="2"/>
  <c r="M2171" i="2"/>
  <c r="M2160" i="2"/>
  <c r="M2145" i="2"/>
  <c r="M2134" i="2"/>
  <c r="M2123" i="2"/>
  <c r="M2119" i="2"/>
  <c r="M2108" i="2"/>
  <c r="M2097" i="2"/>
  <c r="M2082" i="2"/>
  <c r="M2071" i="2"/>
  <c r="M2060" i="2"/>
  <c r="M2045" i="2"/>
  <c r="M2034" i="2"/>
  <c r="M2023" i="2"/>
  <c r="M2019" i="2"/>
  <c r="M2008" i="2"/>
  <c r="M1997" i="2"/>
  <c r="M1982" i="2"/>
  <c r="M1971" i="2"/>
  <c r="M1960" i="2"/>
  <c r="M1945" i="2"/>
  <c r="M1934" i="2"/>
  <c r="M1923" i="2"/>
  <c r="M1919" i="2"/>
  <c r="M1908" i="2"/>
  <c r="M1897" i="2"/>
  <c r="M1882" i="2"/>
  <c r="M1871" i="2"/>
  <c r="M1860" i="2"/>
  <c r="M1853" i="2"/>
  <c r="M1843" i="2"/>
  <c r="M1833" i="2"/>
  <c r="M1823" i="2"/>
  <c r="M1813" i="2"/>
  <c r="M1803" i="2"/>
  <c r="M1793" i="2"/>
  <c r="M1783" i="2"/>
  <c r="M2224" i="2"/>
  <c r="M2220" i="2"/>
  <c r="M2216" i="2"/>
  <c r="M2212" i="2"/>
  <c r="M2191" i="2"/>
  <c r="M2187" i="2"/>
  <c r="M2183" i="2"/>
  <c r="M2179" i="2"/>
  <c r="M2175" i="2"/>
  <c r="M2167" i="2"/>
  <c r="M2152" i="2"/>
  <c r="M2141" i="2"/>
  <c r="M2130" i="2"/>
  <c r="M2115" i="2"/>
  <c r="M2104" i="2"/>
  <c r="M2093" i="2"/>
  <c r="M2211" i="2"/>
  <c r="M2207" i="2"/>
  <c r="M2203" i="2"/>
  <c r="M2174" i="2"/>
  <c r="M2170" i="2"/>
  <c r="M2155" i="2"/>
  <c r="M2144" i="2"/>
  <c r="M2133" i="2"/>
  <c r="M2129" i="2"/>
  <c r="M2118" i="2"/>
  <c r="M2107" i="2"/>
  <c r="M2092" i="2"/>
  <c r="M2231" i="2"/>
  <c r="M2227" i="2"/>
  <c r="M2223" i="2"/>
  <c r="M2219" i="2"/>
  <c r="M2215" i="2"/>
  <c r="M2194" i="2"/>
  <c r="M2190" i="2"/>
  <c r="M2186" i="2"/>
  <c r="M2182" i="2"/>
  <c r="M2162" i="2"/>
  <c r="M2151" i="2"/>
  <c r="M2140" i="2"/>
  <c r="M2125" i="2"/>
  <c r="M2114" i="2"/>
  <c r="M2205" i="2"/>
  <c r="M2177" i="2"/>
  <c r="M2139" i="2"/>
  <c r="M2230" i="2"/>
  <c r="M2202" i="2"/>
  <c r="M2189" i="2"/>
  <c r="M2150" i="2"/>
  <c r="M2138" i="2"/>
  <c r="M2113" i="2"/>
  <c r="M2102" i="2"/>
  <c r="M2079" i="2"/>
  <c r="M2075" i="2"/>
  <c r="M2042" i="2"/>
  <c r="M2038" i="2"/>
  <c r="M2009" i="2"/>
  <c r="M2005" i="2"/>
  <c r="M2001" i="2"/>
  <c r="M1972" i="2"/>
  <c r="M1968" i="2"/>
  <c r="M1964" i="2"/>
  <c r="M1939" i="2"/>
  <c r="M1935" i="2"/>
  <c r="M1931" i="2"/>
  <c r="M1927" i="2"/>
  <c r="M1902" i="2"/>
  <c r="M1898" i="2"/>
  <c r="M1894" i="2"/>
  <c r="M2214" i="2"/>
  <c r="M2197" i="2"/>
  <c r="M2180" i="2"/>
  <c r="M2172" i="2"/>
  <c r="M2164" i="2"/>
  <c r="M2148" i="2"/>
  <c r="M2127" i="2"/>
  <c r="M2120" i="2"/>
  <c r="M2101" i="2"/>
  <c r="M2089" i="2"/>
  <c r="M2053" i="2"/>
  <c r="M2048" i="2"/>
  <c r="M2039" i="2"/>
  <c r="M2030" i="2"/>
  <c r="M2025" i="2"/>
  <c r="M2007" i="2"/>
  <c r="M1998" i="2"/>
  <c r="M1984" i="2"/>
  <c r="M1975" i="2"/>
  <c r="M1957" i="2"/>
  <c r="M1952" i="2"/>
  <c r="M1943" i="2"/>
  <c r="M1929" i="2"/>
  <c r="M1911" i="2"/>
  <c r="M1872" i="2"/>
  <c r="M1868" i="2"/>
  <c r="M1864" i="2"/>
  <c r="M1852" i="2"/>
  <c r="M1841" i="2"/>
  <c r="M1830" i="2"/>
  <c r="M1826" i="2"/>
  <c r="M1815" i="2"/>
  <c r="M1804" i="2"/>
  <c r="M1789" i="2"/>
  <c r="M2213" i="2"/>
  <c r="M2195" i="2"/>
  <c r="M2169" i="2"/>
  <c r="M2154" i="2"/>
  <c r="M2111" i="2"/>
  <c r="M2099" i="2"/>
  <c r="M2094" i="2"/>
  <c r="M2084" i="2"/>
  <c r="M2070" i="2"/>
  <c r="M2061" i="2"/>
  <c r="M2043" i="2"/>
  <c r="M2020" i="2"/>
  <c r="M2015" i="2"/>
  <c r="M1992" i="2"/>
  <c r="M1974" i="2"/>
  <c r="M1965" i="2"/>
  <c r="M1951" i="2"/>
  <c r="M1942" i="2"/>
  <c r="M1933" i="2"/>
  <c r="M1924" i="2"/>
  <c r="M1910" i="2"/>
  <c r="M1901" i="2"/>
  <c r="M1867" i="2"/>
  <c r="M1863" i="2"/>
  <c r="M1855" i="2"/>
  <c r="M1844" i="2"/>
  <c r="M1829" i="2"/>
  <c r="M2161" i="2"/>
  <c r="M2131" i="2"/>
  <c r="M2124" i="2"/>
  <c r="M2117" i="2"/>
  <c r="M2105" i="2"/>
  <c r="M2168" i="2"/>
  <c r="M2137" i="2"/>
  <c r="M2110" i="2"/>
  <c r="M2083" i="2"/>
  <c r="M2078" i="2"/>
  <c r="M2069" i="2"/>
  <c r="M2051" i="2"/>
  <c r="M2037" i="2"/>
  <c r="M2028" i="2"/>
  <c r="M2010" i="2"/>
  <c r="M1987" i="2"/>
  <c r="M1959" i="2"/>
  <c r="M1941" i="2"/>
  <c r="M1932" i="2"/>
  <c r="M1918" i="2"/>
  <c r="M1909" i="2"/>
  <c r="M1900" i="2"/>
  <c r="M2201" i="2"/>
  <c r="M2209" i="2"/>
  <c r="M2159" i="2"/>
  <c r="M2143" i="2"/>
  <c r="M2122" i="2"/>
  <c r="M2109" i="2"/>
  <c r="M2103" i="2"/>
  <c r="M2091" i="2"/>
  <c r="M2073" i="2"/>
  <c r="M2064" i="2"/>
  <c r="M2059" i="2"/>
  <c r="M2050" i="2"/>
  <c r="M2018" i="2"/>
  <c r="M2004" i="2"/>
  <c r="M1995" i="2"/>
  <c r="M1977" i="2"/>
  <c r="M1963" i="2"/>
  <c r="M1954" i="2"/>
  <c r="M1913" i="2"/>
  <c r="M1899" i="2"/>
  <c r="M1850" i="2"/>
  <c r="M2193" i="2"/>
  <c r="M2176" i="2"/>
  <c r="M2085" i="2"/>
  <c r="M2077" i="2"/>
  <c r="M2062" i="2"/>
  <c r="M2054" i="2"/>
  <c r="M2047" i="2"/>
  <c r="M2024" i="2"/>
  <c r="M1994" i="2"/>
  <c r="M1978" i="2"/>
  <c r="M1955" i="2"/>
  <c r="M1948" i="2"/>
  <c r="M1940" i="2"/>
  <c r="M1925" i="2"/>
  <c r="M1917" i="2"/>
  <c r="M1888" i="2"/>
  <c r="M1848" i="2"/>
  <c r="M1816" i="2"/>
  <c r="M1812" i="2"/>
  <c r="M1808" i="2"/>
  <c r="M2142" i="2"/>
  <c r="M2068" i="2"/>
  <c r="M2022" i="2"/>
  <c r="M1999" i="2"/>
  <c r="M1969" i="2"/>
  <c r="M1893" i="2"/>
  <c r="M1887" i="2"/>
  <c r="M1881" i="2"/>
  <c r="M1875" i="2"/>
  <c r="M1869" i="2"/>
  <c r="M1847" i="2"/>
  <c r="M1838" i="2"/>
  <c r="M1824" i="2"/>
  <c r="M1811" i="2"/>
  <c r="M1807" i="2"/>
  <c r="M2157" i="2"/>
  <c r="M2052" i="2"/>
  <c r="M2029" i="2"/>
  <c r="M2014" i="2"/>
  <c r="M1991" i="2"/>
  <c r="M1961" i="2"/>
  <c r="M1938" i="2"/>
  <c r="M1930" i="2"/>
  <c r="M1922" i="2"/>
  <c r="M1915" i="2"/>
  <c r="M1892" i="2"/>
  <c r="M1857" i="2"/>
  <c r="M1842" i="2"/>
  <c r="M1828" i="2"/>
  <c r="M1819" i="2"/>
  <c r="M1786" i="2"/>
  <c r="M1782" i="2"/>
  <c r="M2226" i="2"/>
  <c r="M2206" i="2"/>
  <c r="M2112" i="2"/>
  <c r="M2100" i="2"/>
  <c r="M2090" i="2"/>
  <c r="M2074" i="2"/>
  <c r="M2067" i="2"/>
  <c r="M2044" i="2"/>
  <c r="M2021" i="2"/>
  <c r="M2013" i="2"/>
  <c r="M1983" i="2"/>
  <c r="M1967" i="2"/>
  <c r="M1953" i="2"/>
  <c r="M1937" i="2"/>
  <c r="M1914" i="2"/>
  <c r="M1907" i="2"/>
  <c r="M1880" i="2"/>
  <c r="M1874" i="2"/>
  <c r="M1862" i="2"/>
  <c r="M1851" i="2"/>
  <c r="M1846" i="2"/>
  <c r="M1837" i="2"/>
  <c r="M1832" i="2"/>
  <c r="M1806" i="2"/>
  <c r="M1802" i="2"/>
  <c r="M1798" i="2"/>
  <c r="M1794" i="2"/>
  <c r="M1790" i="2"/>
  <c r="M2185" i="2"/>
  <c r="M2153" i="2"/>
  <c r="M2098" i="2"/>
  <c r="M2081" i="2"/>
  <c r="M2058" i="2"/>
  <c r="M1990" i="2"/>
  <c r="M1944" i="2"/>
  <c r="M1921" i="2"/>
  <c r="M1891" i="2"/>
  <c r="M1885" i="2"/>
  <c r="M1879" i="2"/>
  <c r="M1856" i="2"/>
  <c r="M1836" i="2"/>
  <c r="M1818" i="2"/>
  <c r="M1814" i="2"/>
  <c r="M1810" i="2"/>
  <c r="M1785" i="2"/>
  <c r="M1781" i="2"/>
  <c r="K1780" i="2"/>
  <c r="M1780" i="2" s="1"/>
  <c r="M2135" i="2"/>
  <c r="M2121" i="2"/>
  <c r="M2088" i="2"/>
  <c r="M2065" i="2"/>
  <c r="M2035" i="2"/>
  <c r="M2027" i="2"/>
  <c r="M2012" i="2"/>
  <c r="M1989" i="2"/>
  <c r="M1981" i="2"/>
  <c r="M1958" i="2"/>
  <c r="M1928" i="2"/>
  <c r="M1905" i="2"/>
  <c r="M1873" i="2"/>
  <c r="M1861" i="2"/>
  <c r="M2217" i="2"/>
  <c r="M2003" i="2"/>
  <c r="M1985" i="2"/>
  <c r="M1947" i="2"/>
  <c r="M1889" i="2"/>
  <c r="M1835" i="2"/>
  <c r="M1825" i="2"/>
  <c r="M1800" i="2"/>
  <c r="M2165" i="2"/>
  <c r="M2132" i="2"/>
  <c r="M2057" i="2"/>
  <c r="M2040" i="2"/>
  <c r="M2002" i="2"/>
  <c r="M1904" i="2"/>
  <c r="M1859" i="2"/>
  <c r="M1845" i="2"/>
  <c r="M1799" i="2"/>
  <c r="M1791" i="2"/>
  <c r="M2128" i="2"/>
  <c r="M2095" i="2"/>
  <c r="M2000" i="2"/>
  <c r="M1980" i="2"/>
  <c r="M1962" i="2"/>
  <c r="M1858" i="2"/>
  <c r="M1834" i="2"/>
  <c r="M1822" i="2"/>
  <c r="M2163" i="2"/>
  <c r="M2072" i="2"/>
  <c r="M2055" i="2"/>
  <c r="M2017" i="2"/>
  <c r="M1979" i="2"/>
  <c r="M1920" i="2"/>
  <c r="M1903" i="2"/>
  <c r="M1884" i="2"/>
  <c r="M1831" i="2"/>
  <c r="M1805" i="2"/>
  <c r="M1797" i="2"/>
  <c r="M2158" i="2"/>
  <c r="M2033" i="2"/>
  <c r="M1870" i="2"/>
  <c r="M1821" i="2"/>
  <c r="M1796" i="2"/>
  <c r="M1788" i="2"/>
  <c r="M2087" i="2"/>
  <c r="M2049" i="2"/>
  <c r="M2032" i="2"/>
  <c r="M2011" i="2"/>
  <c r="M1973" i="2"/>
  <c r="M1883" i="2"/>
  <c r="M1854" i="2"/>
  <c r="M1840" i="2"/>
  <c r="M2149" i="2"/>
  <c r="M2031" i="2"/>
  <c r="M1993" i="2"/>
  <c r="M1820" i="2"/>
  <c r="M1795" i="2"/>
  <c r="M1787" i="2"/>
  <c r="M2222" i="2"/>
  <c r="M2080" i="2"/>
  <c r="M2063" i="2"/>
  <c r="M2041" i="2"/>
  <c r="M1890" i="2"/>
  <c r="M1877" i="2"/>
  <c r="M1817" i="2"/>
  <c r="M1792" i="2"/>
  <c r="M1784" i="2"/>
  <c r="M1949" i="2"/>
  <c r="M1809" i="2"/>
  <c r="M2147" i="2"/>
  <c r="M1849" i="2"/>
  <c r="M1801" i="2"/>
  <c r="M1912" i="2"/>
  <c r="M1839" i="2"/>
  <c r="M1988" i="2"/>
  <c r="M1895" i="2"/>
  <c r="M1827" i="2"/>
  <c r="M1878" i="2"/>
  <c r="M1970" i="2"/>
  <c r="M2181" i="2"/>
  <c r="M1950" i="2"/>
  <c r="M1865" i="2"/>
  <c r="N1898" i="2" a="1"/>
  <c r="N1898" i="2" s="1"/>
  <c r="N1852" i="2" a="1"/>
  <c r="N1852" i="2" s="1"/>
  <c r="N1783" i="2" a="1"/>
  <c r="N1783" i="2" s="1"/>
  <c r="N1858" i="2" a="1"/>
  <c r="N1858" i="2" s="1"/>
  <c r="N1896" i="2" a="1"/>
  <c r="N1896" i="2" s="1"/>
  <c r="N1785" i="2" a="1"/>
  <c r="N1785" i="2" s="1"/>
  <c r="N1892" i="2" a="1"/>
  <c r="N1892" i="2" s="1"/>
  <c r="N1806" i="2" a="1"/>
  <c r="N1806" i="2" s="1"/>
  <c r="N1250" i="2" a="1"/>
  <c r="N1250" i="2" s="1"/>
  <c r="N1245" i="2" a="1"/>
  <c r="N1245" i="2" s="1"/>
  <c r="N1210" i="2" a="1"/>
  <c r="N1210" i="2" s="1"/>
  <c r="N1255" i="2" a="1"/>
  <c r="N1255" i="2" s="1"/>
  <c r="N1196" i="2" a="1"/>
  <c r="N1196" i="2" s="1"/>
  <c r="N1218" i="2" a="1"/>
  <c r="N1218" i="2" s="1"/>
  <c r="N1188" i="2" a="1"/>
  <c r="N1188" i="2" s="1"/>
  <c r="N1181" i="2" a="1"/>
  <c r="N1181" i="2" s="1"/>
  <c r="N1259" i="2" a="1"/>
  <c r="N1259" i="2" s="1"/>
  <c r="N1227" i="2" a="1"/>
  <c r="N1227" i="2" s="1"/>
  <c r="N1208" i="2" a="1"/>
  <c r="N1208" i="2" s="1"/>
  <c r="N1201" i="2" a="1"/>
  <c r="N1201" i="2" s="1"/>
  <c r="N1187" i="2" a="1"/>
  <c r="N1187" i="2" s="1"/>
  <c r="N1180" i="2" a="1"/>
  <c r="N1180" i="2" s="1"/>
  <c r="N1237" i="2" a="1"/>
  <c r="N1237" i="2" s="1"/>
  <c r="N1221" i="2" a="1"/>
  <c r="N1221" i="2" s="1"/>
  <c r="N1212" i="2" a="1"/>
  <c r="N1212" i="2" s="1"/>
  <c r="N1258" i="2" a="1"/>
  <c r="N1258" i="2" s="1"/>
  <c r="N1252" i="2" a="1"/>
  <c r="N1252" i="2" s="1"/>
  <c r="N1247" i="2" a="1"/>
  <c r="N1247" i="2" s="1"/>
  <c r="N1242" i="2" a="1"/>
  <c r="N1242" i="2" s="1"/>
  <c r="N1216" i="2" a="1"/>
  <c r="N1216" i="2" s="1"/>
  <c r="N1206" i="2" a="1"/>
  <c r="N1206" i="2" s="1"/>
  <c r="N1256" i="2" a="1"/>
  <c r="N1256" i="2" s="1"/>
  <c r="N1229" i="2" a="1"/>
  <c r="N1229" i="2" s="1"/>
  <c r="N1190" i="2" a="1"/>
  <c r="N1190" i="2" s="1"/>
  <c r="N1260" i="2" a="1"/>
  <c r="N1260" i="2" s="1"/>
  <c r="N1251" i="2" a="1"/>
  <c r="N1251" i="2" s="1"/>
  <c r="N1228" i="2" a="1"/>
  <c r="N1228" i="2" s="1"/>
  <c r="N1205" i="2" a="1"/>
  <c r="N1205" i="2" s="1"/>
  <c r="N1192" i="2" a="1"/>
  <c r="N1192" i="2" s="1"/>
  <c r="N1209" i="2" a="1"/>
  <c r="N1209" i="2" s="1"/>
  <c r="N1189" i="2" a="1"/>
  <c r="N1189" i="2" s="1"/>
  <c r="N1177" i="2" a="1"/>
  <c r="N1177" i="2" s="1"/>
  <c r="L1170" i="2"/>
  <c r="N1170" i="2" s="1" a="1"/>
  <c r="N1170" i="2" s="1"/>
  <c r="N1246" i="2" a="1"/>
  <c r="N1246" i="2" s="1"/>
  <c r="N1202" i="2" a="1"/>
  <c r="N1202" i="2" s="1"/>
  <c r="N1185" i="2" a="1"/>
  <c r="N1185" i="2" s="1"/>
  <c r="N1220" i="2" a="1"/>
  <c r="N1220" i="2" s="1"/>
  <c r="N1262" i="2" a="1"/>
  <c r="N1262" i="2" s="1"/>
  <c r="N1198" i="2" a="1"/>
  <c r="N1198" i="2" s="1"/>
  <c r="N1225" i="2" a="1"/>
  <c r="N1225" i="2" s="1"/>
  <c r="N1249" i="2" a="1"/>
  <c r="N1249" i="2" s="1"/>
  <c r="N1241" i="2" a="1"/>
  <c r="N1241" i="2" s="1"/>
  <c r="N1200" i="2" a="1"/>
  <c r="N1200" i="2" s="1"/>
  <c r="N1233" i="2" a="1"/>
  <c r="N1233" i="2" s="1"/>
  <c r="N1244" i="2" a="1"/>
  <c r="N1244" i="2" s="1"/>
  <c r="N1261" i="2" a="1"/>
  <c r="N1261" i="2" s="1"/>
  <c r="N1230" i="2" a="1"/>
  <c r="N1230" i="2" s="1"/>
  <c r="N854" i="2" a="1"/>
  <c r="N854" i="2" s="1"/>
  <c r="N920" i="2" a="1"/>
  <c r="N920" i="2" s="1"/>
  <c r="N934" i="2" a="1"/>
  <c r="N934" i="2" s="1"/>
  <c r="N872" i="2" a="1"/>
  <c r="N872" i="2" s="1"/>
  <c r="N885" i="2" a="1"/>
  <c r="N885" i="2" s="1"/>
  <c r="N535" i="2" a="1"/>
  <c r="N535" i="2" s="1"/>
  <c r="N147" i="2" a="1"/>
  <c r="N147" i="2" s="1"/>
  <c r="N448" i="2" a="1"/>
  <c r="N448" i="2" s="1"/>
  <c r="N458" i="2" a="1"/>
  <c r="N458" i="2" s="1"/>
  <c r="N485" i="2" a="1"/>
  <c r="N485" i="2" s="1"/>
  <c r="N506" i="2" a="1"/>
  <c r="N506" i="2" s="1"/>
  <c r="N493" i="2" a="1"/>
  <c r="N493" i="2" s="1"/>
  <c r="N521" i="2" a="1"/>
  <c r="N521" i="2" s="1"/>
  <c r="N477" i="2" a="1"/>
  <c r="N477" i="2" s="1"/>
  <c r="N480" i="2" a="1"/>
  <c r="N480" i="2" s="1"/>
  <c r="N502" i="2" a="1"/>
  <c r="N502" i="2" s="1"/>
  <c r="N1863" i="2" a="1"/>
  <c r="N1863" i="2" s="1"/>
  <c r="N1787" i="2" a="1"/>
  <c r="N1787" i="2" s="1"/>
  <c r="N1870" i="2" a="1"/>
  <c r="N1870" i="2" s="1"/>
  <c r="N1800" i="2" a="1"/>
  <c r="N1800" i="2" s="1"/>
  <c r="N1897" i="2" a="1"/>
  <c r="N1897" i="2" s="1"/>
  <c r="N1816" i="2" a="1"/>
  <c r="N1816" i="2" s="1"/>
  <c r="N1179" i="2" a="1"/>
  <c r="N1179" i="2" s="1"/>
  <c r="N1243" i="2" a="1"/>
  <c r="N1243" i="2" s="1"/>
  <c r="N1254" i="2" a="1"/>
  <c r="N1254" i="2" s="1"/>
  <c r="N1219" i="2" a="1"/>
  <c r="N1219" i="2" s="1"/>
  <c r="N1226" i="2" a="1"/>
  <c r="N1226" i="2" s="1"/>
  <c r="L852" i="2"/>
  <c r="N852" i="2" s="1" a="1"/>
  <c r="N852" i="2" s="1"/>
  <c r="N950" i="2" a="1"/>
  <c r="N950" i="2" s="1"/>
  <c r="N918" i="2" a="1"/>
  <c r="N918" i="2" s="1"/>
  <c r="N903" i="2" a="1"/>
  <c r="N903" i="2" s="1"/>
  <c r="N889" i="2" a="1"/>
  <c r="N889" i="2" s="1"/>
  <c r="N926" i="2" a="1"/>
  <c r="N926" i="2" s="1"/>
  <c r="N910" i="2" a="1"/>
  <c r="N910" i="2" s="1"/>
  <c r="N888" i="2" a="1"/>
  <c r="N888" i="2" s="1"/>
  <c r="N881" i="2" a="1"/>
  <c r="N881" i="2" s="1"/>
  <c r="N866" i="2" a="1"/>
  <c r="N866" i="2" s="1"/>
  <c r="N949" i="2" a="1"/>
  <c r="N949" i="2" s="1"/>
  <c r="N941" i="2" a="1"/>
  <c r="N941" i="2" s="1"/>
  <c r="N873" i="2" a="1"/>
  <c r="N873" i="2" s="1"/>
  <c r="N865" i="2" a="1"/>
  <c r="N865" i="2" s="1"/>
  <c r="N940" i="2" a="1"/>
  <c r="N940" i="2" s="1"/>
  <c r="N932" i="2" a="1"/>
  <c r="N932" i="2" s="1"/>
  <c r="N923" i="2" a="1"/>
  <c r="N923" i="2" s="1"/>
  <c r="N902" i="2" a="1"/>
  <c r="N902" i="2" s="1"/>
  <c r="N894" i="2" a="1"/>
  <c r="N894" i="2" s="1"/>
  <c r="N886" i="2" a="1"/>
  <c r="N886" i="2" s="1"/>
  <c r="N939" i="2" a="1"/>
  <c r="N939" i="2" s="1"/>
  <c r="N915" i="2" a="1"/>
  <c r="N915" i="2" s="1"/>
  <c r="N899" i="2" a="1"/>
  <c r="N899" i="2" s="1"/>
  <c r="N893" i="2" a="1"/>
  <c r="N893" i="2" s="1"/>
  <c r="N906" i="2" a="1"/>
  <c r="N906" i="2" s="1"/>
  <c r="N892" i="2" a="1"/>
  <c r="N892" i="2" s="1"/>
  <c r="N862" i="2" a="1"/>
  <c r="N862" i="2" s="1"/>
  <c r="N856" i="2" a="1"/>
  <c r="N856" i="2" s="1"/>
  <c r="N891" i="2" a="1"/>
  <c r="N891" i="2" s="1"/>
  <c r="N942" i="2" a="1"/>
  <c r="N942" i="2" s="1"/>
  <c r="N914" i="2" a="1"/>
  <c r="N914" i="2" s="1"/>
  <c r="N853" i="2" a="1"/>
  <c r="N853" i="2" s="1"/>
  <c r="N858" i="2" a="1"/>
  <c r="N858" i="2" s="1"/>
  <c r="N936" i="2" a="1"/>
  <c r="N936" i="2" s="1"/>
  <c r="N898" i="2" a="1"/>
  <c r="N898" i="2" s="1"/>
  <c r="N928" i="2" a="1"/>
  <c r="N928" i="2" s="1"/>
  <c r="N890" i="2" a="1"/>
  <c r="N890" i="2" s="1"/>
  <c r="N861" i="2" a="1"/>
  <c r="N861" i="2" s="1"/>
  <c r="N855" i="2" a="1"/>
  <c r="N855" i="2" s="1"/>
  <c r="N921" i="2" a="1"/>
  <c r="N921" i="2" s="1"/>
  <c r="N882" i="2" a="1"/>
  <c r="N882" i="2" s="1"/>
  <c r="N869" i="2" a="1"/>
  <c r="N869" i="2" s="1"/>
  <c r="N938" i="2" a="1"/>
  <c r="N938" i="2" s="1"/>
  <c r="N943" i="2" a="1"/>
  <c r="N943" i="2" s="1"/>
  <c r="N876" i="2" a="1"/>
  <c r="N876" i="2" s="1"/>
  <c r="N896" i="2" a="1"/>
  <c r="N896" i="2" s="1"/>
  <c r="N917" i="2" a="1"/>
  <c r="N917" i="2" s="1"/>
  <c r="N495" i="2" a="1"/>
  <c r="N495" i="2" s="1"/>
  <c r="N441" i="2" a="1"/>
  <c r="N441" i="2" s="1"/>
  <c r="N463" i="2" a="1"/>
  <c r="N463" i="2" s="1"/>
  <c r="N497" i="2" a="1"/>
  <c r="N497" i="2" s="1"/>
  <c r="N513" i="2" a="1"/>
  <c r="N513" i="2" s="1"/>
  <c r="N427" i="2" a="1"/>
  <c r="N427" i="2" s="1"/>
  <c r="N498" i="2" a="1"/>
  <c r="N498" i="2" s="1"/>
  <c r="N524" i="2" a="1"/>
  <c r="N524" i="2" s="1"/>
  <c r="N488" i="2" a="1"/>
  <c r="N488" i="2" s="1"/>
  <c r="N490" i="2" a="1"/>
  <c r="N490" i="2" s="1"/>
  <c r="N1813" i="2" a="1"/>
  <c r="N1813" i="2" s="1"/>
  <c r="N1831" i="2" a="1"/>
  <c r="N1831" i="2" s="1"/>
  <c r="N1781" i="2" a="1"/>
  <c r="N1781" i="2" s="1"/>
  <c r="N1790" i="2" a="1"/>
  <c r="N1790" i="2" s="1"/>
  <c r="N1791" i="2" a="1"/>
  <c r="N1791" i="2" s="1"/>
  <c r="N1882" i="2" a="1"/>
  <c r="N1882" i="2" s="1"/>
  <c r="N1811" i="2" a="1"/>
  <c r="N1811" i="2" s="1"/>
  <c r="N1826" i="2" a="1"/>
  <c r="N1826" i="2" s="1"/>
  <c r="N1248" i="2" a="1"/>
  <c r="N1248" i="2" s="1"/>
  <c r="N1175" i="2" a="1"/>
  <c r="N1175" i="2" s="1"/>
  <c r="N1253" i="2" a="1"/>
  <c r="N1253" i="2" s="1"/>
  <c r="N1264" i="2" a="1"/>
  <c r="N1264" i="2" s="1"/>
  <c r="N1215" i="2" a="1"/>
  <c r="N1215" i="2" s="1"/>
  <c r="N1222" i="2" a="1"/>
  <c r="N1222" i="2" s="1"/>
  <c r="N880" i="2" a="1"/>
  <c r="N880" i="2" s="1"/>
  <c r="N911" i="2" a="1"/>
  <c r="N911" i="2" s="1"/>
  <c r="N927" i="2" a="1"/>
  <c r="N927" i="2" s="1"/>
  <c r="L423" i="2"/>
  <c r="N423" i="2" s="1" a="1"/>
  <c r="N423" i="2" s="1"/>
  <c r="N491" i="2" a="1"/>
  <c r="N491" i="2" s="1"/>
  <c r="N482" i="2" a="1"/>
  <c r="N482" i="2" s="1"/>
  <c r="N501" i="2" a="1"/>
  <c r="N501" i="2" s="1"/>
  <c r="N475" i="2" a="1"/>
  <c r="N475" i="2" s="1"/>
  <c r="N446" i="2" a="1"/>
  <c r="N446" i="2" s="1"/>
  <c r="N492" i="2" a="1"/>
  <c r="N492" i="2" s="1"/>
  <c r="N461" i="2" a="1"/>
  <c r="N461" i="2" s="1"/>
  <c r="N515" i="2" a="1"/>
  <c r="N515" i="2" s="1"/>
  <c r="N527" i="2" a="1"/>
  <c r="N527" i="2" s="1"/>
  <c r="N467" i="2" a="1"/>
  <c r="N467" i="2" s="1"/>
  <c r="N509" i="2" a="1"/>
  <c r="N509" i="2" s="1"/>
  <c r="N481" i="2" a="1"/>
  <c r="N481" i="2" s="1"/>
  <c r="N466" i="2" a="1"/>
  <c r="N466" i="2" s="1"/>
  <c r="N452" i="2" a="1"/>
  <c r="N452" i="2" s="1"/>
  <c r="N538" i="2" a="1"/>
  <c r="N538" i="2" s="1"/>
  <c r="N445" i="2" a="1"/>
  <c r="N445" i="2" s="1"/>
  <c r="N145" i="2" a="1"/>
  <c r="N145" i="2" s="1"/>
  <c r="N465" i="2" a="1"/>
  <c r="N465" i="2" s="1"/>
  <c r="N426" i="2" a="1"/>
  <c r="N426" i="2" s="1"/>
  <c r="N474" i="2" a="1"/>
  <c r="N474" i="2" s="1"/>
  <c r="N533" i="2" a="1"/>
  <c r="N533" i="2" s="1"/>
  <c r="N519" i="2" a="1"/>
  <c r="N519" i="2" s="1"/>
  <c r="N431" i="2" a="1"/>
  <c r="N431" i="2" s="1"/>
  <c r="N522" i="2" a="1"/>
  <c r="N522" i="2" s="1"/>
  <c r="N528" i="2" a="1"/>
  <c r="N528" i="2" s="1"/>
  <c r="N499" i="2" a="1"/>
  <c r="N499" i="2" s="1"/>
  <c r="N500" i="2" a="1"/>
  <c r="N500" i="2" s="1"/>
  <c r="N447" i="2" a="1"/>
  <c r="N447" i="2" s="1"/>
  <c r="N1808" i="2" a="1"/>
  <c r="N1808" i="2" s="1"/>
  <c r="N1845" i="2" a="1"/>
  <c r="N1845" i="2" s="1"/>
  <c r="N1810" i="2" a="1"/>
  <c r="N1810" i="2" s="1"/>
  <c r="N1794" i="2" a="1"/>
  <c r="N1794" i="2" s="1"/>
  <c r="N1795" i="2" a="1"/>
  <c r="N1795" i="2" s="1"/>
  <c r="N1894" i="2" a="1"/>
  <c r="N1894" i="2" s="1"/>
  <c r="N1822" i="2" a="1"/>
  <c r="N1822" i="2" s="1"/>
  <c r="N1836" i="2" a="1"/>
  <c r="N1836" i="2" s="1"/>
  <c r="N1859" i="2" a="1"/>
  <c r="N1859" i="2" s="1"/>
  <c r="N1240" i="2" a="1"/>
  <c r="N1240" i="2" s="1"/>
  <c r="N1171" i="2" a="1"/>
  <c r="N1171" i="2" s="1"/>
  <c r="N1263" i="2" a="1"/>
  <c r="N1263" i="2" s="1"/>
  <c r="N1174" i="2" a="1"/>
  <c r="N1174" i="2" s="1"/>
  <c r="N1211" i="2" a="1"/>
  <c r="N1211" i="2" s="1"/>
  <c r="N1207" i="2" a="1"/>
  <c r="N1207" i="2" s="1"/>
  <c r="N875" i="2" a="1"/>
  <c r="N875" i="2" s="1"/>
  <c r="N901" i="2" a="1"/>
  <c r="N901" i="2" s="1"/>
  <c r="N922" i="2" a="1"/>
  <c r="N922" i="2" s="1"/>
  <c r="N937" i="2" a="1"/>
  <c r="N937" i="2" s="1"/>
  <c r="N149" i="2" a="1"/>
  <c r="N149" i="2" s="1"/>
  <c r="N457" i="2" a="1"/>
  <c r="N457" i="2" s="1"/>
  <c r="N531" i="2" a="1"/>
  <c r="N531" i="2" s="1"/>
  <c r="N167" i="2" a="1"/>
  <c r="N167" i="2" s="1"/>
  <c r="N424" i="2" a="1"/>
  <c r="N424" i="2" s="1"/>
  <c r="N496" i="2" a="1"/>
  <c r="N496" i="2" s="1"/>
  <c r="N432" i="2" a="1"/>
  <c r="N432" i="2" s="1"/>
  <c r="N511" i="2" a="1"/>
  <c r="N511" i="2" s="1"/>
  <c r="N526" i="2" a="1"/>
  <c r="N526" i="2" s="1"/>
  <c r="N435" i="2" a="1"/>
  <c r="N435" i="2" s="1"/>
  <c r="N534" i="2" a="1"/>
  <c r="N534" i="2" s="1"/>
  <c r="N532" i="2" a="1"/>
  <c r="N532" i="2" s="1"/>
  <c r="N504" i="2" a="1"/>
  <c r="N504" i="2" s="1"/>
  <c r="N514" i="2" a="1"/>
  <c r="N514" i="2" s="1"/>
  <c r="N510" i="2" a="1"/>
  <c r="N510" i="2" s="1"/>
  <c r="N153" i="2" a="1"/>
  <c r="N153" i="2" s="1"/>
  <c r="N442" i="2" a="1"/>
  <c r="N442" i="2" s="1"/>
  <c r="N507" i="2" a="1"/>
  <c r="N507" i="2" s="1"/>
  <c r="N158" i="2" a="1"/>
  <c r="N158" i="2" s="1"/>
  <c r="N429" i="2" a="1"/>
  <c r="N429" i="2" s="1"/>
  <c r="N505" i="2" a="1"/>
  <c r="N505" i="2" s="1"/>
  <c r="N437" i="2" a="1"/>
  <c r="N437" i="2" s="1"/>
  <c r="N518" i="2" a="1"/>
  <c r="N518" i="2" s="1"/>
  <c r="N439" i="2" a="1"/>
  <c r="N439" i="2" s="1"/>
  <c r="N539" i="2" a="1"/>
  <c r="N539" i="2" s="1"/>
  <c r="N508" i="2" a="1"/>
  <c r="N508" i="2" s="1"/>
  <c r="N525" i="2" a="1"/>
  <c r="N525" i="2" s="1"/>
  <c r="M847" i="2"/>
  <c r="M837" i="2"/>
  <c r="M827" i="2"/>
  <c r="M817" i="2"/>
  <c r="M807" i="2"/>
  <c r="M797" i="2"/>
  <c r="M787" i="2"/>
  <c r="M777" i="2"/>
  <c r="M767" i="2"/>
  <c r="M757" i="2"/>
  <c r="M747" i="2"/>
  <c r="M737" i="2"/>
  <c r="M727" i="2"/>
  <c r="M717" i="2"/>
  <c r="M707" i="2"/>
  <c r="M697" i="2"/>
  <c r="M687" i="2"/>
  <c r="M677" i="2"/>
  <c r="M667" i="2"/>
  <c r="M657" i="2"/>
  <c r="M647" i="2"/>
  <c r="M637" i="2"/>
  <c r="M627" i="2"/>
  <c r="M617" i="2"/>
  <c r="M607" i="2"/>
  <c r="M597" i="2"/>
  <c r="M587" i="2"/>
  <c r="M577" i="2"/>
  <c r="M567" i="2"/>
  <c r="M557" i="2"/>
  <c r="M547" i="2"/>
  <c r="M537" i="2"/>
  <c r="M527" i="2"/>
  <c r="M517" i="2"/>
  <c r="M507" i="2"/>
  <c r="M497" i="2"/>
  <c r="M487" i="2"/>
  <c r="M477" i="2"/>
  <c r="M467" i="2"/>
  <c r="M457" i="2"/>
  <c r="M447" i="2"/>
  <c r="M437" i="2"/>
  <c r="M427" i="2"/>
  <c r="M844" i="2"/>
  <c r="M840" i="2"/>
  <c r="M829" i="2"/>
  <c r="M818" i="2"/>
  <c r="M803" i="2"/>
  <c r="M792" i="2"/>
  <c r="M781" i="2"/>
  <c r="M766" i="2"/>
  <c r="M755" i="2"/>
  <c r="M744" i="2"/>
  <c r="M740" i="2"/>
  <c r="M729" i="2"/>
  <c r="M718" i="2"/>
  <c r="M703" i="2"/>
  <c r="M692" i="2"/>
  <c r="M681" i="2"/>
  <c r="M666" i="2"/>
  <c r="M655" i="2"/>
  <c r="M644" i="2"/>
  <c r="M640" i="2"/>
  <c r="M629" i="2"/>
  <c r="M618" i="2"/>
  <c r="M603" i="2"/>
  <c r="M592" i="2"/>
  <c r="M581" i="2"/>
  <c r="M566" i="2"/>
  <c r="M555" i="2"/>
  <c r="M544" i="2"/>
  <c r="M540" i="2"/>
  <c r="M529" i="2"/>
  <c r="M518" i="2"/>
  <c r="M503" i="2"/>
  <c r="M492" i="2"/>
  <c r="M481" i="2"/>
  <c r="M466" i="2"/>
  <c r="M455" i="2"/>
  <c r="M444" i="2"/>
  <c r="M440" i="2"/>
  <c r="M429" i="2"/>
  <c r="M830" i="2"/>
  <c r="M826" i="2"/>
  <c r="M822" i="2"/>
  <c r="M793" i="2"/>
  <c r="M789" i="2"/>
  <c r="M785" i="2"/>
  <c r="M760" i="2"/>
  <c r="M756" i="2"/>
  <c r="M752" i="2"/>
  <c r="M748" i="2"/>
  <c r="M723" i="2"/>
  <c r="M719" i="2"/>
  <c r="M715" i="2"/>
  <c r="M711" i="2"/>
  <c r="M690" i="2"/>
  <c r="M686" i="2"/>
  <c r="M682" i="2"/>
  <c r="M678" i="2"/>
  <c r="M674" i="2"/>
  <c r="M653" i="2"/>
  <c r="M649" i="2"/>
  <c r="M645" i="2"/>
  <c r="M641" i="2"/>
  <c r="M620" i="2"/>
  <c r="M616" i="2"/>
  <c r="M612" i="2"/>
  <c r="M608" i="2"/>
  <c r="M604" i="2"/>
  <c r="M583" i="2"/>
  <c r="M579" i="2"/>
  <c r="M575" i="2"/>
  <c r="M571" i="2"/>
  <c r="M550" i="2"/>
  <c r="M546" i="2"/>
  <c r="M542" i="2"/>
  <c r="M538" i="2"/>
  <c r="M534" i="2"/>
  <c r="M513" i="2"/>
  <c r="M509" i="2"/>
  <c r="M505" i="2"/>
  <c r="M501" i="2"/>
  <c r="M825" i="2"/>
  <c r="M821" i="2"/>
  <c r="M788" i="2"/>
  <c r="M784" i="2"/>
  <c r="M751" i="2"/>
  <c r="M714" i="2"/>
  <c r="M570" i="2"/>
  <c r="M533" i="2"/>
  <c r="M500" i="2"/>
  <c r="M496" i="2"/>
  <c r="M833" i="2"/>
  <c r="M800" i="2"/>
  <c r="M796" i="2"/>
  <c r="M763" i="2"/>
  <c r="M759" i="2"/>
  <c r="M730" i="2"/>
  <c r="M726" i="2"/>
  <c r="M722" i="2"/>
  <c r="M693" i="2"/>
  <c r="M689" i="2"/>
  <c r="M685" i="2"/>
  <c r="M660" i="2"/>
  <c r="M656" i="2"/>
  <c r="M652" i="2"/>
  <c r="M648" i="2"/>
  <c r="M623" i="2"/>
  <c r="M619" i="2"/>
  <c r="M615" i="2"/>
  <c r="M611" i="2"/>
  <c r="M590" i="2"/>
  <c r="M586" i="2"/>
  <c r="M582" i="2"/>
  <c r="M578" i="2"/>
  <c r="M574" i="2"/>
  <c r="M553" i="2"/>
  <c r="M549" i="2"/>
  <c r="M545" i="2"/>
  <c r="M541" i="2"/>
  <c r="M520" i="2"/>
  <c r="M516" i="2"/>
  <c r="M512" i="2"/>
  <c r="M508" i="2"/>
  <c r="M504" i="2"/>
  <c r="M846" i="2"/>
  <c r="M828" i="2"/>
  <c r="M816" i="2"/>
  <c r="M811" i="2"/>
  <c r="M805" i="2"/>
  <c r="M775" i="2"/>
  <c r="M845" i="2"/>
  <c r="M834" i="2"/>
  <c r="M810" i="2"/>
  <c r="M804" i="2"/>
  <c r="M769" i="2"/>
  <c r="M728" i="2"/>
  <c r="M716" i="2"/>
  <c r="M710" i="2"/>
  <c r="M680" i="2"/>
  <c r="M675" i="2"/>
  <c r="M669" i="2"/>
  <c r="M663" i="2"/>
  <c r="M651" i="2"/>
  <c r="M639" i="2"/>
  <c r="M634" i="2"/>
  <c r="M628" i="2"/>
  <c r="M622" i="2"/>
  <c r="M598" i="2"/>
  <c r="M510" i="2"/>
  <c r="M489" i="2"/>
  <c r="M485" i="2"/>
  <c r="M460" i="2"/>
  <c r="M456" i="2"/>
  <c r="M452" i="2"/>
  <c r="M448" i="2"/>
  <c r="M842" i="2"/>
  <c r="M835" i="2"/>
  <c r="M812" i="2"/>
  <c r="M790" i="2"/>
  <c r="M776" i="2"/>
  <c r="M768" i="2"/>
  <c r="M696" i="2"/>
  <c r="M683" i="2"/>
  <c r="M676" i="2"/>
  <c r="M650" i="2"/>
  <c r="M643" i="2"/>
  <c r="M605" i="2"/>
  <c r="M585" i="2"/>
  <c r="M572" i="2"/>
  <c r="M565" i="2"/>
  <c r="M539" i="2"/>
  <c r="M532" i="2"/>
  <c r="M839" i="2"/>
  <c r="M795" i="2"/>
  <c r="M780" i="2"/>
  <c r="M773" i="2"/>
  <c r="M753" i="2"/>
  <c r="M746" i="2"/>
  <c r="M733" i="2"/>
  <c r="M720" i="2"/>
  <c r="M713" i="2"/>
  <c r="M642" i="2"/>
  <c r="M635" i="2"/>
  <c r="M609" i="2"/>
  <c r="M602" i="2"/>
  <c r="M564" i="2"/>
  <c r="M531" i="2"/>
  <c r="M524" i="2"/>
  <c r="M824" i="2"/>
  <c r="M809" i="2"/>
  <c r="M802" i="2"/>
  <c r="M779" i="2"/>
  <c r="M739" i="2"/>
  <c r="M700" i="2"/>
  <c r="M694" i="2"/>
  <c r="M661" i="2"/>
  <c r="M596" i="2"/>
  <c r="M589" i="2"/>
  <c r="M576" i="2"/>
  <c r="M569" i="2"/>
  <c r="M563" i="2"/>
  <c r="M556" i="2"/>
  <c r="M543" i="2"/>
  <c r="M536" i="2"/>
  <c r="M511" i="2"/>
  <c r="M474" i="2"/>
  <c r="M469" i="2"/>
  <c r="M446" i="2"/>
  <c r="M428" i="2"/>
  <c r="M850" i="2"/>
  <c r="M819" i="2"/>
  <c r="M798" i="2"/>
  <c r="M786" i="2"/>
  <c r="M701" i="2"/>
  <c r="M672" i="2"/>
  <c r="M664" i="2"/>
  <c r="M654" i="2"/>
  <c r="M636" i="2"/>
  <c r="M626" i="2"/>
  <c r="M599" i="2"/>
  <c r="M552" i="2"/>
  <c r="M523" i="2"/>
  <c r="M464" i="2"/>
  <c r="M459" i="2"/>
  <c r="M454" i="2"/>
  <c r="M449" i="2"/>
  <c r="M434" i="2"/>
  <c r="M424" i="2"/>
  <c r="M849" i="2"/>
  <c r="M838" i="2"/>
  <c r="M765" i="2"/>
  <c r="M709" i="2"/>
  <c r="M691" i="2"/>
  <c r="M606" i="2"/>
  <c r="M588" i="2"/>
  <c r="M560" i="2"/>
  <c r="M551" i="2"/>
  <c r="M514" i="2"/>
  <c r="M490" i="2"/>
  <c r="M484" i="2"/>
  <c r="M479" i="2"/>
  <c r="M443" i="2"/>
  <c r="M851" i="2"/>
  <c r="M841" i="2"/>
  <c r="M808" i="2"/>
  <c r="M799" i="2"/>
  <c r="M778" i="2"/>
  <c r="M749" i="2"/>
  <c r="M738" i="2"/>
  <c r="M702" i="2"/>
  <c r="M673" i="2"/>
  <c r="M665" i="2"/>
  <c r="M646" i="2"/>
  <c r="M600" i="2"/>
  <c r="M580" i="2"/>
  <c r="M561" i="2"/>
  <c r="M525" i="2"/>
  <c r="M515" i="2"/>
  <c r="M506" i="2"/>
  <c r="M498" i="2"/>
  <c r="M491" i="2"/>
  <c r="M475" i="2"/>
  <c r="M470" i="2"/>
  <c r="M465" i="2"/>
  <c r="M439" i="2"/>
  <c r="M806" i="2"/>
  <c r="M791" i="2"/>
  <c r="M735" i="2"/>
  <c r="M708" i="2"/>
  <c r="M668" i="2"/>
  <c r="M562" i="2"/>
  <c r="M548" i="2"/>
  <c r="M521" i="2"/>
  <c r="M480" i="2"/>
  <c r="M472" i="2"/>
  <c r="M451" i="2"/>
  <c r="M436" i="2"/>
  <c r="M483" i="2"/>
  <c r="M476" i="2"/>
  <c r="M468" i="2"/>
  <c r="M432" i="2"/>
  <c r="M725" i="2"/>
  <c r="M633" i="2"/>
  <c r="M820" i="2"/>
  <c r="M774" i="2"/>
  <c r="M761" i="2"/>
  <c r="M745" i="2"/>
  <c r="M734" i="2"/>
  <c r="M721" i="2"/>
  <c r="M706" i="2"/>
  <c r="M695" i="2"/>
  <c r="M679" i="2"/>
  <c r="M613" i="2"/>
  <c r="M601" i="2"/>
  <c r="M573" i="2"/>
  <c r="M535" i="2"/>
  <c r="M495" i="2"/>
  <c r="M450" i="2"/>
  <c r="M783" i="2"/>
  <c r="M699" i="2"/>
  <c r="M554" i="2"/>
  <c r="M482" i="2"/>
  <c r="M848" i="2"/>
  <c r="M772" i="2"/>
  <c r="M732" i="2"/>
  <c r="M705" i="2"/>
  <c r="M625" i="2"/>
  <c r="M559" i="2"/>
  <c r="M519" i="2"/>
  <c r="M478" i="2"/>
  <c r="M463" i="2"/>
  <c r="M442" i="2"/>
  <c r="M435" i="2"/>
  <c r="K423" i="2"/>
  <c r="M423" i="2" s="1"/>
  <c r="M770" i="2"/>
  <c r="M688" i="2"/>
  <c r="M621" i="2"/>
  <c r="M453" i="2"/>
  <c r="M832" i="2"/>
  <c r="M815" i="2"/>
  <c r="M771" i="2"/>
  <c r="M758" i="2"/>
  <c r="M624" i="2"/>
  <c r="M558" i="2"/>
  <c r="M530" i="2"/>
  <c r="M494" i="2"/>
  <c r="M486" i="2"/>
  <c r="M471" i="2"/>
  <c r="M814" i="2"/>
  <c r="M502" i="2"/>
  <c r="M698" i="2"/>
  <c r="M593" i="2"/>
  <c r="M831" i="2"/>
  <c r="M801" i="2"/>
  <c r="M743" i="2"/>
  <c r="M731" i="2"/>
  <c r="M704" i="2"/>
  <c r="M662" i="2"/>
  <c r="M638" i="2"/>
  <c r="M610" i="2"/>
  <c r="M595" i="2"/>
  <c r="M584" i="2"/>
  <c r="M568" i="2"/>
  <c r="M493" i="2"/>
  <c r="M462" i="2"/>
  <c r="M441" i="2"/>
  <c r="M433" i="2"/>
  <c r="M426" i="2"/>
  <c r="M528" i="2"/>
  <c r="M425" i="2"/>
  <c r="M754" i="2"/>
  <c r="M742" i="2"/>
  <c r="M594" i="2"/>
  <c r="M659" i="2"/>
  <c r="M632" i="2"/>
  <c r="M843" i="2"/>
  <c r="M813" i="2"/>
  <c r="M741" i="2"/>
  <c r="M461" i="2"/>
  <c r="M438" i="2"/>
  <c r="M431" i="2"/>
  <c r="M782" i="2"/>
  <c r="M836" i="2"/>
  <c r="M823" i="2"/>
  <c r="M762" i="2"/>
  <c r="M736" i="2"/>
  <c r="M724" i="2"/>
  <c r="M684" i="2"/>
  <c r="M670" i="2"/>
  <c r="M658" i="2"/>
  <c r="M630" i="2"/>
  <c r="M614" i="2"/>
  <c r="M591" i="2"/>
  <c r="M522" i="2"/>
  <c r="M488" i="2"/>
  <c r="M458" i="2"/>
  <c r="M445" i="2"/>
  <c r="M430" i="2"/>
  <c r="M794" i="2"/>
  <c r="M631" i="2"/>
  <c r="M499" i="2"/>
  <c r="M671" i="2"/>
  <c r="M712" i="2"/>
  <c r="M473" i="2"/>
  <c r="M764" i="2"/>
  <c r="M750" i="2"/>
  <c r="M526" i="2"/>
  <c r="N520" i="2" a="1"/>
  <c r="N520" i="2" s="1"/>
  <c r="N1854" i="2" a="1"/>
  <c r="N1854" i="2" s="1"/>
  <c r="N1807" i="2" a="1"/>
  <c r="N1807" i="2" s="1"/>
  <c r="N1860" i="2" a="1"/>
  <c r="N1860" i="2" s="1"/>
  <c r="N1855" i="2" a="1"/>
  <c r="N1855" i="2" s="1"/>
  <c r="N1818" i="2" a="1"/>
  <c r="N1818" i="2" s="1"/>
  <c r="N1802" i="2" a="1"/>
  <c r="N1802" i="2" s="1"/>
  <c r="N1815" i="2" a="1"/>
  <c r="N1815" i="2" s="1"/>
  <c r="N1820" i="2" a="1"/>
  <c r="N1820" i="2" s="1"/>
  <c r="N1857" i="2" a="1"/>
  <c r="N1857" i="2" s="1"/>
  <c r="N1825" i="2" a="1"/>
  <c r="N1825" i="2" s="1"/>
  <c r="N1848" i="2" a="1"/>
  <c r="N1848" i="2" s="1"/>
  <c r="N1856" i="2" a="1"/>
  <c r="N1856" i="2" s="1"/>
  <c r="N1879" i="2" a="1"/>
  <c r="N1879" i="2" s="1"/>
  <c r="N1232" i="2" a="1"/>
  <c r="N1232" i="2" s="1"/>
  <c r="N1183" i="2" a="1"/>
  <c r="N1183" i="2" s="1"/>
  <c r="N1194" i="2" a="1"/>
  <c r="N1194" i="2" s="1"/>
  <c r="N1195" i="2" a="1"/>
  <c r="N1195" i="2" s="1"/>
  <c r="N1182" i="2" a="1"/>
  <c r="N1182" i="2" s="1"/>
  <c r="N925" i="2" a="1"/>
  <c r="N925" i="2" s="1"/>
  <c r="N883" i="2" a="1"/>
  <c r="N883" i="2" s="1"/>
  <c r="N909" i="2" a="1"/>
  <c r="N909" i="2" s="1"/>
  <c r="N948" i="2" a="1"/>
  <c r="N948" i="2" s="1"/>
  <c r="N857" i="2" a="1"/>
  <c r="N857" i="2" s="1"/>
  <c r="N157" i="2" a="1"/>
  <c r="N157" i="2" s="1"/>
  <c r="N155" i="2" a="1"/>
  <c r="N155" i="2" s="1"/>
  <c r="N486" i="2" a="1"/>
  <c r="N486" i="2" s="1"/>
  <c r="N144" i="2" a="1"/>
  <c r="N144" i="2" s="1"/>
  <c r="N434" i="2" a="1"/>
  <c r="N434" i="2" s="1"/>
  <c r="N455" i="2" a="1"/>
  <c r="N455" i="2" s="1"/>
  <c r="N443" i="2" a="1"/>
  <c r="N443" i="2" s="1"/>
  <c r="N512" i="2" a="1"/>
  <c r="N512" i="2" s="1"/>
  <c r="N425" i="2" a="1"/>
  <c r="N425" i="2" s="1"/>
  <c r="N536" i="2" a="1"/>
  <c r="N536" i="2" s="1"/>
  <c r="N430" i="2" a="1"/>
  <c r="N430" i="2" s="1"/>
  <c r="N530" i="2" a="1"/>
  <c r="N530" i="2" s="1"/>
  <c r="N148" i="2" a="1"/>
  <c r="N148" i="2" s="1"/>
  <c r="M416" i="2"/>
  <c r="M406" i="2"/>
  <c r="M396" i="2"/>
  <c r="M386" i="2"/>
  <c r="M376" i="2"/>
  <c r="M366" i="2"/>
  <c r="M356" i="2"/>
  <c r="M346" i="2"/>
  <c r="M336" i="2"/>
  <c r="M326" i="2"/>
  <c r="M316" i="2"/>
  <c r="M306" i="2"/>
  <c r="M413" i="2"/>
  <c r="M409" i="2"/>
  <c r="M398" i="2"/>
  <c r="M387" i="2"/>
  <c r="M372" i="2"/>
  <c r="M361" i="2"/>
  <c r="M350" i="2"/>
  <c r="M335" i="2"/>
  <c r="M324" i="2"/>
  <c r="M313" i="2"/>
  <c r="M309" i="2"/>
  <c r="M298" i="2"/>
  <c r="M288" i="2"/>
  <c r="M278" i="2"/>
  <c r="M268" i="2"/>
  <c r="M258" i="2"/>
  <c r="M248" i="2"/>
  <c r="M238" i="2"/>
  <c r="M228" i="2"/>
  <c r="M218" i="2"/>
  <c r="M208" i="2"/>
  <c r="M198" i="2"/>
  <c r="M188" i="2"/>
  <c r="M178" i="2"/>
  <c r="M168" i="2"/>
  <c r="M158" i="2"/>
  <c r="M148" i="2"/>
  <c r="M138" i="2"/>
  <c r="M128" i="2"/>
  <c r="M118" i="2"/>
  <c r="M108" i="2"/>
  <c r="M98" i="2"/>
  <c r="M88" i="2"/>
  <c r="M78" i="2"/>
  <c r="M68" i="2"/>
  <c r="M58" i="2"/>
  <c r="M48" i="2"/>
  <c r="M38" i="2"/>
  <c r="M28" i="2"/>
  <c r="M18" i="2"/>
  <c r="M8" i="2"/>
  <c r="M339" i="2"/>
  <c r="M302" i="2"/>
  <c r="M294" i="2"/>
  <c r="M283" i="2"/>
  <c r="M272" i="2"/>
  <c r="M257" i="2"/>
  <c r="M246" i="2"/>
  <c r="M421" i="2"/>
  <c r="M403" i="2"/>
  <c r="M389" i="2"/>
  <c r="M380" i="2"/>
  <c r="M375" i="2"/>
  <c r="M357" i="2"/>
  <c r="M348" i="2"/>
  <c r="M334" i="2"/>
  <c r="M325" i="2"/>
  <c r="M307" i="2"/>
  <c r="M281" i="2"/>
  <c r="M277" i="2"/>
  <c r="M273" i="2"/>
  <c r="M269" i="2"/>
  <c r="M265" i="2"/>
  <c r="M244" i="2"/>
  <c r="M233" i="2"/>
  <c r="M222" i="2"/>
  <c r="M207" i="2"/>
  <c r="M196" i="2"/>
  <c r="M185" i="2"/>
  <c r="M181" i="2"/>
  <c r="M170" i="2"/>
  <c r="M159" i="2"/>
  <c r="M144" i="2"/>
  <c r="M370" i="2"/>
  <c r="M365" i="2"/>
  <c r="M360" i="2"/>
  <c r="M340" i="2"/>
  <c r="M329" i="2"/>
  <c r="M319" i="2"/>
  <c r="M314" i="2"/>
  <c r="M304" i="2"/>
  <c r="M299" i="2"/>
  <c r="M285" i="2"/>
  <c r="M276" i="2"/>
  <c r="M271" i="2"/>
  <c r="M253" i="2"/>
  <c r="M211" i="2"/>
  <c r="M174" i="2"/>
  <c r="M141" i="2"/>
  <c r="M130" i="2"/>
  <c r="M119" i="2"/>
  <c r="M104" i="2"/>
  <c r="M93" i="2"/>
  <c r="M82" i="2"/>
  <c r="M67" i="2"/>
  <c r="M56" i="2"/>
  <c r="M45" i="2"/>
  <c r="M41" i="2"/>
  <c r="M30" i="2"/>
  <c r="M19" i="2"/>
  <c r="M4" i="2"/>
  <c r="M411" i="2"/>
  <c r="M401" i="2"/>
  <c r="M391" i="2"/>
  <c r="M381" i="2"/>
  <c r="M355" i="2"/>
  <c r="M345" i="2"/>
  <c r="M330" i="2"/>
  <c r="M418" i="2"/>
  <c r="M392" i="2"/>
  <c r="M367" i="2"/>
  <c r="M354" i="2"/>
  <c r="M322" i="2"/>
  <c r="M310" i="2"/>
  <c r="M292" i="2"/>
  <c r="M287" i="2"/>
  <c r="M282" i="2"/>
  <c r="M256" i="2"/>
  <c r="M251" i="2"/>
  <c r="M237" i="2"/>
  <c r="M223" i="2"/>
  <c r="M205" i="2"/>
  <c r="M191" i="2"/>
  <c r="M182" i="2"/>
  <c r="M177" i="2"/>
  <c r="M150" i="2"/>
  <c r="M71" i="2"/>
  <c r="M34" i="2"/>
  <c r="M420" i="2"/>
  <c r="M408" i="2"/>
  <c r="M402" i="2"/>
  <c r="M289" i="2"/>
  <c r="M279" i="2"/>
  <c r="M259" i="2"/>
  <c r="M239" i="2"/>
  <c r="M184" i="2"/>
  <c r="M143" i="2"/>
  <c r="M110" i="2"/>
  <c r="M77" i="2"/>
  <c r="M65" i="2"/>
  <c r="M44" i="2"/>
  <c r="M32" i="2"/>
  <c r="M11" i="2"/>
  <c r="M312" i="2"/>
  <c r="M300" i="2"/>
  <c r="M165" i="2"/>
  <c r="M60" i="2"/>
  <c r="M404" i="2"/>
  <c r="M385" i="2"/>
  <c r="M373" i="2"/>
  <c r="M359" i="2"/>
  <c r="M347" i="2"/>
  <c r="M341" i="2"/>
  <c r="M328" i="2"/>
  <c r="M303" i="2"/>
  <c r="M266" i="2"/>
  <c r="M261" i="2"/>
  <c r="M241" i="2"/>
  <c r="M232" i="2"/>
  <c r="M227" i="2"/>
  <c r="M209" i="2"/>
  <c r="M200" i="2"/>
  <c r="M186" i="2"/>
  <c r="M154" i="2"/>
  <c r="M145" i="2"/>
  <c r="M124" i="2"/>
  <c r="M120" i="2"/>
  <c r="M116" i="2"/>
  <c r="M112" i="2"/>
  <c r="M91" i="2"/>
  <c r="M87" i="2"/>
  <c r="M83" i="2"/>
  <c r="M79" i="2"/>
  <c r="M75" i="2"/>
  <c r="M54" i="2"/>
  <c r="M50" i="2"/>
  <c r="M46" i="2"/>
  <c r="M42" i="2"/>
  <c r="M21" i="2"/>
  <c r="M17" i="2"/>
  <c r="M13" i="2"/>
  <c r="M9" i="2"/>
  <c r="M5" i="2"/>
  <c r="M377" i="2"/>
  <c r="M351" i="2"/>
  <c r="M332" i="2"/>
  <c r="M295" i="2"/>
  <c r="M274" i="2"/>
  <c r="M249" i="2"/>
  <c r="M212" i="2"/>
  <c r="M161" i="2"/>
  <c r="M135" i="2"/>
  <c r="M114" i="2"/>
  <c r="M102" i="2"/>
  <c r="M81" i="2"/>
  <c r="M69" i="2"/>
  <c r="M36" i="2"/>
  <c r="M3" i="2"/>
  <c r="M175" i="2"/>
  <c r="M126" i="2"/>
  <c r="M122" i="2"/>
  <c r="M229" i="2"/>
  <c r="M417" i="2"/>
  <c r="M410" i="2"/>
  <c r="M384" i="2"/>
  <c r="M378" i="2"/>
  <c r="M353" i="2"/>
  <c r="M315" i="2"/>
  <c r="M308" i="2"/>
  <c r="M296" i="2"/>
  <c r="M291" i="2"/>
  <c r="M286" i="2"/>
  <c r="M260" i="2"/>
  <c r="M236" i="2"/>
  <c r="M231" i="2"/>
  <c r="M213" i="2"/>
  <c r="M204" i="2"/>
  <c r="M195" i="2"/>
  <c r="M190" i="2"/>
  <c r="M172" i="2"/>
  <c r="M163" i="2"/>
  <c r="M149" i="2"/>
  <c r="M140" i="2"/>
  <c r="M136" i="2"/>
  <c r="M132" i="2"/>
  <c r="M111" i="2"/>
  <c r="M107" i="2"/>
  <c r="M103" i="2"/>
  <c r="M99" i="2"/>
  <c r="M95" i="2"/>
  <c r="M74" i="2"/>
  <c r="M70" i="2"/>
  <c r="M66" i="2"/>
  <c r="M62" i="2"/>
  <c r="M37" i="2"/>
  <c r="M33" i="2"/>
  <c r="M29" i="2"/>
  <c r="M25" i="2"/>
  <c r="M395" i="2"/>
  <c r="M284" i="2"/>
  <c r="M254" i="2"/>
  <c r="M230" i="2"/>
  <c r="M189" i="2"/>
  <c r="M139" i="2"/>
  <c r="M106" i="2"/>
  <c r="M73" i="2"/>
  <c r="M40" i="2"/>
  <c r="M7" i="2"/>
  <c r="M202" i="2"/>
  <c r="M179" i="2"/>
  <c r="M101" i="2"/>
  <c r="M97" i="2"/>
  <c r="M415" i="2"/>
  <c r="M397" i="2"/>
  <c r="M390" i="2"/>
  <c r="M352" i="2"/>
  <c r="M333" i="2"/>
  <c r="M327" i="2"/>
  <c r="M321" i="2"/>
  <c r="M301" i="2"/>
  <c r="M280" i="2"/>
  <c r="M275" i="2"/>
  <c r="M270" i="2"/>
  <c r="M255" i="2"/>
  <c r="M250" i="2"/>
  <c r="M245" i="2"/>
  <c r="M240" i="2"/>
  <c r="M217" i="2"/>
  <c r="M199" i="2"/>
  <c r="M194" i="2"/>
  <c r="M176" i="2"/>
  <c r="M167" i="2"/>
  <c r="M153" i="2"/>
  <c r="M115" i="2"/>
  <c r="M216" i="2"/>
  <c r="M152" i="2"/>
  <c r="M147" i="2"/>
  <c r="M52" i="2"/>
  <c r="M349" i="2"/>
  <c r="M343" i="2"/>
  <c r="M337" i="2"/>
  <c r="M331" i="2"/>
  <c r="M305" i="2"/>
  <c r="M293" i="2"/>
  <c r="M206" i="2"/>
  <c r="M197" i="2"/>
  <c r="M64" i="2"/>
  <c r="M383" i="2"/>
  <c r="M371" i="2"/>
  <c r="M364" i="2"/>
  <c r="M358" i="2"/>
  <c r="M338" i="2"/>
  <c r="M320" i="2"/>
  <c r="M290" i="2"/>
  <c r="M264" i="2"/>
  <c r="M235" i="2"/>
  <c r="M226" i="2"/>
  <c r="M221" i="2"/>
  <c r="M203" i="2"/>
  <c r="M180" i="2"/>
  <c r="M171" i="2"/>
  <c r="M162" i="2"/>
  <c r="M157" i="2"/>
  <c r="M131" i="2"/>
  <c r="M127" i="2"/>
  <c r="M123" i="2"/>
  <c r="M94" i="2"/>
  <c r="M90" i="2"/>
  <c r="M86" i="2"/>
  <c r="M61" i="2"/>
  <c r="M57" i="2"/>
  <c r="M53" i="2"/>
  <c r="M49" i="2"/>
  <c r="M24" i="2"/>
  <c r="M20" i="2"/>
  <c r="M16" i="2"/>
  <c r="M12" i="2"/>
  <c r="M414" i="2"/>
  <c r="M193" i="2"/>
  <c r="M15" i="2"/>
  <c r="M156" i="2"/>
  <c r="M151" i="2"/>
  <c r="M166" i="2"/>
  <c r="M388" i="2"/>
  <c r="M382" i="2"/>
  <c r="M369" i="2"/>
  <c r="M363" i="2"/>
  <c r="M344" i="2"/>
  <c r="M220" i="2"/>
  <c r="M134" i="2"/>
  <c r="M31" i="2"/>
  <c r="M27" i="2"/>
  <c r="M318" i="2"/>
  <c r="M243" i="2"/>
  <c r="M234" i="2"/>
  <c r="M225" i="2"/>
  <c r="M89" i="2"/>
  <c r="M85" i="2"/>
  <c r="M419" i="2"/>
  <c r="M407" i="2"/>
  <c r="M400" i="2"/>
  <c r="M394" i="2"/>
  <c r="M263" i="2"/>
  <c r="M23" i="2"/>
  <c r="M412" i="2"/>
  <c r="M405" i="2"/>
  <c r="M399" i="2"/>
  <c r="M393" i="2"/>
  <c r="M379" i="2"/>
  <c r="M224" i="2"/>
  <c r="M113" i="2"/>
  <c r="M72" i="2"/>
  <c r="M51" i="2"/>
  <c r="M10" i="2"/>
  <c r="M262" i="2"/>
  <c r="M242" i="2"/>
  <c r="M173" i="2"/>
  <c r="M155" i="2"/>
  <c r="M133" i="2"/>
  <c r="M92" i="2"/>
  <c r="M297" i="2"/>
  <c r="M187" i="2"/>
  <c r="M109" i="2"/>
  <c r="M47" i="2"/>
  <c r="M6" i="2"/>
  <c r="M201" i="2"/>
  <c r="M129" i="2"/>
  <c r="M26" i="2"/>
  <c r="M317" i="2"/>
  <c r="M374" i="2"/>
  <c r="M323" i="2"/>
  <c r="M219" i="2"/>
  <c r="M183" i="2"/>
  <c r="M169" i="2"/>
  <c r="M105" i="2"/>
  <c r="M84" i="2"/>
  <c r="M43" i="2"/>
  <c r="M214" i="2"/>
  <c r="M142" i="2"/>
  <c r="M121" i="2"/>
  <c r="M80" i="2"/>
  <c r="M39" i="2"/>
  <c r="M368" i="2"/>
  <c r="M342" i="2"/>
  <c r="M252" i="2"/>
  <c r="M215" i="2"/>
  <c r="M146" i="2"/>
  <c r="M125" i="2"/>
  <c r="M63" i="2"/>
  <c r="M22" i="2"/>
  <c r="M311" i="2"/>
  <c r="M164" i="2"/>
  <c r="M100" i="2"/>
  <c r="M59" i="2"/>
  <c r="M210" i="2"/>
  <c r="M76" i="2"/>
  <c r="M362" i="2"/>
  <c r="M267" i="2"/>
  <c r="M247" i="2"/>
  <c r="M192" i="2"/>
  <c r="M160" i="2"/>
  <c r="M117" i="2"/>
  <c r="M35" i="2"/>
  <c r="M14" i="2"/>
  <c r="M137" i="2"/>
  <c r="M96" i="2"/>
  <c r="M55" i="2"/>
  <c r="N1883" i="2" a="1"/>
  <c r="N1883" i="2" s="1"/>
  <c r="N1824" i="2" a="1"/>
  <c r="N1824" i="2" s="1"/>
  <c r="N1789" i="2" a="1"/>
  <c r="N1789" i="2" s="1"/>
  <c r="N1823" i="2" a="1"/>
  <c r="N1823" i="2" s="1"/>
  <c r="N1832" i="2" a="1"/>
  <c r="N1832" i="2" s="1"/>
  <c r="N1819" i="2" a="1"/>
  <c r="N1819" i="2" s="1"/>
  <c r="N1829" i="2" a="1"/>
  <c r="N1829" i="2" s="1"/>
  <c r="N1861" i="2" a="1"/>
  <c r="N1861" i="2" s="1"/>
  <c r="N1840" i="2" a="1"/>
  <c r="N1840" i="2" s="1"/>
  <c r="N1876" i="2" a="1"/>
  <c r="N1876" i="2" s="1"/>
  <c r="N1867" i="2" a="1"/>
  <c r="N1867" i="2" s="1"/>
  <c r="N1889" i="2" a="1"/>
  <c r="N1889" i="2" s="1"/>
  <c r="N1217" i="2" a="1"/>
  <c r="N1217" i="2" s="1"/>
  <c r="N1267" i="2" a="1"/>
  <c r="N1267" i="2" s="1"/>
  <c r="N1193" i="2" a="1"/>
  <c r="N1193" i="2" s="1"/>
  <c r="N1204" i="2" a="1"/>
  <c r="N1204" i="2" s="1"/>
  <c r="N1191" i="2" a="1"/>
  <c r="N1191" i="2" s="1"/>
  <c r="N1178" i="2" a="1"/>
  <c r="N1178" i="2" s="1"/>
  <c r="N919" i="2" a="1"/>
  <c r="N919" i="2" s="1"/>
  <c r="N904" i="2" a="1"/>
  <c r="N904" i="2" s="1"/>
  <c r="N913" i="2" a="1"/>
  <c r="N913" i="2" s="1"/>
  <c r="N867" i="2" a="1"/>
  <c r="N867" i="2" s="1"/>
  <c r="N168" i="2" a="1"/>
  <c r="N168" i="2" s="1"/>
  <c r="N166" i="2" a="1"/>
  <c r="N166" i="2" s="1"/>
  <c r="N151" i="2" a="1"/>
  <c r="N151" i="2" s="1"/>
  <c r="N471" i="2" a="1"/>
  <c r="N471" i="2" s="1"/>
  <c r="N449" i="2" a="1"/>
  <c r="N449" i="2" s="1"/>
  <c r="N428" i="2" a="1"/>
  <c r="N428" i="2" s="1"/>
  <c r="N478" i="2" a="1"/>
  <c r="N478" i="2" s="1"/>
  <c r="N464" i="2" a="1"/>
  <c r="N464" i="2" s="1"/>
  <c r="N516" i="2" a="1"/>
  <c r="N516" i="2" s="1"/>
  <c r="N436" i="2" a="1"/>
  <c r="N436" i="2" s="1"/>
  <c r="N440" i="2" a="1"/>
  <c r="N440" i="2" s="1"/>
  <c r="N540" i="2" a="1"/>
  <c r="N540" i="2" s="1"/>
  <c r="N1819" i="1" a="1"/>
  <c r="N1819" i="1" s="1"/>
  <c r="N1878" i="1" a="1"/>
  <c r="N1878" i="1" s="1"/>
  <c r="N1826" i="1" a="1"/>
  <c r="N1826" i="1" s="1"/>
  <c r="N1862" i="1" a="1"/>
  <c r="N1862" i="1" s="1"/>
  <c r="N1807" i="1" a="1"/>
  <c r="N1807" i="1" s="1"/>
  <c r="N1883" i="1" a="1"/>
  <c r="N1883" i="1" s="1"/>
  <c r="N883" i="1" a="1"/>
  <c r="N883" i="1" s="1"/>
  <c r="N931" i="1" a="1"/>
  <c r="N931" i="1" s="1"/>
  <c r="N1868" i="1" a="1"/>
  <c r="N1868" i="1" s="1"/>
  <c r="N1809" i="1" a="1"/>
  <c r="N1809" i="1" s="1"/>
  <c r="N1854" i="1" a="1"/>
  <c r="N1854" i="1" s="1"/>
  <c r="N1799" i="1" a="1"/>
  <c r="N1799" i="1" s="1"/>
  <c r="N1855" i="1" a="1"/>
  <c r="N1855" i="1" s="1"/>
  <c r="K852" i="1"/>
  <c r="L852" i="1" s="1"/>
  <c r="L857" i="1"/>
  <c r="L867" i="1"/>
  <c r="L877" i="1"/>
  <c r="L887" i="1"/>
  <c r="L897" i="1"/>
  <c r="L907" i="1"/>
  <c r="L917" i="1"/>
  <c r="L927" i="1"/>
  <c r="L937" i="1"/>
  <c r="L947" i="1"/>
  <c r="L957" i="1"/>
  <c r="L967" i="1"/>
  <c r="L977" i="1"/>
  <c r="L987" i="1"/>
  <c r="L997" i="1"/>
  <c r="L1007" i="1"/>
  <c r="L1017" i="1"/>
  <c r="L1027" i="1"/>
  <c r="L1037" i="1"/>
  <c r="L1047" i="1"/>
  <c r="L1057" i="1"/>
  <c r="L1067" i="1"/>
  <c r="L1077" i="1"/>
  <c r="L1087" i="1"/>
  <c r="L1097" i="1"/>
  <c r="L1107" i="1"/>
  <c r="L1117" i="1"/>
  <c r="L1127" i="1"/>
  <c r="L1137" i="1"/>
  <c r="L1147" i="1"/>
  <c r="L1157" i="1"/>
  <c r="L1167" i="1"/>
  <c r="L853" i="1"/>
  <c r="L864" i="1"/>
  <c r="L875" i="1"/>
  <c r="L886" i="1"/>
  <c r="L898" i="1"/>
  <c r="L909" i="1"/>
  <c r="L920" i="1"/>
  <c r="L931" i="1"/>
  <c r="L942" i="1"/>
  <c r="L953" i="1"/>
  <c r="L964" i="1"/>
  <c r="L975" i="1"/>
  <c r="L986" i="1"/>
  <c r="L998" i="1"/>
  <c r="L1009" i="1"/>
  <c r="L1020" i="1"/>
  <c r="L1031" i="1"/>
  <c r="L1042" i="1"/>
  <c r="L1053" i="1"/>
  <c r="L1064" i="1"/>
  <c r="L1075" i="1"/>
  <c r="L1086" i="1"/>
  <c r="L1098" i="1"/>
  <c r="L1109" i="1"/>
  <c r="L1120" i="1"/>
  <c r="L1131" i="1"/>
  <c r="L1142" i="1"/>
  <c r="L1153" i="1"/>
  <c r="L1164" i="1"/>
  <c r="L854" i="1"/>
  <c r="L865" i="1"/>
  <c r="L876" i="1"/>
  <c r="L888" i="1"/>
  <c r="L899" i="1"/>
  <c r="L910" i="1"/>
  <c r="L921" i="1"/>
  <c r="L932" i="1"/>
  <c r="L943" i="1"/>
  <c r="L954" i="1"/>
  <c r="L965" i="1"/>
  <c r="L976" i="1"/>
  <c r="L988" i="1"/>
  <c r="L999" i="1"/>
  <c r="L1010" i="1"/>
  <c r="L1021" i="1"/>
  <c r="L1032" i="1"/>
  <c r="L1043" i="1"/>
  <c r="L1054" i="1"/>
  <c r="L1065" i="1"/>
  <c r="L1076" i="1"/>
  <c r="L1088" i="1"/>
  <c r="L1099" i="1"/>
  <c r="L1110" i="1"/>
  <c r="L1121" i="1"/>
  <c r="L1132" i="1"/>
  <c r="L1143" i="1"/>
  <c r="L1154" i="1"/>
  <c r="L1165" i="1"/>
  <c r="L855" i="1"/>
  <c r="L866" i="1"/>
  <c r="L878" i="1"/>
  <c r="L889" i="1"/>
  <c r="L900" i="1"/>
  <c r="L911" i="1"/>
  <c r="L922" i="1"/>
  <c r="L933" i="1"/>
  <c r="L944" i="1"/>
  <c r="L955" i="1"/>
  <c r="L966" i="1"/>
  <c r="L978" i="1"/>
  <c r="L989" i="1"/>
  <c r="L1000" i="1"/>
  <c r="L1011" i="1"/>
  <c r="L1022" i="1"/>
  <c r="L1033" i="1"/>
  <c r="L1044" i="1"/>
  <c r="L1055" i="1"/>
  <c r="L1066" i="1"/>
  <c r="L1078" i="1"/>
  <c r="L1089" i="1"/>
  <c r="L1100" i="1"/>
  <c r="L1111" i="1"/>
  <c r="L1122" i="1"/>
  <c r="L1133" i="1"/>
  <c r="L1144" i="1"/>
  <c r="L1155" i="1"/>
  <c r="L1166" i="1"/>
  <c r="L862" i="1"/>
  <c r="L880" i="1"/>
  <c r="L894" i="1"/>
  <c r="L912" i="1"/>
  <c r="L926" i="1"/>
  <c r="L941" i="1"/>
  <c r="L959" i="1"/>
  <c r="L973" i="1"/>
  <c r="L991" i="1"/>
  <c r="L1005" i="1"/>
  <c r="L1023" i="1"/>
  <c r="L1038" i="1"/>
  <c r="L1052" i="1"/>
  <c r="L1070" i="1"/>
  <c r="L1084" i="1"/>
  <c r="L1102" i="1"/>
  <c r="L1116" i="1"/>
  <c r="L1134" i="1"/>
  <c r="L1149" i="1"/>
  <c r="L1163" i="1"/>
  <c r="L856" i="1"/>
  <c r="L871" i="1"/>
  <c r="L885" i="1"/>
  <c r="L903" i="1"/>
  <c r="L918" i="1"/>
  <c r="L935" i="1"/>
  <c r="L950" i="1"/>
  <c r="L1014" i="1"/>
  <c r="L1046" i="1"/>
  <c r="L1061" i="1"/>
  <c r="L1108" i="1"/>
  <c r="L1125" i="1"/>
  <c r="L863" i="1"/>
  <c r="L881" i="1"/>
  <c r="L895" i="1"/>
  <c r="L913" i="1"/>
  <c r="L928" i="1"/>
  <c r="L945" i="1"/>
  <c r="L960" i="1"/>
  <c r="L974" i="1"/>
  <c r="L992" i="1"/>
  <c r="L1006" i="1"/>
  <c r="L1024" i="1"/>
  <c r="L1039" i="1"/>
  <c r="L1056" i="1"/>
  <c r="L1071" i="1"/>
  <c r="L1085" i="1"/>
  <c r="L1103" i="1"/>
  <c r="L1118" i="1"/>
  <c r="L1135" i="1"/>
  <c r="L1150" i="1"/>
  <c r="L1168" i="1"/>
  <c r="L1029" i="1"/>
  <c r="L868" i="1"/>
  <c r="L882" i="1"/>
  <c r="L896" i="1"/>
  <c r="L914" i="1"/>
  <c r="L929" i="1"/>
  <c r="L946" i="1"/>
  <c r="L961" i="1"/>
  <c r="L979" i="1"/>
  <c r="L993" i="1"/>
  <c r="L1008" i="1"/>
  <c r="L1025" i="1"/>
  <c r="L1040" i="1"/>
  <c r="L1058" i="1"/>
  <c r="L1072" i="1"/>
  <c r="L1090" i="1"/>
  <c r="L1104" i="1"/>
  <c r="L1119" i="1"/>
  <c r="L1136" i="1"/>
  <c r="L1151" i="1"/>
  <c r="L1169" i="1"/>
  <c r="L996" i="1"/>
  <c r="L869" i="1"/>
  <c r="L883" i="1"/>
  <c r="L901" i="1"/>
  <c r="L915" i="1"/>
  <c r="L930" i="1"/>
  <c r="L948" i="1"/>
  <c r="L962" i="1"/>
  <c r="L980" i="1"/>
  <c r="L994" i="1"/>
  <c r="L1012" i="1"/>
  <c r="L1026" i="1"/>
  <c r="L1041" i="1"/>
  <c r="L1059" i="1"/>
  <c r="L1073" i="1"/>
  <c r="L1091" i="1"/>
  <c r="L1105" i="1"/>
  <c r="L1123" i="1"/>
  <c r="L1138" i="1"/>
  <c r="L1152" i="1"/>
  <c r="L968" i="1"/>
  <c r="L1093" i="1"/>
  <c r="L1140" i="1"/>
  <c r="L870" i="1"/>
  <c r="L884" i="1"/>
  <c r="L902" i="1"/>
  <c r="L916" i="1"/>
  <c r="L934" i="1"/>
  <c r="L949" i="1"/>
  <c r="L963" i="1"/>
  <c r="L981" i="1"/>
  <c r="L995" i="1"/>
  <c r="L1013" i="1"/>
  <c r="L1028" i="1"/>
  <c r="L1045" i="1"/>
  <c r="L1060" i="1"/>
  <c r="L1074" i="1"/>
  <c r="L1092" i="1"/>
  <c r="L1106" i="1"/>
  <c r="L1124" i="1"/>
  <c r="L1139" i="1"/>
  <c r="L1156" i="1"/>
  <c r="L982" i="1"/>
  <c r="L1079" i="1"/>
  <c r="L1158" i="1"/>
  <c r="L890" i="1"/>
  <c r="L924" i="1"/>
  <c r="L969" i="1"/>
  <c r="L1003" i="1"/>
  <c r="L1048" i="1"/>
  <c r="L1082" i="1"/>
  <c r="L1126" i="1"/>
  <c r="L1161" i="1"/>
  <c r="L891" i="1"/>
  <c r="L925" i="1"/>
  <c r="L970" i="1"/>
  <c r="L1004" i="1"/>
  <c r="L1049" i="1"/>
  <c r="L1083" i="1"/>
  <c r="L1128" i="1"/>
  <c r="L1162" i="1"/>
  <c r="L923" i="1"/>
  <c r="L958" i="1"/>
  <c r="L1002" i="1"/>
  <c r="L1036" i="1"/>
  <c r="L1081" i="1"/>
  <c r="L892" i="1"/>
  <c r="L971" i="1"/>
  <c r="L1015" i="1"/>
  <c r="L1094" i="1"/>
  <c r="L879" i="1"/>
  <c r="L1160" i="1"/>
  <c r="L858" i="1"/>
  <c r="L936" i="1"/>
  <c r="L1050" i="1"/>
  <c r="L1129" i="1"/>
  <c r="L859" i="1"/>
  <c r="L893" i="1"/>
  <c r="L938" i="1"/>
  <c r="L972" i="1"/>
  <c r="L1016" i="1"/>
  <c r="L1051" i="1"/>
  <c r="L1095" i="1"/>
  <c r="L1130" i="1"/>
  <c r="L956" i="1"/>
  <c r="L860" i="1"/>
  <c r="L904" i="1"/>
  <c r="L939" i="1"/>
  <c r="L983" i="1"/>
  <c r="L1018" i="1"/>
  <c r="L1062" i="1"/>
  <c r="L1096" i="1"/>
  <c r="L1141" i="1"/>
  <c r="L919" i="1"/>
  <c r="L1035" i="1"/>
  <c r="L1080" i="1"/>
  <c r="L1159" i="1"/>
  <c r="L861" i="1"/>
  <c r="L905" i="1"/>
  <c r="L940" i="1"/>
  <c r="L984" i="1"/>
  <c r="L1019" i="1"/>
  <c r="L1063" i="1"/>
  <c r="L1101" i="1"/>
  <c r="L1145" i="1"/>
  <c r="L872" i="1"/>
  <c r="L906" i="1"/>
  <c r="L951" i="1"/>
  <c r="L985" i="1"/>
  <c r="L1030" i="1"/>
  <c r="L1068" i="1"/>
  <c r="L1112" i="1"/>
  <c r="L1146" i="1"/>
  <c r="L873" i="1"/>
  <c r="L908" i="1"/>
  <c r="L952" i="1"/>
  <c r="L990" i="1"/>
  <c r="L1034" i="1"/>
  <c r="L1069" i="1"/>
  <c r="L1113" i="1"/>
  <c r="L1148" i="1"/>
  <c r="L874" i="1"/>
  <c r="L1001" i="1"/>
  <c r="L1114" i="1"/>
  <c r="L1115" i="1"/>
  <c r="N925" i="1" a="1"/>
  <c r="N925" i="1" s="1"/>
  <c r="N1835" i="1" a="1"/>
  <c r="N1835" i="1" s="1"/>
  <c r="N1859" i="1" a="1"/>
  <c r="N1859" i="1" s="1"/>
  <c r="N1800" i="1" a="1"/>
  <c r="N1800" i="1" s="1"/>
  <c r="N1847" i="1" a="1"/>
  <c r="N1847" i="1" s="1"/>
  <c r="N1872" i="1" a="1"/>
  <c r="N1872" i="1" s="1"/>
  <c r="N1784" i="1" a="1"/>
  <c r="N1784" i="1" s="1"/>
  <c r="N1881" i="1" a="1"/>
  <c r="N1881" i="1" s="1"/>
  <c r="M1780" i="1"/>
  <c r="N1780" i="1" s="1" a="1"/>
  <c r="N1780" i="1" s="1"/>
  <c r="N1790" i="1" a="1"/>
  <c r="N1790" i="1" s="1"/>
  <c r="N1841" i="1" a="1"/>
  <c r="N1841" i="1" s="1"/>
  <c r="N1801" i="1" a="1"/>
  <c r="N1801" i="1" s="1"/>
  <c r="N1804" i="1" a="1"/>
  <c r="N1804" i="1" s="1"/>
  <c r="N1893" i="1" a="1"/>
  <c r="N1893" i="1" s="1"/>
  <c r="N1895" i="1" a="1"/>
  <c r="N1895" i="1" s="1"/>
  <c r="N1840" i="1" a="1"/>
  <c r="N1840" i="1" s="1"/>
  <c r="N1845" i="1" a="1"/>
  <c r="N1845" i="1" s="1"/>
  <c r="N1892" i="1" a="1"/>
  <c r="N1892" i="1" s="1"/>
  <c r="N1853" i="1" a="1"/>
  <c r="N1853" i="1" s="1"/>
  <c r="N1786" i="1" a="1"/>
  <c r="N1786" i="1" s="1"/>
  <c r="N1889" i="1" a="1"/>
  <c r="N1889" i="1" s="1"/>
  <c r="N1851" i="1" a="1"/>
  <c r="N1851" i="1" s="1"/>
  <c r="N1849" i="1" a="1"/>
  <c r="N1849" i="1" s="1"/>
  <c r="N1848" i="1" a="1"/>
  <c r="N1848" i="1" s="1"/>
  <c r="N1806" i="1" a="1"/>
  <c r="N1806" i="1" s="1"/>
  <c r="N1838" i="1" a="1"/>
  <c r="N1838" i="1" s="1"/>
  <c r="N1791" i="1" a="1"/>
  <c r="N1791" i="1" s="1"/>
  <c r="N1830" i="1" a="1"/>
  <c r="N1830" i="1" s="1"/>
  <c r="N1865" i="1" a="1"/>
  <c r="N1865" i="1" s="1"/>
  <c r="K1780" i="1"/>
  <c r="L1786" i="1"/>
  <c r="L1796" i="1"/>
  <c r="L1806" i="1"/>
  <c r="L1816" i="1"/>
  <c r="L1826" i="1"/>
  <c r="L1836" i="1"/>
  <c r="L1846" i="1"/>
  <c r="L1856" i="1"/>
  <c r="L1866" i="1"/>
  <c r="L1876" i="1"/>
  <c r="L1886" i="1"/>
  <c r="L1896" i="1"/>
  <c r="L1906" i="1"/>
  <c r="L1916" i="1"/>
  <c r="L1926" i="1"/>
  <c r="L1936" i="1"/>
  <c r="L1946" i="1"/>
  <c r="L1956" i="1"/>
  <c r="L1966" i="1"/>
  <c r="L1976" i="1"/>
  <c r="L1986" i="1"/>
  <c r="L1996" i="1"/>
  <c r="L2006" i="1"/>
  <c r="L2016" i="1"/>
  <c r="L2026" i="1"/>
  <c r="L2036" i="1"/>
  <c r="L2046" i="1"/>
  <c r="L2056" i="1"/>
  <c r="L2066" i="1"/>
  <c r="L2076" i="1"/>
  <c r="L2086" i="1"/>
  <c r="L2096" i="1"/>
  <c r="L2106" i="1"/>
  <c r="L2116" i="1"/>
  <c r="L2126" i="1"/>
  <c r="L2136" i="1"/>
  <c r="L2146" i="1"/>
  <c r="L2156" i="1"/>
  <c r="L2166" i="1"/>
  <c r="L2176" i="1"/>
  <c r="L2186" i="1"/>
  <c r="L2196" i="1"/>
  <c r="L2206" i="1"/>
  <c r="L2216" i="1"/>
  <c r="L2226" i="1"/>
  <c r="L1787" i="1"/>
  <c r="L1798" i="1"/>
  <c r="L1809" i="1"/>
  <c r="L1820" i="1"/>
  <c r="L1831" i="1"/>
  <c r="L1842" i="1"/>
  <c r="L1853" i="1"/>
  <c r="L1864" i="1"/>
  <c r="L1875" i="1"/>
  <c r="L1887" i="1"/>
  <c r="L1898" i="1"/>
  <c r="L1909" i="1"/>
  <c r="L1920" i="1"/>
  <c r="L1931" i="1"/>
  <c r="L1942" i="1"/>
  <c r="L1953" i="1"/>
  <c r="L1964" i="1"/>
  <c r="L1975" i="1"/>
  <c r="L1987" i="1"/>
  <c r="L1998" i="1"/>
  <c r="L2009" i="1"/>
  <c r="L2020" i="1"/>
  <c r="L2031" i="1"/>
  <c r="L2042" i="1"/>
  <c r="L2053" i="1"/>
  <c r="L2064" i="1"/>
  <c r="L2075" i="1"/>
  <c r="L2087" i="1"/>
  <c r="L2098" i="1"/>
  <c r="L2109" i="1"/>
  <c r="L2120" i="1"/>
  <c r="L2131" i="1"/>
  <c r="L2142" i="1"/>
  <c r="L2153" i="1"/>
  <c r="L2164" i="1"/>
  <c r="L2175" i="1"/>
  <c r="L2187" i="1"/>
  <c r="L2198" i="1"/>
  <c r="L2209" i="1"/>
  <c r="L2220" i="1"/>
  <c r="L2231" i="1"/>
  <c r="L1791" i="1"/>
  <c r="L1802" i="1"/>
  <c r="L1813" i="1"/>
  <c r="L1824" i="1"/>
  <c r="L1835" i="1"/>
  <c r="L1847" i="1"/>
  <c r="L1858" i="1"/>
  <c r="L1869" i="1"/>
  <c r="L1880" i="1"/>
  <c r="L1891" i="1"/>
  <c r="L1902" i="1"/>
  <c r="L1913" i="1"/>
  <c r="L1924" i="1"/>
  <c r="L1935" i="1"/>
  <c r="L1947" i="1"/>
  <c r="L1958" i="1"/>
  <c r="L1969" i="1"/>
  <c r="L1980" i="1"/>
  <c r="L1991" i="1"/>
  <c r="L2002" i="1"/>
  <c r="L2013" i="1"/>
  <c r="L2024" i="1"/>
  <c r="L2035" i="1"/>
  <c r="L2047" i="1"/>
  <c r="L2058" i="1"/>
  <c r="L2069" i="1"/>
  <c r="L2080" i="1"/>
  <c r="L2091" i="1"/>
  <c r="L2102" i="1"/>
  <c r="L2113" i="1"/>
  <c r="L2124" i="1"/>
  <c r="L2135" i="1"/>
  <c r="L2147" i="1"/>
  <c r="L2158" i="1"/>
  <c r="L2169" i="1"/>
  <c r="L2180" i="1"/>
  <c r="L2191" i="1"/>
  <c r="L2202" i="1"/>
  <c r="L2213" i="1"/>
  <c r="L2224" i="1"/>
  <c r="L1792" i="1"/>
  <c r="L1803" i="1"/>
  <c r="L1814" i="1"/>
  <c r="L1825" i="1"/>
  <c r="L1837" i="1"/>
  <c r="L1848" i="1"/>
  <c r="L1859" i="1"/>
  <c r="L1870" i="1"/>
  <c r="L1881" i="1"/>
  <c r="L1892" i="1"/>
  <c r="L1903" i="1"/>
  <c r="L1914" i="1"/>
  <c r="L1925" i="1"/>
  <c r="L1937" i="1"/>
  <c r="L1948" i="1"/>
  <c r="L1959" i="1"/>
  <c r="L1970" i="1"/>
  <c r="L1981" i="1"/>
  <c r="L1992" i="1"/>
  <c r="L1782" i="1"/>
  <c r="L1783" i="1"/>
  <c r="L1784" i="1"/>
  <c r="L1795" i="1"/>
  <c r="L1807" i="1"/>
  <c r="L1818" i="1"/>
  <c r="L1829" i="1"/>
  <c r="L1840" i="1"/>
  <c r="L1851" i="1"/>
  <c r="L1862" i="1"/>
  <c r="L1873" i="1"/>
  <c r="L1884" i="1"/>
  <c r="L1895" i="1"/>
  <c r="L1907" i="1"/>
  <c r="L1918" i="1"/>
  <c r="L1929" i="1"/>
  <c r="L1940" i="1"/>
  <c r="L1951" i="1"/>
  <c r="L1962" i="1"/>
  <c r="L1973" i="1"/>
  <c r="L1984" i="1"/>
  <c r="L1995" i="1"/>
  <c r="L1785" i="1"/>
  <c r="L1797" i="1"/>
  <c r="L1808" i="1"/>
  <c r="L1819" i="1"/>
  <c r="L1830" i="1"/>
  <c r="L1841" i="1"/>
  <c r="L1852" i="1"/>
  <c r="L1863" i="1"/>
  <c r="L1874" i="1"/>
  <c r="L1885" i="1"/>
  <c r="L1897" i="1"/>
  <c r="L1908" i="1"/>
  <c r="L1919" i="1"/>
  <c r="L1930" i="1"/>
  <c r="L1941" i="1"/>
  <c r="L1952" i="1"/>
  <c r="L1963" i="1"/>
  <c r="L1974" i="1"/>
  <c r="L1985" i="1"/>
  <c r="L1997" i="1"/>
  <c r="L1804" i="1"/>
  <c r="L1827" i="1"/>
  <c r="L1849" i="1"/>
  <c r="L1871" i="1"/>
  <c r="L1893" i="1"/>
  <c r="L1915" i="1"/>
  <c r="L1938" i="1"/>
  <c r="L1960" i="1"/>
  <c r="L1982" i="1"/>
  <c r="L2003" i="1"/>
  <c r="L2017" i="1"/>
  <c r="L2030" i="1"/>
  <c r="L2044" i="1"/>
  <c r="L2059" i="1"/>
  <c r="L2072" i="1"/>
  <c r="L2085" i="1"/>
  <c r="L2100" i="1"/>
  <c r="L2114" i="1"/>
  <c r="L2128" i="1"/>
  <c r="L2141" i="1"/>
  <c r="L2155" i="1"/>
  <c r="L2170" i="1"/>
  <c r="L2183" i="1"/>
  <c r="L2197" i="1"/>
  <c r="L2211" i="1"/>
  <c r="L2225" i="1"/>
  <c r="L1788" i="1"/>
  <c r="L1810" i="1"/>
  <c r="L1832" i="1"/>
  <c r="L1854" i="1"/>
  <c r="L1877" i="1"/>
  <c r="L1899" i="1"/>
  <c r="L1921" i="1"/>
  <c r="L1943" i="1"/>
  <c r="L1965" i="1"/>
  <c r="L1988" i="1"/>
  <c r="L2005" i="1"/>
  <c r="L2019" i="1"/>
  <c r="L2033" i="1"/>
  <c r="L2048" i="1"/>
  <c r="L2061" i="1"/>
  <c r="L2074" i="1"/>
  <c r="L2089" i="1"/>
  <c r="L2103" i="1"/>
  <c r="L2117" i="1"/>
  <c r="L2130" i="1"/>
  <c r="L2144" i="1"/>
  <c r="L2159" i="1"/>
  <c r="L2172" i="1"/>
  <c r="L2185" i="1"/>
  <c r="L2200" i="1"/>
  <c r="L2214" i="1"/>
  <c r="L2228" i="1"/>
  <c r="L1789" i="1"/>
  <c r="L1811" i="1"/>
  <c r="L1833" i="1"/>
  <c r="L1855" i="1"/>
  <c r="L1878" i="1"/>
  <c r="L1900" i="1"/>
  <c r="L1922" i="1"/>
  <c r="L1944" i="1"/>
  <c r="L1967" i="1"/>
  <c r="L1989" i="1"/>
  <c r="L2007" i="1"/>
  <c r="L2021" i="1"/>
  <c r="L2034" i="1"/>
  <c r="L2049" i="1"/>
  <c r="L2062" i="1"/>
  <c r="L2077" i="1"/>
  <c r="L2090" i="1"/>
  <c r="L2104" i="1"/>
  <c r="L2118" i="1"/>
  <c r="L2132" i="1"/>
  <c r="L2145" i="1"/>
  <c r="L2160" i="1"/>
  <c r="L2173" i="1"/>
  <c r="L2188" i="1"/>
  <c r="L2201" i="1"/>
  <c r="L2215" i="1"/>
  <c r="L2229" i="1"/>
  <c r="L1790" i="1"/>
  <c r="L1812" i="1"/>
  <c r="L1834" i="1"/>
  <c r="L1857" i="1"/>
  <c r="L1879" i="1"/>
  <c r="L1901" i="1"/>
  <c r="L1923" i="1"/>
  <c r="L1945" i="1"/>
  <c r="L1968" i="1"/>
  <c r="L1990" i="1"/>
  <c r="L2008" i="1"/>
  <c r="L2022" i="1"/>
  <c r="L2037" i="1"/>
  <c r="L2050" i="1"/>
  <c r="L2063" i="1"/>
  <c r="L1793" i="1"/>
  <c r="L1815" i="1"/>
  <c r="L1838" i="1"/>
  <c r="L1860" i="1"/>
  <c r="L1882" i="1"/>
  <c r="L1904" i="1"/>
  <c r="L1927" i="1"/>
  <c r="L1949" i="1"/>
  <c r="L1971" i="1"/>
  <c r="L1993" i="1"/>
  <c r="L2010" i="1"/>
  <c r="L2023" i="1"/>
  <c r="L2038" i="1"/>
  <c r="L1794" i="1"/>
  <c r="L1817" i="1"/>
  <c r="L1839" i="1"/>
  <c r="L1861" i="1"/>
  <c r="L1883" i="1"/>
  <c r="L1905" i="1"/>
  <c r="L1928" i="1"/>
  <c r="L1950" i="1"/>
  <c r="L1972" i="1"/>
  <c r="L1994" i="1"/>
  <c r="L2011" i="1"/>
  <c r="L2025" i="1"/>
  <c r="L2039" i="1"/>
  <c r="L1800" i="1"/>
  <c r="L1822" i="1"/>
  <c r="L1844" i="1"/>
  <c r="L1867" i="1"/>
  <c r="L1889" i="1"/>
  <c r="L1911" i="1"/>
  <c r="L1933" i="1"/>
  <c r="L1955" i="1"/>
  <c r="L1978" i="1"/>
  <c r="L2000" i="1"/>
  <c r="L2014" i="1"/>
  <c r="L2028" i="1"/>
  <c r="L1850" i="1"/>
  <c r="L1932" i="1"/>
  <c r="L2001" i="1"/>
  <c r="L2043" i="1"/>
  <c r="L2068" i="1"/>
  <c r="L2088" i="1"/>
  <c r="L2108" i="1"/>
  <c r="L2127" i="1"/>
  <c r="L2149" i="1"/>
  <c r="L2167" i="1"/>
  <c r="L2189" i="1"/>
  <c r="L2207" i="1"/>
  <c r="L2227" i="1"/>
  <c r="L1865" i="1"/>
  <c r="L1934" i="1"/>
  <c r="L2004" i="1"/>
  <c r="L2045" i="1"/>
  <c r="L2070" i="1"/>
  <c r="L2092" i="1"/>
  <c r="L2110" i="1"/>
  <c r="L2129" i="1"/>
  <c r="L2150" i="1"/>
  <c r="L2168" i="1"/>
  <c r="L2190" i="1"/>
  <c r="L2208" i="1"/>
  <c r="L2230" i="1"/>
  <c r="L1799" i="1"/>
  <c r="L1868" i="1"/>
  <c r="L1939" i="1"/>
  <c r="L2012" i="1"/>
  <c r="L2051" i="1"/>
  <c r="L2071" i="1"/>
  <c r="L2093" i="1"/>
  <c r="L2111" i="1"/>
  <c r="L2133" i="1"/>
  <c r="L2151" i="1"/>
  <c r="L2171" i="1"/>
  <c r="L2192" i="1"/>
  <c r="L2210" i="1"/>
  <c r="L1781" i="1"/>
  <c r="L1801" i="1"/>
  <c r="L1872" i="1"/>
  <c r="L1954" i="1"/>
  <c r="L2015" i="1"/>
  <c r="L2052" i="1"/>
  <c r="L2073" i="1"/>
  <c r="L2094" i="1"/>
  <c r="L2112" i="1"/>
  <c r="L2134" i="1"/>
  <c r="L2152" i="1"/>
  <c r="L2174" i="1"/>
  <c r="L2193" i="1"/>
  <c r="L2212" i="1"/>
  <c r="L1805" i="1"/>
  <c r="L1888" i="1"/>
  <c r="L1957" i="1"/>
  <c r="L2018" i="1"/>
  <c r="L2054" i="1"/>
  <c r="L2078" i="1"/>
  <c r="L2095" i="1"/>
  <c r="L2115" i="1"/>
  <c r="L2137" i="1"/>
  <c r="L2154" i="1"/>
  <c r="L2177" i="1"/>
  <c r="L2194" i="1"/>
  <c r="L2217" i="1"/>
  <c r="L1821" i="1"/>
  <c r="L1890" i="1"/>
  <c r="L1961" i="1"/>
  <c r="L2027" i="1"/>
  <c r="L2055" i="1"/>
  <c r="L2079" i="1"/>
  <c r="L2097" i="1"/>
  <c r="L2119" i="1"/>
  <c r="L2138" i="1"/>
  <c r="L2157" i="1"/>
  <c r="L2178" i="1"/>
  <c r="L2195" i="1"/>
  <c r="L1823" i="1"/>
  <c r="L1894" i="1"/>
  <c r="L1977" i="1"/>
  <c r="L2029" i="1"/>
  <c r="L2057" i="1"/>
  <c r="L2081" i="1"/>
  <c r="L2099" i="1"/>
  <c r="L2121" i="1"/>
  <c r="L2139" i="1"/>
  <c r="L2161" i="1"/>
  <c r="L2179" i="1"/>
  <c r="L2199" i="1"/>
  <c r="L2219" i="1"/>
  <c r="L1828" i="1"/>
  <c r="L1910" i="1"/>
  <c r="L1979" i="1"/>
  <c r="L2032" i="1"/>
  <c r="L2060" i="1"/>
  <c r="L2082" i="1"/>
  <c r="L2101" i="1"/>
  <c r="L2122" i="1"/>
  <c r="L2140" i="1"/>
  <c r="L2162" i="1"/>
  <c r="L2181" i="1"/>
  <c r="L2203" i="1"/>
  <c r="L2221" i="1"/>
  <c r="L1843" i="1"/>
  <c r="L1912" i="1"/>
  <c r="L1983" i="1"/>
  <c r="L2040" i="1"/>
  <c r="L2065" i="1"/>
  <c r="L2083" i="1"/>
  <c r="L2105" i="1"/>
  <c r="L2123" i="1"/>
  <c r="L2143" i="1"/>
  <c r="L2163" i="1"/>
  <c r="L2182" i="1"/>
  <c r="L2204" i="1"/>
  <c r="L2222" i="1"/>
  <c r="L1845" i="1"/>
  <c r="L1917" i="1"/>
  <c r="L1999" i="1"/>
  <c r="L2041" i="1"/>
  <c r="L2067" i="1"/>
  <c r="L2084" i="1"/>
  <c r="L2107" i="1"/>
  <c r="L2125" i="1"/>
  <c r="L2148" i="1"/>
  <c r="L2165" i="1"/>
  <c r="L2184" i="1"/>
  <c r="L2205" i="1"/>
  <c r="L2218" i="1"/>
  <c r="L2223" i="1"/>
  <c r="N1856" i="1" a="1"/>
  <c r="N1856" i="1" s="1"/>
  <c r="N1785" i="1" a="1"/>
  <c r="N1785" i="1" s="1"/>
  <c r="N1879" i="1" a="1"/>
  <c r="N1879" i="1" s="1"/>
  <c r="N1877" i="1" a="1"/>
  <c r="N1877" i="1" s="1"/>
  <c r="N1825" i="1" a="1"/>
  <c r="N1825" i="1" s="1"/>
  <c r="N1836" i="1" a="1"/>
  <c r="N1836" i="1" s="1"/>
  <c r="N1823" i="1" a="1"/>
  <c r="N1823" i="1" s="1"/>
  <c r="N1792" i="1" a="1"/>
  <c r="N1792" i="1" s="1"/>
  <c r="N1828" i="1" a="1"/>
  <c r="N1828" i="1" s="1"/>
  <c r="N1783" i="1" a="1"/>
  <c r="N1783" i="1" s="1"/>
  <c r="N1822" i="1" a="1"/>
  <c r="N1822" i="1" s="1"/>
  <c r="N1858" i="1" a="1"/>
  <c r="N1858" i="1" s="1"/>
  <c r="N1833" i="1" a="1"/>
  <c r="N1833" i="1" s="1"/>
  <c r="N943" i="1" a="1"/>
  <c r="N943" i="1" s="1"/>
  <c r="N935" i="1" a="1"/>
  <c r="N935" i="1" s="1"/>
  <c r="N1852" i="1" a="1"/>
  <c r="N1852" i="1" s="1"/>
  <c r="N1811" i="1" a="1"/>
  <c r="N1811" i="1" s="1"/>
  <c r="N1824" i="1" a="1"/>
  <c r="N1824" i="1" s="1"/>
  <c r="N1808" i="1" a="1"/>
  <c r="N1808" i="1" s="1"/>
  <c r="N1810" i="1" a="1"/>
  <c r="N1810" i="1" s="1"/>
  <c r="N1890" i="1" a="1"/>
  <c r="N1890" i="1" s="1"/>
  <c r="N1818" i="1" a="1"/>
  <c r="N1818" i="1" s="1"/>
  <c r="N1898" i="1" a="1"/>
  <c r="N1898" i="1" s="1"/>
  <c r="N1813" i="1" a="1"/>
  <c r="N1813" i="1" s="1"/>
  <c r="N1843" i="1" a="1"/>
  <c r="N1843" i="1" s="1"/>
  <c r="N1867" i="1" a="1"/>
  <c r="N1867" i="1" s="1"/>
  <c r="N914" i="1" a="1"/>
  <c r="N914" i="1" s="1"/>
  <c r="N933" i="1" a="1"/>
  <c r="N933" i="1" s="1"/>
  <c r="N860" i="1" a="1"/>
  <c r="N860" i="1" s="1"/>
  <c r="N36" i="1" a="1"/>
  <c r="N36" i="1" s="1"/>
  <c r="K2" i="1"/>
  <c r="L2" i="1" s="1"/>
  <c r="L7" i="1"/>
  <c r="L17" i="1"/>
  <c r="L27" i="1"/>
  <c r="L37" i="1"/>
  <c r="L47" i="1"/>
  <c r="L57" i="1"/>
  <c r="L67" i="1"/>
  <c r="L77" i="1"/>
  <c r="L87" i="1"/>
  <c r="L97" i="1"/>
  <c r="L107" i="1"/>
  <c r="L117" i="1"/>
  <c r="L127" i="1"/>
  <c r="L137" i="1"/>
  <c r="L147" i="1"/>
  <c r="L157" i="1"/>
  <c r="L167" i="1"/>
  <c r="L177" i="1"/>
  <c r="L187" i="1"/>
  <c r="L197" i="1"/>
  <c r="L207" i="1"/>
  <c r="L217" i="1"/>
  <c r="L227" i="1"/>
  <c r="L237" i="1"/>
  <c r="L247" i="1"/>
  <c r="L257" i="1"/>
  <c r="L267" i="1"/>
  <c r="L277" i="1"/>
  <c r="L287" i="1"/>
  <c r="L297" i="1"/>
  <c r="L307" i="1"/>
  <c r="L317" i="1"/>
  <c r="L327" i="1"/>
  <c r="L337" i="1"/>
  <c r="L347" i="1"/>
  <c r="L357" i="1"/>
  <c r="L367" i="1"/>
  <c r="L377" i="1"/>
  <c r="L387" i="1"/>
  <c r="L397" i="1"/>
  <c r="L407" i="1"/>
  <c r="L417" i="1"/>
  <c r="L8" i="1"/>
  <c r="L18" i="1"/>
  <c r="L28" i="1"/>
  <c r="L38" i="1"/>
  <c r="L48" i="1"/>
  <c r="L58" i="1"/>
  <c r="L68" i="1"/>
  <c r="L78" i="1"/>
  <c r="L88" i="1"/>
  <c r="L98" i="1"/>
  <c r="L108" i="1"/>
  <c r="L118" i="1"/>
  <c r="L128" i="1"/>
  <c r="L138" i="1"/>
  <c r="L148" i="1"/>
  <c r="L158" i="1"/>
  <c r="L168" i="1"/>
  <c r="L178" i="1"/>
  <c r="L188" i="1"/>
  <c r="L198" i="1"/>
  <c r="L208" i="1"/>
  <c r="L218" i="1"/>
  <c r="L228" i="1"/>
  <c r="L238" i="1"/>
  <c r="L248" i="1"/>
  <c r="L258" i="1"/>
  <c r="L268" i="1"/>
  <c r="L278" i="1"/>
  <c r="L288" i="1"/>
  <c r="L298" i="1"/>
  <c r="L308" i="1"/>
  <c r="L318" i="1"/>
  <c r="L328" i="1"/>
  <c r="L338" i="1"/>
  <c r="L348" i="1"/>
  <c r="L15" i="1"/>
  <c r="L29" i="1"/>
  <c r="L41" i="1"/>
  <c r="L53" i="1"/>
  <c r="L65" i="1"/>
  <c r="L79" i="1"/>
  <c r="L91" i="1"/>
  <c r="L103" i="1"/>
  <c r="L115" i="1"/>
  <c r="L129" i="1"/>
  <c r="L141" i="1"/>
  <c r="L153" i="1"/>
  <c r="L165" i="1"/>
  <c r="L179" i="1"/>
  <c r="L191" i="1"/>
  <c r="L203" i="1"/>
  <c r="L215" i="1"/>
  <c r="L229" i="1"/>
  <c r="L241" i="1"/>
  <c r="L253" i="1"/>
  <c r="L265" i="1"/>
  <c r="L279" i="1"/>
  <c r="L291" i="1"/>
  <c r="L303" i="1"/>
  <c r="L315" i="1"/>
  <c r="L329" i="1"/>
  <c r="L341" i="1"/>
  <c r="L353" i="1"/>
  <c r="L364" i="1"/>
  <c r="L375" i="1"/>
  <c r="L386" i="1"/>
  <c r="L398" i="1"/>
  <c r="L409" i="1"/>
  <c r="L420" i="1"/>
  <c r="L4" i="1"/>
  <c r="L16" i="1"/>
  <c r="L30" i="1"/>
  <c r="L42" i="1"/>
  <c r="L54" i="1"/>
  <c r="L66" i="1"/>
  <c r="L80" i="1"/>
  <c r="L92" i="1"/>
  <c r="L104" i="1"/>
  <c r="L116" i="1"/>
  <c r="L130" i="1"/>
  <c r="L142" i="1"/>
  <c r="L154" i="1"/>
  <c r="L166" i="1"/>
  <c r="L180" i="1"/>
  <c r="L192" i="1"/>
  <c r="L204" i="1"/>
  <c r="L216" i="1"/>
  <c r="L230" i="1"/>
  <c r="L242" i="1"/>
  <c r="L254" i="1"/>
  <c r="L266" i="1"/>
  <c r="L280" i="1"/>
  <c r="L292" i="1"/>
  <c r="L304" i="1"/>
  <c r="L316" i="1"/>
  <c r="L330" i="1"/>
  <c r="L342" i="1"/>
  <c r="L354" i="1"/>
  <c r="L365" i="1"/>
  <c r="L376" i="1"/>
  <c r="L388" i="1"/>
  <c r="L399" i="1"/>
  <c r="L410" i="1"/>
  <c r="L421" i="1"/>
  <c r="L12" i="1"/>
  <c r="L26" i="1"/>
  <c r="L44" i="1"/>
  <c r="L60" i="1"/>
  <c r="L74" i="1"/>
  <c r="L90" i="1"/>
  <c r="L106" i="1"/>
  <c r="L122" i="1"/>
  <c r="L136" i="1"/>
  <c r="L152" i="1"/>
  <c r="L170" i="1"/>
  <c r="L184" i="1"/>
  <c r="L200" i="1"/>
  <c r="L214" i="1"/>
  <c r="L232" i="1"/>
  <c r="L246" i="1"/>
  <c r="L262" i="1"/>
  <c r="L276" i="1"/>
  <c r="L294" i="1"/>
  <c r="L310" i="1"/>
  <c r="L324" i="1"/>
  <c r="L340" i="1"/>
  <c r="L356" i="1"/>
  <c r="L370" i="1"/>
  <c r="L383" i="1"/>
  <c r="L396" i="1"/>
  <c r="L412" i="1"/>
  <c r="L3" i="1"/>
  <c r="L13" i="1"/>
  <c r="L31" i="1"/>
  <c r="L45" i="1"/>
  <c r="L61" i="1"/>
  <c r="L75" i="1"/>
  <c r="L93" i="1"/>
  <c r="L109" i="1"/>
  <c r="L123" i="1"/>
  <c r="L139" i="1"/>
  <c r="L155" i="1"/>
  <c r="L171" i="1"/>
  <c r="L185" i="1"/>
  <c r="L201" i="1"/>
  <c r="L219" i="1"/>
  <c r="L233" i="1"/>
  <c r="L249" i="1"/>
  <c r="L263" i="1"/>
  <c r="L281" i="1"/>
  <c r="L295" i="1"/>
  <c r="L311" i="1"/>
  <c r="L325" i="1"/>
  <c r="L343" i="1"/>
  <c r="L358" i="1"/>
  <c r="L371" i="1"/>
  <c r="L384" i="1"/>
  <c r="L400" i="1"/>
  <c r="L413" i="1"/>
  <c r="L14" i="1"/>
  <c r="L32" i="1"/>
  <c r="L46" i="1"/>
  <c r="L62" i="1"/>
  <c r="L76" i="1"/>
  <c r="L94" i="1"/>
  <c r="L110" i="1"/>
  <c r="L124" i="1"/>
  <c r="L140" i="1"/>
  <c r="L156" i="1"/>
  <c r="L172" i="1"/>
  <c r="L186" i="1"/>
  <c r="L202" i="1"/>
  <c r="L220" i="1"/>
  <c r="L234" i="1"/>
  <c r="L250" i="1"/>
  <c r="L264" i="1"/>
  <c r="L282" i="1"/>
  <c r="L296" i="1"/>
  <c r="L312" i="1"/>
  <c r="L326" i="1"/>
  <c r="L344" i="1"/>
  <c r="L359" i="1"/>
  <c r="L372" i="1"/>
  <c r="L385" i="1"/>
  <c r="L401" i="1"/>
  <c r="L414" i="1"/>
  <c r="L20" i="1"/>
  <c r="L34" i="1"/>
  <c r="L50" i="1"/>
  <c r="L64" i="1"/>
  <c r="L82" i="1"/>
  <c r="L96" i="1"/>
  <c r="L112" i="1"/>
  <c r="L126" i="1"/>
  <c r="L144" i="1"/>
  <c r="L160" i="1"/>
  <c r="L174" i="1"/>
  <c r="L190" i="1"/>
  <c r="L206" i="1"/>
  <c r="L222" i="1"/>
  <c r="L236" i="1"/>
  <c r="L252" i="1"/>
  <c r="L270" i="1"/>
  <c r="L284" i="1"/>
  <c r="L300" i="1"/>
  <c r="L314" i="1"/>
  <c r="L332" i="1"/>
  <c r="L346" i="1"/>
  <c r="L361" i="1"/>
  <c r="L374" i="1"/>
  <c r="L390" i="1"/>
  <c r="L403" i="1"/>
  <c r="L416" i="1"/>
  <c r="L21" i="1"/>
  <c r="L43" i="1"/>
  <c r="L71" i="1"/>
  <c r="L99" i="1"/>
  <c r="L121" i="1"/>
  <c r="L149" i="1"/>
  <c r="L175" i="1"/>
  <c r="L199" i="1"/>
  <c r="L225" i="1"/>
  <c r="L255" i="1"/>
  <c r="L275" i="1"/>
  <c r="L305" i="1"/>
  <c r="L333" i="1"/>
  <c r="L355" i="1"/>
  <c r="L380" i="1"/>
  <c r="L404" i="1"/>
  <c r="L6" i="1"/>
  <c r="L33" i="1"/>
  <c r="L56" i="1"/>
  <c r="L111" i="1"/>
  <c r="L162" i="1"/>
  <c r="L240" i="1"/>
  <c r="L290" i="1"/>
  <c r="L345" i="1"/>
  <c r="L368" i="1"/>
  <c r="L392" i="1"/>
  <c r="L415" i="1"/>
  <c r="L22" i="1"/>
  <c r="L49" i="1"/>
  <c r="L72" i="1"/>
  <c r="L100" i="1"/>
  <c r="L125" i="1"/>
  <c r="L150" i="1"/>
  <c r="L176" i="1"/>
  <c r="L205" i="1"/>
  <c r="L226" i="1"/>
  <c r="L256" i="1"/>
  <c r="L283" i="1"/>
  <c r="L306" i="1"/>
  <c r="L334" i="1"/>
  <c r="L360" i="1"/>
  <c r="L381" i="1"/>
  <c r="L405" i="1"/>
  <c r="L23" i="1"/>
  <c r="L51" i="1"/>
  <c r="L73" i="1"/>
  <c r="L101" i="1"/>
  <c r="L131" i="1"/>
  <c r="L151" i="1"/>
  <c r="L181" i="1"/>
  <c r="L209" i="1"/>
  <c r="L231" i="1"/>
  <c r="L259" i="1"/>
  <c r="L285" i="1"/>
  <c r="L309" i="1"/>
  <c r="L335" i="1"/>
  <c r="L362" i="1"/>
  <c r="L382" i="1"/>
  <c r="L406" i="1"/>
  <c r="L84" i="1"/>
  <c r="L134" i="1"/>
  <c r="L189" i="1"/>
  <c r="L212" i="1"/>
  <c r="L269" i="1"/>
  <c r="L320" i="1"/>
  <c r="L24" i="1"/>
  <c r="L52" i="1"/>
  <c r="L81" i="1"/>
  <c r="L102" i="1"/>
  <c r="L132" i="1"/>
  <c r="L159" i="1"/>
  <c r="L182" i="1"/>
  <c r="L210" i="1"/>
  <c r="L235" i="1"/>
  <c r="L260" i="1"/>
  <c r="L286" i="1"/>
  <c r="L313" i="1"/>
  <c r="L336" i="1"/>
  <c r="L363" i="1"/>
  <c r="L389" i="1"/>
  <c r="L408" i="1"/>
  <c r="L9" i="1"/>
  <c r="L59" i="1"/>
  <c r="L113" i="1"/>
  <c r="L163" i="1"/>
  <c r="L5" i="1"/>
  <c r="L25" i="1"/>
  <c r="L55" i="1"/>
  <c r="L83" i="1"/>
  <c r="L105" i="1"/>
  <c r="L133" i="1"/>
  <c r="L161" i="1"/>
  <c r="L183" i="1"/>
  <c r="L211" i="1"/>
  <c r="L239" i="1"/>
  <c r="L261" i="1"/>
  <c r="L289" i="1"/>
  <c r="L319" i="1"/>
  <c r="L339" i="1"/>
  <c r="L366" i="1"/>
  <c r="L391" i="1"/>
  <c r="L411" i="1"/>
  <c r="L35" i="1"/>
  <c r="L85" i="1"/>
  <c r="L135" i="1"/>
  <c r="L69" i="1"/>
  <c r="L146" i="1"/>
  <c r="L223" i="1"/>
  <c r="L293" i="1"/>
  <c r="L351" i="1"/>
  <c r="L418" i="1"/>
  <c r="L70" i="1"/>
  <c r="L164" i="1"/>
  <c r="L224" i="1"/>
  <c r="L299" i="1"/>
  <c r="L352" i="1"/>
  <c r="L419" i="1"/>
  <c r="L86" i="1"/>
  <c r="L169" i="1"/>
  <c r="L243" i="1"/>
  <c r="L301" i="1"/>
  <c r="L369" i="1"/>
  <c r="L402" i="1"/>
  <c r="L10" i="1"/>
  <c r="L89" i="1"/>
  <c r="L173" i="1"/>
  <c r="L244" i="1"/>
  <c r="L302" i="1"/>
  <c r="L373" i="1"/>
  <c r="L40" i="1"/>
  <c r="L143" i="1"/>
  <c r="L213" i="1"/>
  <c r="L273" i="1"/>
  <c r="L349" i="1"/>
  <c r="L395" i="1"/>
  <c r="L11" i="1"/>
  <c r="L95" i="1"/>
  <c r="L193" i="1"/>
  <c r="L245" i="1"/>
  <c r="L321" i="1"/>
  <c r="L378" i="1"/>
  <c r="L19" i="1"/>
  <c r="L114" i="1"/>
  <c r="L194" i="1"/>
  <c r="L251" i="1"/>
  <c r="L322" i="1"/>
  <c r="L379" i="1"/>
  <c r="L36" i="1"/>
  <c r="L119" i="1"/>
  <c r="L195" i="1"/>
  <c r="L271" i="1"/>
  <c r="L323" i="1"/>
  <c r="L393" i="1"/>
  <c r="L39" i="1"/>
  <c r="L120" i="1"/>
  <c r="L196" i="1"/>
  <c r="L272" i="1"/>
  <c r="L331" i="1"/>
  <c r="L394" i="1"/>
  <c r="L63" i="1"/>
  <c r="L145" i="1"/>
  <c r="L221" i="1"/>
  <c r="L274" i="1"/>
  <c r="L350" i="1"/>
  <c r="N1844" i="1" a="1"/>
  <c r="N1844" i="1" s="1"/>
  <c r="N1839" i="1" a="1"/>
  <c r="N1839" i="1" s="1"/>
  <c r="N1795" i="1" a="1"/>
  <c r="N1795" i="1" s="1"/>
  <c r="N1794" i="1" a="1"/>
  <c r="N1794" i="1" s="1"/>
  <c r="N1793" i="1" a="1"/>
  <c r="N1793" i="1" s="1"/>
  <c r="N1789" i="1" a="1"/>
  <c r="N1789" i="1" s="1"/>
  <c r="N1880" i="1" a="1"/>
  <c r="N1880" i="1" s="1"/>
  <c r="N1796" i="1" a="1"/>
  <c r="N1796" i="1" s="1"/>
  <c r="N1882" i="1" a="1"/>
  <c r="N1882" i="1" s="1"/>
  <c r="N1805" i="1" a="1"/>
  <c r="N1805" i="1" s="1"/>
  <c r="N1837" i="1" a="1"/>
  <c r="N1837" i="1" s="1"/>
  <c r="N1891" i="1" a="1"/>
  <c r="N1891" i="1" s="1"/>
  <c r="N904" i="1" a="1"/>
  <c r="N904" i="1" s="1"/>
  <c r="N854" i="1" a="1"/>
  <c r="N854" i="1" s="1"/>
  <c r="N923" i="1" a="1"/>
  <c r="N923" i="1" s="1"/>
  <c r="N1832" i="1" a="1"/>
  <c r="N1832" i="1" s="1"/>
  <c r="N1827" i="1" a="1"/>
  <c r="N1827" i="1" s="1"/>
  <c r="N1781" i="1" a="1"/>
  <c r="N1781" i="1" s="1"/>
  <c r="N1869" i="1" a="1"/>
  <c r="N1869" i="1" s="1"/>
  <c r="N1787" i="1" a="1"/>
  <c r="N1787" i="1" s="1"/>
  <c r="N1874" i="1" a="1"/>
  <c r="N1874" i="1" s="1"/>
  <c r="N1894" i="1" a="1"/>
  <c r="N1894" i="1" s="1"/>
  <c r="N1797" i="1" a="1"/>
  <c r="N1797" i="1" s="1"/>
  <c r="N1829" i="1" a="1"/>
  <c r="N1829" i="1" s="1"/>
  <c r="N1864" i="1" a="1"/>
  <c r="N1864" i="1" s="1"/>
  <c r="N894" i="1" a="1"/>
  <c r="N894" i="1" s="1"/>
  <c r="N913" i="1" a="1"/>
  <c r="N913" i="1" s="1"/>
  <c r="N1803" i="1" a="1"/>
  <c r="N1803" i="1" s="1"/>
  <c r="N1812" i="1" a="1"/>
  <c r="N1812" i="1" s="1"/>
  <c r="N1896" i="1" a="1"/>
  <c r="N1896" i="1" s="1"/>
  <c r="N1860" i="1" a="1"/>
  <c r="N1860" i="1" s="1"/>
  <c r="N1866" i="1" a="1"/>
  <c r="N1866" i="1" s="1"/>
  <c r="N1887" i="1" a="1"/>
  <c r="N1887" i="1" s="1"/>
  <c r="N1821" i="1" a="1"/>
  <c r="N1821" i="1" s="1"/>
  <c r="N1816" i="1" a="1"/>
  <c r="N1816" i="1" s="1"/>
  <c r="N884" i="1" a="1"/>
  <c r="N884" i="1" s="1"/>
  <c r="N903" i="1" a="1"/>
  <c r="N903" i="1" s="1"/>
  <c r="N1884" i="1" a="1"/>
  <c r="N1884" i="1" s="1"/>
  <c r="N1850" i="1" a="1"/>
  <c r="N1850" i="1" s="1"/>
  <c r="N1834" i="1" a="1"/>
  <c r="N1834" i="1" s="1"/>
  <c r="N1870" i="1" a="1"/>
  <c r="N1870" i="1" s="1"/>
  <c r="N1814" i="1" a="1"/>
  <c r="N1814" i="1" s="1"/>
  <c r="N1857" i="1" a="1"/>
  <c r="N1857" i="1" s="1"/>
  <c r="M852" i="1"/>
  <c r="N852" i="1" s="1" a="1"/>
  <c r="N852" i="1" s="1"/>
  <c r="N901" i="1" a="1"/>
  <c r="N901" i="1" s="1"/>
  <c r="N876" i="1" a="1"/>
  <c r="N876" i="1" s="1"/>
  <c r="N902" i="1" a="1"/>
  <c r="N902" i="1" s="1"/>
  <c r="N875" i="1" a="1"/>
  <c r="N875" i="1" s="1"/>
  <c r="M2232" i="1"/>
  <c r="N2392" i="1" a="1"/>
  <c r="N2392" i="1" s="1"/>
  <c r="N2354" i="1" a="1"/>
  <c r="N2354" i="1" s="1"/>
  <c r="N2442" i="1" a="1"/>
  <c r="N2442" i="1" s="1"/>
  <c r="N2330" i="1" a="1"/>
  <c r="N2330" i="1" s="1"/>
  <c r="N2430" i="1" a="1"/>
  <c r="N2430" i="1" s="1"/>
  <c r="N2342" i="1" a="1"/>
  <c r="N2342" i="1" s="1"/>
  <c r="N2418" i="1" a="1"/>
  <c r="N2418" i="1" s="1"/>
  <c r="N2404" i="1" a="1"/>
  <c r="N2404" i="1" s="1"/>
  <c r="N2368" i="1" a="1"/>
  <c r="N2368" i="1" s="1"/>
  <c r="N2380" i="1" a="1"/>
  <c r="N2380" i="1" s="1"/>
  <c r="N2329" i="1" a="1"/>
  <c r="N2329" i="1" s="1"/>
  <c r="N2328" i="1" a="1"/>
  <c r="N2328" i="1" s="1"/>
  <c r="N2327" i="1" a="1"/>
  <c r="N2327" i="1" s="1"/>
  <c r="N2324" i="1" a="1"/>
  <c r="N2324" i="1" s="1"/>
  <c r="N2323" i="1" a="1"/>
  <c r="N2323" i="1" s="1"/>
  <c r="N2322" i="1" a="1"/>
  <c r="N2322" i="1" s="1"/>
  <c r="N2333" i="1" a="1"/>
  <c r="N2333" i="1" s="1"/>
  <c r="N2344" i="1" a="1"/>
  <c r="N2344" i="1" s="1"/>
  <c r="N2343" i="1" a="1"/>
  <c r="N2343" i="1" s="1"/>
  <c r="N2406" i="1" a="1"/>
  <c r="N2406" i="1" s="1"/>
  <c r="N2435" i="1" a="1"/>
  <c r="N2435" i="1" s="1"/>
  <c r="N2335" i="1" a="1"/>
  <c r="N2335" i="1" s="1"/>
  <c r="N2441" i="1" a="1"/>
  <c r="N2441" i="1" s="1"/>
  <c r="N2440" i="1" a="1"/>
  <c r="N2440" i="1" s="1"/>
  <c r="N2439" i="1" a="1"/>
  <c r="N2439" i="1" s="1"/>
  <c r="N2438" i="1" a="1"/>
  <c r="N2438" i="1" s="1"/>
  <c r="N2437" i="1" a="1"/>
  <c r="N2437" i="1" s="1"/>
  <c r="N2434" i="1" a="1"/>
  <c r="N2434" i="1" s="1"/>
  <c r="N2447" i="1" a="1"/>
  <c r="N2447" i="1" s="1"/>
  <c r="N2321" i="1" a="1"/>
  <c r="N2321" i="1" s="1"/>
  <c r="N2332" i="1" a="1"/>
  <c r="N2332" i="1" s="1"/>
  <c r="N2331" i="1" a="1"/>
  <c r="N2331" i="1" s="1"/>
  <c r="N2396" i="1" a="1"/>
  <c r="N2396" i="1" s="1"/>
  <c r="N2425" i="1" a="1"/>
  <c r="N2425" i="1" s="1"/>
  <c r="N2325" i="1" a="1"/>
  <c r="N2325" i="1" s="1"/>
  <c r="N2429" i="1" a="1"/>
  <c r="N2429" i="1" s="1"/>
  <c r="N2428" i="1" a="1"/>
  <c r="N2428" i="1" s="1"/>
  <c r="N2427" i="1" a="1"/>
  <c r="N2427" i="1" s="1"/>
  <c r="N2424" i="1" a="1"/>
  <c r="N2424" i="1" s="1"/>
  <c r="N2423" i="1" a="1"/>
  <c r="N2423" i="1" s="1"/>
  <c r="N2422" i="1" a="1"/>
  <c r="N2422" i="1" s="1"/>
  <c r="N2433" i="1" a="1"/>
  <c r="N2433" i="1" s="1"/>
  <c r="N2444" i="1" a="1"/>
  <c r="N2444" i="1" s="1"/>
  <c r="N2443" i="1" a="1"/>
  <c r="N2443" i="1" s="1"/>
  <c r="N2345" i="1" a="1"/>
  <c r="N2345" i="1" s="1"/>
  <c r="N2445" i="1" a="1"/>
  <c r="N2445" i="1" s="1"/>
  <c r="N2416" i="1" a="1"/>
  <c r="N2416" i="1" s="1"/>
  <c r="N2357" i="1" a="1"/>
  <c r="N2357" i="1" s="1"/>
  <c r="N2358" i="1" a="1"/>
  <c r="N2358" i="1" s="1"/>
  <c r="N2347" i="1" a="1"/>
  <c r="N2347" i="1" s="1"/>
  <c r="N2334" i="1" a="1"/>
  <c r="N2334" i="1" s="1"/>
  <c r="N2337" i="1" a="1"/>
  <c r="N2337" i="1" s="1"/>
  <c r="N2338" i="1" a="1"/>
  <c r="N2338" i="1" s="1"/>
  <c r="N2339" i="1" a="1"/>
  <c r="N2339" i="1" s="1"/>
  <c r="N2340" i="1" a="1"/>
  <c r="N2340" i="1" s="1"/>
  <c r="N2341" i="1" a="1"/>
  <c r="N2341" i="1" s="1"/>
  <c r="N2355" i="1" a="1"/>
  <c r="N2355" i="1" s="1"/>
  <c r="N2326" i="1" a="1"/>
  <c r="N2326" i="1" s="1"/>
  <c r="N2426" i="1" a="1"/>
  <c r="N2426" i="1" s="1"/>
  <c r="N2369" i="1" a="1"/>
  <c r="N2369" i="1" s="1"/>
  <c r="N2370" i="1" a="1"/>
  <c r="N2370" i="1" s="1"/>
  <c r="N2359" i="1" a="1"/>
  <c r="N2359" i="1" s="1"/>
  <c r="N2348" i="1" a="1"/>
  <c r="N2348" i="1" s="1"/>
  <c r="N2349" i="1" a="1"/>
  <c r="N2349" i="1" s="1"/>
  <c r="N2350" i="1" a="1"/>
  <c r="N2350" i="1" s="1"/>
  <c r="N2351" i="1" a="1"/>
  <c r="N2351" i="1" s="1"/>
  <c r="N2352" i="1" a="1"/>
  <c r="N2352" i="1" s="1"/>
  <c r="N2353" i="1" a="1"/>
  <c r="N2353" i="1" s="1"/>
  <c r="N2365" i="1" a="1"/>
  <c r="N2365" i="1" s="1"/>
  <c r="N2336" i="1" a="1"/>
  <c r="N2336" i="1" s="1"/>
  <c r="N2436" i="1" a="1"/>
  <c r="N2436" i="1" s="1"/>
  <c r="N2381" i="1" a="1"/>
  <c r="N2381" i="1" s="1"/>
  <c r="N2382" i="1" a="1"/>
  <c r="N2382" i="1" s="1"/>
  <c r="N2371" i="1" a="1"/>
  <c r="N2371" i="1" s="1"/>
  <c r="N2360" i="1" a="1"/>
  <c r="N2360" i="1" s="1"/>
  <c r="N2361" i="1" a="1"/>
  <c r="N2361" i="1" s="1"/>
  <c r="N2362" i="1" a="1"/>
  <c r="N2362" i="1" s="1"/>
  <c r="N2363" i="1" a="1"/>
  <c r="N2363" i="1" s="1"/>
  <c r="N2364" i="1" a="1"/>
  <c r="N2364" i="1" s="1"/>
  <c r="N2367" i="1" a="1"/>
  <c r="N2367" i="1" s="1"/>
  <c r="N2375" i="1" a="1"/>
  <c r="N2375" i="1" s="1"/>
  <c r="N2346" i="1" a="1"/>
  <c r="N2346" i="1" s="1"/>
  <c r="N2446" i="1" a="1"/>
  <c r="N2446" i="1" s="1"/>
  <c r="N2393" i="1" a="1"/>
  <c r="N2393" i="1" s="1"/>
  <c r="N2394" i="1" a="1"/>
  <c r="N2394" i="1" s="1"/>
  <c r="N2383" i="1" a="1"/>
  <c r="N2383" i="1" s="1"/>
  <c r="N2372" i="1" a="1"/>
  <c r="N2372" i="1" s="1"/>
  <c r="N2373" i="1" a="1"/>
  <c r="N2373" i="1" s="1"/>
  <c r="N2374" i="1" a="1"/>
  <c r="N2374" i="1" s="1"/>
  <c r="N2377" i="1" a="1"/>
  <c r="N2377" i="1" s="1"/>
  <c r="N2378" i="1" a="1"/>
  <c r="N2378" i="1" s="1"/>
  <c r="N2379" i="1" a="1"/>
  <c r="N2379" i="1" s="1"/>
  <c r="N2385" i="1" a="1"/>
  <c r="N2385" i="1" s="1"/>
  <c r="N2356" i="1" a="1"/>
  <c r="N2356" i="1" s="1"/>
  <c r="N2407" i="1" a="1"/>
  <c r="N2407" i="1" s="1"/>
  <c r="N2408" i="1" a="1"/>
  <c r="N2408" i="1" s="1"/>
  <c r="N2397" i="1" a="1"/>
  <c r="N2397" i="1" s="1"/>
  <c r="N2384" i="1" a="1"/>
  <c r="N2384" i="1" s="1"/>
  <c r="N2387" i="1" a="1"/>
  <c r="N2387" i="1" s="1"/>
  <c r="N2388" i="1" a="1"/>
  <c r="N2388" i="1" s="1"/>
  <c r="N2389" i="1" a="1"/>
  <c r="N2389" i="1" s="1"/>
  <c r="N2390" i="1" a="1"/>
  <c r="N2390" i="1" s="1"/>
  <c r="N2391" i="1" a="1"/>
  <c r="N2391" i="1" s="1"/>
  <c r="N2395" i="1" a="1"/>
  <c r="N2395" i="1" s="1"/>
  <c r="N2366" i="1" a="1"/>
  <c r="N2366" i="1" s="1"/>
  <c r="N2419" i="1" a="1"/>
  <c r="N2419" i="1" s="1"/>
  <c r="N2420" i="1" a="1"/>
  <c r="N2420" i="1" s="1"/>
  <c r="N2409" i="1" a="1"/>
  <c r="N2409" i="1" s="1"/>
  <c r="N2398" i="1" a="1"/>
  <c r="N2398" i="1" s="1"/>
  <c r="N2399" i="1" a="1"/>
  <c r="N2399" i="1" s="1"/>
  <c r="N2400" i="1" a="1"/>
  <c r="N2400" i="1" s="1"/>
  <c r="N2401" i="1" a="1"/>
  <c r="N2401" i="1" s="1"/>
  <c r="N2402" i="1" a="1"/>
  <c r="N2402" i="1" s="1"/>
  <c r="N2403" i="1" a="1"/>
  <c r="N2403" i="1" s="1"/>
  <c r="N2405" i="1" a="1"/>
  <c r="N2405" i="1" s="1"/>
  <c r="N2376" i="1" a="1"/>
  <c r="N2376" i="1" s="1"/>
  <c r="N2431" i="1" a="1"/>
  <c r="N2431" i="1" s="1"/>
  <c r="N2432" i="1" a="1"/>
  <c r="N2432" i="1" s="1"/>
  <c r="N2421" i="1" a="1"/>
  <c r="N2421" i="1" s="1"/>
  <c r="N2410" i="1" a="1"/>
  <c r="N2410" i="1" s="1"/>
  <c r="N2411" i="1" a="1"/>
  <c r="N2411" i="1" s="1"/>
  <c r="N2412" i="1" a="1"/>
  <c r="N2412" i="1" s="1"/>
  <c r="N2413" i="1" a="1"/>
  <c r="N2413" i="1" s="1"/>
  <c r="N2414" i="1" a="1"/>
  <c r="N2414" i="1" s="1"/>
  <c r="N2417" i="1" a="1"/>
  <c r="N2417" i="1" s="1"/>
  <c r="N2415" i="1" a="1"/>
  <c r="N2415" i="1" s="1"/>
  <c r="N2386" i="1" a="1"/>
  <c r="N2386" i="1" s="1"/>
  <c r="N2232" i="1" a="1"/>
  <c r="N2232" i="1" s="1"/>
  <c r="N2277" i="1" a="1"/>
  <c r="N2277" i="1" s="1"/>
  <c r="N2317" i="1" a="1"/>
  <c r="N2317" i="1" s="1"/>
  <c r="N2287" i="1" a="1"/>
  <c r="N2287" i="1" s="1"/>
  <c r="N2238" i="1" a="1"/>
  <c r="N2238" i="1" s="1"/>
  <c r="N2247" i="1" a="1"/>
  <c r="N2247" i="1" s="1"/>
  <c r="N2257" i="1" a="1"/>
  <c r="N2257" i="1" s="1"/>
  <c r="N2267" i="1" a="1"/>
  <c r="N2267" i="1" s="1"/>
  <c r="N2297" i="1" a="1"/>
  <c r="N2297" i="1" s="1"/>
  <c r="N2307" i="1" a="1"/>
  <c r="N2307" i="1" s="1"/>
  <c r="N2239" i="1" a="1"/>
  <c r="N2239" i="1" s="1"/>
  <c r="N2248" i="1" a="1"/>
  <c r="N2248" i="1" s="1"/>
  <c r="N2258" i="1" a="1"/>
  <c r="N2258" i="1" s="1"/>
  <c r="N2268" i="1" a="1"/>
  <c r="N2268" i="1" s="1"/>
  <c r="N2278" i="1" a="1"/>
  <c r="N2278" i="1" s="1"/>
  <c r="N2288" i="1" a="1"/>
  <c r="N2288" i="1" s="1"/>
  <c r="N2298" i="1" a="1"/>
  <c r="N2298" i="1" s="1"/>
  <c r="N2308" i="1" a="1"/>
  <c r="N2308" i="1" s="1"/>
  <c r="N2318" i="1" a="1"/>
  <c r="N2318" i="1" s="1"/>
  <c r="N2240" i="1" a="1"/>
  <c r="N2240" i="1" s="1"/>
  <c r="N2249" i="1" a="1"/>
  <c r="N2249" i="1" s="1"/>
  <c r="N2259" i="1" a="1"/>
  <c r="N2259" i="1" s="1"/>
  <c r="N2269" i="1" a="1"/>
  <c r="N2269" i="1" s="1"/>
  <c r="N2279" i="1" a="1"/>
  <c r="N2279" i="1" s="1"/>
  <c r="N2289" i="1" a="1"/>
  <c r="N2289" i="1" s="1"/>
  <c r="N2299" i="1" a="1"/>
  <c r="N2299" i="1" s="1"/>
  <c r="N2309" i="1" a="1"/>
  <c r="N2309" i="1" s="1"/>
  <c r="N2319" i="1" a="1"/>
  <c r="N2319" i="1" s="1"/>
  <c r="N2233" i="1" a="1"/>
  <c r="N2233" i="1" s="1"/>
  <c r="N2241" i="1" a="1"/>
  <c r="N2241" i="1" s="1"/>
  <c r="N2250" i="1" a="1"/>
  <c r="N2250" i="1" s="1"/>
  <c r="N2260" i="1" a="1"/>
  <c r="N2260" i="1" s="1"/>
  <c r="N2270" i="1" a="1"/>
  <c r="N2270" i="1" s="1"/>
  <c r="N2280" i="1" a="1"/>
  <c r="N2280" i="1" s="1"/>
  <c r="N2290" i="1" a="1"/>
  <c r="N2290" i="1" s="1"/>
  <c r="N2300" i="1" a="1"/>
  <c r="N2300" i="1" s="1"/>
  <c r="N2310" i="1" a="1"/>
  <c r="N2310" i="1" s="1"/>
  <c r="N2320" i="1" a="1"/>
  <c r="N2320" i="1" s="1"/>
  <c r="N2234" i="1" a="1"/>
  <c r="N2234" i="1" s="1"/>
  <c r="N2242" i="1" a="1"/>
  <c r="N2242" i="1" s="1"/>
  <c r="N2251" i="1" a="1"/>
  <c r="N2251" i="1" s="1"/>
  <c r="N2261" i="1" a="1"/>
  <c r="N2261" i="1" s="1"/>
  <c r="N2271" i="1" a="1"/>
  <c r="N2271" i="1" s="1"/>
  <c r="N2281" i="1" a="1"/>
  <c r="N2281" i="1" s="1"/>
  <c r="N2291" i="1" a="1"/>
  <c r="N2291" i="1" s="1"/>
  <c r="N2301" i="1" a="1"/>
  <c r="N2301" i="1" s="1"/>
  <c r="N2311" i="1" a="1"/>
  <c r="N2311" i="1" s="1"/>
  <c r="N2252" i="1" a="1"/>
  <c r="N2252" i="1" s="1"/>
  <c r="N2262" i="1" a="1"/>
  <c r="N2262" i="1" s="1"/>
  <c r="N2272" i="1" a="1"/>
  <c r="N2272" i="1" s="1"/>
  <c r="N2282" i="1" a="1"/>
  <c r="N2282" i="1" s="1"/>
  <c r="N2292" i="1" a="1"/>
  <c r="N2292" i="1" s="1"/>
  <c r="N2302" i="1" a="1"/>
  <c r="N2302" i="1" s="1"/>
  <c r="N2312" i="1" a="1"/>
  <c r="N2312" i="1" s="1"/>
  <c r="N2235" i="1" a="1"/>
  <c r="N2235" i="1" s="1"/>
  <c r="N2243" i="1" a="1"/>
  <c r="N2243" i="1" s="1"/>
  <c r="N2253" i="1" a="1"/>
  <c r="N2253" i="1" s="1"/>
  <c r="N2263" i="1" a="1"/>
  <c r="N2263" i="1" s="1"/>
  <c r="N2273" i="1" a="1"/>
  <c r="N2273" i="1" s="1"/>
  <c r="N2283" i="1" a="1"/>
  <c r="N2283" i="1" s="1"/>
  <c r="N2293" i="1" a="1"/>
  <c r="N2293" i="1" s="1"/>
  <c r="N2303" i="1" a="1"/>
  <c r="N2303" i="1" s="1"/>
  <c r="N2313" i="1" a="1"/>
  <c r="N2313" i="1" s="1"/>
  <c r="N2236" i="1" a="1"/>
  <c r="N2236" i="1" s="1"/>
  <c r="N2244" i="1" a="1"/>
  <c r="N2244" i="1" s="1"/>
  <c r="N2254" i="1" a="1"/>
  <c r="N2254" i="1" s="1"/>
  <c r="N2264" i="1" a="1"/>
  <c r="N2264" i="1" s="1"/>
  <c r="N2274" i="1" a="1"/>
  <c r="N2274" i="1" s="1"/>
  <c r="N2284" i="1" a="1"/>
  <c r="N2284" i="1" s="1"/>
  <c r="N2294" i="1" a="1"/>
  <c r="N2294" i="1" s="1"/>
  <c r="N2304" i="1" a="1"/>
  <c r="N2304" i="1" s="1"/>
  <c r="N2314" i="1" a="1"/>
  <c r="N2314" i="1" s="1"/>
  <c r="N2276" i="1" a="1"/>
  <c r="N2276" i="1" s="1"/>
  <c r="N2295" i="1" a="1"/>
  <c r="N2295" i="1" s="1"/>
  <c r="N2266" i="1" a="1"/>
  <c r="N2266" i="1" s="1"/>
  <c r="N2285" i="1" a="1"/>
  <c r="N2285" i="1" s="1"/>
  <c r="N2256" i="1" a="1"/>
  <c r="N2256" i="1" s="1"/>
  <c r="N2275" i="1" a="1"/>
  <c r="N2275" i="1" s="1"/>
  <c r="N2246" i="1" a="1"/>
  <c r="N2246" i="1" s="1"/>
  <c r="N2265" i="1" a="1"/>
  <c r="N2265" i="1" s="1"/>
  <c r="N2255" i="1" a="1"/>
  <c r="N2255" i="1" s="1"/>
  <c r="N2245" i="1" a="1"/>
  <c r="N2245" i="1" s="1"/>
  <c r="N2316" i="1" a="1"/>
  <c r="N2316" i="1" s="1"/>
  <c r="N2237" i="1" a="1"/>
  <c r="N2237" i="1" s="1"/>
  <c r="N2306" i="1" a="1"/>
  <c r="N2306" i="1" s="1"/>
  <c r="N2296" i="1" a="1"/>
  <c r="N2296" i="1" s="1"/>
  <c r="N2315" i="1" a="1"/>
  <c r="N2315" i="1" s="1"/>
  <c r="N2305" i="1" a="1"/>
  <c r="N2305" i="1" s="1"/>
  <c r="N2286" i="1" a="1"/>
  <c r="N2286" i="1" s="1"/>
  <c r="N525" i="1" a="1"/>
  <c r="N525" i="1" s="1"/>
  <c r="N454" i="1" a="1"/>
  <c r="N454" i="1" s="1"/>
  <c r="N139" i="1" a="1"/>
  <c r="N139" i="1" s="1"/>
  <c r="N495" i="1" a="1"/>
  <c r="N495" i="1" s="1"/>
  <c r="N520" i="1" a="1"/>
  <c r="N520" i="1" s="1"/>
  <c r="N504" i="1" a="1"/>
  <c r="N504" i="1" s="1"/>
  <c r="N514" i="1" a="1"/>
  <c r="N514" i="1" s="1"/>
  <c r="N475" i="1" a="1"/>
  <c r="N475" i="1" s="1"/>
  <c r="N534" i="1" a="1"/>
  <c r="N534" i="1" s="1"/>
  <c r="N538" i="1" a="1"/>
  <c r="N538" i="1" s="1"/>
  <c r="N154" i="1" a="1"/>
  <c r="N154" i="1" s="1"/>
  <c r="N487" i="1" a="1"/>
  <c r="N487" i="1" s="1"/>
  <c r="N497" i="1" a="1"/>
  <c r="N497" i="1" s="1"/>
  <c r="N444" i="1" a="1"/>
  <c r="N444" i="1" s="1"/>
  <c r="N465" i="1" a="1"/>
  <c r="N465" i="1" s="1"/>
  <c r="N490" i="1" a="1"/>
  <c r="N490" i="1" s="1"/>
  <c r="N426" i="1" a="1"/>
  <c r="N426" i="1" s="1"/>
  <c r="N507" i="1" a="1"/>
  <c r="N507" i="1" s="1"/>
  <c r="N103" i="1" a="1"/>
  <c r="N103" i="1" s="1"/>
  <c r="N27" i="1" a="1"/>
  <c r="N27" i="1" s="1"/>
  <c r="N435" i="1" a="1"/>
  <c r="N435" i="1" s="1"/>
  <c r="N494" i="1" a="1"/>
  <c r="N494" i="1" s="1"/>
  <c r="N498" i="1" a="1"/>
  <c r="N498" i="1" s="1"/>
  <c r="N431" i="1" a="1"/>
  <c r="N431" i="1" s="1"/>
  <c r="N476" i="1" a="1"/>
  <c r="N476" i="1" s="1"/>
  <c r="N517" i="1" a="1"/>
  <c r="N517" i="1" s="1"/>
  <c r="N441" i="1" a="1"/>
  <c r="N441" i="1" s="1"/>
  <c r="N486" i="1" a="1"/>
  <c r="N486" i="1" s="1"/>
  <c r="N535" i="1" a="1"/>
  <c r="N535" i="1" s="1"/>
  <c r="N137" i="1" a="1"/>
  <c r="N137" i="1" s="1"/>
  <c r="N145" i="1" a="1"/>
  <c r="N145" i="1" s="1"/>
  <c r="N13" i="1" a="1"/>
  <c r="N13" i="1" s="1"/>
  <c r="N123" i="1" a="1"/>
  <c r="N123" i="1" s="1"/>
  <c r="N9" i="1" a="1"/>
  <c r="N9" i="1" s="1"/>
  <c r="N131" i="1" a="1"/>
  <c r="N131" i="1" s="1"/>
  <c r="N438" i="1" a="1"/>
  <c r="N438" i="1" s="1"/>
  <c r="N428" i="1" a="1"/>
  <c r="N428" i="1" s="1"/>
  <c r="N536" i="1" a="1"/>
  <c r="N536" i="1" s="1"/>
  <c r="N451" i="1" a="1"/>
  <c r="N451" i="1" s="1"/>
  <c r="N496" i="1" a="1"/>
  <c r="N496" i="1" s="1"/>
  <c r="N439" i="1" a="1"/>
  <c r="N439" i="1" s="1"/>
  <c r="N539" i="1" a="1"/>
  <c r="N539" i="1" s="1"/>
  <c r="N442" i="1" a="1"/>
  <c r="N442" i="1" s="1"/>
  <c r="N471" i="1" a="1"/>
  <c r="N471" i="1" s="1"/>
  <c r="N506" i="1" a="1"/>
  <c r="N506" i="1" s="1"/>
  <c r="N489" i="1" a="1"/>
  <c r="N489" i="1" s="1"/>
  <c r="N430" i="1" a="1"/>
  <c r="N430" i="1" s="1"/>
  <c r="N521" i="1" a="1"/>
  <c r="N521" i="1" s="1"/>
  <c r="N526" i="1" a="1"/>
  <c r="N526" i="1" s="1"/>
  <c r="N499" i="1" a="1"/>
  <c r="N499" i="1" s="1"/>
  <c r="N109" i="1" a="1"/>
  <c r="N109" i="1" s="1"/>
  <c r="N478" i="1" a="1"/>
  <c r="N478" i="1" s="1"/>
  <c r="N458" i="1" a="1"/>
  <c r="N458" i="1" s="1"/>
  <c r="N462" i="1" a="1"/>
  <c r="N462" i="1" s="1"/>
  <c r="N460" i="1" a="1"/>
  <c r="N460" i="1" s="1"/>
  <c r="N537" i="1" a="1"/>
  <c r="N537" i="1" s="1"/>
  <c r="N509" i="1" a="1"/>
  <c r="N509" i="1" s="1"/>
  <c r="N117" i="1" a="1"/>
  <c r="N117" i="1" s="1"/>
  <c r="N5" i="1" a="1"/>
  <c r="N5" i="1" s="1"/>
  <c r="N492" i="1" a="1"/>
  <c r="N492" i="1" s="1"/>
  <c r="N472" i="1" a="1"/>
  <c r="N472" i="1" s="1"/>
  <c r="N433" i="1" a="1"/>
  <c r="N433" i="1" s="1"/>
  <c r="N488" i="1" a="1"/>
  <c r="N488" i="1" s="1"/>
  <c r="N519" i="1" a="1"/>
  <c r="N519" i="1" s="1"/>
  <c r="N437" i="1" a="1"/>
  <c r="N437" i="1" s="1"/>
  <c r="M423" i="1"/>
  <c r="N484" i="1" a="1"/>
  <c r="N484" i="1" s="1"/>
  <c r="N452" i="1" a="1"/>
  <c r="N452" i="1" s="1"/>
  <c r="N473" i="1" a="1"/>
  <c r="N473" i="1" s="1"/>
  <c r="N461" i="1" a="1"/>
  <c r="N461" i="1" s="1"/>
  <c r="N516" i="1" a="1"/>
  <c r="N516" i="1" s="1"/>
  <c r="N429" i="1" a="1"/>
  <c r="N429" i="1" s="1"/>
  <c r="N532" i="1" a="1"/>
  <c r="N532" i="1" s="1"/>
  <c r="N427" i="1" a="1"/>
  <c r="N427" i="1" s="1"/>
  <c r="N527" i="1" a="1"/>
  <c r="N527" i="1" s="1"/>
  <c r="N541" i="1" a="1"/>
  <c r="N541" i="1" s="1"/>
  <c r="N424" i="1" a="1"/>
  <c r="N424" i="1" s="1"/>
  <c r="N500" i="1" a="1"/>
  <c r="N500" i="1" s="1"/>
  <c r="N480" i="1" a="1"/>
  <c r="N480" i="1" s="1"/>
  <c r="N503" i="1" a="1"/>
  <c r="N503" i="1" s="1"/>
  <c r="N470" i="1" a="1"/>
  <c r="N470" i="1" s="1"/>
  <c r="N443" i="1" a="1"/>
  <c r="N443" i="1" s="1"/>
  <c r="N468" i="1" a="1"/>
  <c r="N468" i="1" s="1"/>
  <c r="N515" i="1" a="1"/>
  <c r="N515" i="1" s="1"/>
  <c r="N432" i="1" a="1"/>
  <c r="N432" i="1" s="1"/>
  <c r="N481" i="1" a="1"/>
  <c r="N481" i="1" s="1"/>
  <c r="N436" i="1" a="1"/>
  <c r="N436" i="1" s="1"/>
  <c r="N529" i="1" a="1"/>
  <c r="N529" i="1" s="1"/>
  <c r="N449" i="1" a="1"/>
  <c r="N449" i="1" s="1"/>
  <c r="N447" i="1" a="1"/>
  <c r="N447" i="1" s="1"/>
  <c r="N463" i="1" a="1"/>
  <c r="N463" i="1" s="1"/>
  <c r="N445" i="1" a="1"/>
  <c r="N445" i="1" s="1"/>
  <c r="N425" i="1" a="1"/>
  <c r="N425" i="1" s="1"/>
  <c r="N508" i="1" a="1"/>
  <c r="N508" i="1" s="1"/>
  <c r="N524" i="1" a="1"/>
  <c r="N524" i="1" s="1"/>
  <c r="N434" i="1" a="1"/>
  <c r="N434" i="1" s="1"/>
  <c r="N512" i="1" a="1"/>
  <c r="N512" i="1" s="1"/>
  <c r="N464" i="1" a="1"/>
  <c r="N464" i="1" s="1"/>
  <c r="N502" i="1" a="1"/>
  <c r="N502" i="1" s="1"/>
  <c r="N523" i="1" a="1"/>
  <c r="N523" i="1" s="1"/>
  <c r="N440" i="1" a="1"/>
  <c r="N440" i="1" s="1"/>
  <c r="N491" i="1" a="1"/>
  <c r="N491" i="1" s="1"/>
  <c r="N446" i="1" a="1"/>
  <c r="N446" i="1" s="1"/>
  <c r="N459" i="1" a="1"/>
  <c r="N459" i="1" s="1"/>
  <c r="N457" i="1" a="1"/>
  <c r="N457" i="1" s="1"/>
  <c r="N513" i="1" a="1"/>
  <c r="N513" i="1" s="1"/>
  <c r="N453" i="1" a="1"/>
  <c r="N453" i="1" s="1"/>
  <c r="N522" i="1" a="1"/>
  <c r="N522" i="1" s="1"/>
  <c r="N455" i="1" a="1"/>
  <c r="N455" i="1" s="1"/>
  <c r="N540" i="1" a="1"/>
  <c r="N540" i="1" s="1"/>
  <c r="N485" i="1" a="1"/>
  <c r="N485" i="1" s="1"/>
  <c r="N510" i="1" a="1"/>
  <c r="N510" i="1" s="1"/>
  <c r="N448" i="1" a="1"/>
  <c r="N448" i="1" s="1"/>
  <c r="N501" i="1" a="1"/>
  <c r="N501" i="1" s="1"/>
  <c r="N456" i="1" a="1"/>
  <c r="N456" i="1" s="1"/>
  <c r="N469" i="1" a="1"/>
  <c r="N469" i="1" s="1"/>
  <c r="N467" i="1" a="1"/>
  <c r="N467" i="1" s="1"/>
  <c r="N533" i="1" a="1"/>
  <c r="N533" i="1" s="1"/>
  <c r="N2" i="1" a="1"/>
  <c r="N2" i="1" s="1"/>
  <c r="N505" i="1" a="1"/>
  <c r="N505" i="1" s="1"/>
  <c r="N450" i="1" a="1"/>
  <c r="N450" i="1" s="1"/>
  <c r="N528" i="1" a="1"/>
  <c r="N528" i="1" s="1"/>
  <c r="N474" i="1" a="1"/>
  <c r="N474" i="1" s="1"/>
  <c r="N530" i="1" a="1"/>
  <c r="N530" i="1" s="1"/>
  <c r="N483" i="1" a="1"/>
  <c r="N483" i="1" s="1"/>
  <c r="N493" i="1" a="1"/>
  <c r="N493" i="1" s="1"/>
  <c r="N518" i="1" a="1"/>
  <c r="N518" i="1" s="1"/>
  <c r="N482" i="1" a="1"/>
  <c r="N482" i="1" s="1"/>
  <c r="N511" i="1" a="1"/>
  <c r="N511" i="1" s="1"/>
  <c r="N466" i="1" a="1"/>
  <c r="N466" i="1" s="1"/>
  <c r="N479" i="1" a="1"/>
  <c r="N479" i="1" s="1"/>
  <c r="N477" i="1" a="1"/>
  <c r="N477" i="1" s="1"/>
  <c r="P1387" i="3" l="1" a="1"/>
  <c r="P1387" i="3" s="1"/>
  <c r="P3167" i="3" a="1"/>
  <c r="P3167" i="3" s="1"/>
  <c r="O3999" i="3" a="1"/>
  <c r="O3999" i="3" s="1"/>
  <c r="P3999" i="3" a="1"/>
  <c r="P3999" i="3" s="1"/>
  <c r="O1170" i="3" a="1"/>
  <c r="O1170" i="3" s="1"/>
  <c r="P2990" i="3" a="1"/>
  <c r="P2990" i="3" s="1"/>
  <c r="O2990" i="3" a="1"/>
  <c r="O2990" i="3" s="1"/>
  <c r="P3362" i="3" a="1"/>
  <c r="P3362" i="3" s="1"/>
  <c r="O3362" i="3" a="1"/>
  <c r="O3362" i="3" s="1"/>
  <c r="P3653" i="3" a="1"/>
  <c r="P3653" i="3" s="1"/>
  <c r="O3653" i="3" a="1"/>
  <c r="O3653" i="3" s="1"/>
  <c r="P4059" i="3" a="1"/>
  <c r="P4059" i="3" s="1"/>
  <c r="O2" i="1" a="1"/>
  <c r="O2" i="1" s="1"/>
  <c r="P2" i="1" s="1" a="1"/>
  <c r="P2" i="1" s="1"/>
  <c r="P2448" i="3" a="1"/>
  <c r="P2448" i="3" s="1"/>
  <c r="O423" i="3" a="1"/>
  <c r="O423" i="3" s="1"/>
  <c r="P2232" i="3" a="1"/>
  <c r="P2232" i="3" s="1"/>
  <c r="P852" i="3" a="1"/>
  <c r="P852" i="3" s="1"/>
  <c r="O3167" i="3" a="1"/>
  <c r="O3167" i="3" s="1"/>
  <c r="P1170" i="3" a="1"/>
  <c r="P1170" i="3" s="1"/>
  <c r="P2" i="3" a="1"/>
  <c r="P2" i="3" s="1"/>
  <c r="O852" i="3" a="1"/>
  <c r="O852" i="3" s="1"/>
  <c r="O2232" i="3" a="1"/>
  <c r="O2232" i="3" s="1"/>
  <c r="P423" i="3" a="1"/>
  <c r="P423" i="3" s="1"/>
  <c r="O1387" i="3" a="1"/>
  <c r="O1387" i="3" s="1"/>
  <c r="O2448" i="3" a="1"/>
  <c r="O2448" i="3" s="1"/>
  <c r="O1780" i="3" a="1"/>
  <c r="O1780" i="3" s="1"/>
  <c r="P1780" i="3" a="1"/>
  <c r="P1780" i="3" s="1"/>
  <c r="O2" i="3" a="1"/>
  <c r="O2" i="3" s="1"/>
  <c r="O1780" i="1" a="1"/>
  <c r="O1780" i="1" s="1"/>
  <c r="P1780" i="1" s="1" a="1"/>
  <c r="P1780" i="1" s="1"/>
  <c r="O852" i="1" a="1"/>
  <c r="O852" i="1" s="1"/>
  <c r="P852" i="1" s="1" a="1"/>
  <c r="P852" i="1" s="1"/>
  <c r="S1780" i="1" a="1"/>
  <c r="S1780" i="1" s="1"/>
  <c r="L1780" i="1"/>
  <c r="O2232" i="1" a="1"/>
  <c r="O2232" i="1" s="1"/>
  <c r="P2232" i="1" s="1" a="1"/>
  <c r="P2232" i="1" s="1"/>
  <c r="N423" i="1" a="1"/>
  <c r="N423" i="1" s="1"/>
  <c r="O423" i="1" s="1" a="1"/>
  <c r="O423" i="1" s="1"/>
  <c r="P423" i="1" s="1" a="1"/>
  <c r="P423" i="1" s="1"/>
  <c r="R1780" i="3" l="1" a="1"/>
  <c r="R1780" i="3" s="1"/>
  <c r="R2232" i="3" a="1"/>
  <c r="R2232" i="3" s="1"/>
  <c r="N88" i="2" a="1"/>
  <c r="N88" i="2" s="1"/>
  <c r="N127" i="2" a="1"/>
  <c r="N127" i="2" s="1"/>
  <c r="N42" i="2" a="1"/>
  <c r="N42" i="2" s="1"/>
  <c r="N99" i="2" a="1"/>
  <c r="N99" i="2" s="1"/>
  <c r="N60" i="2" a="1"/>
  <c r="N60" i="2" s="1"/>
  <c r="N17" i="2" a="1"/>
  <c r="N17" i="2" s="1"/>
  <c r="N143" i="2" a="1"/>
  <c r="N143" i="2" s="1"/>
  <c r="N58" i="2" a="1"/>
  <c r="N58" i="2" s="1"/>
  <c r="N35" i="2" a="1"/>
  <c r="N35" i="2" s="1"/>
  <c r="N25" i="2" a="1"/>
  <c r="N25" i="2" s="1"/>
  <c r="N41" i="2" a="1"/>
  <c r="N41" i="2" s="1"/>
  <c r="N14" i="2" a="1"/>
  <c r="N14" i="2" s="1"/>
  <c r="N55" i="2" a="1"/>
  <c r="N55" i="2" s="1"/>
  <c r="N46" i="2" a="1"/>
  <c r="N46" i="2" s="1"/>
  <c r="N12" i="2" a="1"/>
  <c r="N12" i="2" s="1"/>
  <c r="N39" i="2" a="1"/>
  <c r="N39" i="2" s="1"/>
  <c r="N106" i="2" a="1"/>
  <c r="N106" i="2" s="1"/>
  <c r="N70" i="2" a="1"/>
  <c r="N70" i="2" s="1"/>
  <c r="N133" i="2" a="1"/>
  <c r="N133" i="2" s="1"/>
  <c r="N24" i="2" a="1"/>
  <c r="N24" i="2" s="1"/>
  <c r="N129" i="2" a="1"/>
  <c r="N129" i="2" s="1"/>
  <c r="N104" i="2" a="1"/>
  <c r="N104" i="2" s="1"/>
  <c r="N52" i="2" a="1"/>
  <c r="N52" i="2" s="1"/>
  <c r="N65" i="2" a="1"/>
  <c r="N65" i="2" s="1"/>
  <c r="N110" i="2" a="1"/>
  <c r="N110" i="2" s="1"/>
  <c r="N73" i="2" a="1"/>
  <c r="N73" i="2" s="1"/>
  <c r="N68" i="2" a="1"/>
  <c r="N68" i="2" s="1"/>
  <c r="N63" i="2" a="1"/>
  <c r="N63" i="2" s="1"/>
  <c r="N77" i="2" a="1"/>
  <c r="N77" i="2" s="1"/>
  <c r="N91" i="2" a="1"/>
  <c r="N91" i="2" s="1"/>
  <c r="N87" i="2" a="1"/>
  <c r="N87" i="2" s="1"/>
  <c r="N19" i="2" a="1"/>
  <c r="N19" i="2" s="1"/>
  <c r="N72" i="2" a="1"/>
  <c r="N72" i="2" s="1"/>
  <c r="N18" i="2" a="1"/>
  <c r="N18" i="2" s="1"/>
  <c r="N11" i="2" a="1"/>
  <c r="N11" i="2" s="1"/>
  <c r="N31" i="2" a="1"/>
  <c r="N31" i="2" s="1"/>
  <c r="N125" i="2" a="1"/>
  <c r="N125" i="2" s="1"/>
  <c r="N83" i="2" a="1"/>
  <c r="N83" i="2" s="1"/>
  <c r="N23" i="2" a="1"/>
  <c r="N23" i="2" s="1"/>
  <c r="N118" i="2" a="1"/>
  <c r="N118" i="2" s="1"/>
  <c r="N71" i="2" a="1"/>
  <c r="N71" i="2" s="1"/>
  <c r="N103" i="2" a="1"/>
  <c r="N103" i="2" s="1"/>
  <c r="N34" i="2" a="1"/>
  <c r="N34" i="2" s="1"/>
  <c r="N121" i="2" a="1"/>
  <c r="N121" i="2" s="1"/>
  <c r="N54" i="2" a="1"/>
  <c r="N54" i="2" s="1"/>
  <c r="N27" i="2" a="1"/>
  <c r="N27" i="2" s="1"/>
  <c r="N117" i="2" a="1"/>
  <c r="N117" i="2" s="1"/>
  <c r="N32" i="2" a="1"/>
  <c r="N32" i="2" s="1"/>
  <c r="N95" i="2" a="1"/>
  <c r="N95" i="2" s="1"/>
  <c r="N92" i="2" a="1"/>
  <c r="N92" i="2" s="1"/>
  <c r="N131" i="2" a="1"/>
  <c r="N131" i="2" s="1"/>
  <c r="N109" i="2" a="1"/>
  <c r="N109" i="2" s="1"/>
  <c r="N112" i="2" a="1"/>
  <c r="N112" i="2" s="1"/>
  <c r="N113" i="2" a="1"/>
  <c r="N113" i="2" s="1"/>
  <c r="N59" i="2" a="1"/>
  <c r="N59" i="2" s="1"/>
  <c r="N10" i="2" a="1"/>
  <c r="N10" i="2" s="1"/>
  <c r="N107" i="2" a="1"/>
  <c r="N107" i="2" s="1"/>
  <c r="N8" i="2" a="1"/>
  <c r="N8" i="2" s="1"/>
  <c r="N97" i="2" a="1"/>
  <c r="N97" i="2" s="1"/>
  <c r="N134" i="2" a="1"/>
  <c r="N134" i="2" s="1"/>
  <c r="N116" i="2" a="1"/>
  <c r="N116" i="2" s="1"/>
  <c r="N4" i="2" a="1"/>
  <c r="N4" i="2" s="1"/>
  <c r="N6" i="2" a="1"/>
  <c r="N6" i="2" s="1"/>
  <c r="N108" i="2" a="1"/>
  <c r="N108" i="2" s="1"/>
  <c r="N62" i="2" a="1"/>
  <c r="N62" i="2" s="1"/>
  <c r="N94" i="2" a="1"/>
  <c r="N94" i="2" s="1"/>
  <c r="N29" i="2" a="1"/>
  <c r="N29" i="2" s="1"/>
  <c r="N136" i="2" a="1"/>
  <c r="N136" i="2" s="1"/>
  <c r="N100" i="2" a="1"/>
  <c r="N100" i="2" s="1"/>
  <c r="N16" i="2" a="1"/>
  <c r="N16" i="2" s="1"/>
  <c r="N40" i="2" a="1"/>
  <c r="N40" i="2" s="1"/>
  <c r="N102" i="2" a="1"/>
  <c r="N102" i="2" s="1"/>
  <c r="N105" i="2" a="1"/>
  <c r="N105" i="2" s="1"/>
  <c r="N81" i="2" a="1"/>
  <c r="N81" i="2" s="1"/>
  <c r="N132" i="2" a="1"/>
  <c r="N132" i="2" s="1"/>
  <c r="N78" i="2" a="1"/>
  <c r="N78" i="2" s="1"/>
  <c r="N138" i="2" a="1"/>
  <c r="N138" i="2" s="1"/>
  <c r="N137" i="2" a="1"/>
  <c r="N137" i="2" s="1"/>
  <c r="N7" i="2" a="1"/>
  <c r="N7" i="2" s="1"/>
  <c r="N75" i="2" a="1"/>
  <c r="N75" i="2" s="1"/>
  <c r="N5" i="2" a="1"/>
  <c r="N5" i="2" s="1"/>
  <c r="N36" i="2" a="1"/>
  <c r="N36" i="2" s="1"/>
  <c r="N98" i="2" a="1"/>
  <c r="N98" i="2" s="1"/>
  <c r="N84" i="2" a="1"/>
  <c r="N84" i="2" s="1"/>
  <c r="N28" i="2" a="1"/>
  <c r="N28" i="2" s="1"/>
  <c r="N53" i="2" a="1"/>
  <c r="N53" i="2" s="1"/>
  <c r="N56" i="2" a="1"/>
  <c r="N56" i="2" s="1"/>
  <c r="N135" i="2" a="1"/>
  <c r="N135" i="2" s="1"/>
  <c r="N123" i="2" a="1"/>
  <c r="N123" i="2" s="1"/>
  <c r="N33" i="2" a="1"/>
  <c r="N33" i="2" s="1"/>
  <c r="N61" i="2" a="1"/>
  <c r="N61" i="2" s="1"/>
  <c r="N128" i="2" a="1"/>
  <c r="N128" i="2" s="1"/>
  <c r="N47" i="2" a="1"/>
  <c r="N47" i="2" s="1"/>
  <c r="N130" i="2" a="1"/>
  <c r="N130" i="2" s="1"/>
  <c r="N67" i="2" a="1"/>
  <c r="N67" i="2" s="1"/>
  <c r="N114" i="2" a="1"/>
  <c r="N114" i="2" s="1"/>
  <c r="N141" i="2" a="1"/>
  <c r="N141" i="2" s="1"/>
  <c r="N49" i="2" a="1"/>
  <c r="N49" i="2" s="1"/>
  <c r="N126" i="2" a="1"/>
  <c r="N126" i="2" s="1"/>
  <c r="N21" i="2" a="1"/>
  <c r="N21" i="2" s="1"/>
  <c r="N86" i="2" a="1"/>
  <c r="N86" i="2" s="1"/>
  <c r="N69" i="2" a="1"/>
  <c r="N69" i="2" s="1"/>
  <c r="N120" i="2" a="1"/>
  <c r="N120" i="2" s="1"/>
  <c r="N48" i="2" a="1"/>
  <c r="N48" i="2" s="1"/>
  <c r="N43" i="2" a="1"/>
  <c r="N43" i="2" s="1"/>
  <c r="N37" i="2" a="1"/>
  <c r="N37" i="2" s="1"/>
  <c r="N66" i="2" a="1"/>
  <c r="N66" i="2" s="1"/>
  <c r="N93" i="2" a="1"/>
  <c r="N93" i="2" s="1"/>
  <c r="N124" i="2" a="1"/>
  <c r="N124" i="2" s="1"/>
  <c r="N38" i="2" a="1"/>
  <c r="N38" i="2" s="1"/>
  <c r="N76" i="2" a="1"/>
  <c r="N76" i="2" s="1"/>
  <c r="N3" i="2" a="1"/>
  <c r="N3" i="2" s="1"/>
  <c r="N45" i="2" a="1"/>
  <c r="N45" i="2" s="1"/>
  <c r="N111" i="2" a="1"/>
  <c r="N111" i="2" s="1"/>
  <c r="N57" i="2" a="1"/>
  <c r="N57" i="2" s="1"/>
  <c r="N22" i="2" a="1"/>
  <c r="N22" i="2" s="1"/>
  <c r="N9" i="2" a="1"/>
  <c r="N9" i="2" s="1"/>
  <c r="N139" i="2" a="1"/>
  <c r="N139" i="2" s="1"/>
  <c r="N20" i="2" a="1"/>
  <c r="N20" i="2" s="1"/>
  <c r="N44" i="2" a="1"/>
  <c r="N44" i="2" s="1"/>
  <c r="N82" i="2" a="1"/>
  <c r="N82" i="2" s="1"/>
  <c r="N80" i="2" a="1"/>
  <c r="N80" i="2" s="1"/>
  <c r="N101" i="2" a="1"/>
  <c r="N101" i="2" s="1"/>
  <c r="N140" i="2" a="1"/>
  <c r="N140" i="2" s="1"/>
  <c r="N115" i="2" a="1"/>
  <c r="N115" i="2" s="1"/>
  <c r="N122" i="2" a="1"/>
  <c r="N122" i="2" s="1"/>
  <c r="N26" i="2" a="1"/>
  <c r="N26" i="2" s="1"/>
  <c r="N119" i="2" a="1"/>
  <c r="N119" i="2" s="1"/>
  <c r="N51" i="2" a="1"/>
  <c r="N51" i="2" s="1"/>
  <c r="N142" i="2" a="1"/>
  <c r="N142" i="2" s="1"/>
  <c r="N64" i="2" a="1"/>
  <c r="N64" i="2" s="1"/>
  <c r="N13" i="2" a="1"/>
  <c r="N13" i="2" s="1"/>
  <c r="N89" i="2" a="1"/>
  <c r="N89" i="2" s="1"/>
  <c r="N96" i="2" a="1"/>
  <c r="N96" i="2" s="1"/>
  <c r="N15" i="2" a="1"/>
  <c r="N15" i="2" s="1"/>
  <c r="N50" i="2" a="1"/>
  <c r="N50" i="2" s="1"/>
  <c r="N74" i="2" a="1"/>
  <c r="N74" i="2" s="1"/>
  <c r="N30" i="2" a="1"/>
  <c r="N30" i="2" s="1"/>
  <c r="N90" i="2" a="1"/>
  <c r="N90" i="2" s="1"/>
  <c r="N79" i="2" a="1"/>
  <c r="N79" i="2" s="1"/>
  <c r="M2" i="2"/>
  <c r="N85" i="2" a="1"/>
  <c r="N85"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<sst xmlns="http://schemas.openxmlformats.org/spreadsheetml/2006/main" count="10184" uniqueCount="48">
  <si>
    <t>album_release_date</t>
  </si>
  <si>
    <t>minssecs</t>
  </si>
  <si>
    <t>secs</t>
  </si>
  <si>
    <t>track_name</t>
  </si>
  <si>
    <t>track_number</t>
  </si>
  <si>
    <t>album_name</t>
  </si>
  <si>
    <t>Lyrics</t>
  </si>
  <si>
    <t>Lyric source</t>
  </si>
  <si>
    <t>TEXTJOIN</t>
  </si>
  <si>
    <t>TEXTSPLIT</t>
  </si>
  <si>
    <t>UNIQUE</t>
  </si>
  <si>
    <t>COUNTIF</t>
  </si>
  <si>
    <t>SortBy</t>
  </si>
  <si>
    <t>TEXTSPLIT2</t>
  </si>
  <si>
    <t>City Walls</t>
  </si>
  <si>
    <t>Breach: Digital Remains</t>
  </si>
  <si>
    <t>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t>
  </si>
  <si>
    <t>Rawfear</t>
  </si>
  <si>
    <t>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t>
  </si>
  <si>
    <t xml:space="preserve"> Puttin' on a drum show
 Ooh-ooh
 Completed checklist for today
 Now they have to let you out of your cage
 Feelin' stuck between a rock and a home
 Two places you do not want to go
 So, so
 He's puttin' on a drum show
 Even now, even now, even now
 He'll take the longer way home
 Even now, even now, even now
 He'll never ever say so
 He drives fast just to feel it, feel it (Feel it)
 He drives slow if his song's not over (Feel it)
 Drown it out, drown it out
 Show
 Ooh-ooh
 He'd rather feel something than nothing at all
 So he swerves all around as his head starts to fall, turns it up
 Stuck between a rock and a home
 Two places he does not want to go
 So, so
 He's puttin' on a drum show
 Even now, even now, even now
 He'll take the longer way home (I've been this way)
 Even now, even now, even now
 He'll never ever say so (I want to change)
 He drives fast just to feel it, feel it (Feel it)
 He drives slow if his song's not over (Feel it)
 Drown it out, drown it out
 I've been this way
 I want to change
 I've been this way
 I want to change
 He's puttin' on a drum show
 Even now, even now, even now
 He'll take the longer way home (I've been this way)
 Even now, well even now, well even now
 He'll never ever say so (I want to change)
 He drives fast just to feel it, feel it (Feel it)
 He drives slow if his song's not over (I've been this way) (Feel it)
 Drown it out, drown it out (I want to change)
 I've been this way (Feel it, feel it)
 I want to change (Feel it, feel it)
  I've been this way (Feel it, feel it)
 I want to</t>
  </si>
  <si>
    <t>Garbage</t>
  </si>
  <si>
    <t xml:space="preserve"> I didn't do it
 I feel like garbage
 I feel like
 My systems are operating at twenty percent
 Or less
 I'll walk you through the numbers
 I'll show you nothing's left
 Oh-oh
( Yeah, yeah) I'm biting down on my shirtsleeve
( Yeah, yeah) I'll lash out if you're in arm's reach
 (Yeah, yeah) I'm so lost, like, what is happening?
 Like, like
 I feel like garbage
 Ooh, yeah
 I can't decide
  If I could feel more or I just knew less
When I was younger
 Bright-eyed with wonder
 Do you know which name it's under? (Oh-oh-oh)
 Or less
 I'll walk you through the numbers
 I'll show you nothing's left
 Oh-oh
 (Yeah, yeah) I'm biting down on my shirt sleeve
 (Yeah, yeah) I'll lash out if you're in arm's reach
 (Yeah, yeah) I'm so lost, like, what is happening?
 Like, what is happening?
 Would you move closer if I grew quieter?
 Maybe this is you
 Maybe you don't fix and you like it like this
 I feel like garbage (Yeah)
 I feel like garbage
 I feel like (Yeah)
 Like
 I'll lash out, lash out, lash out (Hey)
 I'm biting down on my shirt sleeve
 Like, I'll lash out, lash out, lash out
 Don't give up on me
 Don't give up on me
 No, no, no, please, please, please</t>
  </si>
  <si>
    <t>Sort</t>
  </si>
  <si>
    <t>End row</t>
  </si>
  <si>
    <t>The Contract</t>
  </si>
  <si>
    <t xml:space="preserve">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Wake up and I find out, did a change up
 Wait, did it change up?
 Is it light out yet? Better find out, bet
 I'ma walk around the edge of the room and the bed
 Where I hide my face, pace around
 Better try to breathe, pace around, pace around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I  used to see
 Sleep I found
 (Oh-ooh) I wanna get out there
 (Oh-ooh) But I don't try
 (Oh-ooh) I wanna get out there
 (Oh-ooh) But I don't try
 I check the clock, wondering what he'll pull this time
 I have a feeling that necromancer's outside
 And I'm just tryin' to stay quiet
 I don't sleep much, that's crazy, how'd you know that? (That)
 I keep myself up, that's maybe how you know that (That, that)
 Ooh, promises and contracts I used to keep
 I don't sleep much, that's crazy, how'd you know that? (That)
 Keep myself up, that's maybe how you know that (That, that)
 Ooh, my hallucination I used to see
 I used to see
 I used to see
 Ooh, my hallucination I used to see
 I used to see, it felt so real
 But now I plead, just take the deal
 I promised you a contract
 I promised you a contract</t>
  </si>
  <si>
    <t>Downstairs</t>
  </si>
  <si>
    <t xml:space="preserve"> You-ooh-ooh can have all I've made and all I've ever known
 You-ooh-ooh can have both my lungs if you ask me so
 Cause I-I-I want to be the one after your own heart
 And I-I-I might doubt the process like I doubted the start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Feeling like I'm nothing
 Feeling like I'm run down
 Was afraid of nothing
 Now I'm just ashamed how
 I hide my face from you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Oh, what have I become?
 Dirty and wretched one
 Am I unholy man?
 Have I forced your hand?
 Oh, woah-oh, woah-oh, mercy, yeah
 Oh, woah-oh, woah-oh, mercy, yeah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Downstairs (You can have), I feel better in the cellar (All I've made)
 Down there, need some shelter from the weather (All I've ever known)
 I wear (You can have) all of my heart on my sleeve (Both my lungs)
 I'll take what I believe, and I'm hiding it, yeah (If you ask me so, oh)
 And I'm hiding it, yeah ('Cause I want to be the one)
 And I'm hiding it, yeah (After your own heart)
 And I'm hiding it, yeah, oh (And I might doubt the process like I doubted the start)
 You can have all I've made and all I've ever known
 You can have both my lungs if you ask me so
 Cause I want to be the one after your own heart
 And I might doubt the process like I doubt the start</t>
  </si>
  <si>
    <t>Robot Voices</t>
  </si>
  <si>
    <t>They keep me company
 The robots and machines in my room
 An understanding
 The beeps and tones they make
 The only advice I take, the inside jokes are landing
 Now I'm waitin'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The half-drawn blinds casting lines on the floor as my metal friend flashes in time
 The daisy-chained power strips generating
 A newfound loneliness, I'm waiting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I wasn't lookin' for love this year
 But my robot told me that I shouldn't fear
 When I met you, I found you safe and warm
 Then the robot voices would reassure me</t>
  </si>
  <si>
    <t>Center Mass</t>
  </si>
  <si>
    <t>(Right)
 I figured out how it's on it (Right this way)
 It goes (Right)
 My death (Right this way)
 Girl, I really don't think you should take that (Stop it)
 A little softer than I used to be (Right)
 Used to mouth off often with artillery
 Now it is cough drops and soft spots in a middle seat (Right this way)
 Chivalry
 A tighter space than I used to know (Right)
 Spread out wide no more, pinch my shoulders close
 Hoping they misplace my reservation (Right this way), okay, okay
 I thought you had it figured out
 I know, I know
 You said you made it to the top
 I lied, I lied
 So, tell us, how did you make out alright?
 Well
 I pull on my shirtsleeve to cover half of my hands
 Bring my arms closer to my body, get as small as I can
 They call it center mass, that part they aim for
 Shrink it down to nothing and forgetting what the pain's for
 I pull on my shirtsleeve (My shirtsleeve), to cover half of my face (Half of my face)
 Bring my arms closer to my body, get as small as they say (Small as they say)
 They call it center mass, that part they aim for (For-for-for-for-for-for)
 Right this way if you're frustrated (Right)
 Your first mate in the fifth grade tried to persuade
 Try it once, he was shown on the bus (Right this way)
 Chain's off my huff, anxious enough as it is (Right)
 Gotta walk, never looking up once at the kids in the park
 What a day, getting dark, what a day (Right this way)
 Okay, okay
 I thought you had it figured out(I thought you had it figured out)
 I know, I know
 You said you made it to the top (You said you made it to the top)
 I lied, I lied
 So, tell us, how did you make out alright?
 Well
 I pull on my shirtsleeve (My shirtsleeve), to cover half of my hands (Half of my hands)
 Bring my arms closer to my body, get as small as I can (Small as I can)
 They call it center mass, that part they aim for
 Shrink it down to nothing and forgetting what the pain's for
 I  pull on my shirtsleeve (My shirtsleeve), to cover half of my face (Half of my face)
 Bring my arms closer to my body, get as small as they say (Small as they say)
 They call it center mass, that part they aim for
 Shrink it down to nothing and forgetting what the pain's for
 That part they aim for
 Found out what I'm worth, I run to you
 I hope you understand this run-on sentence
 My tattoos only hurt when meaning fades
 I think my skin got worse with good intentions
 I don't want to say what happened, I just want to let it go
 Nothing was the same right after, I went to the funeral
 I miss you so, so much, take what you want
 Take what you want from me
 Took you for granted
 They call it center mass, that part they aim for
 That part they aim for
 That part they aim for
 That part they aim for</t>
  </si>
  <si>
    <t>Count</t>
  </si>
  <si>
    <t>Unique2</t>
  </si>
  <si>
    <t>txtonly</t>
  </si>
  <si>
    <t>Cottonwood</t>
  </si>
  <si>
    <t xml:space="preserve"> Can't believe you're gone for good
 Someone chopped you down
 Thought you'd just fall in the woods
 But she heard that sound
 No, I don't, no, I don't remember
 Last we spoke
 No, I don't, no, I don't remember
 Remember
 Remember
 Remember
 I look back in time through a telescope
 I've been catching my
 I've been catching my
 My reflection already looking
 Most are blown down in a storm
 But the wind was tame
 You weren't waiting anymore
 Were you sad or brave?
 No I don't, no, I don't condemn you
 Back and forth
 No I don't, no, I don't condemn you
 Condemn you
 Condemn you
 Condemn you
 I look back in time through a telescope
 I've been catching my
 I've been catching my
 My reflection already looking
 You tore me up more than you know
 You tore me up more than you know
 You tore me up more than you know
 You tore me up
 I look back in time through a telescope
 I've been catching my
 I've been catching my
 My reflection already looking"</t>
  </si>
  <si>
    <t>One Way</t>
  </si>
  <si>
    <t xml:space="preserve"> "I wanted to fly
 But they say a system's coming in
 The chances are high
 That this is a
 One way, one way, one way, one way
 Am I dreaming?
 If it's so
 Can I take back who I was before?
 If it's no
 Then all my dreams have
 Not been interesting in a while
 This has not been interesting in a while, while, while
 I wanted to fly
 But they say a system's coming in
 The chances are high
 That this is a
 One way, one way, one way, one way, one way (ooh)
 Me and my scene just ain't gelling
 Someone next to me keeps yelling
 Why am I still walking?
 Something must be wrong here
 I just don't belong here
 I wanted to fly
 But they say a system's coming in
 Chances are high
 That this is a
 One way, one way, one way, one way, one
 I wanted to fly
 But they say a system's coming in
 The chances are high
 That this is a
 One way, one way, one
 That this is a
 One way, one way, one
 That this is a
 One way, one way
 (This is a)</t>
  </si>
  <si>
    <t>Days Lie Dormant</t>
  </si>
  <si>
    <t xml:space="preserve"> Hey it's Josh, call me back
 I'm not opposed to ""One Way"" going to ""Days Lie Dormant""
 But it does feel like quite a vibe change
 And uhh"
 "Ah
 You say, ""I should chase it""
 I'll never say ""No""
 Too narrow and too tight
 Somewhere you can't follow
 You say with your face
 Something else altogether
  My days lie dormant
 'Cause I just can't afford it
 To waste time in a city
 Where no one knows your name
 My days lie dormant
 'Cause I just can't afford it
 To waste my time inside a place you're not
 Don't make me waste my love
 It's everything I've got
 You say, ""Don't worry 'bout me though
 It looks so much warmer there""
 And I should try Topo Chico
 And get some more sun
 But you say with your face
 Something else altogether
 My days lie dormant
 'Cause I just can't afford it
 To waste time in a city
 Where no one knows your name
 My days lie dormant
 'Cause I just can't afford it
 To waste my time inside a place you're not
 Don't make me waste my love
 It's everything I've got
 My days lie dormant
 Frozen and distorted
 Robbed of my momentum
 And suspended in the air
 My days lie dormant
 It's feeling less important
 To waste my time inside a place you're not
 Don't make me waste my love
 It's everything I've got
 Yeah-yeah-yeah-yeah
 Yeah-yeah-yeah-yeah
 Yeah-yeah-yeah-yeah
 Yeah-yeah-yeah-yeah
 My days lie dormant
 'Cause I just can't afford it
 To waste time in a city
 Where no one knows your name
 My days lie dormant
 'Cause I just can't afford it
 To waste my time inside a place you're not
 Don't make me waste my love
 It's everything I've got"</t>
  </si>
  <si>
    <t>Tally</t>
  </si>
  <si>
    <t xml:space="preserve"> "I lost my rank and title
 I turned my back on it
 Sold it all at a discount (Yeah, yeah)
 I wanted to progress things
 I wanted my soul set free
 Lost it all at a discount (Yeah, yeah)
 You and I both know that's how the story goes
 We've seen it several times (Yeah, yeah)
 It's kinda hard to know, is there's a point at all?
 Or should we cut the line?
 You want a tally, I lost the count
 You want to love me, I'll let you down
 Still now, you believe in me somehow
 When I replay it in my mind
 I see your heartbreak every time
 Still now, you believe in me somehow
 You believe in me somehow
 You believe in me somehow
 I liken our fight to two lightning strikes strike on cue
 Like right when a storm hits, sights set (Yeah, yeah)
 Right set, circumstantial proof
 You should go your way, I should try mine
 Even though we both know
 We should just cut the line (Yeah, yeah)
 You want a tally, I lost the count
 You want to love me, I'll let you down
 Still now, you believe in me somehow
 When I replay it in my mind
 I see your heartbreak every time
 Still now, you believe in me somehow
 Somehow, somehow (Ooh, ooh)
 You believe in me somehow
 Ooh
 Ooh, somehow I figured you were keeping track of every time
 Just figured you were keeping track of every time
 I let you down, I breached your trust, I let you down
 Just figured you were keeping track of every time
 You were keeping track
 You want a tally, I lost the count (You want a tally)
 You want to love me (You want to love me), I'll let you down
 Still now (Still now), you believe in me somehow (You believe in me somehow)
 When I replay it in my mind (When I replay it)
 I see your heartbreak every time (I see your heartbreak)
 Still now (Still now), you believe in me somehow
 Yeah, yeah"</t>
  </si>
  <si>
    <t>Intentions</t>
  </si>
  <si>
    <t xml:space="preserve"> "I am starting it all over once again
 Did I learn a thing?
 (hoo-hoo-hoo, hoo-hoo-hoo, hoo-hoo-hoO)
 Intentions are everything
 (hoo-hoo-hoo, hoo-hoo-hoo, hoo-hoo-hoO)
 Intentions will set you free
 You will fail most every day and every way
 Did you learn a thing?
 (hoo-hoo-hoo, hoo-hoo-hoo, hoo-hoo-hoO)
 Intentions lack memory
 (hoo-hoo-hoo, hoo-hoo-hoo, hoo-hoo-hoO)
 Intentions will set you free
 Just try to be"</t>
  </si>
  <si>
    <t>Drag Path</t>
  </si>
  <si>
    <t xml:space="preserve"> "When I see the devil's eyes
 A current travels down my spine
 He found me
 Seems as though I've lost again
 A story told at nauseam
 He found me
 Maybe once or twice or three
 He's tried his hand at drowning me
 But I'm still on fire
 At least I'm pretty sure
 When I see the devil's eyes
 I'll look away and smile wide
 You found me
 'Cause then I'll know you're also there
 'Cause proof is in the opposite
 You found me
 A drag path etched in the surface as evidence
 I left there on purpose a sad, sad
 Laying on the surface (Yeah)
 Can you find me? I dug my heels into the gravel as evidence
 For you to unravel a drag path etched in the surface (Yeah)
 Can you find me?
 What will you do?
 Please, please hurry
 What will you do?
 Please, please hurry
 Can you, can you, can you, can you?
 I'm trapped now, etched in the surface as evidence
 I'm left there on purpose, a sad sign, laying on the surface
 Can you, can you find, can you find me?
 I dug my heels into a gravel as evidence
 For you to unravel the drag path
 Etched in the surface
 Can you find me? (Can you find me?)
 Can you find me? (Can you find me?)
 Can you find me? (Can you find me?)
 Can you find me? (Can you find me?)
 Then the sun begins to rise
 We made it through the darkest night
 You found me"</t>
  </si>
  <si>
    <t xml:space="preserve">song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</si>
</sst>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amily val="2"/>
    </font>
    <font>
      <sz val="11"/>
      <name val="Calibri"/>
      <family val="2"/>
    </font>
  </fonts>
  <fills count="6">
    <fill>
      <patternFill patternType="none"/>
    </fill>
    <fill>
      <patternFill patternType="gray125"/>
    </fill>
    <fill>
      <patternFill patternType="mediumGray">
        <fgColor indexed="29"/>
      </patternFill>
    </fill>
    <fill>
      <patternFill patternType="solid">
        <fgColor rgb="FF00B0F0"/>
        <bgColor indexed="64"/>
      </patternFill>
    </fill>
    <fill>
      <patternFill patternType="darkGray">
        <fgColor indexed="42"/>
        <bgColor rgb="FF00B0F0"/>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xf numFmtId="1" fontId="1" fillId="2" borderId="0" xfId="0" applyNumberFormat="1" applyFont="1" applyFill="1"/>
    <xf numFmtId="0" fontId="0" fillId="3" borderId="0" xfId="0" applyFill="1"/>
    <xf numFmtId="14" fontId="0" fillId="3" borderId="0" xfId="0" applyNumberFormat="1" applyFill="1"/>
    <xf numFmtId="20" fontId="0" fillId="3" borderId="0" xfId="0" applyNumberFormat="1" applyFill="1"/>
    <xf numFmtId="1" fontId="0" fillId="3" borderId="0" xfId="0" applyNumberFormat="1" applyFill="1"/>
    <xf numFmtId="0" fontId="1" fillId="4" borderId="0" xfId="0" applyFont="1" applyFill="1"/>
    <xf numFmtId="0" fontId="1" fillId="3" borderId="0" xfId="0" applyFont="1" applyFill="1"/>
    <xf numFmtId="0" fontId="0" fillId="5"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5879</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2C47-B9B9-CD4D-A03C-3C5F535EC68A}">
  <dimension ref="A1:W2448"/>
  <sheetViews>
    <sheetView workbookViewId="0">
      <selection activeCell="H401" sqref="A1:XFD1048576"/>
    </sheetView>
  </sheetViews>
  <sheetFormatPr baseColWidth="10" defaultRowHeight="15" x14ac:dyDescent="0.2"/>
  <sheetData>
    <row r="1" spans="1:23" x14ac:dyDescent="0.2">
      <c r="A1" s="1"/>
      <c r="B1" s="1" t="s">
        <v>0</v>
      </c>
      <c r="C1" s="2" t="s">
        <v>1</v>
      </c>
      <c r="D1" s="3" t="s">
        <v>2</v>
      </c>
      <c r="E1" s="1" t="s">
        <v>3</v>
      </c>
      <c r="F1" s="1" t="s">
        <v>4</v>
      </c>
      <c r="G1" s="1" t="s">
        <v>5</v>
      </c>
      <c r="H1" s="1" t="s">
        <v>6</v>
      </c>
      <c r="I1" s="1" t="s">
        <v>7</v>
      </c>
      <c r="J1" s="2" t="s">
        <v>8</v>
      </c>
      <c r="K1" s="2" t="s">
        <v>9</v>
      </c>
      <c r="L1" s="2" t="s">
        <v>13</v>
      </c>
      <c r="M1" s="2" t="s">
        <v>10</v>
      </c>
      <c r="N1" s="2" t="s">
        <v>11</v>
      </c>
      <c r="O1" s="2" t="s">
        <v>22</v>
      </c>
      <c r="P1" s="2" t="s">
        <v>12</v>
      </c>
      <c r="Q1" s="2" t="s">
        <v>33</v>
      </c>
      <c r="R1" s="2" t="s">
        <v>32</v>
      </c>
      <c r="S1" s="2"/>
      <c r="T1" s="2"/>
      <c r="U1" s="2"/>
      <c r="V1" s="2"/>
      <c r="W1" s="2"/>
    </row>
    <row r="2" spans="1:23" s="4" customFormat="1" x14ac:dyDescent="0.2">
      <c r="A2" s="4">
        <v>1</v>
      </c>
      <c r="B2" s="5">
        <v>45912</v>
      </c>
      <c r="C2" s="6">
        <v>0.22361111111111112</v>
      </c>
      <c r="D2" s="7">
        <v>322</v>
      </c>
      <c r="E2" s="4" t="s">
        <v>14</v>
      </c>
      <c r="F2" s="4">
        <v>1</v>
      </c>
      <c r="G2" s="8" t="s">
        <v>15</v>
      </c>
      <c r="H2" s="9" t="s">
        <v>16</v>
      </c>
      <c r="I2" s="4">
        <v>1</v>
      </c>
      <c r="J2" s="4" t="str">
        <f>_xlfn.TEXTJOIN(" ", TRUE, H2:H15)</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K2" s="4" t="str" cm="1">
        <f t="array" ref="K2:K421">_xlfn.TEXTSPLIT(J2, ," ")</f>
        <v>Square</v>
      </c>
      <c r="L2" s="4" t="str">
        <f>_xlfn.REGEXREPLACE(K2, "[^A-Za-z ]", " ")</f>
        <v>Square</v>
      </c>
      <c r="M2" s="4" t="str" cm="1">
        <f t="array" ref="M2:M168">_xlfn.UNIQUE(_xlfn.TEXTSPLIT(J2, , " "))</f>
        <v>Square</v>
      </c>
      <c r="N2" s="4" cm="1">
        <f t="array" ref="N2">SUM(--(_xlfn.TEXTSPLIT($J$2,, " ") = M2))</f>
        <v>2</v>
      </c>
      <c r="O2" s="4" cm="1">
        <f t="array" ref="O2:O421">_xlfn._xlws.SORT(N2:N421, ,-1)</f>
        <v>26</v>
      </c>
      <c r="P2" s="4" t="str" cm="1">
        <f t="array" ref="P2:S421">_xlfn.SORTBY(L2:O421, O2:O421, -1)</f>
        <v>Square</v>
      </c>
      <c r="Q2" s="4" t="str">
        <v>Square</v>
      </c>
      <c r="R2" s="4">
        <v>2</v>
      </c>
      <c r="S2" s="4">
        <v>26</v>
      </c>
    </row>
    <row r="3" spans="1:23" x14ac:dyDescent="0.2">
      <c r="E3" s="4" t="s">
        <v>14</v>
      </c>
      <c r="K3" t="str">
        <v>up</v>
      </c>
      <c r="L3" s="4" t="str">
        <f>_xlfn.REGEXREPLACE(K3, "[^A-Za-z ]", " ")</f>
        <v>up</v>
      </c>
      <c r="M3" t="str">
        <v>up</v>
      </c>
      <c r="N3" s="4" cm="1">
        <f t="array" ref="N3">SUM(--(_xlfn.TEXTSPLIT($J$2,, " ") = M3))</f>
        <v>5</v>
      </c>
      <c r="O3" s="4">
        <v>20</v>
      </c>
      <c r="P3" t="str">
        <v>up</v>
      </c>
      <c r="Q3" t="str">
        <v>up</v>
      </c>
      <c r="R3">
        <v>5</v>
      </c>
      <c r="S3" s="4">
        <v>20</v>
      </c>
      <c r="T3" s="4"/>
      <c r="U3" s="4"/>
      <c r="V3" s="4"/>
      <c r="W3" s="4"/>
    </row>
    <row r="4" spans="1:23" x14ac:dyDescent="0.2">
      <c r="E4" s="4" t="s">
        <v>14</v>
      </c>
      <c r="K4" t="str">
        <v>with</v>
      </c>
      <c r="L4" s="4" t="str">
        <f t="shared" ref="L4:L67" si="0">_xlfn.REGEXREPLACE(K4, "[^A-Za-z ]", " ")</f>
        <v>with</v>
      </c>
      <c r="M4" t="str">
        <v>with</v>
      </c>
      <c r="N4" s="4" cm="1">
        <f t="array" ref="N4">SUM(--(_xlfn.TEXTSPLIT($J$2,, " ") = M4))</f>
        <v>5</v>
      </c>
      <c r="O4" s="4">
        <v>16</v>
      </c>
      <c r="P4" t="str">
        <v>with</v>
      </c>
      <c r="Q4" t="str">
        <v>with</v>
      </c>
      <c r="R4">
        <v>5</v>
      </c>
      <c r="S4" s="4">
        <v>16</v>
      </c>
      <c r="T4" s="4"/>
      <c r="U4" s="4"/>
      <c r="V4" s="4"/>
      <c r="W4" s="4"/>
    </row>
    <row r="5" spans="1:23" x14ac:dyDescent="0.2">
      <c r="E5" s="4" t="s">
        <v>14</v>
      </c>
      <c r="K5" t="str">
        <v>me,</v>
      </c>
      <c r="L5" s="4" t="str">
        <f t="shared" si="0"/>
        <v xml:space="preserve">me </v>
      </c>
      <c r="M5" t="str">
        <v>me,</v>
      </c>
      <c r="N5" s="4" cm="1">
        <f t="array" ref="N5">SUM(--(_xlfn.TEXTSPLIT($J$2,, " ") = M5))</f>
        <v>4</v>
      </c>
      <c r="O5" s="4">
        <v>14</v>
      </c>
      <c r="P5" t="str">
        <v xml:space="preserve">me </v>
      </c>
      <c r="Q5" t="str">
        <v>me,</v>
      </c>
      <c r="R5">
        <v>4</v>
      </c>
      <c r="S5" s="4">
        <v>14</v>
      </c>
      <c r="T5" s="4"/>
      <c r="U5" s="4"/>
      <c r="V5" s="4"/>
      <c r="W5" s="4"/>
    </row>
    <row r="6" spans="1:23" x14ac:dyDescent="0.2">
      <c r="E6" s="4" t="s">
        <v>14</v>
      </c>
      <c r="K6" t="str">
        <v>I</v>
      </c>
      <c r="L6" s="4" t="str">
        <f t="shared" si="0"/>
        <v>I</v>
      </c>
      <c r="M6" t="str">
        <v>I</v>
      </c>
      <c r="N6" s="4" cm="1">
        <f t="array" ref="N6">SUM(--(_xlfn.TEXTSPLIT($J$2,, " ") = M6))</f>
        <v>20</v>
      </c>
      <c r="O6" s="4">
        <v>12</v>
      </c>
      <c r="P6" t="str">
        <v>I</v>
      </c>
      <c r="Q6" t="str">
        <v>I</v>
      </c>
      <c r="R6">
        <v>20</v>
      </c>
      <c r="S6" s="4">
        <v>12</v>
      </c>
      <c r="T6" s="4"/>
      <c r="U6" s="4"/>
      <c r="V6" s="4"/>
      <c r="W6" s="4"/>
    </row>
    <row r="7" spans="1:23" x14ac:dyDescent="0.2">
      <c r="E7" s="4" t="s">
        <v>14</v>
      </c>
      <c r="K7" t="str">
        <v>can</v>
      </c>
      <c r="L7" s="4" t="str">
        <f t="shared" si="0"/>
        <v>can</v>
      </c>
      <c r="M7" t="str">
        <v>can</v>
      </c>
      <c r="N7" s="4" cm="1">
        <f t="array" ref="N7">SUM(--(_xlfn.TEXTSPLIT($J$2,, " ") = M7))</f>
        <v>5</v>
      </c>
      <c r="O7" s="4">
        <v>10</v>
      </c>
      <c r="P7" t="str">
        <v>can</v>
      </c>
      <c r="Q7" t="str">
        <v>can</v>
      </c>
      <c r="R7">
        <v>5</v>
      </c>
      <c r="S7" s="4">
        <v>10</v>
      </c>
      <c r="T7" s="4"/>
      <c r="U7" s="4"/>
      <c r="V7" s="4"/>
      <c r="W7" s="4"/>
    </row>
    <row r="8" spans="1:23" x14ac:dyDescent="0.2">
      <c r="E8" s="4" t="s">
        <v>14</v>
      </c>
      <c r="K8" t="str">
        <v>take</v>
      </c>
      <c r="L8" s="4" t="str">
        <f t="shared" si="0"/>
        <v>take</v>
      </c>
      <c r="M8" t="str">
        <v>take</v>
      </c>
      <c r="N8" s="4" cm="1">
        <f t="array" ref="N8">SUM(--(_xlfn.TEXTSPLIT($J$2,, " ") = M8))</f>
        <v>2</v>
      </c>
      <c r="O8" s="4">
        <v>9</v>
      </c>
      <c r="P8" t="str">
        <v>take</v>
      </c>
      <c r="Q8" t="str">
        <v>take</v>
      </c>
      <c r="R8">
        <v>2</v>
      </c>
      <c r="S8" s="4">
        <v>9</v>
      </c>
      <c r="T8" s="4"/>
      <c r="U8" s="4"/>
      <c r="V8" s="4"/>
      <c r="W8" s="4"/>
    </row>
    <row r="9" spans="1:23" x14ac:dyDescent="0.2">
      <c r="E9" s="4" t="s">
        <v>14</v>
      </c>
      <c r="K9" t="str">
        <v>your</v>
      </c>
      <c r="L9" s="4" t="str">
        <f t="shared" si="0"/>
        <v>your</v>
      </c>
      <c r="M9" t="str">
        <v>your</v>
      </c>
      <c r="N9" s="4" cm="1">
        <f t="array" ref="N9">SUM(--(_xlfn.TEXTSPLIT($J$2,, " ") = M9))</f>
        <v>2</v>
      </c>
      <c r="O9" s="4">
        <v>9</v>
      </c>
      <c r="P9" t="str">
        <v>your</v>
      </c>
      <c r="Q9" t="str">
        <v>your</v>
      </c>
      <c r="R9">
        <v>2</v>
      </c>
      <c r="S9" s="4">
        <v>9</v>
      </c>
      <c r="T9" s="4"/>
      <c r="U9" s="4"/>
      <c r="V9" s="4"/>
      <c r="W9" s="4"/>
    </row>
    <row r="10" spans="1:23" x14ac:dyDescent="0.2">
      <c r="E10" s="4" t="s">
        <v>14</v>
      </c>
      <c r="K10" t="str">
        <v>right,</v>
      </c>
      <c r="L10" s="4" t="str">
        <f t="shared" si="0"/>
        <v xml:space="preserve">right </v>
      </c>
      <c r="M10" t="str">
        <v>right,</v>
      </c>
      <c r="N10" s="4" cm="1">
        <f t="array" ref="N10">SUM(--(_xlfn.TEXTSPLIT($J$2,, " ") = M10))</f>
        <v>1</v>
      </c>
      <c r="O10" s="4">
        <v>7</v>
      </c>
      <c r="P10" t="str">
        <v xml:space="preserve">right </v>
      </c>
      <c r="Q10" t="str">
        <v>right,</v>
      </c>
      <c r="R10">
        <v>1</v>
      </c>
      <c r="S10" s="4">
        <v>7</v>
      </c>
      <c r="T10" s="4"/>
      <c r="U10" s="4"/>
      <c r="V10" s="4"/>
      <c r="W10" s="4"/>
    </row>
    <row r="11" spans="1:23" x14ac:dyDescent="0.2">
      <c r="E11" s="4" t="s">
        <v>14</v>
      </c>
      <c r="K11" t="str">
        <v>throw</v>
      </c>
      <c r="L11" s="4" t="str">
        <f t="shared" si="0"/>
        <v>throw</v>
      </c>
      <c r="M11" t="str">
        <v>throw</v>
      </c>
      <c r="N11" s="4" cm="1">
        <f t="array" ref="N11">SUM(--(_xlfn.TEXTSPLIT($J$2,, " ") = M11))</f>
        <v>1</v>
      </c>
      <c r="O11" s="4">
        <v>7</v>
      </c>
      <c r="P11" t="str">
        <v>throw</v>
      </c>
      <c r="Q11" t="str">
        <v>throw</v>
      </c>
      <c r="R11">
        <v>1</v>
      </c>
      <c r="S11" s="4">
        <v>7</v>
      </c>
      <c r="T11" s="4"/>
      <c r="U11" s="4"/>
      <c r="V11" s="4"/>
      <c r="W11" s="4"/>
    </row>
    <row r="12" spans="1:23" x14ac:dyDescent="0.2">
      <c r="E12" s="4" t="s">
        <v>14</v>
      </c>
      <c r="K12" t="str">
        <v>a</v>
      </c>
      <c r="L12" s="4" t="str">
        <f t="shared" si="0"/>
        <v>a</v>
      </c>
      <c r="M12" t="str">
        <v>a</v>
      </c>
      <c r="N12" s="4" cm="1">
        <f t="array" ref="N12">SUM(--(_xlfn.TEXTSPLIT($J$2,, " ") = M12))</f>
        <v>14</v>
      </c>
      <c r="O12" s="4">
        <v>6</v>
      </c>
      <c r="P12" t="str">
        <v>a</v>
      </c>
      <c r="Q12" t="str">
        <v>a</v>
      </c>
      <c r="R12">
        <v>14</v>
      </c>
      <c r="S12" s="4">
        <v>6</v>
      </c>
      <c r="T12" s="4"/>
      <c r="U12" s="4"/>
      <c r="V12" s="4"/>
      <c r="W12" s="4"/>
    </row>
    <row r="13" spans="1:23" x14ac:dyDescent="0.2">
      <c r="E13" s="4" t="s">
        <v>14</v>
      </c>
      <c r="K13" t="str">
        <v xml:space="preserve">left
</v>
      </c>
      <c r="L13" s="4" t="str">
        <f t="shared" si="0"/>
        <v xml:space="preserve">left </v>
      </c>
      <c r="M13" t="str">
        <v xml:space="preserve">left
</v>
      </c>
      <c r="N13" s="4" cm="1">
        <f t="array" ref="N13">SUM(--(_xlfn.TEXTSPLIT($J$2,, " ") = M13))</f>
        <v>1</v>
      </c>
      <c r="O13" s="4">
        <v>6</v>
      </c>
      <c r="P13" t="str">
        <v xml:space="preserve">left </v>
      </c>
      <c r="Q13" t="str">
        <v xml:space="preserve">left
</v>
      </c>
      <c r="R13">
        <v>1</v>
      </c>
      <c r="S13" s="4">
        <v>6</v>
      </c>
      <c r="T13" s="4"/>
      <c r="U13" s="4"/>
      <c r="V13" s="4"/>
      <c r="W13" s="4"/>
    </row>
    <row r="14" spans="1:23" x14ac:dyDescent="0.2">
      <c r="E14" s="4" t="s">
        <v>14</v>
      </c>
      <c r="K14" t="str">
        <v>Pair</v>
      </c>
      <c r="L14" s="4" t="str">
        <f t="shared" si="0"/>
        <v>Pair</v>
      </c>
      <c r="M14" t="str">
        <v>Pair</v>
      </c>
      <c r="N14" s="4" cm="1">
        <f t="array" ref="N14">SUM(--(_xlfn.TEXTSPLIT($J$2,, " ") = M14))</f>
        <v>2</v>
      </c>
      <c r="O14" s="4">
        <v>6</v>
      </c>
      <c r="P14" t="str">
        <v>Pair</v>
      </c>
      <c r="Q14" t="str">
        <v>Pair</v>
      </c>
      <c r="R14">
        <v>2</v>
      </c>
      <c r="S14" s="4">
        <v>6</v>
      </c>
      <c r="T14" s="4"/>
      <c r="U14" s="4"/>
      <c r="V14" s="4"/>
      <c r="W14" s="4"/>
    </row>
    <row r="15" spans="1:23" x14ac:dyDescent="0.2">
      <c r="E15" s="4" t="s">
        <v>14</v>
      </c>
      <c r="K15" t="str">
        <v>up</v>
      </c>
      <c r="L15" s="4" t="str">
        <f t="shared" si="0"/>
        <v>up</v>
      </c>
      <c r="M15" t="str">
        <v>I'ma</v>
      </c>
      <c r="N15" s="4" cm="1">
        <f t="array" ref="N15">SUM(--(_xlfn.TEXTSPLIT($J$2,, " ") = M15))</f>
        <v>1</v>
      </c>
      <c r="O15" s="4">
        <v>5</v>
      </c>
      <c r="P15" t="str">
        <v>up</v>
      </c>
      <c r="Q15" t="str">
        <v>I'ma</v>
      </c>
      <c r="R15">
        <v>1</v>
      </c>
      <c r="S15" s="4">
        <v>5</v>
      </c>
      <c r="T15" s="4"/>
      <c r="U15" s="4"/>
      <c r="V15" s="4"/>
      <c r="W15" s="4"/>
    </row>
    <row r="16" spans="1:23" x14ac:dyDescent="0.2">
      <c r="E16" s="4" t="s">
        <v>14</v>
      </c>
      <c r="K16" t="str">
        <v>with</v>
      </c>
      <c r="L16" s="4" t="str">
        <f t="shared" si="0"/>
        <v>with</v>
      </c>
      <c r="M16" t="str">
        <v>you</v>
      </c>
      <c r="N16" s="4" cm="1">
        <f t="array" ref="N16">SUM(--(_xlfn.TEXTSPLIT($J$2,, " ") = M16))</f>
        <v>16</v>
      </c>
      <c r="O16">
        <v>5</v>
      </c>
      <c r="P16" t="str">
        <v>with</v>
      </c>
      <c r="Q16" t="str">
        <v>you</v>
      </c>
      <c r="R16">
        <v>16</v>
      </c>
      <c r="S16" s="4">
        <v>5</v>
      </c>
      <c r="T16" s="10"/>
    </row>
    <row r="17" spans="5:20" x14ac:dyDescent="0.2">
      <c r="E17" s="4" t="s">
        <v>14</v>
      </c>
      <c r="K17" t="str">
        <v>me,</v>
      </c>
      <c r="L17" s="4" t="str">
        <f t="shared" si="0"/>
        <v xml:space="preserve">me </v>
      </c>
      <c r="M17" t="str">
        <v>right</v>
      </c>
      <c r="N17" s="4" cm="1">
        <f t="array" ref="N17">SUM(--(_xlfn.TEXTSPLIT($J$2,, " ") = M17))</f>
        <v>1</v>
      </c>
      <c r="O17">
        <v>5</v>
      </c>
      <c r="P17" t="str">
        <v xml:space="preserve">me </v>
      </c>
      <c r="Q17" t="str">
        <v>right</v>
      </c>
      <c r="R17">
        <v>1</v>
      </c>
      <c r="S17" s="4">
        <v>5</v>
      </c>
      <c r="T17" s="10"/>
    </row>
    <row r="18" spans="5:20" x14ac:dyDescent="0.2">
      <c r="E18" s="4" t="s">
        <v>14</v>
      </c>
      <c r="K18" t="str">
        <v>I'ma</v>
      </c>
      <c r="L18" s="4" t="str">
        <f t="shared" si="0"/>
        <v>I ma</v>
      </c>
      <c r="M18" t="str">
        <v>to</v>
      </c>
      <c r="N18" s="4" cm="1">
        <f t="array" ref="N18">SUM(--(_xlfn.TEXTSPLIT($J$2,, " ") = M18))</f>
        <v>9</v>
      </c>
      <c r="O18">
        <v>5</v>
      </c>
      <c r="P18" t="str">
        <v>I ma</v>
      </c>
      <c r="Q18" t="str">
        <v>to</v>
      </c>
      <c r="R18">
        <v>9</v>
      </c>
      <c r="S18" s="4">
        <v>5</v>
      </c>
      <c r="T18" s="10"/>
    </row>
    <row r="19" spans="5:20" x14ac:dyDescent="0.2">
      <c r="E19" s="4" t="s">
        <v>14</v>
      </c>
      <c r="K19" t="str">
        <v>take</v>
      </c>
      <c r="L19" s="4" t="str">
        <f t="shared" si="0"/>
        <v>take</v>
      </c>
      <c r="M19" t="str">
        <v>the</v>
      </c>
      <c r="N19" s="4" cm="1">
        <f t="array" ref="N19">SUM(--(_xlfn.TEXTSPLIT($J$2,, " ") = M19))</f>
        <v>26</v>
      </c>
      <c r="O19">
        <v>5</v>
      </c>
      <c r="P19" t="str">
        <v>take</v>
      </c>
      <c r="Q19" t="str">
        <v>the</v>
      </c>
      <c r="R19">
        <v>26</v>
      </c>
      <c r="S19" s="4">
        <v>5</v>
      </c>
      <c r="T19" s="10"/>
    </row>
    <row r="20" spans="5:20" x14ac:dyDescent="0.2">
      <c r="E20" s="4" t="s">
        <v>14</v>
      </c>
      <c r="K20" t="str">
        <v>you</v>
      </c>
      <c r="L20" s="4" t="str">
        <f t="shared" si="0"/>
        <v>you</v>
      </c>
      <c r="M20" t="str">
        <v xml:space="preserve">chest
</v>
      </c>
      <c r="N20" s="4" cm="1">
        <f t="array" ref="N20">SUM(--(_xlfn.TEXTSPLIT($J$2,, " ") = M20))</f>
        <v>1</v>
      </c>
      <c r="O20">
        <v>5</v>
      </c>
      <c r="P20" t="str">
        <v>you</v>
      </c>
      <c r="Q20" t="str">
        <v xml:space="preserve">chest
</v>
      </c>
      <c r="R20">
        <v>1</v>
      </c>
      <c r="S20" s="4">
        <v>5</v>
      </c>
      <c r="T20" s="10"/>
    </row>
    <row r="21" spans="5:20" x14ac:dyDescent="0.2">
      <c r="E21" s="4" t="s">
        <v>14</v>
      </c>
      <c r="K21" t="str">
        <v>right</v>
      </c>
      <c r="L21" s="4" t="str">
        <f t="shared" si="0"/>
        <v>right</v>
      </c>
      <c r="M21" t="str">
        <v>Warpath</v>
      </c>
      <c r="N21" s="4" cm="1">
        <f t="array" ref="N21">SUM(--(_xlfn.TEXTSPLIT($J$2,, " ") = M21))</f>
        <v>1</v>
      </c>
      <c r="O21">
        <v>5</v>
      </c>
      <c r="P21" t="str">
        <v>right</v>
      </c>
      <c r="Q21" t="str">
        <v>Warpath</v>
      </c>
      <c r="R21">
        <v>1</v>
      </c>
      <c r="S21" s="4">
        <v>5</v>
      </c>
      <c r="T21" s="10"/>
    </row>
    <row r="22" spans="5:20" x14ac:dyDescent="0.2">
      <c r="E22" s="4" t="s">
        <v>14</v>
      </c>
      <c r="K22" t="str">
        <v>to</v>
      </c>
      <c r="L22" s="4" t="str">
        <f t="shared" si="0"/>
        <v>to</v>
      </c>
      <c r="M22" t="str">
        <v>etched</v>
      </c>
      <c r="N22" s="4" cm="1">
        <f t="array" ref="N22">SUM(--(_xlfn.TEXTSPLIT($J$2,, " ") = M22))</f>
        <v>1</v>
      </c>
      <c r="O22">
        <v>5</v>
      </c>
      <c r="P22" t="str">
        <v>to</v>
      </c>
      <c r="Q22" t="str">
        <v>etched</v>
      </c>
      <c r="R22">
        <v>1</v>
      </c>
      <c r="S22" s="4">
        <v>5</v>
      </c>
      <c r="T22" s="10"/>
    </row>
    <row r="23" spans="5:20" x14ac:dyDescent="0.2">
      <c r="E23" s="4" t="s">
        <v>14</v>
      </c>
      <c r="K23" t="str">
        <v>the</v>
      </c>
      <c r="L23" s="4" t="str">
        <f t="shared" si="0"/>
        <v>the</v>
      </c>
      <c r="M23" t="str">
        <v>in</v>
      </c>
      <c r="N23" s="4" cm="1">
        <f t="array" ref="N23">SUM(--(_xlfn.TEXTSPLIT($J$2,, " ") = M23))</f>
        <v>7</v>
      </c>
      <c r="O23">
        <v>5</v>
      </c>
      <c r="P23" t="str">
        <v>the</v>
      </c>
      <c r="Q23" t="str">
        <v>in</v>
      </c>
      <c r="R23">
        <v>7</v>
      </c>
      <c r="S23" s="4">
        <v>5</v>
      </c>
      <c r="T23" s="10"/>
    </row>
    <row r="24" spans="5:20" x14ac:dyDescent="0.2">
      <c r="E24" s="4" t="s">
        <v>14</v>
      </c>
      <c r="K24" t="str">
        <v xml:space="preserve">chest
</v>
      </c>
      <c r="L24" s="4" t="str">
        <f t="shared" si="0"/>
        <v xml:space="preserve">chest </v>
      </c>
      <c r="M24" t="str">
        <v xml:space="preserve">surface
</v>
      </c>
      <c r="N24" s="4" cm="1">
        <f t="array" ref="N24">SUM(--(_xlfn.TEXTSPLIT($J$2,, " ") = M24))</f>
        <v>1</v>
      </c>
      <c r="O24">
        <v>4</v>
      </c>
      <c r="P24" t="str">
        <v xml:space="preserve">chest </v>
      </c>
      <c r="Q24" t="str">
        <v xml:space="preserve">surface
</v>
      </c>
      <c r="R24">
        <v>1</v>
      </c>
      <c r="S24" s="4">
        <v>4</v>
      </c>
      <c r="T24" s="10"/>
    </row>
    <row r="25" spans="5:20" x14ac:dyDescent="0.2">
      <c r="E25" s="4" t="s">
        <v>14</v>
      </c>
      <c r="K25" t="str">
        <v>Warpath</v>
      </c>
      <c r="L25" s="4" t="str">
        <f t="shared" si="0"/>
        <v>Warpath</v>
      </c>
      <c r="M25" t="str">
        <v>Lines</v>
      </c>
      <c r="N25" s="4" cm="1">
        <f t="array" ref="N25">SUM(--(_xlfn.TEXTSPLIT($J$2,, " ") = M25))</f>
        <v>1</v>
      </c>
      <c r="O25">
        <v>4</v>
      </c>
      <c r="P25" t="str">
        <v>Warpath</v>
      </c>
      <c r="Q25" t="str">
        <v>Lines</v>
      </c>
      <c r="R25">
        <v>1</v>
      </c>
      <c r="S25" s="4">
        <v>4</v>
      </c>
      <c r="T25" s="10"/>
    </row>
    <row r="26" spans="5:20" x14ac:dyDescent="0.2">
      <c r="E26" s="4" t="s">
        <v>14</v>
      </c>
      <c r="K26" t="str">
        <v>etched</v>
      </c>
      <c r="L26" s="4" t="str">
        <f t="shared" si="0"/>
        <v>etched</v>
      </c>
      <c r="M26" t="str">
        <v>of</v>
      </c>
      <c r="N26" s="4" cm="1">
        <f t="array" ref="N26">SUM(--(_xlfn.TEXTSPLIT($J$2,, " ") = M26))</f>
        <v>2</v>
      </c>
      <c r="O26">
        <v>4</v>
      </c>
      <c r="P26" t="str">
        <v>etched</v>
      </c>
      <c r="Q26" t="str">
        <v>of</v>
      </c>
      <c r="R26">
        <v>2</v>
      </c>
      <c r="S26" s="4">
        <v>4</v>
      </c>
      <c r="T26" s="10"/>
    </row>
    <row r="27" spans="5:20" x14ac:dyDescent="0.2">
      <c r="E27" s="4" t="s">
        <v>14</v>
      </c>
      <c r="K27" t="str">
        <v>in</v>
      </c>
      <c r="L27" s="4" t="str">
        <f t="shared" si="0"/>
        <v>in</v>
      </c>
      <c r="M27" t="str">
        <v>yellow</v>
      </c>
      <c r="N27" s="4" cm="1">
        <f t="array" ref="N27">SUM(--(_xlfn.TEXTSPLIT($J$2,, " ") = M27))</f>
        <v>1</v>
      </c>
      <c r="O27">
        <v>4</v>
      </c>
      <c r="P27" t="str">
        <v>in</v>
      </c>
      <c r="Q27" t="str">
        <v>yellow</v>
      </c>
      <c r="R27">
        <v>1</v>
      </c>
      <c r="S27" s="4">
        <v>4</v>
      </c>
      <c r="T27" s="10"/>
    </row>
    <row r="28" spans="5:20" x14ac:dyDescent="0.2">
      <c r="E28" s="4" t="s">
        <v>14</v>
      </c>
      <c r="K28" t="str">
        <v>the</v>
      </c>
      <c r="L28" s="4" t="str">
        <f t="shared" si="0"/>
        <v>the</v>
      </c>
      <c r="M28" t="str">
        <v>tape,</v>
      </c>
      <c r="N28" s="4" cm="1">
        <f t="array" ref="N28">SUM(--(_xlfn.TEXTSPLIT($J$2,, " ") = M28))</f>
        <v>1</v>
      </c>
      <c r="O28">
        <v>4</v>
      </c>
      <c r="P28" t="str">
        <v>the</v>
      </c>
      <c r="Q28" t="str">
        <v>tape,</v>
      </c>
      <c r="R28">
        <v>1</v>
      </c>
      <c r="S28" s="4">
        <v>4</v>
      </c>
      <c r="T28" s="10"/>
    </row>
    <row r="29" spans="5:20" x14ac:dyDescent="0.2">
      <c r="E29" s="4" t="s">
        <v>14</v>
      </c>
      <c r="K29" t="str">
        <v xml:space="preserve">surface
</v>
      </c>
      <c r="L29" s="4" t="str">
        <f t="shared" si="0"/>
        <v xml:space="preserve">surface </v>
      </c>
      <c r="M29" t="str">
        <v>they're</v>
      </c>
      <c r="N29" s="4" cm="1">
        <f t="array" ref="N29">SUM(--(_xlfn.TEXTSPLIT($J$2,, " ") = M29))</f>
        <v>2</v>
      </c>
      <c r="O29">
        <v>4</v>
      </c>
      <c r="P29" t="str">
        <v xml:space="preserve">surface </v>
      </c>
      <c r="Q29" t="str">
        <v>they're</v>
      </c>
      <c r="R29">
        <v>2</v>
      </c>
      <c r="S29" s="4">
        <v>4</v>
      </c>
      <c r="T29" s="10"/>
    </row>
    <row r="30" spans="5:20" x14ac:dyDescent="0.2">
      <c r="E30" s="4" t="s">
        <v>14</v>
      </c>
      <c r="K30" t="str">
        <v>Lines</v>
      </c>
      <c r="L30" s="4" t="str">
        <f t="shared" si="0"/>
        <v>Lines</v>
      </c>
      <c r="M30" t="str">
        <v>moving</v>
      </c>
      <c r="N30" s="4" cm="1">
        <f t="array" ref="N30">SUM(--(_xlfn.TEXTSPLIT($J$2,, " ") = M30))</f>
        <v>1</v>
      </c>
      <c r="O30">
        <v>4</v>
      </c>
      <c r="P30" t="str">
        <v>Lines</v>
      </c>
      <c r="Q30" t="str">
        <v>moving</v>
      </c>
      <c r="R30">
        <v>1</v>
      </c>
      <c r="S30" s="4">
        <v>4</v>
      </c>
      <c r="T30" s="10"/>
    </row>
    <row r="31" spans="5:20" x14ac:dyDescent="0.2">
      <c r="E31" s="4" t="s">
        <v>14</v>
      </c>
      <c r="K31" t="str">
        <v>of</v>
      </c>
      <c r="L31" s="4" t="str">
        <f t="shared" si="0"/>
        <v>of</v>
      </c>
      <c r="M31" t="str">
        <v>quiet</v>
      </c>
      <c r="N31" s="4" cm="1">
        <f t="array" ref="N31">SUM(--(_xlfn.TEXTSPLIT($J$2,, " ") = M31))</f>
        <v>1</v>
      </c>
      <c r="O31">
        <v>4</v>
      </c>
      <c r="P31" t="str">
        <v>of</v>
      </c>
      <c r="Q31" t="str">
        <v>quiet</v>
      </c>
      <c r="R31">
        <v>1</v>
      </c>
      <c r="S31" s="4">
        <v>4</v>
      </c>
      <c r="T31" s="10"/>
    </row>
    <row r="32" spans="5:20" x14ac:dyDescent="0.2">
      <c r="E32" s="4" t="s">
        <v>14</v>
      </c>
      <c r="K32" t="str">
        <v>the</v>
      </c>
      <c r="L32" s="4" t="str">
        <f t="shared" si="0"/>
        <v>the</v>
      </c>
      <c r="M32" t="str">
        <v>like</v>
      </c>
      <c r="N32" s="4" cm="1">
        <f t="array" ref="N32">SUM(--(_xlfn.TEXTSPLIT($J$2,, " ") = M32))</f>
        <v>1</v>
      </c>
      <c r="O32">
        <v>4</v>
      </c>
      <c r="P32" t="str">
        <v>the</v>
      </c>
      <c r="Q32" t="str">
        <v>like</v>
      </c>
      <c r="R32">
        <v>1</v>
      </c>
      <c r="S32" s="4">
        <v>4</v>
      </c>
      <c r="T32" s="10"/>
    </row>
    <row r="33" spans="5:20" x14ac:dyDescent="0.2">
      <c r="E33" s="4" t="s">
        <v>14</v>
      </c>
      <c r="K33" t="str">
        <v>yellow</v>
      </c>
      <c r="L33" s="4" t="str">
        <f t="shared" si="0"/>
        <v>yellow</v>
      </c>
      <c r="M33" t="str">
        <v xml:space="preserve">a
</v>
      </c>
      <c r="N33" s="4" cm="1">
        <f t="array" ref="N33">SUM(--(_xlfn.TEXTSPLIT($J$2,, " ") = M33))</f>
        <v>1</v>
      </c>
      <c r="O33">
        <v>4</v>
      </c>
      <c r="P33" t="str">
        <v>yellow</v>
      </c>
      <c r="Q33" t="str">
        <v xml:space="preserve">a
</v>
      </c>
      <c r="R33">
        <v>1</v>
      </c>
      <c r="S33" s="4">
        <v>4</v>
      </c>
      <c r="T33" s="10"/>
    </row>
    <row r="34" spans="5:20" x14ac:dyDescent="0.2">
      <c r="E34" s="4" t="s">
        <v>14</v>
      </c>
      <c r="K34" t="str">
        <v>tape,</v>
      </c>
      <c r="L34" s="4" t="str">
        <f t="shared" si="0"/>
        <v xml:space="preserve">tape </v>
      </c>
      <c r="M34" t="str">
        <v>Serpentine</v>
      </c>
      <c r="N34" s="4" cm="1">
        <f t="array" ref="N34">SUM(--(_xlfn.TEXTSPLIT($J$2,, " ") = M34))</f>
        <v>1</v>
      </c>
      <c r="O34">
        <v>4</v>
      </c>
      <c r="P34" t="str">
        <v xml:space="preserve">tape </v>
      </c>
      <c r="Q34" t="str">
        <v>Serpentine</v>
      </c>
      <c r="R34">
        <v>1</v>
      </c>
      <c r="S34" s="4">
        <v>4</v>
      </c>
      <c r="T34" s="10"/>
    </row>
    <row r="35" spans="5:20" x14ac:dyDescent="0.2">
      <c r="E35" s="4" t="s">
        <v>14</v>
      </c>
      <c r="K35" t="str">
        <v>they're</v>
      </c>
      <c r="L35" s="4" t="str">
        <f t="shared" si="0"/>
        <v>they re</v>
      </c>
      <c r="M35" t="str">
        <v xml:space="preserve">formation
</v>
      </c>
      <c r="N35" s="4" cm="1">
        <f t="array" ref="N35">SUM(--(_xlfn.TEXTSPLIT($J$2,, " ") = M35))</f>
        <v>1</v>
      </c>
      <c r="O35">
        <v>4</v>
      </c>
      <c r="P35" t="str">
        <v>they re</v>
      </c>
      <c r="Q35" t="str">
        <v xml:space="preserve">formation
</v>
      </c>
      <c r="R35">
        <v>1</v>
      </c>
      <c r="S35" s="4">
        <v>4</v>
      </c>
      <c r="T35" s="10"/>
    </row>
    <row r="36" spans="5:20" x14ac:dyDescent="0.2">
      <c r="E36" s="4" t="s">
        <v>14</v>
      </c>
      <c r="K36" t="str">
        <v>moving</v>
      </c>
      <c r="L36" s="4" t="str">
        <f t="shared" si="0"/>
        <v>moving</v>
      </c>
      <c r="M36" t="str">
        <v>Buddy,</v>
      </c>
      <c r="N36" s="4" cm="1">
        <f t="array" ref="N36">SUM(--(_xlfn.TEXTSPLIT($J$2,, " ") = M36))</f>
        <v>1</v>
      </c>
      <c r="O36">
        <v>4</v>
      </c>
      <c r="P36" t="str">
        <v>moving</v>
      </c>
      <c r="Q36" t="str">
        <v>Buddy,</v>
      </c>
      <c r="R36">
        <v>1</v>
      </c>
      <c r="S36" s="4">
        <v>4</v>
      </c>
      <c r="T36" s="10"/>
    </row>
    <row r="37" spans="5:20" x14ac:dyDescent="0.2">
      <c r="E37" s="4" t="s">
        <v>14</v>
      </c>
      <c r="K37" t="str">
        <v>quiet</v>
      </c>
      <c r="L37" s="4" t="str">
        <f t="shared" si="0"/>
        <v>quiet</v>
      </c>
      <c r="M37" t="str">
        <v>that's</v>
      </c>
      <c r="N37" s="4" cm="1">
        <f t="array" ref="N37">SUM(--(_xlfn.TEXTSPLIT($J$2,, " ") = M37))</f>
        <v>1</v>
      </c>
      <c r="O37">
        <v>4</v>
      </c>
      <c r="P37" t="str">
        <v>quiet</v>
      </c>
      <c r="Q37" t="str">
        <v>that's</v>
      </c>
      <c r="R37">
        <v>1</v>
      </c>
      <c r="S37" s="4">
        <v>4</v>
      </c>
      <c r="T37" s="10"/>
    </row>
    <row r="38" spans="5:20" x14ac:dyDescent="0.2">
      <c r="E38" s="4" t="s">
        <v>14</v>
      </c>
      <c r="K38" t="str">
        <v>like</v>
      </c>
      <c r="L38" s="4" t="str">
        <f t="shared" si="0"/>
        <v>like</v>
      </c>
      <c r="M38" t="str">
        <v>my</v>
      </c>
      <c r="N38" s="4" cm="1">
        <f t="array" ref="N38">SUM(--(_xlfn.TEXTSPLIT($J$2,, " ") = M38))</f>
        <v>12</v>
      </c>
      <c r="O38">
        <v>4</v>
      </c>
      <c r="P38" t="str">
        <v>like</v>
      </c>
      <c r="Q38" t="str">
        <v>my</v>
      </c>
      <c r="R38">
        <v>12</v>
      </c>
      <c r="S38" s="4">
        <v>4</v>
      </c>
      <c r="T38" s="10"/>
    </row>
    <row r="39" spans="5:20" x14ac:dyDescent="0.2">
      <c r="E39" s="4" t="s">
        <v>14</v>
      </c>
      <c r="K39" t="str">
        <v xml:space="preserve">a
</v>
      </c>
      <c r="L39" s="4" t="str">
        <f t="shared" si="0"/>
        <v xml:space="preserve">a </v>
      </c>
      <c r="M39" t="str">
        <v>team,</v>
      </c>
      <c r="N39" s="4" cm="1">
        <f t="array" ref="N39">SUM(--(_xlfn.TEXTSPLIT($J$2,, " ") = M39))</f>
        <v>1</v>
      </c>
      <c r="O39">
        <v>4</v>
      </c>
      <c r="P39" t="str">
        <v xml:space="preserve">a </v>
      </c>
      <c r="Q39" t="str">
        <v>team,</v>
      </c>
      <c r="R39">
        <v>1</v>
      </c>
      <c r="S39" s="4">
        <v>4</v>
      </c>
      <c r="T39" s="10"/>
    </row>
    <row r="40" spans="5:20" x14ac:dyDescent="0.2">
      <c r="E40" s="4" t="s">
        <v>14</v>
      </c>
      <c r="K40" t="str">
        <v>Serpentine</v>
      </c>
      <c r="L40" s="4" t="str">
        <f t="shared" si="0"/>
        <v>Serpentine</v>
      </c>
      <c r="M40" t="str">
        <v>pretty</v>
      </c>
      <c r="N40" s="4" cm="1">
        <f t="array" ref="N40">SUM(--(_xlfn.TEXTSPLIT($J$2,, " ") = M40))</f>
        <v>1</v>
      </c>
      <c r="O40">
        <v>4</v>
      </c>
      <c r="P40" t="str">
        <v>Serpentine</v>
      </c>
      <c r="Q40" t="str">
        <v>pretty</v>
      </c>
      <c r="R40">
        <v>1</v>
      </c>
      <c r="S40" s="4">
        <v>4</v>
      </c>
      <c r="T40" s="10"/>
    </row>
    <row r="41" spans="5:20" x14ac:dyDescent="0.2">
      <c r="E41" s="4" t="s">
        <v>14</v>
      </c>
      <c r="K41" t="str">
        <v>in</v>
      </c>
      <c r="L41" s="4" t="str">
        <f t="shared" si="0"/>
        <v>in</v>
      </c>
      <c r="M41" t="str">
        <v xml:space="preserve">impatient
</v>
      </c>
      <c r="N41" s="4" cm="1">
        <f t="array" ref="N41">SUM(--(_xlfn.TEXTSPLIT($J$2,, " ") = M41))</f>
        <v>1</v>
      </c>
      <c r="O41">
        <v>4</v>
      </c>
      <c r="P41" t="str">
        <v>in</v>
      </c>
      <c r="Q41" t="str">
        <v xml:space="preserve">impatient
</v>
      </c>
      <c r="R41">
        <v>1</v>
      </c>
      <c r="S41" s="4">
        <v>4</v>
      </c>
      <c r="T41" s="10"/>
    </row>
    <row r="42" spans="5:20" x14ac:dyDescent="0.2">
      <c r="E42" s="4" t="s">
        <v>14</v>
      </c>
      <c r="K42" t="str">
        <v>a</v>
      </c>
      <c r="L42" s="4" t="str">
        <f t="shared" si="0"/>
        <v>a</v>
      </c>
      <c r="M42" t="str">
        <v>Now</v>
      </c>
      <c r="N42" s="4" cm="1">
        <f t="array" ref="N42">SUM(--(_xlfn.TEXTSPLIT($J$2,, " ") = M42))</f>
        <v>5</v>
      </c>
      <c r="O42">
        <v>4</v>
      </c>
      <c r="P42" t="str">
        <v>a</v>
      </c>
      <c r="Q42" t="str">
        <v>Now</v>
      </c>
      <c r="R42">
        <v>5</v>
      </c>
      <c r="S42" s="4">
        <v>4</v>
      </c>
      <c r="T42" s="10"/>
    </row>
    <row r="43" spans="5:20" x14ac:dyDescent="0.2">
      <c r="E43" s="4" t="s">
        <v>14</v>
      </c>
      <c r="K43" t="str">
        <v xml:space="preserve">formation
</v>
      </c>
      <c r="L43" s="4" t="str">
        <f t="shared" si="0"/>
        <v xml:space="preserve">formation </v>
      </c>
      <c r="M43" t="str">
        <v>waiting</v>
      </c>
      <c r="N43" s="4" cm="1">
        <f t="array" ref="N43">SUM(--(_xlfn.TEXTSPLIT($J$2,, " ") = M43))</f>
        <v>1</v>
      </c>
      <c r="O43">
        <v>4</v>
      </c>
      <c r="P43" t="str">
        <v xml:space="preserve">formation </v>
      </c>
      <c r="Q43" t="str">
        <v>waiting</v>
      </c>
      <c r="R43">
        <v>1</v>
      </c>
      <c r="S43" s="4">
        <v>4</v>
      </c>
      <c r="T43" s="10"/>
    </row>
    <row r="44" spans="5:20" x14ac:dyDescent="0.2">
      <c r="E44" s="4" t="s">
        <v>14</v>
      </c>
      <c r="K44" t="str">
        <v>Buddy,</v>
      </c>
      <c r="L44" s="4" t="str">
        <f t="shared" si="0"/>
        <v xml:space="preserve">Buddy </v>
      </c>
      <c r="M44" t="str">
        <v>on</v>
      </c>
      <c r="N44" s="4" cm="1">
        <f t="array" ref="N44">SUM(--(_xlfn.TEXTSPLIT($J$2,, " ") = M44))</f>
        <v>4</v>
      </c>
      <c r="O44">
        <v>4</v>
      </c>
      <c r="P44" t="str">
        <v xml:space="preserve">Buddy </v>
      </c>
      <c r="Q44" t="str">
        <v>on</v>
      </c>
      <c r="R44">
        <v>4</v>
      </c>
      <c r="S44" s="4">
        <v>4</v>
      </c>
      <c r="T44" s="10"/>
    </row>
    <row r="45" spans="5:20" x14ac:dyDescent="0.2">
      <c r="E45" s="4" t="s">
        <v>14</v>
      </c>
      <c r="K45" t="str">
        <v>that's</v>
      </c>
      <c r="L45" s="4" t="str">
        <f t="shared" si="0"/>
        <v>that s</v>
      </c>
      <c r="M45" t="str">
        <v xml:space="preserve">me
</v>
      </c>
      <c r="N45" s="4" cm="1">
        <f t="array" ref="N45">SUM(--(_xlfn.TEXTSPLIT($J$2,, " ") = M45))</f>
        <v>5</v>
      </c>
      <c r="O45">
        <v>4</v>
      </c>
      <c r="P45" t="str">
        <v>that s</v>
      </c>
      <c r="Q45" t="str">
        <v xml:space="preserve">me
</v>
      </c>
      <c r="R45">
        <v>5</v>
      </c>
      <c r="S45" s="4">
        <v>4</v>
      </c>
      <c r="T45" s="10"/>
    </row>
    <row r="46" spans="5:20" x14ac:dyDescent="0.2">
      <c r="E46" s="4" t="s">
        <v>14</v>
      </c>
      <c r="K46" t="str">
        <v>my</v>
      </c>
      <c r="L46" s="4" t="str">
        <f t="shared" si="0"/>
        <v>my</v>
      </c>
      <c r="M46" t="str">
        <v>It</v>
      </c>
      <c r="N46" s="4" cm="1">
        <f t="array" ref="N46">SUM(--(_xlfn.TEXTSPLIT($J$2,, " ") = M46))</f>
        <v>9</v>
      </c>
      <c r="O46">
        <v>4</v>
      </c>
      <c r="P46" t="str">
        <v>my</v>
      </c>
      <c r="Q46" t="str">
        <v>It</v>
      </c>
      <c r="R46">
        <v>9</v>
      </c>
      <c r="S46" s="4">
        <v>4</v>
      </c>
      <c r="T46" s="10"/>
    </row>
    <row r="47" spans="5:20" x14ac:dyDescent="0.2">
      <c r="E47" s="4" t="s">
        <v>14</v>
      </c>
      <c r="K47" t="str">
        <v>team,</v>
      </c>
      <c r="L47" s="4" t="str">
        <f t="shared" si="0"/>
        <v xml:space="preserve">team </v>
      </c>
      <c r="M47" t="str">
        <v>might</v>
      </c>
      <c r="N47" s="4" cm="1">
        <f t="array" ref="N47">SUM(--(_xlfn.TEXTSPLIT($J$2,, " ") = M47))</f>
        <v>1</v>
      </c>
      <c r="O47">
        <v>4</v>
      </c>
      <c r="P47" t="str">
        <v xml:space="preserve">team </v>
      </c>
      <c r="Q47" t="str">
        <v>might</v>
      </c>
      <c r="R47">
        <v>1</v>
      </c>
      <c r="S47" s="4">
        <v>4</v>
      </c>
      <c r="T47" s="10"/>
    </row>
    <row r="48" spans="5:20" x14ac:dyDescent="0.2">
      <c r="E48" s="4" t="s">
        <v>14</v>
      </c>
      <c r="K48" t="str">
        <v>pretty</v>
      </c>
      <c r="L48" s="4" t="str">
        <f t="shared" si="0"/>
        <v>pretty</v>
      </c>
      <c r="M48" t="str">
        <v>be</v>
      </c>
      <c r="N48" s="4" cm="1">
        <f t="array" ref="N48">SUM(--(_xlfn.TEXTSPLIT($J$2,, " ") = M48))</f>
        <v>1</v>
      </c>
      <c r="O48">
        <v>4</v>
      </c>
      <c r="P48" t="str">
        <v>pretty</v>
      </c>
      <c r="Q48" t="str">
        <v>be</v>
      </c>
      <c r="R48">
        <v>1</v>
      </c>
      <c r="S48" s="4">
        <v>4</v>
      </c>
      <c r="T48" s="10"/>
    </row>
    <row r="49" spans="5:20" x14ac:dyDescent="0.2">
      <c r="E49" s="4" t="s">
        <v>14</v>
      </c>
      <c r="K49" t="str">
        <v xml:space="preserve">impatient
</v>
      </c>
      <c r="L49" s="4" t="str">
        <f t="shared" si="0"/>
        <v xml:space="preserve">impatient </v>
      </c>
      <c r="M49" t="str">
        <v>furthest</v>
      </c>
      <c r="N49" s="4" cm="1">
        <f t="array" ref="N49">SUM(--(_xlfn.TEXTSPLIT($J$2,, " ") = M49))</f>
        <v>2</v>
      </c>
      <c r="O49">
        <v>4</v>
      </c>
      <c r="P49" t="str">
        <v xml:space="preserve">impatient </v>
      </c>
      <c r="Q49" t="str">
        <v>furthest</v>
      </c>
      <c r="R49">
        <v>2</v>
      </c>
      <c r="S49" s="4">
        <v>4</v>
      </c>
      <c r="T49" s="10"/>
    </row>
    <row r="50" spans="5:20" x14ac:dyDescent="0.2">
      <c r="E50" s="4" t="s">
        <v>14</v>
      </c>
      <c r="K50" t="str">
        <v>Now</v>
      </c>
      <c r="L50" s="4" t="str">
        <f t="shared" si="0"/>
        <v>Now</v>
      </c>
      <c r="M50" t="str">
        <v>we've</v>
      </c>
      <c r="N50" s="4" cm="1">
        <f t="array" ref="N50">SUM(--(_xlfn.TEXTSPLIT($J$2,, " ") = M50))</f>
        <v>2</v>
      </c>
      <c r="O50">
        <v>4</v>
      </c>
      <c r="P50" t="str">
        <v>Now</v>
      </c>
      <c r="Q50" t="str">
        <v>we've</v>
      </c>
      <c r="R50">
        <v>2</v>
      </c>
      <c r="S50" s="4">
        <v>4</v>
      </c>
      <c r="T50" s="10"/>
    </row>
    <row r="51" spans="5:20" x14ac:dyDescent="0.2">
      <c r="E51" s="4" t="s">
        <v>14</v>
      </c>
      <c r="K51" t="str">
        <v>they're</v>
      </c>
      <c r="L51" s="4" t="str">
        <f t="shared" si="0"/>
        <v>they re</v>
      </c>
      <c r="M51" t="str">
        <v xml:space="preserve">reached
</v>
      </c>
      <c r="N51" s="4" cm="1">
        <f t="array" ref="N51">SUM(--(_xlfn.TEXTSPLIT($J$2,, " ") = M51))</f>
        <v>2</v>
      </c>
      <c r="O51">
        <v>4</v>
      </c>
      <c r="P51" t="str">
        <v>they re</v>
      </c>
      <c r="Q51" t="str">
        <v xml:space="preserve">reached
</v>
      </c>
      <c r="R51">
        <v>2</v>
      </c>
      <c r="S51" s="4">
        <v>4</v>
      </c>
      <c r="T51" s="10"/>
    </row>
    <row r="52" spans="5:20" x14ac:dyDescent="0.2">
      <c r="E52" s="4" t="s">
        <v>14</v>
      </c>
      <c r="K52" t="str">
        <v>waiting</v>
      </c>
      <c r="L52" s="4" t="str">
        <f t="shared" si="0"/>
        <v>waiting</v>
      </c>
      <c r="M52" t="str">
        <v>move</v>
      </c>
      <c r="N52" s="4" cm="1">
        <f t="array" ref="N52">SUM(--(_xlfn.TEXTSPLIT($J$2,, " ") = M52))</f>
        <v>4</v>
      </c>
      <c r="O52">
        <v>4</v>
      </c>
      <c r="P52" t="str">
        <v>waiting</v>
      </c>
      <c r="Q52" t="str">
        <v>move</v>
      </c>
      <c r="R52">
        <v>4</v>
      </c>
      <c r="S52" s="4">
        <v>4</v>
      </c>
      <c r="T52" s="10"/>
    </row>
    <row r="53" spans="5:20" x14ac:dyDescent="0.2">
      <c r="E53" s="4" t="s">
        <v>14</v>
      </c>
      <c r="K53" t="str">
        <v>on</v>
      </c>
      <c r="L53" s="4" t="str">
        <f t="shared" si="0"/>
        <v>on</v>
      </c>
      <c r="M53" t="str">
        <v>up,</v>
      </c>
      <c r="N53" s="4" cm="1">
        <f t="array" ref="N53">SUM(--(_xlfn.TEXTSPLIT($J$2,, " ") = M53))</f>
        <v>4</v>
      </c>
      <c r="O53">
        <v>4</v>
      </c>
      <c r="P53" t="str">
        <v>on</v>
      </c>
      <c r="Q53" t="str">
        <v>up,</v>
      </c>
      <c r="R53">
        <v>4</v>
      </c>
      <c r="S53" s="4">
        <v>4</v>
      </c>
      <c r="T53" s="10"/>
    </row>
    <row r="54" spans="5:20" x14ac:dyDescent="0.2">
      <c r="E54" s="4" t="s">
        <v>14</v>
      </c>
      <c r="K54" t="str">
        <v xml:space="preserve">me
</v>
      </c>
      <c r="L54" s="4" t="str">
        <f t="shared" si="0"/>
        <v xml:space="preserve">me </v>
      </c>
      <c r="M54" t="str">
        <v>it's</v>
      </c>
      <c r="N54" s="4" cm="1">
        <f t="array" ref="N54">SUM(--(_xlfn.TEXTSPLIT($J$2,, " ") = M54))</f>
        <v>2</v>
      </c>
      <c r="O54">
        <v>4</v>
      </c>
      <c r="P54" t="str">
        <v xml:space="preserve">me </v>
      </c>
      <c r="Q54" t="str">
        <v>it's</v>
      </c>
      <c r="R54">
        <v>2</v>
      </c>
      <c r="S54" s="4">
        <v>4</v>
      </c>
      <c r="T54" s="10"/>
    </row>
    <row r="55" spans="5:20" x14ac:dyDescent="0.2">
      <c r="E55" s="4" t="s">
        <v>14</v>
      </c>
      <c r="K55" t="str">
        <v>It</v>
      </c>
      <c r="L55" s="4" t="str">
        <f t="shared" si="0"/>
        <v>It</v>
      </c>
      <c r="M55" t="str">
        <v xml:space="preserve">breach
</v>
      </c>
      <c r="N55" s="4" cm="1">
        <f t="array" ref="N55">SUM(--(_xlfn.TEXTSPLIT($J$2,, " ") = M55))</f>
        <v>2</v>
      </c>
      <c r="O55">
        <v>4</v>
      </c>
      <c r="P55" t="str">
        <v>It</v>
      </c>
      <c r="Q55" t="str">
        <v xml:space="preserve">breach
</v>
      </c>
      <c r="R55">
        <v>2</v>
      </c>
      <c r="S55" s="4">
        <v>4</v>
      </c>
      <c r="T55" s="10"/>
    </row>
    <row r="56" spans="5:20" x14ac:dyDescent="0.2">
      <c r="E56" s="4" t="s">
        <v>14</v>
      </c>
      <c r="K56" t="str">
        <v>might</v>
      </c>
      <c r="L56" s="4" t="str">
        <f t="shared" si="0"/>
        <v>might</v>
      </c>
      <c r="M56" t="str">
        <v>wonder</v>
      </c>
      <c r="N56" s="4" cm="1">
        <f t="array" ref="N56">SUM(--(_xlfn.TEXTSPLIT($J$2,, " ") = M56))</f>
        <v>5</v>
      </c>
      <c r="O56">
        <v>4</v>
      </c>
      <c r="P56" t="str">
        <v>might</v>
      </c>
      <c r="Q56" t="str">
        <v>wonder</v>
      </c>
      <c r="R56">
        <v>5</v>
      </c>
      <c r="S56" s="4">
        <v>4</v>
      </c>
      <c r="T56" s="10"/>
    </row>
    <row r="57" spans="5:20" x14ac:dyDescent="0.2">
      <c r="E57" s="4" t="s">
        <v>14</v>
      </c>
      <c r="K57" t="str">
        <v>be</v>
      </c>
      <c r="L57" s="4" t="str">
        <f t="shared" si="0"/>
        <v>be</v>
      </c>
      <c r="M57" t="str">
        <v>where</v>
      </c>
      <c r="N57" s="4" cm="1">
        <f t="array" ref="N57">SUM(--(_xlfn.TEXTSPLIT($J$2,, " ") = M57))</f>
        <v>5</v>
      </c>
      <c r="O57">
        <v>4</v>
      </c>
      <c r="P57" t="str">
        <v>be</v>
      </c>
      <c r="Q57" t="str">
        <v>where</v>
      </c>
      <c r="R57">
        <v>5</v>
      </c>
      <c r="S57" s="4">
        <v>4</v>
      </c>
      <c r="T57" s="10"/>
    </row>
    <row r="58" spans="5:20" x14ac:dyDescent="0.2">
      <c r="E58" s="4" t="s">
        <v>14</v>
      </c>
      <c r="K58" t="str">
        <v>the</v>
      </c>
      <c r="L58" s="4" t="str">
        <f t="shared" si="0"/>
        <v>the</v>
      </c>
      <c r="M58" t="str">
        <v xml:space="preserve">are
</v>
      </c>
      <c r="N58" s="4" cm="1">
        <f t="array" ref="N58">SUM(--(_xlfn.TEXTSPLIT($J$2,, " ") = M58))</f>
        <v>4</v>
      </c>
      <c r="O58">
        <v>4</v>
      </c>
      <c r="P58" t="str">
        <v>the</v>
      </c>
      <c r="Q58" t="str">
        <v xml:space="preserve">are
</v>
      </c>
      <c r="R58">
        <v>4</v>
      </c>
      <c r="S58" s="4">
        <v>4</v>
      </c>
      <c r="T58" s="10"/>
    </row>
    <row r="59" spans="5:20" x14ac:dyDescent="0.2">
      <c r="E59" s="4" t="s">
        <v>14</v>
      </c>
      <c r="K59" t="str">
        <v>furthest</v>
      </c>
      <c r="L59" s="4" t="str">
        <f t="shared" si="0"/>
        <v>furthest</v>
      </c>
      <c r="M59" t="str">
        <v>wanted</v>
      </c>
      <c r="N59" s="4" cm="1">
        <f t="array" ref="N59">SUM(--(_xlfn.TEXTSPLIT($J$2,, " ") = M59))</f>
        <v>5</v>
      </c>
      <c r="O59">
        <v>4</v>
      </c>
      <c r="P59" t="str">
        <v>furthest</v>
      </c>
      <c r="Q59" t="str">
        <v>wanted</v>
      </c>
      <c r="R59">
        <v>5</v>
      </c>
      <c r="S59" s="4">
        <v>4</v>
      </c>
      <c r="T59" s="10"/>
    </row>
    <row r="60" spans="5:20" x14ac:dyDescent="0.2">
      <c r="E60" s="4" t="s">
        <v>14</v>
      </c>
      <c r="K60" t="str">
        <v>we've</v>
      </c>
      <c r="L60" s="4" t="str">
        <f t="shared" si="0"/>
        <v>we ve</v>
      </c>
      <c r="M60" t="str">
        <v>show</v>
      </c>
      <c r="N60" s="4" cm="1">
        <f t="array" ref="N60">SUM(--(_xlfn.TEXTSPLIT($J$2,, " ") = M60))</f>
        <v>5</v>
      </c>
      <c r="O60">
        <v>4</v>
      </c>
      <c r="P60" t="str">
        <v>we ve</v>
      </c>
      <c r="Q60" t="str">
        <v>show</v>
      </c>
      <c r="R60">
        <v>5</v>
      </c>
      <c r="S60" s="4">
        <v>4</v>
      </c>
      <c r="T60" s="10"/>
    </row>
    <row r="61" spans="5:20" x14ac:dyDescent="0.2">
      <c r="E61" s="4" t="s">
        <v>14</v>
      </c>
      <c r="K61" t="str">
        <v xml:space="preserve">reached
</v>
      </c>
      <c r="L61" s="4" t="str">
        <f t="shared" si="0"/>
        <v xml:space="preserve">reached </v>
      </c>
      <c r="M61" t="str">
        <v>way</v>
      </c>
      <c r="N61" s="4" cm="1">
        <f t="array" ref="N61">SUM(--(_xlfn.TEXTSPLIT($J$2,, " ") = M61))</f>
        <v>4</v>
      </c>
      <c r="O61">
        <v>4</v>
      </c>
      <c r="P61" t="str">
        <v xml:space="preserve">reached </v>
      </c>
      <c r="Q61" t="str">
        <v>way</v>
      </c>
      <c r="R61">
        <v>4</v>
      </c>
      <c r="S61" s="4">
        <v>4</v>
      </c>
      <c r="T61" s="10"/>
    </row>
    <row r="62" spans="5:20" x14ac:dyDescent="0.2">
      <c r="E62" s="4" t="s">
        <v>14</v>
      </c>
      <c r="K62" t="str">
        <v>Now</v>
      </c>
      <c r="L62" s="4" t="str">
        <f t="shared" si="0"/>
        <v>Now</v>
      </c>
      <c r="M62" t="str">
        <v>around</v>
      </c>
      <c r="N62" s="4" cm="1">
        <f t="array" ref="N62">SUM(--(_xlfn.TEXTSPLIT($J$2,, " ") = M62))</f>
        <v>4</v>
      </c>
      <c r="O62">
        <v>4</v>
      </c>
      <c r="P62" t="str">
        <v>Now</v>
      </c>
      <c r="Q62" t="str">
        <v>around</v>
      </c>
      <c r="R62">
        <v>4</v>
      </c>
      <c r="S62" s="4">
        <v>4</v>
      </c>
      <c r="T62" s="10"/>
    </row>
    <row r="63" spans="5:20" x14ac:dyDescent="0.2">
      <c r="E63" s="4" t="s">
        <v>14</v>
      </c>
      <c r="K63" t="str">
        <v>move</v>
      </c>
      <c r="L63" s="4" t="str">
        <f t="shared" si="0"/>
        <v>move</v>
      </c>
      <c r="M63" t="str">
        <v>city</v>
      </c>
      <c r="N63" s="4" cm="1">
        <f t="array" ref="N63">SUM(--(_xlfn.TEXTSPLIT($J$2,, " ") = M63))</f>
        <v>3</v>
      </c>
      <c r="O63">
        <v>4</v>
      </c>
      <c r="P63" t="str">
        <v>move</v>
      </c>
      <c r="Q63" t="str">
        <v>city</v>
      </c>
      <c r="R63">
        <v>3</v>
      </c>
      <c r="S63" s="4">
        <v>4</v>
      </c>
      <c r="T63" s="10"/>
    </row>
    <row r="64" spans="5:20" x14ac:dyDescent="0.2">
      <c r="E64" s="4" t="s">
        <v>14</v>
      </c>
      <c r="K64" t="str">
        <v>it</v>
      </c>
      <c r="L64" s="4" t="str">
        <f t="shared" si="0"/>
        <v>it</v>
      </c>
      <c r="M64" t="str">
        <v xml:space="preserve">walls
</v>
      </c>
      <c r="N64" s="4" cm="1">
        <f t="array" ref="N64">SUM(--(_xlfn.TEXTSPLIT($J$2,, " ") = M64))</f>
        <v>2</v>
      </c>
      <c r="O64">
        <v>4</v>
      </c>
      <c r="P64" t="str">
        <v>it</v>
      </c>
      <c r="Q64" t="str">
        <v xml:space="preserve">walls
</v>
      </c>
      <c r="R64">
        <v>2</v>
      </c>
      <c r="S64" s="4">
        <v>4</v>
      </c>
      <c r="T64" s="10"/>
    </row>
    <row r="65" spans="5:20" x14ac:dyDescent="0.2">
      <c r="E65" s="4" t="s">
        <v>14</v>
      </c>
      <c r="K65" t="str">
        <v>up,</v>
      </c>
      <c r="L65" s="4" t="str">
        <f t="shared" si="0"/>
        <v xml:space="preserve">up </v>
      </c>
      <c r="M65" t="str">
        <v xml:space="preserve">through
</v>
      </c>
      <c r="N65" s="4" cm="1">
        <f t="array" ref="N65">SUM(--(_xlfn.TEXTSPLIT($J$2,, " ") = M65))</f>
        <v>2</v>
      </c>
      <c r="O65">
        <v>4</v>
      </c>
      <c r="P65" t="str">
        <v xml:space="preserve">up </v>
      </c>
      <c r="Q65" t="str">
        <v xml:space="preserve">through
</v>
      </c>
      <c r="R65">
        <v>2</v>
      </c>
      <c r="S65" s="4">
        <v>4</v>
      </c>
      <c r="T65" s="10"/>
    </row>
    <row r="66" spans="5:20" x14ac:dyDescent="0.2">
      <c r="E66" s="4" t="s">
        <v>14</v>
      </c>
      <c r="K66" t="str">
        <v>move</v>
      </c>
      <c r="L66" s="4" t="str">
        <f t="shared" si="0"/>
        <v>move</v>
      </c>
      <c r="M66" t="str">
        <v>But</v>
      </c>
      <c r="N66" s="4" cm="1">
        <f t="array" ref="N66">SUM(--(_xlfn.TEXTSPLIT($J$2,, " ") = M66))</f>
        <v>3</v>
      </c>
      <c r="O66">
        <v>4</v>
      </c>
      <c r="P66" t="str">
        <v>move</v>
      </c>
      <c r="Q66" t="str">
        <v>But</v>
      </c>
      <c r="R66">
        <v>3</v>
      </c>
      <c r="S66" s="4">
        <v>4</v>
      </c>
      <c r="T66" s="10"/>
    </row>
    <row r="67" spans="5:20" x14ac:dyDescent="0.2">
      <c r="E67" s="4" t="s">
        <v>14</v>
      </c>
      <c r="K67" t="str">
        <v>it</v>
      </c>
      <c r="L67" s="4" t="str">
        <f t="shared" si="0"/>
        <v>it</v>
      </c>
      <c r="M67" t="str">
        <v>night</v>
      </c>
      <c r="N67" s="4" cm="1">
        <f t="array" ref="N67">SUM(--(_xlfn.TEXTSPLIT($J$2,, " ") = M67))</f>
        <v>2</v>
      </c>
      <c r="O67">
        <v>4</v>
      </c>
      <c r="P67" t="str">
        <v>it</v>
      </c>
      <c r="Q67" t="str">
        <v>night</v>
      </c>
      <c r="R67">
        <v>2</v>
      </c>
      <c r="S67" s="4">
        <v>4</v>
      </c>
      <c r="T67" s="10"/>
    </row>
    <row r="68" spans="5:20" x14ac:dyDescent="0.2">
      <c r="E68" s="4" t="s">
        <v>14</v>
      </c>
      <c r="K68" t="str">
        <v>up,</v>
      </c>
      <c r="L68" s="4" t="str">
        <f t="shared" ref="L68:L131" si="1">_xlfn.REGEXREPLACE(K68, "[^A-Za-z ]", " ")</f>
        <v xml:space="preserve">up </v>
      </c>
      <c r="M68" t="str">
        <v>has</v>
      </c>
      <c r="N68" s="4" cm="1">
        <f t="array" ref="N68">SUM(--(_xlfn.TEXTSPLIT($J$2,, " ") = M68))</f>
        <v>2</v>
      </c>
      <c r="O68">
        <v>4</v>
      </c>
      <c r="P68" t="str">
        <v xml:space="preserve">up </v>
      </c>
      <c r="Q68" t="str">
        <v>has</v>
      </c>
      <c r="R68">
        <v>2</v>
      </c>
      <c r="S68" s="4">
        <v>4</v>
      </c>
      <c r="T68" s="10"/>
    </row>
    <row r="69" spans="5:20" x14ac:dyDescent="0.2">
      <c r="E69" s="4" t="s">
        <v>14</v>
      </c>
      <c r="K69" t="str">
        <v>it's</v>
      </c>
      <c r="L69" s="4" t="str">
        <f t="shared" si="1"/>
        <v>it s</v>
      </c>
      <c r="M69" t="str">
        <v xml:space="preserve">fallen
</v>
      </c>
      <c r="N69" s="4" cm="1">
        <f t="array" ref="N69">SUM(--(_xlfn.TEXTSPLIT($J$2,, " ") = M69))</f>
        <v>2</v>
      </c>
      <c r="O69">
        <v>4</v>
      </c>
      <c r="P69" t="str">
        <v>it s</v>
      </c>
      <c r="Q69" t="str">
        <v xml:space="preserve">fallen
</v>
      </c>
      <c r="R69">
        <v>2</v>
      </c>
      <c r="S69" s="4">
        <v>4</v>
      </c>
      <c r="T69" s="10"/>
    </row>
    <row r="70" spans="5:20" x14ac:dyDescent="0.2">
      <c r="E70" s="4" t="s">
        <v>14</v>
      </c>
      <c r="K70" t="str">
        <v>a</v>
      </c>
      <c r="L70" s="4" t="str">
        <f t="shared" si="1"/>
        <v>a</v>
      </c>
      <c r="M70" t="str">
        <v>Abandoned</v>
      </c>
      <c r="N70" s="4" cm="1">
        <f t="array" ref="N70">SUM(--(_xlfn.TEXTSPLIT($J$2,, " ") = M70))</f>
        <v>3</v>
      </c>
      <c r="O70">
        <v>4</v>
      </c>
      <c r="P70" t="str">
        <v>a</v>
      </c>
      <c r="Q70" t="str">
        <v>Abandoned</v>
      </c>
      <c r="R70">
        <v>3</v>
      </c>
      <c r="S70" s="4">
        <v>4</v>
      </c>
      <c r="T70" s="10"/>
    </row>
    <row r="71" spans="5:20" x14ac:dyDescent="0.2">
      <c r="E71" s="4" t="s">
        <v>14</v>
      </c>
      <c r="K71" t="str">
        <v xml:space="preserve">breach
</v>
      </c>
      <c r="L71" s="4" t="str">
        <f t="shared" si="1"/>
        <v xml:space="preserve">breach  </v>
      </c>
      <c r="M71" t="str">
        <v>by</v>
      </c>
      <c r="N71" s="4" cm="1">
        <f t="array" ref="N71">SUM(--(_xlfn.TEXTSPLIT($J$2,, " ") = M71))</f>
        <v>3</v>
      </c>
      <c r="O71">
        <v>4</v>
      </c>
      <c r="P71" t="str">
        <v xml:space="preserve">breach  </v>
      </c>
      <c r="Q71" t="str">
        <v>by</v>
      </c>
      <c r="R71">
        <v>3</v>
      </c>
      <c r="S71" s="4">
        <v>4</v>
      </c>
      <c r="T71" s="10"/>
    </row>
    <row r="72" spans="5:20" x14ac:dyDescent="0.2">
      <c r="E72" s="4" t="s">
        <v>14</v>
      </c>
      <c r="K72" t="str">
        <v>I</v>
      </c>
      <c r="L72" s="4" t="str">
        <f t="shared" si="1"/>
        <v>I</v>
      </c>
      <c r="M72" t="str">
        <v xml:space="preserve">sun
</v>
      </c>
      <c r="N72" s="4" cm="1">
        <f t="array" ref="N72">SUM(--(_xlfn.TEXTSPLIT($J$2,, " ") = M72))</f>
        <v>2</v>
      </c>
      <c r="O72">
        <v>4</v>
      </c>
      <c r="P72" t="str">
        <v>I</v>
      </c>
      <c r="Q72" t="str">
        <v xml:space="preserve">sun
</v>
      </c>
      <c r="R72">
        <v>2</v>
      </c>
      <c r="S72" s="4">
        <v>4</v>
      </c>
      <c r="T72" s="10"/>
    </row>
    <row r="73" spans="5:20" x14ac:dyDescent="0.2">
      <c r="E73" s="4" t="s">
        <v>14</v>
      </c>
      <c r="K73" t="str">
        <v>wonder</v>
      </c>
      <c r="L73" s="4" t="str">
        <f t="shared" si="1"/>
        <v>wonder</v>
      </c>
      <c r="M73" t="str">
        <v>come</v>
      </c>
      <c r="N73" s="4" cm="1">
        <f t="array" ref="N73">SUM(--(_xlfn.TEXTSPLIT($J$2,, " ") = M73))</f>
        <v>1</v>
      </c>
      <c r="O73">
        <v>4</v>
      </c>
      <c r="P73" t="str">
        <v>wonder</v>
      </c>
      <c r="Q73" t="str">
        <v>come</v>
      </c>
      <c r="R73">
        <v>1</v>
      </c>
      <c r="S73" s="4">
        <v>4</v>
      </c>
      <c r="T73" s="10"/>
    </row>
    <row r="74" spans="5:20" x14ac:dyDescent="0.2">
      <c r="E74" s="4" t="s">
        <v>14</v>
      </c>
      <c r="K74" t="str">
        <v>where</v>
      </c>
      <c r="L74" s="4" t="str">
        <f t="shared" si="1"/>
        <v>where</v>
      </c>
      <c r="M74" t="str">
        <v>you,</v>
      </c>
      <c r="N74" s="4" cm="1">
        <f t="array" ref="N74">SUM(--(_xlfn.TEXTSPLIT($J$2,, " ") = M74))</f>
        <v>2</v>
      </c>
      <c r="O74">
        <v>4</v>
      </c>
      <c r="P74" t="str">
        <v>where</v>
      </c>
      <c r="Q74" t="str">
        <v>you,</v>
      </c>
      <c r="R74">
        <v>2</v>
      </c>
      <c r="S74" s="4">
        <v>4</v>
      </c>
      <c r="T74" s="10"/>
    </row>
    <row r="75" spans="5:20" x14ac:dyDescent="0.2">
      <c r="E75" s="4" t="s">
        <v>14</v>
      </c>
      <c r="K75" t="str">
        <v>you</v>
      </c>
      <c r="L75" s="4" t="str">
        <f t="shared" si="1"/>
        <v>you</v>
      </c>
      <c r="M75" t="str">
        <v>tell</v>
      </c>
      <c r="N75" s="4" cm="1">
        <f t="array" ref="N75">SUM(--(_xlfn.TEXTSPLIT($J$2,, " ") = M75))</f>
        <v>1</v>
      </c>
      <c r="O75">
        <v>4</v>
      </c>
      <c r="P75" t="str">
        <v>you</v>
      </c>
      <c r="Q75" t="str">
        <v>tell</v>
      </c>
      <c r="R75">
        <v>1</v>
      </c>
      <c r="S75" s="4">
        <v>4</v>
      </c>
      <c r="T75" s="10"/>
    </row>
    <row r="76" spans="5:20" x14ac:dyDescent="0.2">
      <c r="E76" s="4" t="s">
        <v>14</v>
      </c>
      <c r="K76" t="str">
        <v xml:space="preserve">are
</v>
      </c>
      <c r="L76" s="4" t="str">
        <f t="shared" si="1"/>
        <v xml:space="preserve">are </v>
      </c>
      <c r="M76" t="str">
        <v>me</v>
      </c>
      <c r="N76" s="4" cm="1">
        <f t="array" ref="N76">SUM(--(_xlfn.TEXTSPLIT($J$2,, " ") = M76))</f>
        <v>2</v>
      </c>
      <c r="O76">
        <v>4</v>
      </c>
      <c r="P76" t="str">
        <v xml:space="preserve">are </v>
      </c>
      <c r="Q76" t="str">
        <v>me</v>
      </c>
      <c r="R76">
        <v>2</v>
      </c>
      <c r="S76" s="4">
        <v>4</v>
      </c>
      <c r="T76" s="10"/>
    </row>
    <row r="77" spans="5:20" x14ac:dyDescent="0.2">
      <c r="E77" s="4" t="s">
        <v>14</v>
      </c>
      <c r="K77" t="str">
        <v>I</v>
      </c>
      <c r="L77" s="4" t="str">
        <f t="shared" si="1"/>
        <v>I</v>
      </c>
      <c r="M77" t="str">
        <v xml:space="preserve">when
</v>
      </c>
      <c r="N77" s="4" cm="1">
        <f t="array" ref="N77">SUM(--(_xlfn.TEXTSPLIT($J$2,, " ") = M77))</f>
        <v>1</v>
      </c>
      <c r="O77">
        <v>4</v>
      </c>
      <c r="P77" t="str">
        <v>I</v>
      </c>
      <c r="Q77" t="str">
        <v xml:space="preserve">when
</v>
      </c>
      <c r="R77">
        <v>1</v>
      </c>
      <c r="S77" s="4">
        <v>4</v>
      </c>
      <c r="T77" s="10"/>
    </row>
    <row r="78" spans="5:20" x14ac:dyDescent="0.2">
      <c r="E78" s="4" t="s">
        <v>14</v>
      </c>
      <c r="K78" t="str">
        <v>wanted</v>
      </c>
      <c r="L78" s="4" t="str">
        <f t="shared" si="1"/>
        <v>wanted</v>
      </c>
      <c r="M78" t="str">
        <v>run</v>
      </c>
      <c r="N78" s="4" cm="1">
        <f t="array" ref="N78">SUM(--(_xlfn.TEXTSPLIT($J$2,, " ") = M78))</f>
        <v>1</v>
      </c>
      <c r="O78">
        <v>4</v>
      </c>
      <c r="P78" t="str">
        <v>wanted</v>
      </c>
      <c r="Q78" t="str">
        <v>run</v>
      </c>
      <c r="R78">
        <v>1</v>
      </c>
      <c r="S78" s="4">
        <v>4</v>
      </c>
      <c r="T78" s="10"/>
    </row>
    <row r="79" spans="5:20" x14ac:dyDescent="0.2">
      <c r="E79" s="4" t="s">
        <v>14</v>
      </c>
      <c r="K79" t="str">
        <v>you</v>
      </c>
      <c r="L79" s="4" t="str">
        <f t="shared" si="1"/>
        <v>you</v>
      </c>
      <c r="M79" t="str">
        <v xml:space="preserve">end
</v>
      </c>
      <c r="N79" s="4" cm="1">
        <f t="array" ref="N79">SUM(--(_xlfn.TEXTSPLIT($J$2,, " ") = M79))</f>
        <v>1</v>
      </c>
      <c r="O79">
        <v>4</v>
      </c>
      <c r="P79" t="str">
        <v>you</v>
      </c>
      <c r="Q79" t="str">
        <v xml:space="preserve">end
</v>
      </c>
      <c r="R79">
        <v>1</v>
      </c>
      <c r="S79" s="4">
        <v>4</v>
      </c>
      <c r="T79" s="10"/>
    </row>
    <row r="80" spans="5:20" x14ac:dyDescent="0.2">
      <c r="E80" s="4" t="s">
        <v>14</v>
      </c>
      <c r="K80" t="str">
        <v>to</v>
      </c>
      <c r="L80" s="4" t="str">
        <f t="shared" si="1"/>
        <v>to</v>
      </c>
      <c r="M80" t="str">
        <v>write</v>
      </c>
      <c r="N80" s="4" cm="1">
        <f t="array" ref="N80">SUM(--(_xlfn.TEXTSPLIT($J$2,, " ") = M80))</f>
        <v>1</v>
      </c>
      <c r="O80">
        <v>4</v>
      </c>
      <c r="P80" t="str">
        <v>to</v>
      </c>
      <c r="Q80" t="str">
        <v>write</v>
      </c>
      <c r="R80">
        <v>1</v>
      </c>
      <c r="S80" s="4">
        <v>4</v>
      </c>
      <c r="T80" s="10"/>
    </row>
    <row r="81" spans="5:20" x14ac:dyDescent="0.2">
      <c r="E81" s="4" t="s">
        <v>14</v>
      </c>
      <c r="K81" t="str">
        <v>show</v>
      </c>
      <c r="L81" s="4" t="str">
        <f t="shared" si="1"/>
        <v>show</v>
      </c>
      <c r="M81" t="str">
        <v>promise</v>
      </c>
      <c r="N81" s="4" cm="1">
        <f t="array" ref="N81">SUM(--(_xlfn.TEXTSPLIT($J$2,, " ") = M81))</f>
        <v>1</v>
      </c>
      <c r="O81">
        <v>4</v>
      </c>
      <c r="P81" t="str">
        <v>show</v>
      </c>
      <c r="Q81" t="str">
        <v>promise</v>
      </c>
      <c r="R81">
        <v>1</v>
      </c>
      <c r="S81" s="4">
        <v>4</v>
      </c>
      <c r="T81" s="10"/>
    </row>
    <row r="82" spans="5:20" x14ac:dyDescent="0.2">
      <c r="E82" s="4" t="s">
        <v>14</v>
      </c>
      <c r="K82" t="str">
        <v xml:space="preserve">me
</v>
      </c>
      <c r="L82" s="4" t="str">
        <f t="shared" si="1"/>
        <v xml:space="preserve">me </v>
      </c>
      <c r="M82" t="str">
        <v>pencil,</v>
      </c>
      <c r="N82" s="4" cm="1">
        <f t="array" ref="N82">SUM(--(_xlfn.TEXTSPLIT($J$2,, " ") = M82))</f>
        <v>1</v>
      </c>
      <c r="O82">
        <v>4</v>
      </c>
      <c r="P82" t="str">
        <v xml:space="preserve">me </v>
      </c>
      <c r="Q82" t="str">
        <v>pencil,</v>
      </c>
      <c r="R82">
        <v>1</v>
      </c>
      <c r="S82" s="4">
        <v>4</v>
      </c>
      <c r="T82" s="10"/>
    </row>
    <row r="83" spans="5:20" x14ac:dyDescent="0.2">
      <c r="E83" s="4" t="s">
        <v>14</v>
      </c>
      <c r="K83" t="str">
        <v>The</v>
      </c>
      <c r="L83" s="4" t="str">
        <f t="shared" si="1"/>
        <v>The</v>
      </c>
      <c r="M83" t="str">
        <v>loyalty's</v>
      </c>
      <c r="N83" s="4" cm="1">
        <f t="array" ref="N83">SUM(--(_xlfn.TEXTSPLIT($J$2,, " ") = M83))</f>
        <v>1</v>
      </c>
      <c r="O83">
        <v>4</v>
      </c>
      <c r="P83" t="str">
        <v>The</v>
      </c>
      <c r="Q83" t="str">
        <v>loyalty's</v>
      </c>
      <c r="R83">
        <v>1</v>
      </c>
      <c r="S83" s="4">
        <v>4</v>
      </c>
      <c r="T83" s="10"/>
    </row>
    <row r="84" spans="5:20" x14ac:dyDescent="0.2">
      <c r="E84" s="4" t="s">
        <v>14</v>
      </c>
      <c r="K84" t="str">
        <v>way</v>
      </c>
      <c r="L84" s="4" t="str">
        <f t="shared" si="1"/>
        <v>way</v>
      </c>
      <c r="M84" t="str">
        <v xml:space="preserve">pen
</v>
      </c>
      <c r="N84" s="4" cm="1">
        <f t="array" ref="N84">SUM(--(_xlfn.TEXTSPLIT($J$2,, " ") = M84))</f>
        <v>1</v>
      </c>
      <c r="O84">
        <v>4</v>
      </c>
      <c r="P84" t="str">
        <v>way</v>
      </c>
      <c r="Q84" t="str">
        <v xml:space="preserve">pen
</v>
      </c>
      <c r="R84">
        <v>1</v>
      </c>
      <c r="S84" s="4">
        <v>4</v>
      </c>
      <c r="T84" s="10"/>
    </row>
    <row r="85" spans="5:20" x14ac:dyDescent="0.2">
      <c r="E85" s="4" t="s">
        <v>14</v>
      </c>
      <c r="K85" t="str">
        <v>around</v>
      </c>
      <c r="L85" s="4" t="str">
        <f t="shared" si="1"/>
        <v>around</v>
      </c>
      <c r="M85" t="str">
        <v>Use</v>
      </c>
      <c r="N85" s="4" cm="1">
        <f t="array" ref="N85">SUM(--(_xlfn.TEXTSPLIT($J$2,, " ") = M85))</f>
        <v>1</v>
      </c>
      <c r="O85">
        <v>4</v>
      </c>
      <c r="P85" t="str">
        <v>around</v>
      </c>
      <c r="Q85" t="str">
        <v>Use</v>
      </c>
      <c r="R85">
        <v>1</v>
      </c>
      <c r="S85" s="4">
        <v>4</v>
      </c>
      <c r="T85" s="10"/>
    </row>
    <row r="86" spans="5:20" x14ac:dyDescent="0.2">
      <c r="E86" s="4" t="s">
        <v>14</v>
      </c>
      <c r="K86" t="str">
        <v>the</v>
      </c>
      <c r="L86" s="4" t="str">
        <f t="shared" si="1"/>
        <v>the</v>
      </c>
      <c r="M86" t="str">
        <v>mistake</v>
      </c>
      <c r="N86" s="4" cm="1">
        <f t="array" ref="N86">SUM(--(_xlfn.TEXTSPLIT($J$2,, " ") = M86))</f>
        <v>1</v>
      </c>
      <c r="O86">
        <v>4</v>
      </c>
      <c r="P86" t="str">
        <v>the</v>
      </c>
      <c r="Q86" t="str">
        <v>mistake</v>
      </c>
      <c r="R86">
        <v>1</v>
      </c>
      <c r="S86" s="4">
        <v>4</v>
      </c>
      <c r="T86" s="10"/>
    </row>
    <row r="87" spans="5:20" x14ac:dyDescent="0.2">
      <c r="E87" s="4" t="s">
        <v>14</v>
      </c>
      <c r="K87" t="str">
        <v>city</v>
      </c>
      <c r="L87" s="4" t="str">
        <f t="shared" si="1"/>
        <v>city</v>
      </c>
      <c r="M87" t="str">
        <v>as</v>
      </c>
      <c r="N87" s="4" cm="1">
        <f t="array" ref="N87">SUM(--(_xlfn.TEXTSPLIT($J$2,, " ") = M87))</f>
        <v>1</v>
      </c>
      <c r="O87">
        <v>4</v>
      </c>
      <c r="P87" t="str">
        <v>city</v>
      </c>
      <c r="Q87" t="str">
        <v>as</v>
      </c>
      <c r="R87">
        <v>1</v>
      </c>
      <c r="S87" s="4">
        <v>4</v>
      </c>
      <c r="T87" s="10"/>
    </row>
    <row r="88" spans="5:20" x14ac:dyDescent="0.2">
      <c r="E88" s="4" t="s">
        <v>14</v>
      </c>
      <c r="K88" t="str">
        <v xml:space="preserve">walls
</v>
      </c>
      <c r="L88" s="4" t="str">
        <f t="shared" si="1"/>
        <v xml:space="preserve">walls </v>
      </c>
      <c r="M88" t="str">
        <v>crooked</v>
      </c>
      <c r="N88" s="4" cm="1">
        <f t="array" ref="N88">SUM(--(_xlfn.TEXTSPLIT($J$2,, " ") = M88))</f>
        <v>1</v>
      </c>
      <c r="O88">
        <v>4</v>
      </c>
      <c r="P88" t="str">
        <v xml:space="preserve">walls </v>
      </c>
      <c r="Q88" t="str">
        <v>crooked</v>
      </c>
      <c r="R88">
        <v>1</v>
      </c>
      <c r="S88" s="4">
        <v>4</v>
      </c>
      <c r="T88" s="10"/>
    </row>
    <row r="89" spans="5:20" x14ac:dyDescent="0.2">
      <c r="E89" s="4" t="s">
        <v>14</v>
      </c>
      <c r="K89" t="str">
        <v>The</v>
      </c>
      <c r="L89" s="4" t="str">
        <f t="shared" si="1"/>
        <v>The</v>
      </c>
      <c r="M89" t="str">
        <v>stencil,</v>
      </c>
      <c r="N89" s="4" cm="1">
        <f t="array" ref="N89">SUM(--(_xlfn.TEXTSPLIT($J$2,, " ") = M89))</f>
        <v>1</v>
      </c>
      <c r="O89">
        <v>4</v>
      </c>
      <c r="P89" t="str">
        <v>The</v>
      </c>
      <c r="Q89" t="str">
        <v>stencil,</v>
      </c>
      <c r="R89">
        <v>1</v>
      </c>
      <c r="S89" s="4">
        <v>4</v>
      </c>
      <c r="T89" s="10"/>
    </row>
    <row r="90" spans="5:20" x14ac:dyDescent="0.2">
      <c r="E90" s="4" t="s">
        <v>14</v>
      </c>
      <c r="K90" t="str">
        <v>way</v>
      </c>
      <c r="L90" s="4" t="str">
        <f t="shared" si="1"/>
        <v>way</v>
      </c>
      <c r="M90" t="str">
        <v>then</v>
      </c>
      <c r="N90" s="4" cm="1">
        <f t="array" ref="N90">SUM(--(_xlfn.TEXTSPLIT($J$2,, " ") = M90))</f>
        <v>1</v>
      </c>
      <c r="O90">
        <v>4</v>
      </c>
      <c r="P90" t="str">
        <v>way</v>
      </c>
      <c r="Q90" t="str">
        <v>then</v>
      </c>
      <c r="R90">
        <v>1</v>
      </c>
      <c r="S90" s="4">
        <v>4</v>
      </c>
      <c r="T90" s="10"/>
    </row>
    <row r="91" spans="5:20" x14ac:dyDescent="0.2">
      <c r="E91" s="4" t="s">
        <v>14</v>
      </c>
      <c r="K91" t="str">
        <v>on</v>
      </c>
      <c r="L91" s="4" t="str">
        <f t="shared" si="1"/>
        <v>on</v>
      </c>
      <c r="M91" t="str">
        <v>we</v>
      </c>
      <c r="N91" s="4" cm="1">
        <f t="array" ref="N91">SUM(--(_xlfn.TEXTSPLIT($J$2,, " ") = M91))</f>
        <v>1</v>
      </c>
      <c r="O91">
        <v>4</v>
      </c>
      <c r="P91" t="str">
        <v>on</v>
      </c>
      <c r="Q91" t="str">
        <v>we</v>
      </c>
      <c r="R91">
        <v>1</v>
      </c>
      <c r="S91" s="4">
        <v>4</v>
      </c>
      <c r="T91" s="10"/>
    </row>
    <row r="92" spans="5:20" x14ac:dyDescent="0.2">
      <c r="E92" s="4" t="s">
        <v>14</v>
      </c>
      <c r="K92" t="str">
        <v xml:space="preserve">through
</v>
      </c>
      <c r="L92" s="4" t="str">
        <f t="shared" si="1"/>
        <v xml:space="preserve">through </v>
      </c>
      <c r="M92" t="str">
        <v>trace</v>
      </c>
      <c r="N92" s="4" cm="1">
        <f t="array" ref="N92">SUM(--(_xlfn.TEXTSPLIT($J$2,, " ") = M92))</f>
        <v>1</v>
      </c>
      <c r="O92">
        <v>4</v>
      </c>
      <c r="P92" t="str">
        <v xml:space="preserve">through </v>
      </c>
      <c r="Q92" t="str">
        <v>trace</v>
      </c>
      <c r="R92">
        <v>1</v>
      </c>
      <c r="S92" s="4">
        <v>4</v>
      </c>
      <c r="T92" s="10"/>
    </row>
    <row r="93" spans="5:20" x14ac:dyDescent="0.2">
      <c r="E93" s="4" t="s">
        <v>14</v>
      </c>
      <c r="K93" t="str">
        <v>I</v>
      </c>
      <c r="L93" s="4" t="str">
        <f t="shared" si="1"/>
        <v>I</v>
      </c>
      <c r="M93" t="str">
        <v>back</v>
      </c>
      <c r="N93" s="4" cm="1">
        <f t="array" ref="N93">SUM(--(_xlfn.TEXTSPLIT($J$2,, " ") = M93))</f>
        <v>1</v>
      </c>
      <c r="O93">
        <v>4</v>
      </c>
      <c r="P93" t="str">
        <v>I</v>
      </c>
      <c r="Q93" t="str">
        <v>back</v>
      </c>
      <c r="R93">
        <v>1</v>
      </c>
      <c r="S93" s="4">
        <v>4</v>
      </c>
      <c r="T93" s="10"/>
    </row>
    <row r="94" spans="5:20" x14ac:dyDescent="0.2">
      <c r="E94" s="4" t="s">
        <v>14</v>
      </c>
      <c r="K94" t="str">
        <v>wonder</v>
      </c>
      <c r="L94" s="4" t="str">
        <f t="shared" si="1"/>
        <v>wonder</v>
      </c>
      <c r="M94" t="str">
        <v xml:space="preserve">again
</v>
      </c>
      <c r="N94" s="4" cm="1">
        <f t="array" ref="N94">SUM(--(_xlfn.TEXTSPLIT($J$2,, " ") = M94))</f>
        <v>1</v>
      </c>
      <c r="O94">
        <v>4</v>
      </c>
      <c r="P94" t="str">
        <v>wonder</v>
      </c>
      <c r="Q94" t="str">
        <v xml:space="preserve">again
</v>
      </c>
      <c r="R94">
        <v>1</v>
      </c>
      <c r="S94" s="4">
        <v>4</v>
      </c>
      <c r="T94" s="10"/>
    </row>
    <row r="95" spans="5:20" x14ac:dyDescent="0.2">
      <c r="E95" s="4" t="s">
        <v>14</v>
      </c>
      <c r="K95" t="str">
        <v>where</v>
      </c>
      <c r="L95" s="4" t="str">
        <f t="shared" si="1"/>
        <v>where</v>
      </c>
      <c r="M95" t="str">
        <v>From</v>
      </c>
      <c r="N95" s="4" cm="1">
        <f t="array" ref="N95">SUM(--(_xlfn.TEXTSPLIT($J$2,, " ") = M95))</f>
        <v>1</v>
      </c>
      <c r="O95">
        <v>4</v>
      </c>
      <c r="P95" t="str">
        <v>where</v>
      </c>
      <c r="Q95" t="str">
        <v>From</v>
      </c>
      <c r="R95">
        <v>1</v>
      </c>
      <c r="S95" s="4">
        <v>4</v>
      </c>
      <c r="T95" s="10"/>
    </row>
    <row r="96" spans="5:20" x14ac:dyDescent="0.2">
      <c r="E96" s="4" t="s">
        <v>14</v>
      </c>
      <c r="K96" t="str">
        <v>you</v>
      </c>
      <c r="L96" s="4" t="str">
        <f t="shared" si="1"/>
        <v>you</v>
      </c>
      <c r="M96" t="str">
        <v>mainland</v>
      </c>
      <c r="N96" s="4" cm="1">
        <f t="array" ref="N96">SUM(--(_xlfn.TEXTSPLIT($J$2,, " ") = M96))</f>
        <v>1</v>
      </c>
      <c r="O96">
        <v>4</v>
      </c>
      <c r="P96" t="str">
        <v>you</v>
      </c>
      <c r="Q96" t="str">
        <v>mainland</v>
      </c>
      <c r="R96">
        <v>1</v>
      </c>
      <c r="S96" s="4">
        <v>4</v>
      </c>
      <c r="T96" s="10"/>
    </row>
    <row r="97" spans="5:20" x14ac:dyDescent="0.2">
      <c r="E97" s="4" t="s">
        <v>14</v>
      </c>
      <c r="K97" t="str">
        <v xml:space="preserve">are
</v>
      </c>
      <c r="L97" s="4" t="str">
        <f t="shared" si="1"/>
        <v xml:space="preserve">are </v>
      </c>
      <c r="M97" t="str">
        <v>island</v>
      </c>
      <c r="N97" s="4" cm="1">
        <f t="array" ref="N97">SUM(--(_xlfn.TEXTSPLIT($J$2,, " ") = M97))</f>
        <v>1</v>
      </c>
      <c r="O97">
        <v>4</v>
      </c>
      <c r="P97" t="str">
        <v xml:space="preserve">are </v>
      </c>
      <c r="Q97" t="str">
        <v>island</v>
      </c>
      <c r="R97">
        <v>1</v>
      </c>
      <c r="S97" s="4">
        <v>4</v>
      </c>
      <c r="T97" s="10"/>
    </row>
    <row r="98" spans="5:20" x14ac:dyDescent="0.2">
      <c r="E98" s="4" t="s">
        <v>14</v>
      </c>
      <c r="K98" t="str">
        <v>I</v>
      </c>
      <c r="L98" s="4" t="str">
        <f t="shared" si="1"/>
        <v>I</v>
      </c>
      <c r="M98" t="str">
        <v xml:space="preserve">violence
</v>
      </c>
      <c r="N98" s="4" cm="1">
        <f t="array" ref="N98">SUM(--(_xlfn.TEXTSPLIT($J$2,, " ") = M98))</f>
        <v>1</v>
      </c>
      <c r="O98">
        <v>4</v>
      </c>
      <c r="P98" t="str">
        <v>I</v>
      </c>
      <c r="Q98" t="str">
        <v xml:space="preserve">violence
</v>
      </c>
      <c r="R98">
        <v>1</v>
      </c>
      <c r="S98" s="4">
        <v>4</v>
      </c>
      <c r="T98" s="10"/>
    </row>
    <row r="99" spans="5:20" x14ac:dyDescent="0.2">
      <c r="E99" s="4" t="s">
        <v>14</v>
      </c>
      <c r="K99" t="str">
        <v>wanted</v>
      </c>
      <c r="L99" s="4" t="str">
        <f t="shared" si="1"/>
        <v>wanted</v>
      </c>
      <c r="M99" t="str">
        <v>was</v>
      </c>
      <c r="N99" s="4" cm="1">
        <f t="array" ref="N99">SUM(--(_xlfn.TEXTSPLIT($J$2,, " ") = M99))</f>
        <v>2</v>
      </c>
      <c r="O99">
        <v>4</v>
      </c>
      <c r="P99" t="str">
        <v>wanted</v>
      </c>
      <c r="Q99" t="str">
        <v>was</v>
      </c>
      <c r="R99">
        <v>2</v>
      </c>
      <c r="S99" s="4">
        <v>4</v>
      </c>
      <c r="T99" s="10"/>
    </row>
    <row r="100" spans="5:20" x14ac:dyDescent="0.2">
      <c r="E100" s="4" t="s">
        <v>14</v>
      </c>
      <c r="K100" t="str">
        <v>you</v>
      </c>
      <c r="L100" s="4" t="str">
        <f t="shared" si="1"/>
        <v>you</v>
      </c>
      <c r="M100" t="str">
        <v>same</v>
      </c>
      <c r="N100" s="4" cm="1">
        <f t="array" ref="N100">SUM(--(_xlfn.TEXTSPLIT($J$2,, " ") = M100))</f>
        <v>1</v>
      </c>
      <c r="O100">
        <v>4</v>
      </c>
      <c r="P100" t="str">
        <v>you</v>
      </c>
      <c r="Q100" t="str">
        <v>same</v>
      </c>
      <c r="R100">
        <v>1</v>
      </c>
      <c r="S100" s="4">
        <v>4</v>
      </c>
      <c r="T100" s="10"/>
    </row>
    <row r="101" spans="5:20" x14ac:dyDescent="0.2">
      <c r="E101" s="4" t="s">
        <v>14</v>
      </c>
      <c r="K101" t="str">
        <v>to</v>
      </c>
      <c r="L101" s="4" t="str">
        <f t="shared" si="1"/>
        <v>to</v>
      </c>
      <c r="M101" t="str">
        <v>plan</v>
      </c>
      <c r="N101" s="4" cm="1">
        <f t="array" ref="N101">SUM(--(_xlfn.TEXTSPLIT($J$2,, " ") = M101))</f>
        <v>1</v>
      </c>
      <c r="O101">
        <v>4</v>
      </c>
      <c r="P101" t="str">
        <v>to</v>
      </c>
      <c r="Q101" t="str">
        <v>plan</v>
      </c>
      <c r="R101">
        <v>1</v>
      </c>
      <c r="S101" s="4">
        <v>4</v>
      </c>
      <c r="T101" s="10"/>
    </row>
    <row r="102" spans="5:20" x14ac:dyDescent="0.2">
      <c r="E102" s="4" t="s">
        <v>14</v>
      </c>
      <c r="K102" t="str">
        <v>show</v>
      </c>
      <c r="L102" s="4" t="str">
        <f t="shared" si="1"/>
        <v>show</v>
      </c>
      <c r="M102" t="str">
        <v>for</v>
      </c>
      <c r="N102" s="4" cm="1">
        <f t="array" ref="N102">SUM(--(_xlfn.TEXTSPLIT($J$2,, " ") = M102))</f>
        <v>1</v>
      </c>
      <c r="O102">
        <v>4</v>
      </c>
      <c r="P102" t="str">
        <v>show</v>
      </c>
      <c r="Q102" t="str">
        <v>for</v>
      </c>
      <c r="R102">
        <v>1</v>
      </c>
      <c r="S102" s="4">
        <v>4</v>
      </c>
      <c r="T102" s="10"/>
    </row>
    <row r="103" spans="5:20" x14ac:dyDescent="0.2">
      <c r="E103" s="4" t="s">
        <v>14</v>
      </c>
      <c r="K103" t="str">
        <v xml:space="preserve">me
</v>
      </c>
      <c r="L103" s="4" t="str">
        <f t="shared" si="1"/>
        <v xml:space="preserve">me </v>
      </c>
      <c r="M103" t="str">
        <v>while,</v>
      </c>
      <c r="N103" s="4" cm="1">
        <f t="array" ref="N103">SUM(--(_xlfn.TEXTSPLIT($J$2,, " ") = M103))</f>
        <v>1</v>
      </c>
      <c r="O103">
        <v>4</v>
      </c>
      <c r="P103" t="str">
        <v xml:space="preserve">me </v>
      </c>
      <c r="Q103" t="str">
        <v>while,</v>
      </c>
      <c r="R103">
        <v>1</v>
      </c>
      <c r="S103" s="4">
        <v>4</v>
      </c>
      <c r="T103" s="10"/>
    </row>
    <row r="104" spans="5:20" x14ac:dyDescent="0.2">
      <c r="E104" s="4" t="s">
        <v>14</v>
      </c>
      <c r="K104" t="str">
        <v>But</v>
      </c>
      <c r="L104" s="4" t="str">
        <f t="shared" si="1"/>
        <v>But</v>
      </c>
      <c r="M104" t="str">
        <v xml:space="preserve">decided
</v>
      </c>
      <c r="N104" s="4" cm="1">
        <f t="array" ref="N104">SUM(--(_xlfn.TEXTSPLIT($J$2,, " ") = M104))</f>
        <v>1</v>
      </c>
      <c r="O104">
        <v>4</v>
      </c>
      <c r="P104" t="str">
        <v>But</v>
      </c>
      <c r="Q104" t="str">
        <v xml:space="preserve">decided
</v>
      </c>
      <c r="R104">
        <v>1</v>
      </c>
      <c r="S104" s="4">
        <v>4</v>
      </c>
      <c r="T104" s="10"/>
    </row>
    <row r="105" spans="5:20" x14ac:dyDescent="0.2">
      <c r="E105" s="4" t="s">
        <v>14</v>
      </c>
      <c r="K105" t="str">
        <v>now</v>
      </c>
      <c r="L105" s="4" t="str">
        <f t="shared" si="1"/>
        <v>now</v>
      </c>
      <c r="M105" t="str">
        <v>send</v>
      </c>
      <c r="N105" s="4" cm="1">
        <f t="array" ref="N105">SUM(--(_xlfn.TEXTSPLIT($J$2,, " ") = M105))</f>
        <v>1</v>
      </c>
      <c r="O105">
        <v>4</v>
      </c>
      <c r="P105" t="str">
        <v>now</v>
      </c>
      <c r="Q105" t="str">
        <v>send</v>
      </c>
      <c r="R105">
        <v>1</v>
      </c>
      <c r="S105" s="4">
        <v>4</v>
      </c>
      <c r="T105" s="10"/>
    </row>
    <row r="106" spans="5:20" x14ac:dyDescent="0.2">
      <c r="E106" s="4" t="s">
        <v>14</v>
      </c>
      <c r="K106" t="str">
        <v>the</v>
      </c>
      <c r="L106" s="4" t="str">
        <f t="shared" si="1"/>
        <v>the</v>
      </c>
      <c r="M106" t="str">
        <v>and</v>
      </c>
      <c r="N106" s="4" cm="1">
        <f t="array" ref="N106">SUM(--(_xlfn.TEXTSPLIT($J$2,, " ") = M106))</f>
        <v>1</v>
      </c>
      <c r="O106">
        <v>4</v>
      </c>
      <c r="P106" t="str">
        <v>the</v>
      </c>
      <c r="Q106" t="str">
        <v>and</v>
      </c>
      <c r="R106">
        <v>1</v>
      </c>
      <c r="S106" s="4">
        <v>4</v>
      </c>
      <c r="T106" s="10"/>
    </row>
    <row r="107" spans="5:20" x14ac:dyDescent="0.2">
      <c r="E107" s="4" t="s">
        <v>14</v>
      </c>
      <c r="K107" t="str">
        <v>night</v>
      </c>
      <c r="L107" s="4" t="str">
        <f t="shared" si="1"/>
        <v>night</v>
      </c>
      <c r="M107" t="str">
        <v>rip</v>
      </c>
      <c r="N107" s="4" cm="1">
        <f t="array" ref="N107">SUM(--(_xlfn.TEXTSPLIT($J$2,, " ") = M107))</f>
        <v>1</v>
      </c>
      <c r="O107">
        <v>4</v>
      </c>
      <c r="P107" t="str">
        <v>night</v>
      </c>
      <c r="Q107" t="str">
        <v>rip</v>
      </c>
      <c r="R107">
        <v>1</v>
      </c>
      <c r="S107" s="4">
        <v>4</v>
      </c>
      <c r="T107" s="10"/>
    </row>
    <row r="108" spans="5:20" x14ac:dyDescent="0.2">
      <c r="E108" s="4" t="s">
        <v>14</v>
      </c>
      <c r="K108" t="str">
        <v>has</v>
      </c>
      <c r="L108" s="4" t="str">
        <f t="shared" si="1"/>
        <v>has</v>
      </c>
      <c r="M108" t="str">
        <v>outta</v>
      </c>
      <c r="N108" s="4" cm="1">
        <f t="array" ref="N108">SUM(--(_xlfn.TEXTSPLIT($J$2,, " ") = M108))</f>
        <v>1</v>
      </c>
      <c r="O108">
        <v>4</v>
      </c>
      <c r="P108" t="str">
        <v>has</v>
      </c>
      <c r="Q108" t="str">
        <v>outta</v>
      </c>
      <c r="R108">
        <v>1</v>
      </c>
      <c r="S108" s="4">
        <v>4</v>
      </c>
      <c r="T108" s="10"/>
    </row>
    <row r="109" spans="5:20" x14ac:dyDescent="0.2">
      <c r="E109" s="4" t="s">
        <v>14</v>
      </c>
      <c r="K109" t="str">
        <v xml:space="preserve">fallen
</v>
      </c>
      <c r="L109" s="4" t="str">
        <f t="shared" si="1"/>
        <v xml:space="preserve">fallen </v>
      </c>
      <c r="M109" t="str">
        <v xml:space="preserve">seat
</v>
      </c>
      <c r="N109" s="4" cm="1">
        <f t="array" ref="N109">SUM(--(_xlfn.TEXTSPLIT($J$2,, " ") = M109))</f>
        <v>1</v>
      </c>
      <c r="O109">
        <v>4</v>
      </c>
      <c r="P109" t="str">
        <v xml:space="preserve">fallen </v>
      </c>
      <c r="Q109" t="str">
        <v xml:space="preserve">seat
</v>
      </c>
      <c r="R109">
        <v>1</v>
      </c>
      <c r="S109" s="4">
        <v>4</v>
      </c>
      <c r="T109" s="10"/>
    </row>
    <row r="110" spans="5:20" x14ac:dyDescent="0.2">
      <c r="E110" s="4" t="s">
        <v>14</v>
      </c>
      <c r="K110" t="str">
        <v>Abandoned</v>
      </c>
      <c r="L110" s="4" t="str">
        <f t="shared" si="1"/>
        <v>Abandoned</v>
      </c>
      <c r="M110" t="str">
        <v>see,</v>
      </c>
      <c r="N110" s="4" cm="1">
        <f t="array" ref="N110">SUM(--(_xlfn.TEXTSPLIT($J$2,, " ") = M110))</f>
        <v>1</v>
      </c>
      <c r="O110">
        <v>4</v>
      </c>
      <c r="P110" t="str">
        <v>Abandoned</v>
      </c>
      <c r="Q110" t="str">
        <v>see,</v>
      </c>
      <c r="R110">
        <v>1</v>
      </c>
      <c r="S110" s="4">
        <v>4</v>
      </c>
      <c r="T110" s="10"/>
    </row>
    <row r="111" spans="5:20" x14ac:dyDescent="0.2">
      <c r="E111" s="4" t="s">
        <v>14</v>
      </c>
      <c r="K111" t="str">
        <v>by</v>
      </c>
      <c r="L111" s="4" t="str">
        <f t="shared" si="1"/>
        <v>by</v>
      </c>
      <c r="M111" t="str">
        <v>no</v>
      </c>
      <c r="N111" s="4" cm="1">
        <f t="array" ref="N111">SUM(--(_xlfn.TEXTSPLIT($J$2,, " ") = M111))</f>
        <v>1</v>
      </c>
      <c r="O111">
        <v>4</v>
      </c>
      <c r="P111" t="str">
        <v>by</v>
      </c>
      <c r="Q111" t="str">
        <v>no</v>
      </c>
      <c r="R111">
        <v>1</v>
      </c>
      <c r="S111" s="4">
        <v>4</v>
      </c>
      <c r="T111" s="10"/>
    </row>
    <row r="112" spans="5:20" x14ac:dyDescent="0.2">
      <c r="E112" s="4" t="s">
        <v>14</v>
      </c>
      <c r="K112" t="str">
        <v>the</v>
      </c>
      <c r="L112" s="4" t="str">
        <f t="shared" si="1"/>
        <v>the</v>
      </c>
      <c r="M112" t="str">
        <v>entrance,</v>
      </c>
      <c r="N112" s="4" cm="1">
        <f t="array" ref="N112">SUM(--(_xlfn.TEXTSPLIT($J$2,, " ") = M112))</f>
        <v>1</v>
      </c>
      <c r="O112">
        <v>4</v>
      </c>
      <c r="P112" t="str">
        <v>the</v>
      </c>
      <c r="Q112" t="str">
        <v>entrance,</v>
      </c>
      <c r="R112">
        <v>1</v>
      </c>
      <c r="S112" s="4">
        <v>4</v>
      </c>
      <c r="T112" s="10"/>
    </row>
    <row r="113" spans="5:20" x14ac:dyDescent="0.2">
      <c r="E113" s="4" t="s">
        <v>14</v>
      </c>
      <c r="K113" t="str">
        <v xml:space="preserve">sun
</v>
      </c>
      <c r="L113" s="4" t="str">
        <f t="shared" si="1"/>
        <v xml:space="preserve">sun  </v>
      </c>
      <c r="M113" t="str">
        <v>there</v>
      </c>
      <c r="N113" s="4" cm="1">
        <f t="array" ref="N113">SUM(--(_xlfn.TEXTSPLIT($J$2,, " ") = M113))</f>
        <v>1</v>
      </c>
      <c r="O113">
        <v>4</v>
      </c>
      <c r="P113" t="str">
        <v xml:space="preserve">sun  </v>
      </c>
      <c r="Q113" t="str">
        <v>there</v>
      </c>
      <c r="R113">
        <v>1</v>
      </c>
      <c r="S113" s="4">
        <v>4</v>
      </c>
      <c r="T113" s="10"/>
    </row>
    <row r="114" spans="5:20" x14ac:dyDescent="0.2">
      <c r="E114" s="4" t="s">
        <v>14</v>
      </c>
      <c r="K114" t="str">
        <v>Square</v>
      </c>
      <c r="L114" s="4" t="str">
        <f t="shared" si="1"/>
        <v>Square</v>
      </c>
      <c r="M114" t="str">
        <v>is</v>
      </c>
      <c r="N114" s="4" cm="1">
        <f t="array" ref="N114">SUM(--(_xlfn.TEXTSPLIT($J$2,, " ") = M114))</f>
        <v>6</v>
      </c>
      <c r="O114">
        <v>4</v>
      </c>
      <c r="P114" t="str">
        <v>Square</v>
      </c>
      <c r="Q114" t="str">
        <v>is</v>
      </c>
      <c r="R114">
        <v>6</v>
      </c>
      <c r="S114" s="4">
        <v>4</v>
      </c>
      <c r="T114" s="10"/>
    </row>
    <row r="115" spans="5:20" x14ac:dyDescent="0.2">
      <c r="E115" s="4" t="s">
        <v>14</v>
      </c>
      <c r="K115" t="str">
        <v>up</v>
      </c>
      <c r="L115" s="4" t="str">
        <f t="shared" si="1"/>
        <v>up</v>
      </c>
      <c r="M115" t="str">
        <v>not</v>
      </c>
      <c r="N115" s="4" cm="1">
        <f t="array" ref="N115">SUM(--(_xlfn.TEXTSPLIT($J$2,, " ") = M115))</f>
        <v>1</v>
      </c>
      <c r="O115">
        <v>4</v>
      </c>
      <c r="P115" t="str">
        <v>up</v>
      </c>
      <c r="Q115" t="str">
        <v>not</v>
      </c>
      <c r="R115">
        <v>1</v>
      </c>
      <c r="S115" s="4">
        <v>4</v>
      </c>
      <c r="T115" s="10"/>
    </row>
    <row r="116" spans="5:20" x14ac:dyDescent="0.2">
      <c r="E116" s="4" t="s">
        <v>14</v>
      </c>
      <c r="K116" t="str">
        <v>with</v>
      </c>
      <c r="L116" s="4" t="str">
        <f t="shared" si="1"/>
        <v>with</v>
      </c>
      <c r="M116" t="str">
        <v xml:space="preserve">retreat
</v>
      </c>
      <c r="N116" s="4" cm="1">
        <f t="array" ref="N116">SUM(--(_xlfn.TEXTSPLIT($J$2,, " ") = M116))</f>
        <v>1</v>
      </c>
      <c r="O116">
        <v>4</v>
      </c>
      <c r="P116" t="str">
        <v>with</v>
      </c>
      <c r="Q116" t="str">
        <v xml:space="preserve">retreat
</v>
      </c>
      <c r="R116">
        <v>1</v>
      </c>
      <c r="S116" s="4">
        <v>4</v>
      </c>
      <c r="T116" s="10"/>
    </row>
    <row r="117" spans="5:20" x14ac:dyDescent="0.2">
      <c r="E117" s="4" t="s">
        <v>14</v>
      </c>
      <c r="K117" t="str">
        <v>me,</v>
      </c>
      <c r="L117" s="4" t="str">
        <f t="shared" si="1"/>
        <v xml:space="preserve">me </v>
      </c>
      <c r="M117" t="str">
        <v>I'm</v>
      </c>
      <c r="N117" s="4" cm="1">
        <f t="array" ref="N117">SUM(--(_xlfn.TEXTSPLIT($J$2,, " ") = M117))</f>
        <v>1</v>
      </c>
      <c r="O117">
        <v>4</v>
      </c>
      <c r="P117" t="str">
        <v xml:space="preserve">me </v>
      </c>
      <c r="Q117" t="str">
        <v>I'm</v>
      </c>
      <c r="R117">
        <v>1</v>
      </c>
      <c r="S117" s="4">
        <v>4</v>
      </c>
      <c r="T117" s="10"/>
    </row>
    <row r="118" spans="5:20" x14ac:dyDescent="0.2">
      <c r="E118" s="4" t="s">
        <v>14</v>
      </c>
      <c r="K118" t="str">
        <v>I</v>
      </c>
      <c r="L118" s="4" t="str">
        <f t="shared" si="1"/>
        <v>I</v>
      </c>
      <c r="M118" t="str">
        <v>wondering</v>
      </c>
      <c r="N118" s="4" cm="1">
        <f t="array" ref="N118">SUM(--(_xlfn.TEXTSPLIT($J$2,, " ") = M118))</f>
        <v>1</v>
      </c>
      <c r="O118">
        <v>4</v>
      </c>
      <c r="P118" t="str">
        <v>I</v>
      </c>
      <c r="Q118" t="str">
        <v>wondering</v>
      </c>
      <c r="R118">
        <v>1</v>
      </c>
      <c r="S118" s="4">
        <v>4</v>
      </c>
      <c r="T118" s="10"/>
    </row>
    <row r="119" spans="5:20" x14ac:dyDescent="0.2">
      <c r="E119" s="4" t="s">
        <v>14</v>
      </c>
      <c r="K119" t="str">
        <v>can</v>
      </c>
      <c r="L119" s="4" t="str">
        <f t="shared" si="1"/>
        <v>can</v>
      </c>
      <c r="M119" t="str">
        <v>what</v>
      </c>
      <c r="N119" s="4" cm="1">
        <f t="array" ref="N119">SUM(--(_xlfn.TEXTSPLIT($J$2,, " ") = M119))</f>
        <v>1</v>
      </c>
      <c r="O119">
        <v>4</v>
      </c>
      <c r="P119" t="str">
        <v>can</v>
      </c>
      <c r="Q119" t="str">
        <v>what</v>
      </c>
      <c r="R119">
        <v>1</v>
      </c>
      <c r="S119" s="4">
        <v>4</v>
      </c>
      <c r="T119" s="10"/>
    </row>
    <row r="120" spans="5:20" x14ac:dyDescent="0.2">
      <c r="E120" s="4" t="s">
        <v>14</v>
      </c>
      <c r="K120" t="str">
        <v>come</v>
      </c>
      <c r="L120" s="4" t="str">
        <f t="shared" si="1"/>
        <v>come</v>
      </c>
      <c r="M120" t="str">
        <v>thought</v>
      </c>
      <c r="N120" s="4" cm="1">
        <f t="array" ref="N120">SUM(--(_xlfn.TEXTSPLIT($J$2,, " ") = M120))</f>
        <v>2</v>
      </c>
      <c r="O120">
        <v>4</v>
      </c>
      <c r="P120" t="str">
        <v>come</v>
      </c>
      <c r="Q120" t="str">
        <v>thought</v>
      </c>
      <c r="R120">
        <v>2</v>
      </c>
      <c r="S120" s="4">
        <v>4</v>
      </c>
      <c r="T120" s="10"/>
    </row>
    <row r="121" spans="5:20" x14ac:dyDescent="0.2">
      <c r="E121" s="4" t="s">
        <v>14</v>
      </c>
      <c r="K121" t="str">
        <v>to</v>
      </c>
      <c r="L121" s="4" t="str">
        <f t="shared" si="1"/>
        <v>to</v>
      </c>
      <c r="M121" t="str">
        <v>would</v>
      </c>
      <c r="N121" s="4" cm="1">
        <f t="array" ref="N121">SUM(--(_xlfn.TEXTSPLIT($J$2,, " ") = M121))</f>
        <v>2</v>
      </c>
      <c r="O121">
        <v>4</v>
      </c>
      <c r="P121" t="str">
        <v>to</v>
      </c>
      <c r="Q121" t="str">
        <v>would</v>
      </c>
      <c r="R121">
        <v>2</v>
      </c>
      <c r="S121" s="4">
        <v>4</v>
      </c>
      <c r="T121" s="10"/>
    </row>
    <row r="122" spans="5:20" x14ac:dyDescent="0.2">
      <c r="E122" s="4" t="s">
        <v>14</v>
      </c>
      <c r="K122" t="str">
        <v>you,</v>
      </c>
      <c r="L122" s="4" t="str">
        <f t="shared" si="1"/>
        <v xml:space="preserve">you </v>
      </c>
      <c r="M122" t="str">
        <v>happen,</v>
      </c>
      <c r="N122" s="4" cm="1">
        <f t="array" ref="N122">SUM(--(_xlfn.TEXTSPLIT($J$2,, " ") = M122))</f>
        <v>1</v>
      </c>
      <c r="O122">
        <v>4</v>
      </c>
      <c r="P122" t="str">
        <v xml:space="preserve">you </v>
      </c>
      <c r="Q122" t="str">
        <v>happen,</v>
      </c>
      <c r="R122">
        <v>1</v>
      </c>
      <c r="S122" s="4">
        <v>4</v>
      </c>
      <c r="T122" s="10"/>
    </row>
    <row r="123" spans="5:20" x14ac:dyDescent="0.2">
      <c r="E123" s="4" t="s">
        <v>14</v>
      </c>
      <c r="K123" t="str">
        <v>tell</v>
      </c>
      <c r="L123" s="4" t="str">
        <f t="shared" si="1"/>
        <v>tell</v>
      </c>
      <c r="M123" t="str">
        <v>who</v>
      </c>
      <c r="N123" s="4" cm="1">
        <f t="array" ref="N123">SUM(--(_xlfn.TEXTSPLIT($J$2,, " ") = M123))</f>
        <v>1</v>
      </c>
      <c r="O123">
        <v>4</v>
      </c>
      <c r="P123" t="str">
        <v>tell</v>
      </c>
      <c r="Q123" t="str">
        <v>who</v>
      </c>
      <c r="R123">
        <v>1</v>
      </c>
      <c r="S123" s="4">
        <v>4</v>
      </c>
      <c r="T123" s="10"/>
    </row>
    <row r="124" spans="5:20" x14ac:dyDescent="0.2">
      <c r="E124" s="4" t="s">
        <v>14</v>
      </c>
      <c r="K124" t="str">
        <v>me</v>
      </c>
      <c r="L124" s="4" t="str">
        <f t="shared" si="1"/>
        <v>me</v>
      </c>
      <c r="M124" t="str">
        <v xml:space="preserve">be
</v>
      </c>
      <c r="N124" s="4" cm="1">
        <f t="array" ref="N124">SUM(--(_xlfn.TEXTSPLIT($J$2,, " ") = M124))</f>
        <v>1</v>
      </c>
      <c r="O124">
        <v>4</v>
      </c>
      <c r="P124" t="str">
        <v>me</v>
      </c>
      <c r="Q124" t="str">
        <v xml:space="preserve">be
</v>
      </c>
      <c r="R124">
        <v>1</v>
      </c>
      <c r="S124" s="4">
        <v>4</v>
      </c>
      <c r="T124" s="10"/>
    </row>
    <row r="125" spans="5:20" x14ac:dyDescent="0.2">
      <c r="E125" s="4" t="s">
        <v>14</v>
      </c>
      <c r="K125" t="str">
        <v xml:space="preserve">when
</v>
      </c>
      <c r="L125" s="4" t="str">
        <f t="shared" si="1"/>
        <v xml:space="preserve">when </v>
      </c>
      <c r="M125" t="str">
        <v>this</v>
      </c>
      <c r="N125" s="4" cm="1">
        <f t="array" ref="N125">SUM(--(_xlfn.TEXTSPLIT($J$2,, " ") = M125))</f>
        <v>7</v>
      </c>
      <c r="O125">
        <v>4</v>
      </c>
      <c r="P125" t="str">
        <v xml:space="preserve">when </v>
      </c>
      <c r="Q125" t="str">
        <v>this</v>
      </c>
      <c r="R125">
        <v>7</v>
      </c>
      <c r="S125" s="4">
        <v>4</v>
      </c>
      <c r="T125" s="10"/>
    </row>
    <row r="126" spans="5:20" x14ac:dyDescent="0.2">
      <c r="E126" s="4" t="s">
        <v>14</v>
      </c>
      <c r="K126" t="str">
        <v>Pair</v>
      </c>
      <c r="L126" s="4" t="str">
        <f t="shared" si="1"/>
        <v>Pair</v>
      </c>
      <c r="M126" t="str">
        <v>sideswipe</v>
      </c>
      <c r="N126" s="4" cm="1">
        <f t="array" ref="N126">SUM(--(_xlfn.TEXTSPLIT($J$2,, " ") = M126))</f>
        <v>1</v>
      </c>
      <c r="O126">
        <v>4</v>
      </c>
      <c r="P126" t="str">
        <v>Pair</v>
      </c>
      <c r="Q126" t="str">
        <v>sideswipe</v>
      </c>
      <c r="R126">
        <v>1</v>
      </c>
      <c r="S126" s="4">
        <v>4</v>
      </c>
      <c r="T126" s="10"/>
    </row>
    <row r="127" spans="5:20" x14ac:dyDescent="0.2">
      <c r="E127" s="4" t="s">
        <v>14</v>
      </c>
      <c r="K127" t="str">
        <v>up</v>
      </c>
      <c r="L127" s="4" t="str">
        <f t="shared" si="1"/>
        <v>up</v>
      </c>
      <c r="M127" t="str">
        <v>or</v>
      </c>
      <c r="N127" s="4" cm="1">
        <f t="array" ref="N127">SUM(--(_xlfn.TEXTSPLIT($J$2,, " ") = M127))</f>
        <v>1</v>
      </c>
      <c r="O127">
        <v>4</v>
      </c>
      <c r="P127" t="str">
        <v>up</v>
      </c>
      <c r="Q127" t="str">
        <v>or</v>
      </c>
      <c r="R127">
        <v>1</v>
      </c>
      <c r="S127" s="4">
        <v>4</v>
      </c>
      <c r="T127" s="10"/>
    </row>
    <row r="128" spans="5:20" x14ac:dyDescent="0.2">
      <c r="E128" s="4" t="s">
        <v>14</v>
      </c>
      <c r="K128" t="str">
        <v>with</v>
      </c>
      <c r="L128" s="4" t="str">
        <f t="shared" si="1"/>
        <v>with</v>
      </c>
      <c r="M128" t="str">
        <v>did</v>
      </c>
      <c r="N128" s="4" cm="1">
        <f t="array" ref="N128">SUM(--(_xlfn.TEXTSPLIT($J$2,, " ") = M128))</f>
        <v>1</v>
      </c>
      <c r="O128">
        <v>4</v>
      </c>
      <c r="P128" t="str">
        <v>with</v>
      </c>
      <c r="Q128" t="str">
        <v>did</v>
      </c>
      <c r="R128">
        <v>1</v>
      </c>
      <c r="S128" s="4">
        <v>4</v>
      </c>
      <c r="T128" s="10"/>
    </row>
    <row r="129" spans="5:20" x14ac:dyDescent="0.2">
      <c r="E129" s="4" t="s">
        <v>14</v>
      </c>
      <c r="K129" t="str">
        <v>me,</v>
      </c>
      <c r="L129" s="4" t="str">
        <f t="shared" si="1"/>
        <v xml:space="preserve">me </v>
      </c>
      <c r="M129" t="str">
        <v>picture</v>
      </c>
      <c r="N129" s="4" cm="1">
        <f t="array" ref="N129">SUM(--(_xlfn.TEXTSPLIT($J$2,, " ") = M129))</f>
        <v>1</v>
      </c>
      <c r="O129">
        <v>4</v>
      </c>
      <c r="P129" t="str">
        <v xml:space="preserve">me </v>
      </c>
      <c r="Q129" t="str">
        <v>picture</v>
      </c>
      <c r="R129">
        <v>1</v>
      </c>
      <c r="S129" s="4">
        <v>4</v>
      </c>
      <c r="T129" s="10"/>
    </row>
    <row r="130" spans="5:20" x14ac:dyDescent="0.2">
      <c r="E130" s="4" t="s">
        <v>14</v>
      </c>
      <c r="K130" t="str">
        <v>I</v>
      </c>
      <c r="L130" s="4" t="str">
        <f t="shared" si="1"/>
        <v>I</v>
      </c>
      <c r="M130" t="str">
        <v xml:space="preserve">dream?
</v>
      </c>
      <c r="N130" s="4" cm="1">
        <f t="array" ref="N130">SUM(--(_xlfn.TEXTSPLIT($J$2,, " ") = M130))</f>
        <v>1</v>
      </c>
      <c r="O130">
        <v>4</v>
      </c>
      <c r="P130" t="str">
        <v>I</v>
      </c>
      <c r="Q130" t="str">
        <v xml:space="preserve">dream?
</v>
      </c>
      <c r="R130">
        <v>1</v>
      </c>
      <c r="S130" s="4">
        <v>4</v>
      </c>
      <c r="T130" s="10"/>
    </row>
    <row r="131" spans="5:20" x14ac:dyDescent="0.2">
      <c r="E131" s="4" t="s">
        <v>14</v>
      </c>
      <c r="K131" t="str">
        <v>can</v>
      </c>
      <c r="L131" s="4" t="str">
        <f t="shared" si="1"/>
        <v>can</v>
      </c>
      <c r="M131" t="str">
        <v>Buckle</v>
      </c>
      <c r="N131" s="4" cm="1">
        <f t="array" ref="N131">SUM(--(_xlfn.TEXTSPLIT($J$2,, " ") = M131))</f>
        <v>1</v>
      </c>
      <c r="O131">
        <v>4</v>
      </c>
      <c r="P131" t="str">
        <v>can</v>
      </c>
      <c r="Q131" t="str">
        <v>Buckle</v>
      </c>
      <c r="R131">
        <v>1</v>
      </c>
      <c r="S131" s="4">
        <v>4</v>
      </c>
      <c r="T131" s="10"/>
    </row>
    <row r="132" spans="5:20" x14ac:dyDescent="0.2">
      <c r="E132" s="4" t="s">
        <v>14</v>
      </c>
      <c r="K132" t="str">
        <v>run</v>
      </c>
      <c r="L132" s="4" t="str">
        <f t="shared" ref="L132:L195" si="2">_xlfn.REGEXREPLACE(K132, "[^A-Za-z ]", " ")</f>
        <v>run</v>
      </c>
      <c r="M132" t="str">
        <v>down,</v>
      </c>
      <c r="N132" s="4" cm="1">
        <f t="array" ref="N132">SUM(--(_xlfn.TEXTSPLIT($J$2,, " ") = M132))</f>
        <v>1</v>
      </c>
      <c r="O132">
        <v>4</v>
      </c>
      <c r="P132" t="str">
        <v>run</v>
      </c>
      <c r="Q132" t="str">
        <v>down,</v>
      </c>
      <c r="R132">
        <v>1</v>
      </c>
      <c r="S132" s="4">
        <v>4</v>
      </c>
      <c r="T132" s="10"/>
    </row>
    <row r="133" spans="5:20" x14ac:dyDescent="0.2">
      <c r="E133" s="4" t="s">
        <v>14</v>
      </c>
      <c r="K133" t="str">
        <v>on</v>
      </c>
      <c r="L133" s="4" t="str">
        <f t="shared" si="2"/>
        <v>on</v>
      </c>
      <c r="M133" t="str">
        <v>possibly</v>
      </c>
      <c r="N133" s="4" cm="1">
        <f t="array" ref="N133">SUM(--(_xlfn.TEXTSPLIT($J$2,, " ") = M133))</f>
        <v>1</v>
      </c>
      <c r="O133">
        <v>4</v>
      </c>
      <c r="P133" t="str">
        <v>on</v>
      </c>
      <c r="Q133" t="str">
        <v>possibly</v>
      </c>
      <c r="R133">
        <v>1</v>
      </c>
      <c r="S133" s="4">
        <v>4</v>
      </c>
      <c r="T133" s="10"/>
    </row>
    <row r="134" spans="5:20" x14ac:dyDescent="0.2">
      <c r="E134" s="4" t="s">
        <v>14</v>
      </c>
      <c r="K134" t="str">
        <v>you,</v>
      </c>
      <c r="L134" s="4" t="str">
        <f t="shared" si="2"/>
        <v xml:space="preserve">you </v>
      </c>
      <c r="M134" t="str">
        <v xml:space="preserve">sun
</v>
      </c>
      <c r="N134" s="4" cm="1">
        <f t="array" ref="N134">SUM(--(_xlfn.TEXTSPLIT($J$2,, " ") = M134))</f>
        <v>1</v>
      </c>
      <c r="O134">
        <v>4</v>
      </c>
      <c r="P134" t="str">
        <v xml:space="preserve">you </v>
      </c>
      <c r="Q134" t="str">
        <v xml:space="preserve">sun
</v>
      </c>
      <c r="R134">
        <v>1</v>
      </c>
      <c r="S134" s="4">
        <v>4</v>
      </c>
      <c r="T134" s="10"/>
    </row>
    <row r="135" spans="5:20" x14ac:dyDescent="0.2">
      <c r="E135" s="4" t="s">
        <v>14</v>
      </c>
      <c r="K135" t="str">
        <v>in</v>
      </c>
      <c r="L135" s="4" t="str">
        <f t="shared" si="2"/>
        <v>in</v>
      </c>
      <c r="M135" t="str">
        <v>smile</v>
      </c>
      <c r="N135" s="4" cm="1">
        <f t="array" ref="N135">SUM(--(_xlfn.TEXTSPLIT($J$2,, " ") = M135))</f>
        <v>2</v>
      </c>
      <c r="O135">
        <v>4</v>
      </c>
      <c r="P135" t="str">
        <v>in</v>
      </c>
      <c r="Q135" t="str">
        <v>smile</v>
      </c>
      <c r="R135">
        <v>2</v>
      </c>
      <c r="S135" s="4">
        <v>4</v>
      </c>
      <c r="T135" s="10"/>
    </row>
    <row r="136" spans="5:20" x14ac:dyDescent="0.2">
      <c r="E136" s="4" t="s">
        <v>14</v>
      </c>
      <c r="K136" t="str">
        <v>the</v>
      </c>
      <c r="L136" s="4" t="str">
        <f t="shared" si="2"/>
        <v>the</v>
      </c>
      <c r="M136" t="str">
        <v>wraps</v>
      </c>
      <c r="N136" s="4" cm="1">
        <f t="array" ref="N136">SUM(--(_xlfn.TEXTSPLIT($J$2,, " ") = M136))</f>
        <v>2</v>
      </c>
      <c r="O136">
        <v>4</v>
      </c>
      <c r="P136" t="str">
        <v>the</v>
      </c>
      <c r="Q136" t="str">
        <v>wraps</v>
      </c>
      <c r="R136">
        <v>2</v>
      </c>
      <c r="S136" s="4">
        <v>4</v>
      </c>
      <c r="T136" s="10"/>
    </row>
    <row r="137" spans="5:20" x14ac:dyDescent="0.2">
      <c r="E137" s="4" t="s">
        <v>14</v>
      </c>
      <c r="K137" t="str">
        <v xml:space="preserve">end
</v>
      </c>
      <c r="L137" s="4" t="str">
        <f t="shared" si="2"/>
        <v xml:space="preserve">end </v>
      </c>
      <c r="M137" t="str">
        <v>head,</v>
      </c>
      <c r="N137" s="4" cm="1">
        <f t="array" ref="N137">SUM(--(_xlfn.TEXTSPLIT($J$2,, " ") = M137))</f>
        <v>2</v>
      </c>
      <c r="O137">
        <v>4</v>
      </c>
      <c r="P137" t="str">
        <v xml:space="preserve">end </v>
      </c>
      <c r="Q137" t="str">
        <v>head,</v>
      </c>
      <c r="R137">
        <v>2</v>
      </c>
      <c r="S137" s="4">
        <v>4</v>
      </c>
      <c r="T137" s="10"/>
    </row>
    <row r="138" spans="5:20" x14ac:dyDescent="0.2">
      <c r="E138" s="4" t="s">
        <v>14</v>
      </c>
      <c r="K138" t="str">
        <v>I</v>
      </c>
      <c r="L138" s="4" t="str">
        <f t="shared" si="2"/>
        <v>I</v>
      </c>
      <c r="M138" t="str">
        <v>splitting</v>
      </c>
      <c r="N138" s="4" cm="1">
        <f t="array" ref="N138">SUM(--(_xlfn.TEXTSPLIT($J$2,, " ") = M138))</f>
        <v>2</v>
      </c>
      <c r="O138">
        <v>4</v>
      </c>
      <c r="P138" t="str">
        <v>I</v>
      </c>
      <c r="Q138" t="str">
        <v>splitting</v>
      </c>
      <c r="R138">
        <v>2</v>
      </c>
      <c r="S138" s="4">
        <v>4</v>
      </c>
      <c r="T138" s="10"/>
    </row>
    <row r="139" spans="5:20" x14ac:dyDescent="0.2">
      <c r="E139" s="4" t="s">
        <v>14</v>
      </c>
      <c r="K139" t="str">
        <v>write</v>
      </c>
      <c r="L139" s="4" t="str">
        <f t="shared" si="2"/>
        <v>write</v>
      </c>
      <c r="M139" t="str">
        <v xml:space="preserve">in
</v>
      </c>
      <c r="N139" s="4" cm="1">
        <f t="array" ref="N139">SUM(--(_xlfn.TEXTSPLIT($J$2,, " ") = M139))</f>
        <v>2</v>
      </c>
      <c r="O139">
        <v>4</v>
      </c>
      <c r="P139" t="str">
        <v>write</v>
      </c>
      <c r="Q139" t="str">
        <v xml:space="preserve">in
</v>
      </c>
      <c r="R139">
        <v>2</v>
      </c>
      <c r="S139" s="4">
        <v>4</v>
      </c>
      <c r="T139" s="10"/>
    </row>
    <row r="140" spans="5:20" x14ac:dyDescent="0.2">
      <c r="E140" s="4" t="s">
        <v>14</v>
      </c>
      <c r="K140" t="str">
        <v>a</v>
      </c>
      <c r="L140" s="4" t="str">
        <f t="shared" si="2"/>
        <v>a</v>
      </c>
      <c r="M140" t="str">
        <v>Two,</v>
      </c>
      <c r="N140" s="4" cm="1">
        <f t="array" ref="N140">SUM(--(_xlfn.TEXTSPLIT($J$2,, " ") = M140))</f>
        <v>6</v>
      </c>
      <c r="O140">
        <v>4</v>
      </c>
      <c r="P140" t="str">
        <v>a</v>
      </c>
      <c r="Q140" t="str">
        <v>Two,</v>
      </c>
      <c r="R140">
        <v>6</v>
      </c>
      <c r="S140" s="4">
        <v>4</v>
      </c>
      <c r="T140" s="10"/>
    </row>
    <row r="141" spans="5:20" x14ac:dyDescent="0.2">
      <c r="E141" s="4" t="s">
        <v>14</v>
      </c>
      <c r="K141" t="str">
        <v>promise</v>
      </c>
      <c r="L141" s="4" t="str">
        <f t="shared" si="2"/>
        <v>promise</v>
      </c>
      <c r="M141" t="str">
        <v xml:space="preserve">two
</v>
      </c>
      <c r="N141" s="4" cm="1">
        <f t="array" ref="N141">SUM(--(_xlfn.TEXTSPLIT($J$2,, " ") = M141))</f>
        <v>2</v>
      </c>
      <c r="O141">
        <v>4</v>
      </c>
      <c r="P141" t="str">
        <v>promise</v>
      </c>
      <c r="Q141" t="str">
        <v xml:space="preserve">two
</v>
      </c>
      <c r="R141">
        <v>2</v>
      </c>
      <c r="S141" s="4">
        <v>4</v>
      </c>
      <c r="T141" s="10"/>
    </row>
    <row r="142" spans="5:20" x14ac:dyDescent="0.2">
      <c r="E142" s="4" t="s">
        <v>14</v>
      </c>
      <c r="K142" t="str">
        <v>in</v>
      </c>
      <c r="L142" s="4" t="str">
        <f t="shared" si="2"/>
        <v>in</v>
      </c>
      <c r="M142" t="str">
        <v>don't</v>
      </c>
      <c r="N142" s="4" cm="1">
        <f t="array" ref="N142">SUM(--(_xlfn.TEXTSPLIT($J$2,, " ") = M142))</f>
        <v>2</v>
      </c>
      <c r="O142">
        <v>4</v>
      </c>
      <c r="P142" t="str">
        <v>in</v>
      </c>
      <c r="Q142" t="str">
        <v>don't</v>
      </c>
      <c r="R142">
        <v>2</v>
      </c>
      <c r="S142" s="4">
        <v>4</v>
      </c>
      <c r="T142" s="10"/>
    </row>
    <row r="143" spans="5:20" x14ac:dyDescent="0.2">
      <c r="E143" s="4" t="s">
        <v>14</v>
      </c>
      <c r="K143" t="str">
        <v>pencil,</v>
      </c>
      <c r="L143" s="4" t="str">
        <f t="shared" si="2"/>
        <v xml:space="preserve">pencil </v>
      </c>
      <c r="M143" t="str">
        <v>have</v>
      </c>
      <c r="N143" s="4" cm="1">
        <f t="array" ref="N143">SUM(--(_xlfn.TEXTSPLIT($J$2,, " ") = M143))</f>
        <v>2</v>
      </c>
      <c r="O143">
        <v>4</v>
      </c>
      <c r="P143" t="str">
        <v xml:space="preserve">pencil </v>
      </c>
      <c r="Q143" t="str">
        <v>have</v>
      </c>
      <c r="R143">
        <v>2</v>
      </c>
      <c r="S143" s="4">
        <v>4</v>
      </c>
      <c r="T143" s="10"/>
    </row>
    <row r="144" spans="5:20" x14ac:dyDescent="0.2">
      <c r="E144" s="4" t="s">
        <v>14</v>
      </c>
      <c r="K144" t="str">
        <v>but</v>
      </c>
      <c r="L144" s="4" t="str">
        <f t="shared" si="2"/>
        <v>but</v>
      </c>
      <c r="M144" t="str">
        <v>clue</v>
      </c>
      <c r="N144" s="4" cm="1">
        <f t="array" ref="N144">SUM(--(_xlfn.TEXTSPLIT($J$2,, " ") = M144))</f>
        <v>2</v>
      </c>
      <c r="O144">
        <v>4</v>
      </c>
      <c r="P144" t="str">
        <v>but</v>
      </c>
      <c r="Q144" t="str">
        <v>clue</v>
      </c>
      <c r="R144">
        <v>2</v>
      </c>
      <c r="S144" s="4">
        <v>4</v>
      </c>
      <c r="T144" s="10"/>
    </row>
    <row r="145" spans="5:20" x14ac:dyDescent="0.2">
      <c r="E145" s="4" t="s">
        <v>14</v>
      </c>
      <c r="K145" t="str">
        <v>my</v>
      </c>
      <c r="L145" s="4" t="str">
        <f t="shared" si="2"/>
        <v>my</v>
      </c>
      <c r="M145" t="str">
        <v>how</v>
      </c>
      <c r="N145" s="4" cm="1">
        <f t="array" ref="N145">SUM(--(_xlfn.TEXTSPLIT($J$2,, " ") = M145))</f>
        <v>2</v>
      </c>
      <c r="O145">
        <v>4</v>
      </c>
      <c r="P145" t="str">
        <v>my</v>
      </c>
      <c r="Q145" t="str">
        <v>how</v>
      </c>
      <c r="R145">
        <v>2</v>
      </c>
      <c r="S145" s="4">
        <v>4</v>
      </c>
      <c r="T145" s="10"/>
    </row>
    <row r="146" spans="5:20" x14ac:dyDescent="0.2">
      <c r="E146" s="4" t="s">
        <v>14</v>
      </c>
      <c r="K146" t="str">
        <v>loyalty's</v>
      </c>
      <c r="L146" s="4" t="str">
        <f t="shared" si="2"/>
        <v>loyalty s</v>
      </c>
      <c r="M146" t="str">
        <v>keep</v>
      </c>
      <c r="N146" s="4" cm="1">
        <f t="array" ref="N146">SUM(--(_xlfn.TEXTSPLIT($J$2,, " ") = M146))</f>
        <v>2</v>
      </c>
      <c r="O146">
        <v>4</v>
      </c>
      <c r="P146" t="str">
        <v>loyalty s</v>
      </c>
      <c r="Q146" t="str">
        <v>keep</v>
      </c>
      <c r="R146">
        <v>2</v>
      </c>
      <c r="S146" s="4">
        <v>4</v>
      </c>
      <c r="T146" s="10"/>
    </row>
    <row r="147" spans="5:20" x14ac:dyDescent="0.2">
      <c r="E147" s="4" t="s">
        <v>14</v>
      </c>
      <c r="K147" t="str">
        <v>in</v>
      </c>
      <c r="L147" s="4" t="str">
        <f t="shared" si="2"/>
        <v>in</v>
      </c>
      <c r="M147" t="str">
        <v>top</v>
      </c>
      <c r="N147" s="4" cm="1">
        <f t="array" ref="N147">SUM(--(_xlfn.TEXTSPLIT($J$2,, " ") = M147))</f>
        <v>2</v>
      </c>
      <c r="O147">
        <v>4</v>
      </c>
      <c r="P147" t="str">
        <v>in</v>
      </c>
      <c r="Q147" t="str">
        <v>top</v>
      </c>
      <c r="R147">
        <v>2</v>
      </c>
      <c r="S147" s="4">
        <v>4</v>
      </c>
      <c r="T147" s="10"/>
    </row>
    <row r="148" spans="5:20" x14ac:dyDescent="0.2">
      <c r="E148" s="4" t="s">
        <v>14</v>
      </c>
      <c r="K148" t="str">
        <v xml:space="preserve">pen
</v>
      </c>
      <c r="L148" s="4" t="str">
        <f t="shared" si="2"/>
        <v xml:space="preserve">pen </v>
      </c>
      <c r="M148" t="str">
        <v xml:space="preserve">half
</v>
      </c>
      <c r="N148" s="4" cm="1">
        <f t="array" ref="N148">SUM(--(_xlfn.TEXTSPLIT($J$2,, " ") = M148))</f>
        <v>2</v>
      </c>
      <c r="O148">
        <v>4</v>
      </c>
      <c r="P148" t="str">
        <v xml:space="preserve">pen </v>
      </c>
      <c r="Q148" t="str">
        <v xml:space="preserve">half
</v>
      </c>
      <c r="R148">
        <v>2</v>
      </c>
      <c r="S148" s="4">
        <v>4</v>
      </c>
      <c r="T148" s="10"/>
    </row>
    <row r="149" spans="5:20" x14ac:dyDescent="0.2">
      <c r="E149" s="4" t="s">
        <v>14</v>
      </c>
      <c r="K149" t="str">
        <v>Use</v>
      </c>
      <c r="L149" s="4" t="str">
        <f t="shared" si="2"/>
        <v>Use</v>
      </c>
      <c r="M149" t="str">
        <v>Glued,</v>
      </c>
      <c r="N149" s="4" cm="1">
        <f t="array" ref="N149">SUM(--(_xlfn.TEXTSPLIT($J$2,, " ") = M149))</f>
        <v>6</v>
      </c>
      <c r="O149">
        <v>4</v>
      </c>
      <c r="P149" t="str">
        <v>Use</v>
      </c>
      <c r="Q149" t="str">
        <v>Glued,</v>
      </c>
      <c r="R149">
        <v>6</v>
      </c>
      <c r="S149" s="4">
        <v>4</v>
      </c>
      <c r="T149" s="10"/>
    </row>
    <row r="150" spans="5:20" x14ac:dyDescent="0.2">
      <c r="E150" s="4" t="s">
        <v>14</v>
      </c>
      <c r="K150" t="str">
        <v>a</v>
      </c>
      <c r="L150" s="4" t="str">
        <f t="shared" si="2"/>
        <v>a</v>
      </c>
      <c r="M150" t="str">
        <v xml:space="preserve">glued
</v>
      </c>
      <c r="N150" s="4" cm="1">
        <f t="array" ref="N150">SUM(--(_xlfn.TEXTSPLIT($J$2,, " ") = M150))</f>
        <v>1</v>
      </c>
      <c r="O150">
        <v>4</v>
      </c>
      <c r="P150" t="str">
        <v>a</v>
      </c>
      <c r="Q150" t="str">
        <v xml:space="preserve">glued
</v>
      </c>
      <c r="R150">
        <v>1</v>
      </c>
      <c r="S150" s="4">
        <v>4</v>
      </c>
      <c r="T150" s="10"/>
    </row>
    <row r="151" spans="5:20" x14ac:dyDescent="0.2">
      <c r="E151" s="4" t="s">
        <v>14</v>
      </c>
      <c r="K151" t="str">
        <v>mistake</v>
      </c>
      <c r="L151" s="4" t="str">
        <f t="shared" si="2"/>
        <v>mistake</v>
      </c>
      <c r="M151" t="str">
        <v/>
      </c>
      <c r="N151" s="4" cm="1">
        <f t="array" ref="N151">SUM(--(_xlfn.TEXTSPLIT($J$2,, " ") = M151))</f>
        <v>4</v>
      </c>
      <c r="O151">
        <v>4</v>
      </c>
      <c r="P151" t="str">
        <v>mistake</v>
      </c>
      <c r="Q151" t="str">
        <v/>
      </c>
      <c r="R151">
        <v>4</v>
      </c>
      <c r="S151" s="4">
        <v>4</v>
      </c>
      <c r="T151" s="10"/>
    </row>
    <row r="152" spans="5:20" x14ac:dyDescent="0.2">
      <c r="E152" s="4" t="s">
        <v>14</v>
      </c>
      <c r="K152" t="str">
        <v>as</v>
      </c>
      <c r="L152" s="4" t="str">
        <f t="shared" si="2"/>
        <v>as</v>
      </c>
      <c r="M152" t="str">
        <v xml:space="preserve">glued
</v>
      </c>
      <c r="N152" s="4" cm="1">
        <f t="array" ref="N152">SUM(--(_xlfn.TEXTSPLIT($J$2,, " ") = M152))</f>
        <v>1</v>
      </c>
      <c r="O152">
        <v>4</v>
      </c>
      <c r="P152" t="str">
        <v>as</v>
      </c>
      <c r="Q152" t="str">
        <v xml:space="preserve">glued
</v>
      </c>
      <c r="R152">
        <v>1</v>
      </c>
      <c r="S152" s="4">
        <v>4</v>
      </c>
      <c r="T152" s="10"/>
    </row>
    <row r="153" spans="5:20" x14ac:dyDescent="0.2">
      <c r="E153" s="4" t="s">
        <v>14</v>
      </c>
      <c r="K153" t="str">
        <v>a</v>
      </c>
      <c r="L153" s="4" t="str">
        <f t="shared" si="2"/>
        <v>a</v>
      </c>
      <c r="M153" t="str">
        <v>are
I</v>
      </c>
      <c r="N153" s="4" cm="1">
        <f t="array" ref="N153">SUM(--(_xlfn.TEXTSPLIT($J$2,, " ") = M153))</f>
        <v>1</v>
      </c>
      <c r="O153">
        <v>4</v>
      </c>
      <c r="P153" t="str">
        <v>a</v>
      </c>
      <c r="Q153" t="str">
        <v>are
I</v>
      </c>
      <c r="R153">
        <v>1</v>
      </c>
      <c r="S153" s="4">
        <v>4</v>
      </c>
      <c r="T153" s="10"/>
    </row>
    <row r="154" spans="5:20" x14ac:dyDescent="0.2">
      <c r="E154" s="4" t="s">
        <v>14</v>
      </c>
      <c r="K154" t="str">
        <v>crooked</v>
      </c>
      <c r="L154" s="4" t="str">
        <f t="shared" si="2"/>
        <v>crooked</v>
      </c>
      <c r="M154" t="str">
        <v xml:space="preserve">me
</v>
      </c>
      <c r="N154" s="4" cm="1">
        <f t="array" ref="N154">SUM(--(_xlfn.TEXTSPLIT($J$2,, " ") = M154))</f>
        <v>1</v>
      </c>
      <c r="O154">
        <v>4</v>
      </c>
      <c r="P154" t="str">
        <v>crooked</v>
      </c>
      <c r="Q154" t="str">
        <v xml:space="preserve">me
</v>
      </c>
      <c r="R154">
        <v>1</v>
      </c>
      <c r="S154" s="4">
        <v>4</v>
      </c>
      <c r="T154" s="10"/>
    </row>
    <row r="155" spans="5:20" x14ac:dyDescent="0.2">
      <c r="E155" s="4" t="s">
        <v>14</v>
      </c>
      <c r="K155" t="str">
        <v>stencil,</v>
      </c>
      <c r="L155" s="4" t="str">
        <f t="shared" si="2"/>
        <v xml:space="preserve">stencil </v>
      </c>
      <c r="M155" t="str">
        <v>Entertain</v>
      </c>
      <c r="N155" s="4" cm="1">
        <f t="array" ref="N155">SUM(--(_xlfn.TEXTSPLIT($J$2,, " ") = M155))</f>
        <v>10</v>
      </c>
      <c r="O155">
        <v>4</v>
      </c>
      <c r="P155" t="str">
        <v xml:space="preserve">stencil </v>
      </c>
      <c r="Q155" t="str">
        <v>Entertain</v>
      </c>
      <c r="R155">
        <v>10</v>
      </c>
      <c r="S155" s="4">
        <v>4</v>
      </c>
      <c r="T155" s="10"/>
    </row>
    <row r="156" spans="5:20" x14ac:dyDescent="0.2">
      <c r="E156" s="4" t="s">
        <v>14</v>
      </c>
      <c r="K156" t="str">
        <v>then</v>
      </c>
      <c r="L156" s="4" t="str">
        <f t="shared" si="2"/>
        <v>then</v>
      </c>
      <c r="M156" t="str">
        <v>my,</v>
      </c>
      <c r="N156" s="4" cm="1">
        <f t="array" ref="N156">SUM(--(_xlfn.TEXTSPLIT($J$2,, " ") = M156))</f>
        <v>4</v>
      </c>
      <c r="O156">
        <v>4</v>
      </c>
      <c r="P156" t="str">
        <v>then</v>
      </c>
      <c r="Q156" t="str">
        <v>my,</v>
      </c>
      <c r="R156">
        <v>4</v>
      </c>
      <c r="S156" s="4">
        <v>4</v>
      </c>
      <c r="T156" s="10"/>
    </row>
    <row r="157" spans="5:20" x14ac:dyDescent="0.2">
      <c r="E157" s="4" t="s">
        <v>14</v>
      </c>
      <c r="K157" t="str">
        <v>we</v>
      </c>
      <c r="L157" s="4" t="str">
        <f t="shared" si="2"/>
        <v>we</v>
      </c>
      <c r="M157" t="str">
        <v xml:space="preserve">my
</v>
      </c>
      <c r="N157" s="4" cm="1">
        <f t="array" ref="N157">SUM(--(_xlfn.TEXTSPLIT($J$2,, " ") = M157))</f>
        <v>3</v>
      </c>
      <c r="O157">
        <v>4</v>
      </c>
      <c r="P157" t="str">
        <v>we</v>
      </c>
      <c r="Q157" t="str">
        <v xml:space="preserve">my
</v>
      </c>
      <c r="R157">
        <v>3</v>
      </c>
      <c r="S157" s="4">
        <v>4</v>
      </c>
      <c r="T157" s="10"/>
    </row>
    <row r="158" spans="5:20" x14ac:dyDescent="0.2">
      <c r="E158" s="4" t="s">
        <v>14</v>
      </c>
      <c r="K158" t="str">
        <v>trace</v>
      </c>
      <c r="L158" s="4" t="str">
        <f t="shared" si="2"/>
        <v>trace</v>
      </c>
      <c r="M158" t="str">
        <v xml:space="preserve">faith
</v>
      </c>
      <c r="N158" s="4" cm="1">
        <f t="array" ref="N158">SUM(--(_xlfn.TEXTSPLIT($J$2,, " ") = M158))</f>
        <v>3</v>
      </c>
      <c r="O158">
        <v>4</v>
      </c>
      <c r="P158" t="str">
        <v>trace</v>
      </c>
      <c r="Q158" t="str">
        <v xml:space="preserve">faith
</v>
      </c>
      <c r="R158">
        <v>3</v>
      </c>
      <c r="S158" s="4">
        <v>4</v>
      </c>
      <c r="T158" s="10"/>
    </row>
    <row r="159" spans="5:20" x14ac:dyDescent="0.2">
      <c r="E159" s="4" t="s">
        <v>14</v>
      </c>
      <c r="K159" t="str">
        <v>it</v>
      </c>
      <c r="L159" s="4" t="str">
        <f t="shared" si="2"/>
        <v>it</v>
      </c>
      <c r="M159" t="str">
        <v>last</v>
      </c>
      <c r="N159" s="4" cm="1">
        <f t="array" ref="N159">SUM(--(_xlfn.TEXTSPLIT($J$2,, " ") = M159))</f>
        <v>4</v>
      </c>
      <c r="O159">
        <v>4</v>
      </c>
      <c r="P159" t="str">
        <v>it</v>
      </c>
      <c r="Q159" t="str">
        <v>last</v>
      </c>
      <c r="R159">
        <v>4</v>
      </c>
      <c r="S159" s="4">
        <v>4</v>
      </c>
      <c r="T159" s="10"/>
    </row>
    <row r="160" spans="5:20" x14ac:dyDescent="0.2">
      <c r="E160" s="4" t="s">
        <v>14</v>
      </c>
      <c r="K160" t="str">
        <v>back</v>
      </c>
      <c r="L160" s="4" t="str">
        <f t="shared" si="2"/>
        <v>back</v>
      </c>
      <c r="M160" t="str">
        <v>time,</v>
      </c>
      <c r="N160" s="4" cm="1">
        <f t="array" ref="N160">SUM(--(_xlfn.TEXTSPLIT($J$2,, " ") = M160))</f>
        <v>1</v>
      </c>
      <c r="O160">
        <v>4</v>
      </c>
      <c r="P160" t="str">
        <v>back</v>
      </c>
      <c r="Q160" t="str">
        <v>time,</v>
      </c>
      <c r="R160">
        <v>1</v>
      </c>
      <c r="S160" s="4">
        <v>4</v>
      </c>
      <c r="T160" s="10"/>
    </row>
    <row r="161" spans="5:20" x14ac:dyDescent="0.2">
      <c r="E161" s="4" t="s">
        <v>14</v>
      </c>
      <c r="K161" t="str">
        <v xml:space="preserve">again
</v>
      </c>
      <c r="L161" s="4" t="str">
        <f t="shared" si="2"/>
        <v xml:space="preserve">again </v>
      </c>
      <c r="M161" t="str">
        <v xml:space="preserve">time
</v>
      </c>
      <c r="N161" s="4" cm="1">
        <f t="array" ref="N161">SUM(--(_xlfn.TEXTSPLIT($J$2,, " ") = M161))</f>
        <v>1</v>
      </c>
      <c r="O161">
        <v>4</v>
      </c>
      <c r="P161" t="str">
        <v xml:space="preserve">again </v>
      </c>
      <c r="Q161" t="str">
        <v xml:space="preserve">time
</v>
      </c>
      <c r="R161">
        <v>1</v>
      </c>
      <c r="S161" s="4">
        <v>4</v>
      </c>
      <c r="T161" s="10"/>
    </row>
    <row r="162" spans="5:20" x14ac:dyDescent="0.2">
      <c r="E162" s="4" t="s">
        <v>14</v>
      </c>
      <c r="K162" t="str">
        <v>From</v>
      </c>
      <c r="L162" s="4" t="str">
        <f t="shared" si="2"/>
        <v>From</v>
      </c>
      <c r="M162" t="str">
        <v>time</v>
      </c>
      <c r="N162" s="4" cm="1">
        <f t="array" ref="N162">SUM(--(_xlfn.TEXTSPLIT($J$2,, " ") = M162))</f>
        <v>2</v>
      </c>
      <c r="O162">
        <v>4</v>
      </c>
      <c r="P162" t="str">
        <v>From</v>
      </c>
      <c r="Q162" t="str">
        <v>time</v>
      </c>
      <c r="R162">
        <v>2</v>
      </c>
      <c r="S162" s="4">
        <v>4</v>
      </c>
      <c r="T162" s="10"/>
    </row>
    <row r="163" spans="5:20" x14ac:dyDescent="0.2">
      <c r="E163" s="4" t="s">
        <v>14</v>
      </c>
      <c r="K163" t="str">
        <v>the</v>
      </c>
      <c r="L163" s="4" t="str">
        <f t="shared" si="2"/>
        <v>the</v>
      </c>
      <c r="M163" t="str">
        <v>that</v>
      </c>
      <c r="N163" s="4" cm="1">
        <f t="array" ref="N163">SUM(--(_xlfn.TEXTSPLIT($J$2,, " ") = M163))</f>
        <v>2</v>
      </c>
      <c r="O163">
        <v>4</v>
      </c>
      <c r="P163" t="str">
        <v>the</v>
      </c>
      <c r="Q163" t="str">
        <v>that</v>
      </c>
      <c r="R163">
        <v>2</v>
      </c>
      <c r="S163" s="4">
        <v>4</v>
      </c>
      <c r="T163" s="10"/>
    </row>
    <row r="164" spans="5:20" x14ac:dyDescent="0.2">
      <c r="E164" s="4" t="s">
        <v>14</v>
      </c>
      <c r="K164" t="str">
        <v>mainland</v>
      </c>
      <c r="L164" s="4" t="str">
        <f t="shared" si="2"/>
        <v>mainland</v>
      </c>
      <c r="M164" t="str">
        <v xml:space="preserve">try
</v>
      </c>
      <c r="N164" s="4" cm="1">
        <f t="array" ref="N164">SUM(--(_xlfn.TEXTSPLIT($J$2,, " ") = M164))</f>
        <v>1</v>
      </c>
      <c r="O164">
        <v>4</v>
      </c>
      <c r="P164" t="str">
        <v>mainland</v>
      </c>
      <c r="Q164" t="str">
        <v xml:space="preserve">try
</v>
      </c>
      <c r="R164">
        <v>1</v>
      </c>
      <c r="S164" s="4">
        <v>4</v>
      </c>
      <c r="T164" s="10"/>
    </row>
    <row r="165" spans="5:20" x14ac:dyDescent="0.2">
      <c r="E165" s="4" t="s">
        <v>14</v>
      </c>
      <c r="K165" t="str">
        <v>to</v>
      </c>
      <c r="L165" s="4" t="str">
        <f t="shared" si="2"/>
        <v>to</v>
      </c>
      <c r="M165" t="str">
        <v>Address</v>
      </c>
      <c r="N165" s="4" cm="1">
        <f t="array" ref="N165">SUM(--(_xlfn.TEXTSPLIT($J$2,, " ") = M165))</f>
        <v>3</v>
      </c>
      <c r="O165">
        <v>4</v>
      </c>
      <c r="P165" t="str">
        <v>to</v>
      </c>
      <c r="Q165" t="str">
        <v>Address</v>
      </c>
      <c r="R165">
        <v>3</v>
      </c>
      <c r="S165" s="4">
        <v>4</v>
      </c>
      <c r="T165" s="10"/>
    </row>
    <row r="166" spans="5:20" x14ac:dyDescent="0.2">
      <c r="E166" s="4" t="s">
        <v>14</v>
      </c>
      <c r="K166" t="str">
        <v>the</v>
      </c>
      <c r="L166" s="4" t="str">
        <f t="shared" si="2"/>
        <v>the</v>
      </c>
      <c r="M166" t="str">
        <v>soul,</v>
      </c>
      <c r="N166" s="4" cm="1">
        <f t="array" ref="N166">SUM(--(_xlfn.TEXTSPLIT($J$2,, " ") = M166))</f>
        <v>2</v>
      </c>
      <c r="O166">
        <v>4</v>
      </c>
      <c r="P166" t="str">
        <v>the</v>
      </c>
      <c r="Q166" t="str">
        <v>soul,</v>
      </c>
      <c r="R166">
        <v>2</v>
      </c>
      <c r="S166" s="4">
        <v>4</v>
      </c>
      <c r="T166" s="10"/>
    </row>
    <row r="167" spans="5:20" x14ac:dyDescent="0.2">
      <c r="E167" s="4" t="s">
        <v>14</v>
      </c>
      <c r="K167" t="str">
        <v>island</v>
      </c>
      <c r="L167" s="4" t="str">
        <f t="shared" si="2"/>
        <v>island</v>
      </c>
      <c r="M167" t="str">
        <v xml:space="preserve">soul
</v>
      </c>
      <c r="N167" s="4" cm="1">
        <f t="array" ref="N167">SUM(--(_xlfn.TEXTSPLIT($J$2,, " ") = M167))</f>
        <v>1</v>
      </c>
      <c r="O167">
        <v>4</v>
      </c>
      <c r="P167" t="str">
        <v>island</v>
      </c>
      <c r="Q167" t="str">
        <v xml:space="preserve">soul
</v>
      </c>
      <c r="R167">
        <v>1</v>
      </c>
      <c r="S167" s="4">
        <v>4</v>
      </c>
      <c r="T167" s="10"/>
    </row>
    <row r="168" spans="5:20" x14ac:dyDescent="0.2">
      <c r="E168" s="4" t="s">
        <v>14</v>
      </c>
      <c r="K168" t="str">
        <v>of</v>
      </c>
      <c r="L168" s="4" t="str">
        <f t="shared" si="2"/>
        <v>of</v>
      </c>
      <c r="M168" t="str">
        <v>try</v>
      </c>
      <c r="N168" s="4" cm="1">
        <f t="array" ref="N168">SUM(--(_xlfn.TEXTSPLIT($J$2,, " ") = M168))</f>
        <v>1</v>
      </c>
      <c r="O168">
        <v>4</v>
      </c>
      <c r="P168" t="str">
        <v>of</v>
      </c>
      <c r="Q168" t="str">
        <v>try</v>
      </c>
      <c r="R168">
        <v>1</v>
      </c>
      <c r="S168" s="4">
        <v>4</v>
      </c>
      <c r="T168" s="10"/>
    </row>
    <row r="169" spans="5:20" x14ac:dyDescent="0.2">
      <c r="E169" s="4" t="s">
        <v>14</v>
      </c>
      <c r="K169" t="str">
        <v xml:space="preserve">violence
</v>
      </c>
      <c r="L169" s="4" t="str">
        <f t="shared" si="2"/>
        <v xml:space="preserve">violence </v>
      </c>
      <c r="N169" s="4" cm="1">
        <f t="array" ref="N169">SUM(--(_xlfn.TEXTSPLIT($J$2,, " ") = M169))</f>
        <v>4</v>
      </c>
      <c r="O169">
        <v>4</v>
      </c>
      <c r="P169" t="str">
        <v xml:space="preserve">violence </v>
      </c>
      <c r="Q169">
        <v>0</v>
      </c>
      <c r="R169">
        <v>4</v>
      </c>
      <c r="S169" s="4">
        <v>4</v>
      </c>
      <c r="T169" s="10"/>
    </row>
    <row r="170" spans="5:20" x14ac:dyDescent="0.2">
      <c r="E170" s="4" t="s">
        <v>14</v>
      </c>
      <c r="K170" t="str">
        <v>It</v>
      </c>
      <c r="L170" s="4" t="str">
        <f t="shared" si="2"/>
        <v>It</v>
      </c>
      <c r="N170" s="4" cm="1">
        <f t="array" ref="N170">SUM(--(_xlfn.TEXTSPLIT($J$2,, " ") = M170))</f>
        <v>4</v>
      </c>
      <c r="O170">
        <v>4</v>
      </c>
      <c r="P170" t="str">
        <v>It</v>
      </c>
      <c r="Q170">
        <v>0</v>
      </c>
      <c r="R170">
        <v>4</v>
      </c>
      <c r="S170" s="4">
        <v>4</v>
      </c>
      <c r="T170" s="10"/>
    </row>
    <row r="171" spans="5:20" x14ac:dyDescent="0.2">
      <c r="E171" s="4" t="s">
        <v>14</v>
      </c>
      <c r="K171" t="str">
        <v>was</v>
      </c>
      <c r="L171" s="4" t="str">
        <f t="shared" si="2"/>
        <v>was</v>
      </c>
      <c r="N171" s="4" cm="1">
        <f t="array" ref="N171">SUM(--(_xlfn.TEXTSPLIT($J$2,, " ") = M171))</f>
        <v>4</v>
      </c>
      <c r="O171">
        <v>4</v>
      </c>
      <c r="P171" t="str">
        <v>was</v>
      </c>
      <c r="Q171">
        <v>0</v>
      </c>
      <c r="R171">
        <v>4</v>
      </c>
      <c r="S171" s="4">
        <v>4</v>
      </c>
      <c r="T171" s="10"/>
    </row>
    <row r="172" spans="5:20" x14ac:dyDescent="0.2">
      <c r="E172" s="4" t="s">
        <v>14</v>
      </c>
      <c r="K172" t="str">
        <v>the</v>
      </c>
      <c r="L172" s="4" t="str">
        <f t="shared" si="2"/>
        <v>the</v>
      </c>
      <c r="N172" s="4" cm="1">
        <f t="array" ref="N172">SUM(--(_xlfn.TEXTSPLIT($J$2,, " ") = M172))</f>
        <v>4</v>
      </c>
      <c r="O172">
        <v>4</v>
      </c>
      <c r="P172" t="str">
        <v>the</v>
      </c>
      <c r="Q172">
        <v>0</v>
      </c>
      <c r="R172">
        <v>4</v>
      </c>
      <c r="S172" s="4">
        <v>4</v>
      </c>
      <c r="T172" s="10"/>
    </row>
    <row r="173" spans="5:20" x14ac:dyDescent="0.2">
      <c r="E173" s="4" t="s">
        <v>14</v>
      </c>
      <c r="K173" t="str">
        <v>same</v>
      </c>
      <c r="L173" s="4" t="str">
        <f t="shared" si="2"/>
        <v>same</v>
      </c>
      <c r="N173" s="4" cm="1">
        <f t="array" ref="N173">SUM(--(_xlfn.TEXTSPLIT($J$2,, " ") = M173))</f>
        <v>4</v>
      </c>
      <c r="O173">
        <v>4</v>
      </c>
      <c r="P173" t="str">
        <v>same</v>
      </c>
      <c r="Q173">
        <v>0</v>
      </c>
      <c r="R173">
        <v>4</v>
      </c>
      <c r="S173" s="4">
        <v>4</v>
      </c>
      <c r="T173" s="10"/>
    </row>
    <row r="174" spans="5:20" x14ac:dyDescent="0.2">
      <c r="E174" s="4" t="s">
        <v>14</v>
      </c>
      <c r="K174" t="str">
        <v>plan</v>
      </c>
      <c r="L174" s="4" t="str">
        <f t="shared" si="2"/>
        <v>plan</v>
      </c>
      <c r="N174" s="4" cm="1">
        <f t="array" ref="N174">SUM(--(_xlfn.TEXTSPLIT($J$2,, " ") = M174))</f>
        <v>4</v>
      </c>
      <c r="O174">
        <v>4</v>
      </c>
      <c r="P174" t="str">
        <v>plan</v>
      </c>
      <c r="Q174">
        <v>0</v>
      </c>
      <c r="R174">
        <v>4</v>
      </c>
      <c r="S174" s="4">
        <v>4</v>
      </c>
      <c r="T174" s="10"/>
    </row>
    <row r="175" spans="5:20" x14ac:dyDescent="0.2">
      <c r="E175" s="4" t="s">
        <v>14</v>
      </c>
      <c r="K175" t="str">
        <v>for</v>
      </c>
      <c r="L175" s="4" t="str">
        <f t="shared" si="2"/>
        <v>for</v>
      </c>
      <c r="N175" s="4" cm="1">
        <f t="array" ref="N175">SUM(--(_xlfn.TEXTSPLIT($J$2,, " ") = M175))</f>
        <v>4</v>
      </c>
      <c r="O175">
        <v>4</v>
      </c>
      <c r="P175" t="str">
        <v>for</v>
      </c>
      <c r="Q175">
        <v>0</v>
      </c>
      <c r="R175">
        <v>4</v>
      </c>
      <c r="S175" s="4">
        <v>4</v>
      </c>
      <c r="T175" s="10"/>
    </row>
    <row r="176" spans="5:20" x14ac:dyDescent="0.2">
      <c r="E176" s="4" t="s">
        <v>14</v>
      </c>
      <c r="K176" t="str">
        <v>a</v>
      </c>
      <c r="L176" s="4" t="str">
        <f t="shared" si="2"/>
        <v>a</v>
      </c>
      <c r="N176" s="4" cm="1">
        <f t="array" ref="N176">SUM(--(_xlfn.TEXTSPLIT($J$2,, " ") = M176))</f>
        <v>4</v>
      </c>
      <c r="O176">
        <v>4</v>
      </c>
      <c r="P176" t="str">
        <v>a</v>
      </c>
      <c r="Q176">
        <v>0</v>
      </c>
      <c r="R176">
        <v>4</v>
      </c>
      <c r="S176" s="4">
        <v>4</v>
      </c>
      <c r="T176" s="10"/>
    </row>
    <row r="177" spans="5:20" x14ac:dyDescent="0.2">
      <c r="E177" s="4" t="s">
        <v>14</v>
      </c>
      <c r="K177" t="str">
        <v>while,</v>
      </c>
      <c r="L177" s="4" t="str">
        <f t="shared" si="2"/>
        <v xml:space="preserve">while </v>
      </c>
      <c r="N177" s="4" cm="1">
        <f t="array" ref="N177">SUM(--(_xlfn.TEXTSPLIT($J$2,, " ") = M177))</f>
        <v>4</v>
      </c>
      <c r="O177">
        <v>4</v>
      </c>
      <c r="P177" t="str">
        <v xml:space="preserve">while </v>
      </c>
      <c r="Q177">
        <v>0</v>
      </c>
      <c r="R177">
        <v>4</v>
      </c>
      <c r="S177" s="4">
        <v>4</v>
      </c>
      <c r="T177" s="10"/>
    </row>
    <row r="178" spans="5:20" x14ac:dyDescent="0.2">
      <c r="E178" s="4" t="s">
        <v>14</v>
      </c>
      <c r="K178" t="str">
        <v xml:space="preserve">decided
</v>
      </c>
      <c r="L178" s="4" t="str">
        <f t="shared" si="2"/>
        <v xml:space="preserve">decided </v>
      </c>
      <c r="N178" s="4" cm="1">
        <f t="array" ref="N178">SUM(--(_xlfn.TEXTSPLIT($J$2,, " ") = M178))</f>
        <v>4</v>
      </c>
      <c r="O178">
        <v>4</v>
      </c>
      <c r="P178" t="str">
        <v xml:space="preserve">decided </v>
      </c>
      <c r="Q178">
        <v>0</v>
      </c>
      <c r="R178">
        <v>4</v>
      </c>
      <c r="S178" s="4">
        <v>4</v>
      </c>
      <c r="T178" s="10"/>
    </row>
    <row r="179" spans="5:20" x14ac:dyDescent="0.2">
      <c r="E179" s="4" t="s">
        <v>14</v>
      </c>
      <c r="K179" t="str">
        <v>To</v>
      </c>
      <c r="L179" s="4" t="str">
        <f t="shared" si="2"/>
        <v>To</v>
      </c>
      <c r="N179" s="4" cm="1">
        <f t="array" ref="N179">SUM(--(_xlfn.TEXTSPLIT($J$2,, " ") = M179))</f>
        <v>4</v>
      </c>
      <c r="O179">
        <v>4</v>
      </c>
      <c r="P179" t="str">
        <v>To</v>
      </c>
      <c r="Q179">
        <v>0</v>
      </c>
      <c r="R179">
        <v>4</v>
      </c>
      <c r="S179" s="4">
        <v>4</v>
      </c>
      <c r="T179" s="10"/>
    </row>
    <row r="180" spans="5:20" x14ac:dyDescent="0.2">
      <c r="E180" s="4" t="s">
        <v>14</v>
      </c>
      <c r="K180" t="str">
        <v>send</v>
      </c>
      <c r="L180" s="4" t="str">
        <f t="shared" si="2"/>
        <v>send</v>
      </c>
      <c r="N180" s="4" cm="1">
        <f t="array" ref="N180">SUM(--(_xlfn.TEXTSPLIT($J$2,, " ") = M180))</f>
        <v>4</v>
      </c>
      <c r="O180">
        <v>4</v>
      </c>
      <c r="P180" t="str">
        <v>send</v>
      </c>
      <c r="Q180">
        <v>0</v>
      </c>
      <c r="R180">
        <v>4</v>
      </c>
      <c r="S180" s="4">
        <v>4</v>
      </c>
      <c r="T180" s="10"/>
    </row>
    <row r="181" spans="5:20" x14ac:dyDescent="0.2">
      <c r="E181" s="4" t="s">
        <v>14</v>
      </c>
      <c r="K181" t="str">
        <v>me</v>
      </c>
      <c r="L181" s="4" t="str">
        <f t="shared" si="2"/>
        <v>me</v>
      </c>
      <c r="N181" s="4" cm="1">
        <f t="array" ref="N181">SUM(--(_xlfn.TEXTSPLIT($J$2,, " ") = M181))</f>
        <v>4</v>
      </c>
      <c r="O181">
        <v>4</v>
      </c>
      <c r="P181" t="str">
        <v>me</v>
      </c>
      <c r="Q181">
        <v>0</v>
      </c>
      <c r="R181">
        <v>4</v>
      </c>
      <c r="S181" s="4">
        <v>4</v>
      </c>
      <c r="T181" s="10"/>
    </row>
    <row r="182" spans="5:20" x14ac:dyDescent="0.2">
      <c r="E182" s="4" t="s">
        <v>14</v>
      </c>
      <c r="K182" t="str">
        <v>up</v>
      </c>
      <c r="L182" s="4" t="str">
        <f t="shared" si="2"/>
        <v>up</v>
      </c>
      <c r="N182" s="4" cm="1">
        <f t="array" ref="N182">SUM(--(_xlfn.TEXTSPLIT($J$2,, " ") = M182))</f>
        <v>4</v>
      </c>
      <c r="O182">
        <v>4</v>
      </c>
      <c r="P182" t="str">
        <v>up</v>
      </c>
      <c r="Q182">
        <v>0</v>
      </c>
      <c r="R182">
        <v>4</v>
      </c>
      <c r="S182" s="4">
        <v>4</v>
      </c>
      <c r="T182" s="10"/>
    </row>
    <row r="183" spans="5:20" x14ac:dyDescent="0.2">
      <c r="E183" s="4" t="s">
        <v>14</v>
      </c>
      <c r="K183" t="str">
        <v>and</v>
      </c>
      <c r="L183" s="4" t="str">
        <f t="shared" si="2"/>
        <v>and</v>
      </c>
      <c r="N183" s="4" cm="1">
        <f t="array" ref="N183">SUM(--(_xlfn.TEXTSPLIT($J$2,, " ") = M183))</f>
        <v>4</v>
      </c>
      <c r="O183">
        <v>4</v>
      </c>
      <c r="P183" t="str">
        <v>and</v>
      </c>
      <c r="Q183">
        <v>0</v>
      </c>
      <c r="R183">
        <v>4</v>
      </c>
      <c r="S183" s="4">
        <v>4</v>
      </c>
      <c r="T183" s="10"/>
    </row>
    <row r="184" spans="5:20" x14ac:dyDescent="0.2">
      <c r="E184" s="4" t="s">
        <v>14</v>
      </c>
      <c r="K184" t="str">
        <v>rip</v>
      </c>
      <c r="L184" s="4" t="str">
        <f t="shared" si="2"/>
        <v>rip</v>
      </c>
      <c r="N184" s="4" cm="1">
        <f t="array" ref="N184">SUM(--(_xlfn.TEXTSPLIT($J$2,, " ") = M184))</f>
        <v>4</v>
      </c>
      <c r="O184">
        <v>4</v>
      </c>
      <c r="P184" t="str">
        <v>rip</v>
      </c>
      <c r="Q184">
        <v>0</v>
      </c>
      <c r="R184">
        <v>4</v>
      </c>
      <c r="S184" s="4">
        <v>4</v>
      </c>
      <c r="T184" s="10"/>
    </row>
    <row r="185" spans="5:20" x14ac:dyDescent="0.2">
      <c r="E185" s="4" t="s">
        <v>14</v>
      </c>
      <c r="K185" t="str">
        <v>you</v>
      </c>
      <c r="L185" s="4" t="str">
        <f t="shared" si="2"/>
        <v>you</v>
      </c>
      <c r="N185" s="4" cm="1">
        <f t="array" ref="N185">SUM(--(_xlfn.TEXTSPLIT($J$2,, " ") = M185))</f>
        <v>4</v>
      </c>
      <c r="O185">
        <v>4</v>
      </c>
      <c r="P185" t="str">
        <v>you</v>
      </c>
      <c r="Q185">
        <v>0</v>
      </c>
      <c r="R185">
        <v>4</v>
      </c>
      <c r="S185" s="4">
        <v>4</v>
      </c>
      <c r="T185" s="10"/>
    </row>
    <row r="186" spans="5:20" x14ac:dyDescent="0.2">
      <c r="E186" s="4" t="s">
        <v>14</v>
      </c>
      <c r="K186" t="str">
        <v>outta</v>
      </c>
      <c r="L186" s="4" t="str">
        <f t="shared" si="2"/>
        <v>outta</v>
      </c>
      <c r="N186" s="4" cm="1">
        <f t="array" ref="N186">SUM(--(_xlfn.TEXTSPLIT($J$2,, " ") = M186))</f>
        <v>4</v>
      </c>
      <c r="O186">
        <v>4</v>
      </c>
      <c r="P186" t="str">
        <v>outta</v>
      </c>
      <c r="Q186">
        <v>0</v>
      </c>
      <c r="R186">
        <v>4</v>
      </c>
      <c r="S186" s="4">
        <v>4</v>
      </c>
      <c r="T186" s="10"/>
    </row>
    <row r="187" spans="5:20" x14ac:dyDescent="0.2">
      <c r="E187" s="4" t="s">
        <v>14</v>
      </c>
      <c r="K187" t="str">
        <v>your</v>
      </c>
      <c r="L187" s="4" t="str">
        <f t="shared" si="2"/>
        <v>your</v>
      </c>
      <c r="N187" s="4" cm="1">
        <f t="array" ref="N187">SUM(--(_xlfn.TEXTSPLIT($J$2,, " ") = M187))</f>
        <v>4</v>
      </c>
      <c r="O187">
        <v>4</v>
      </c>
      <c r="P187" t="str">
        <v>your</v>
      </c>
      <c r="Q187">
        <v>0</v>
      </c>
      <c r="R187">
        <v>4</v>
      </c>
      <c r="S187" s="4">
        <v>4</v>
      </c>
      <c r="T187" s="10"/>
    </row>
    <row r="188" spans="5:20" x14ac:dyDescent="0.2">
      <c r="E188" s="4" t="s">
        <v>14</v>
      </c>
      <c r="K188" t="str">
        <v xml:space="preserve">seat
</v>
      </c>
      <c r="L188" s="4" t="str">
        <f t="shared" si="2"/>
        <v xml:space="preserve">seat </v>
      </c>
      <c r="N188" s="4" cm="1">
        <f t="array" ref="N188">SUM(--(_xlfn.TEXTSPLIT($J$2,, " ") = M188))</f>
        <v>4</v>
      </c>
      <c r="O188">
        <v>4</v>
      </c>
      <c r="P188" t="str">
        <v xml:space="preserve">seat </v>
      </c>
      <c r="Q188">
        <v>0</v>
      </c>
      <c r="R188">
        <v>4</v>
      </c>
      <c r="S188" s="4">
        <v>4</v>
      </c>
      <c r="T188" s="10"/>
    </row>
    <row r="189" spans="5:20" x14ac:dyDescent="0.2">
      <c r="E189" s="4" t="s">
        <v>14</v>
      </c>
      <c r="K189" t="str">
        <v>You</v>
      </c>
      <c r="L189" s="4" t="str">
        <f t="shared" si="2"/>
        <v>You</v>
      </c>
      <c r="N189" s="4" cm="1">
        <f t="array" ref="N189">SUM(--(_xlfn.TEXTSPLIT($J$2,, " ") = M189))</f>
        <v>4</v>
      </c>
      <c r="O189">
        <v>4</v>
      </c>
      <c r="P189" t="str">
        <v>You</v>
      </c>
      <c r="Q189">
        <v>0</v>
      </c>
      <c r="R189">
        <v>4</v>
      </c>
      <c r="S189" s="4">
        <v>4</v>
      </c>
      <c r="T189" s="10"/>
    </row>
    <row r="190" spans="5:20" x14ac:dyDescent="0.2">
      <c r="E190" s="4" t="s">
        <v>14</v>
      </c>
      <c r="K190" t="str">
        <v>see,</v>
      </c>
      <c r="L190" s="4" t="str">
        <f t="shared" si="2"/>
        <v xml:space="preserve">see </v>
      </c>
      <c r="N190" s="4" cm="1">
        <f t="array" ref="N190">SUM(--(_xlfn.TEXTSPLIT($J$2,, " ") = M190))</f>
        <v>4</v>
      </c>
      <c r="O190">
        <v>4</v>
      </c>
      <c r="P190" t="str">
        <v xml:space="preserve">see </v>
      </c>
      <c r="Q190">
        <v>0</v>
      </c>
      <c r="R190">
        <v>4</v>
      </c>
      <c r="S190" s="4">
        <v>4</v>
      </c>
      <c r="T190" s="10"/>
    </row>
    <row r="191" spans="5:20" x14ac:dyDescent="0.2">
      <c r="E191" s="4" t="s">
        <v>14</v>
      </c>
      <c r="K191" t="str">
        <v>in</v>
      </c>
      <c r="L191" s="4" t="str">
        <f t="shared" si="2"/>
        <v>in</v>
      </c>
      <c r="N191" s="4" cm="1">
        <f t="array" ref="N191">SUM(--(_xlfn.TEXTSPLIT($J$2,, " ") = M191))</f>
        <v>4</v>
      </c>
      <c r="O191">
        <v>4</v>
      </c>
      <c r="P191" t="str">
        <v>in</v>
      </c>
      <c r="Q191">
        <v>0</v>
      </c>
      <c r="R191">
        <v>4</v>
      </c>
      <c r="S191" s="4">
        <v>4</v>
      </c>
      <c r="T191" s="10"/>
    </row>
    <row r="192" spans="5:20" x14ac:dyDescent="0.2">
      <c r="E192" s="4" t="s">
        <v>14</v>
      </c>
      <c r="K192" t="str">
        <v>a</v>
      </c>
      <c r="L192" s="4" t="str">
        <f t="shared" si="2"/>
        <v>a</v>
      </c>
      <c r="N192" s="4" cm="1">
        <f t="array" ref="N192">SUM(--(_xlfn.TEXTSPLIT($J$2,, " ") = M192))</f>
        <v>4</v>
      </c>
      <c r="O192">
        <v>4</v>
      </c>
      <c r="P192" t="str">
        <v>a</v>
      </c>
      <c r="Q192">
        <v>0</v>
      </c>
      <c r="R192">
        <v>4</v>
      </c>
      <c r="S192" s="4">
        <v>4</v>
      </c>
      <c r="T192" s="10"/>
    </row>
    <row r="193" spans="5:20" x14ac:dyDescent="0.2">
      <c r="E193" s="4" t="s">
        <v>14</v>
      </c>
      <c r="K193" t="str">
        <v>city</v>
      </c>
      <c r="L193" s="4" t="str">
        <f t="shared" si="2"/>
        <v>city</v>
      </c>
      <c r="N193" s="4" cm="1">
        <f t="array" ref="N193">SUM(--(_xlfn.TEXTSPLIT($J$2,, " ") = M193))</f>
        <v>4</v>
      </c>
      <c r="O193">
        <v>4</v>
      </c>
      <c r="P193" t="str">
        <v>city</v>
      </c>
      <c r="Q193">
        <v>0</v>
      </c>
      <c r="R193">
        <v>4</v>
      </c>
      <c r="S193" s="4">
        <v>4</v>
      </c>
      <c r="T193" s="10"/>
    </row>
    <row r="194" spans="5:20" x14ac:dyDescent="0.2">
      <c r="E194" s="4" t="s">
        <v>14</v>
      </c>
      <c r="K194" t="str">
        <v>with</v>
      </c>
      <c r="L194" s="4" t="str">
        <f t="shared" si="2"/>
        <v>with</v>
      </c>
      <c r="N194" s="4" cm="1">
        <f t="array" ref="N194">SUM(--(_xlfn.TEXTSPLIT($J$2,, " ") = M194))</f>
        <v>4</v>
      </c>
      <c r="O194">
        <v>4</v>
      </c>
      <c r="P194" t="str">
        <v>with</v>
      </c>
      <c r="Q194">
        <v>0</v>
      </c>
      <c r="R194">
        <v>4</v>
      </c>
      <c r="S194" s="4">
        <v>4</v>
      </c>
      <c r="T194" s="10"/>
    </row>
    <row r="195" spans="5:20" x14ac:dyDescent="0.2">
      <c r="E195" s="4" t="s">
        <v>14</v>
      </c>
      <c r="K195" t="str">
        <v>no</v>
      </c>
      <c r="L195" s="4" t="str">
        <f t="shared" si="2"/>
        <v>no</v>
      </c>
      <c r="N195" s="4" cm="1">
        <f t="array" ref="N195">SUM(--(_xlfn.TEXTSPLIT($J$2,, " ") = M195))</f>
        <v>4</v>
      </c>
      <c r="O195">
        <v>4</v>
      </c>
      <c r="P195" t="str">
        <v>no</v>
      </c>
      <c r="Q195">
        <v>0</v>
      </c>
      <c r="R195">
        <v>4</v>
      </c>
      <c r="S195" s="4">
        <v>4</v>
      </c>
      <c r="T195" s="10"/>
    </row>
    <row r="196" spans="5:20" x14ac:dyDescent="0.2">
      <c r="E196" s="4" t="s">
        <v>14</v>
      </c>
      <c r="K196" t="str">
        <v>entrance,</v>
      </c>
      <c r="L196" s="4" t="str">
        <f t="shared" ref="L196:L259" si="3">_xlfn.REGEXREPLACE(K196, "[^A-Za-z ]", " ")</f>
        <v xml:space="preserve">entrance </v>
      </c>
      <c r="N196" s="4" cm="1">
        <f t="array" ref="N196">SUM(--(_xlfn.TEXTSPLIT($J$2,, " ") = M196))</f>
        <v>4</v>
      </c>
      <c r="O196">
        <v>4</v>
      </c>
      <c r="P196" t="str">
        <v xml:space="preserve">entrance </v>
      </c>
      <c r="Q196">
        <v>0</v>
      </c>
      <c r="R196">
        <v>4</v>
      </c>
      <c r="S196" s="4">
        <v>4</v>
      </c>
      <c r="T196" s="10"/>
    </row>
    <row r="197" spans="5:20" x14ac:dyDescent="0.2">
      <c r="E197" s="4" t="s">
        <v>14</v>
      </c>
      <c r="K197" t="str">
        <v>there</v>
      </c>
      <c r="L197" s="4" t="str">
        <f t="shared" si="3"/>
        <v>there</v>
      </c>
      <c r="N197" s="4" cm="1">
        <f t="array" ref="N197">SUM(--(_xlfn.TEXTSPLIT($J$2,, " ") = M197))</f>
        <v>4</v>
      </c>
      <c r="O197">
        <v>4</v>
      </c>
      <c r="P197" t="str">
        <v>there</v>
      </c>
      <c r="Q197">
        <v>0</v>
      </c>
      <c r="R197">
        <v>4</v>
      </c>
      <c r="S197" s="4">
        <v>4</v>
      </c>
      <c r="T197" s="10"/>
    </row>
    <row r="198" spans="5:20" x14ac:dyDescent="0.2">
      <c r="E198" s="4" t="s">
        <v>14</v>
      </c>
      <c r="K198" t="str">
        <v>is</v>
      </c>
      <c r="L198" s="4" t="str">
        <f t="shared" si="3"/>
        <v>is</v>
      </c>
      <c r="N198" s="4" cm="1">
        <f t="array" ref="N198">SUM(--(_xlfn.TEXTSPLIT($J$2,, " ") = M198))</f>
        <v>4</v>
      </c>
      <c r="O198">
        <v>4</v>
      </c>
      <c r="P198" t="str">
        <v>is</v>
      </c>
      <c r="Q198">
        <v>0</v>
      </c>
      <c r="R198">
        <v>4</v>
      </c>
      <c r="S198" s="4">
        <v>4</v>
      </c>
      <c r="T198" s="10"/>
    </row>
    <row r="199" spans="5:20" x14ac:dyDescent="0.2">
      <c r="E199" s="4" t="s">
        <v>14</v>
      </c>
      <c r="K199" t="str">
        <v>not</v>
      </c>
      <c r="L199" s="4" t="str">
        <f t="shared" si="3"/>
        <v>not</v>
      </c>
      <c r="N199" s="4" cm="1">
        <f t="array" ref="N199">SUM(--(_xlfn.TEXTSPLIT($J$2,, " ") = M199))</f>
        <v>4</v>
      </c>
      <c r="O199">
        <v>4</v>
      </c>
      <c r="P199" t="str">
        <v>not</v>
      </c>
      <c r="Q199">
        <v>0</v>
      </c>
      <c r="R199">
        <v>4</v>
      </c>
      <c r="S199" s="4">
        <v>4</v>
      </c>
      <c r="T199" s="10"/>
    </row>
    <row r="200" spans="5:20" x14ac:dyDescent="0.2">
      <c r="E200" s="4" t="s">
        <v>14</v>
      </c>
      <c r="K200" t="str">
        <v>a</v>
      </c>
      <c r="L200" s="4" t="str">
        <f t="shared" si="3"/>
        <v>a</v>
      </c>
      <c r="N200" s="4" cm="1">
        <f t="array" ref="N200">SUM(--(_xlfn.TEXTSPLIT($J$2,, " ") = M200))</f>
        <v>4</v>
      </c>
      <c r="O200">
        <v>4</v>
      </c>
      <c r="P200" t="str">
        <v>a</v>
      </c>
      <c r="Q200">
        <v>0</v>
      </c>
      <c r="R200">
        <v>4</v>
      </c>
      <c r="S200" s="4">
        <v>4</v>
      </c>
      <c r="T200" s="10"/>
    </row>
    <row r="201" spans="5:20" x14ac:dyDescent="0.2">
      <c r="E201" s="4" t="s">
        <v>14</v>
      </c>
      <c r="K201" t="str">
        <v xml:space="preserve">retreat
</v>
      </c>
      <c r="L201" s="4" t="str">
        <f t="shared" si="3"/>
        <v xml:space="preserve">retreat </v>
      </c>
      <c r="N201" s="4" cm="1">
        <f t="array" ref="N201">SUM(--(_xlfn.TEXTSPLIT($J$2,, " ") = M201))</f>
        <v>4</v>
      </c>
      <c r="O201">
        <v>4</v>
      </c>
      <c r="P201" t="str">
        <v xml:space="preserve">retreat </v>
      </c>
      <c r="Q201">
        <v>0</v>
      </c>
      <c r="R201">
        <v>4</v>
      </c>
      <c r="S201" s="4">
        <v>4</v>
      </c>
      <c r="T201" s="10"/>
    </row>
    <row r="202" spans="5:20" x14ac:dyDescent="0.2">
      <c r="E202" s="4" t="s">
        <v>14</v>
      </c>
      <c r="K202" t="str">
        <v>I'm</v>
      </c>
      <c r="L202" s="4" t="str">
        <f t="shared" si="3"/>
        <v>I m</v>
      </c>
      <c r="N202" s="4" cm="1">
        <f t="array" ref="N202">SUM(--(_xlfn.TEXTSPLIT($J$2,, " ") = M202))</f>
        <v>4</v>
      </c>
      <c r="O202">
        <v>4</v>
      </c>
      <c r="P202" t="str">
        <v>I m</v>
      </c>
      <c r="Q202">
        <v>0</v>
      </c>
      <c r="R202">
        <v>4</v>
      </c>
      <c r="S202" s="4">
        <v>4</v>
      </c>
      <c r="T202" s="10"/>
    </row>
    <row r="203" spans="5:20" x14ac:dyDescent="0.2">
      <c r="E203" s="4" t="s">
        <v>14</v>
      </c>
      <c r="K203" t="str">
        <v>wondering</v>
      </c>
      <c r="L203" s="4" t="str">
        <f t="shared" si="3"/>
        <v>wondering</v>
      </c>
      <c r="N203" s="4" cm="1">
        <f t="array" ref="N203">SUM(--(_xlfn.TEXTSPLIT($J$2,, " ") = M203))</f>
        <v>4</v>
      </c>
      <c r="O203">
        <v>4</v>
      </c>
      <c r="P203" t="str">
        <v>wondering</v>
      </c>
      <c r="Q203">
        <v>0</v>
      </c>
      <c r="R203">
        <v>4</v>
      </c>
      <c r="S203" s="4">
        <v>4</v>
      </c>
      <c r="T203" s="10"/>
    </row>
    <row r="204" spans="5:20" x14ac:dyDescent="0.2">
      <c r="E204" s="4" t="s">
        <v>14</v>
      </c>
      <c r="K204" t="str">
        <v>what</v>
      </c>
      <c r="L204" s="4" t="str">
        <f t="shared" si="3"/>
        <v>what</v>
      </c>
      <c r="N204" s="4" cm="1">
        <f t="array" ref="N204">SUM(--(_xlfn.TEXTSPLIT($J$2,, " ") = M204))</f>
        <v>4</v>
      </c>
      <c r="O204">
        <v>4</v>
      </c>
      <c r="P204" t="str">
        <v>what</v>
      </c>
      <c r="Q204">
        <v>0</v>
      </c>
      <c r="R204">
        <v>4</v>
      </c>
      <c r="S204" s="4">
        <v>4</v>
      </c>
      <c r="T204" s="10"/>
    </row>
    <row r="205" spans="5:20" x14ac:dyDescent="0.2">
      <c r="E205" s="4" t="s">
        <v>14</v>
      </c>
      <c r="K205" t="str">
        <v>you</v>
      </c>
      <c r="L205" s="4" t="str">
        <f t="shared" si="3"/>
        <v>you</v>
      </c>
      <c r="N205" s="4" cm="1">
        <f t="array" ref="N205">SUM(--(_xlfn.TEXTSPLIT($J$2,, " ") = M205))</f>
        <v>4</v>
      </c>
      <c r="O205">
        <v>4</v>
      </c>
      <c r="P205" t="str">
        <v>you</v>
      </c>
      <c r="Q205">
        <v>0</v>
      </c>
      <c r="R205">
        <v>4</v>
      </c>
      <c r="S205" s="4">
        <v>4</v>
      </c>
      <c r="T205" s="10"/>
    </row>
    <row r="206" spans="5:20" x14ac:dyDescent="0.2">
      <c r="E206" s="4" t="s">
        <v>14</v>
      </c>
      <c r="K206" t="str">
        <v>thought</v>
      </c>
      <c r="L206" s="4" t="str">
        <f t="shared" si="3"/>
        <v>thought</v>
      </c>
      <c r="N206" s="4" cm="1">
        <f t="array" ref="N206">SUM(--(_xlfn.TEXTSPLIT($J$2,, " ") = M206))</f>
        <v>4</v>
      </c>
      <c r="O206">
        <v>4</v>
      </c>
      <c r="P206" t="str">
        <v>thought</v>
      </c>
      <c r="Q206">
        <v>0</v>
      </c>
      <c r="R206">
        <v>4</v>
      </c>
      <c r="S206" s="4">
        <v>4</v>
      </c>
      <c r="T206" s="10"/>
    </row>
    <row r="207" spans="5:20" x14ac:dyDescent="0.2">
      <c r="E207" s="4" t="s">
        <v>14</v>
      </c>
      <c r="K207" t="str">
        <v>would</v>
      </c>
      <c r="L207" s="4" t="str">
        <f t="shared" si="3"/>
        <v>would</v>
      </c>
      <c r="N207" s="4" cm="1">
        <f t="array" ref="N207">SUM(--(_xlfn.TEXTSPLIT($J$2,, " ") = M207))</f>
        <v>4</v>
      </c>
      <c r="O207">
        <v>4</v>
      </c>
      <c r="P207" t="str">
        <v>would</v>
      </c>
      <c r="Q207">
        <v>0</v>
      </c>
      <c r="R207">
        <v>4</v>
      </c>
      <c r="S207" s="4">
        <v>4</v>
      </c>
      <c r="T207" s="10"/>
    </row>
    <row r="208" spans="5:20" x14ac:dyDescent="0.2">
      <c r="E208" s="4" t="s">
        <v>14</v>
      </c>
      <c r="K208" t="str">
        <v>happen,</v>
      </c>
      <c r="L208" s="4" t="str">
        <f t="shared" si="3"/>
        <v xml:space="preserve">happen </v>
      </c>
      <c r="N208" s="4" cm="1">
        <f t="array" ref="N208">SUM(--(_xlfn.TEXTSPLIT($J$2,, " ") = M208))</f>
        <v>4</v>
      </c>
      <c r="O208">
        <v>4</v>
      </c>
      <c r="P208" t="str">
        <v xml:space="preserve">happen </v>
      </c>
      <c r="Q208">
        <v>0</v>
      </c>
      <c r="R208">
        <v>4</v>
      </c>
      <c r="S208" s="4">
        <v>4</v>
      </c>
      <c r="T208" s="10"/>
    </row>
    <row r="209" spans="5:20" x14ac:dyDescent="0.2">
      <c r="E209" s="4" t="s">
        <v>14</v>
      </c>
      <c r="K209" t="str">
        <v>who</v>
      </c>
      <c r="L209" s="4" t="str">
        <f t="shared" si="3"/>
        <v>who</v>
      </c>
      <c r="N209" s="4" cm="1">
        <f t="array" ref="N209">SUM(--(_xlfn.TEXTSPLIT($J$2,, " ") = M209))</f>
        <v>4</v>
      </c>
      <c r="O209">
        <v>4</v>
      </c>
      <c r="P209" t="str">
        <v>who</v>
      </c>
      <c r="Q209">
        <v>0</v>
      </c>
      <c r="R209">
        <v>4</v>
      </c>
      <c r="S209" s="4">
        <v>4</v>
      </c>
      <c r="T209" s="10"/>
    </row>
    <row r="210" spans="5:20" x14ac:dyDescent="0.2">
      <c r="E210" s="4" t="s">
        <v>14</v>
      </c>
      <c r="K210" t="str">
        <v>you</v>
      </c>
      <c r="L210" s="4" t="str">
        <f t="shared" si="3"/>
        <v>you</v>
      </c>
      <c r="N210" s="4" cm="1">
        <f t="array" ref="N210">SUM(--(_xlfn.TEXTSPLIT($J$2,, " ") = M210))</f>
        <v>4</v>
      </c>
      <c r="O210">
        <v>4</v>
      </c>
      <c r="P210" t="str">
        <v>you</v>
      </c>
      <c r="Q210">
        <v>0</v>
      </c>
      <c r="R210">
        <v>4</v>
      </c>
      <c r="S210" s="4">
        <v>4</v>
      </c>
      <c r="T210" s="10"/>
    </row>
    <row r="211" spans="5:20" x14ac:dyDescent="0.2">
      <c r="E211" s="4" t="s">
        <v>14</v>
      </c>
      <c r="K211" t="str">
        <v>thought</v>
      </c>
      <c r="L211" s="4" t="str">
        <f t="shared" si="3"/>
        <v>thought</v>
      </c>
      <c r="N211" s="4" cm="1">
        <f t="array" ref="N211">SUM(--(_xlfn.TEXTSPLIT($J$2,, " ") = M211))</f>
        <v>4</v>
      </c>
      <c r="O211">
        <v>4</v>
      </c>
      <c r="P211" t="str">
        <v>thought</v>
      </c>
      <c r="Q211">
        <v>0</v>
      </c>
      <c r="R211">
        <v>4</v>
      </c>
      <c r="S211" s="4">
        <v>4</v>
      </c>
      <c r="T211" s="10"/>
    </row>
    <row r="212" spans="5:20" x14ac:dyDescent="0.2">
      <c r="E212" s="4" t="s">
        <v>14</v>
      </c>
      <c r="K212" t="str">
        <v>I</v>
      </c>
      <c r="L212" s="4" t="str">
        <f t="shared" si="3"/>
        <v>I</v>
      </c>
      <c r="N212" s="4" cm="1">
        <f t="array" ref="N212">SUM(--(_xlfn.TEXTSPLIT($J$2,, " ") = M212))</f>
        <v>4</v>
      </c>
      <c r="O212">
        <v>4</v>
      </c>
      <c r="P212" t="str">
        <v>I</v>
      </c>
      <c r="Q212">
        <v>0</v>
      </c>
      <c r="R212">
        <v>4</v>
      </c>
      <c r="S212" s="4">
        <v>4</v>
      </c>
      <c r="T212" s="10"/>
    </row>
    <row r="213" spans="5:20" x14ac:dyDescent="0.2">
      <c r="E213" s="4" t="s">
        <v>14</v>
      </c>
      <c r="K213" t="str">
        <v>would</v>
      </c>
      <c r="L213" s="4" t="str">
        <f t="shared" si="3"/>
        <v>would</v>
      </c>
      <c r="N213" s="4" cm="1">
        <f t="array" ref="N213">SUM(--(_xlfn.TEXTSPLIT($J$2,, " ") = M213))</f>
        <v>4</v>
      </c>
      <c r="O213">
        <v>4</v>
      </c>
      <c r="P213" t="str">
        <v>would</v>
      </c>
      <c r="Q213">
        <v>0</v>
      </c>
      <c r="R213">
        <v>4</v>
      </c>
      <c r="S213" s="4">
        <v>4</v>
      </c>
      <c r="T213" s="10"/>
    </row>
    <row r="214" spans="5:20" x14ac:dyDescent="0.2">
      <c r="E214" s="4" t="s">
        <v>14</v>
      </c>
      <c r="K214" t="str">
        <v xml:space="preserve">be
</v>
      </c>
      <c r="L214" s="4" t="str">
        <f t="shared" si="3"/>
        <v xml:space="preserve">be </v>
      </c>
      <c r="N214" s="4" cm="1">
        <f t="array" ref="N214">SUM(--(_xlfn.TEXTSPLIT($J$2,, " ") = M214))</f>
        <v>4</v>
      </c>
      <c r="O214">
        <v>4</v>
      </c>
      <c r="P214" t="str">
        <v xml:space="preserve">be </v>
      </c>
      <c r="Q214">
        <v>0</v>
      </c>
      <c r="R214">
        <v>4</v>
      </c>
      <c r="S214" s="4">
        <v>4</v>
      </c>
      <c r="T214" s="10"/>
    </row>
    <row r="215" spans="5:20" x14ac:dyDescent="0.2">
      <c r="E215" s="4" t="s">
        <v>14</v>
      </c>
      <c r="K215" t="str">
        <v>Was</v>
      </c>
      <c r="L215" s="4" t="str">
        <f t="shared" si="3"/>
        <v>Was</v>
      </c>
      <c r="N215" s="4" cm="1">
        <f t="array" ref="N215">SUM(--(_xlfn.TEXTSPLIT($J$2,, " ") = M215))</f>
        <v>4</v>
      </c>
      <c r="O215">
        <v>4</v>
      </c>
      <c r="P215" t="str">
        <v>Was</v>
      </c>
      <c r="Q215">
        <v>0</v>
      </c>
      <c r="R215">
        <v>4</v>
      </c>
      <c r="S215" s="4">
        <v>4</v>
      </c>
      <c r="T215" s="10"/>
    </row>
    <row r="216" spans="5:20" x14ac:dyDescent="0.2">
      <c r="E216" s="4" t="s">
        <v>14</v>
      </c>
      <c r="K216" t="str">
        <v>this</v>
      </c>
      <c r="L216" s="4" t="str">
        <f t="shared" si="3"/>
        <v>this</v>
      </c>
      <c r="N216" s="4" cm="1">
        <f t="array" ref="N216">SUM(--(_xlfn.TEXTSPLIT($J$2,, " ") = M216))</f>
        <v>4</v>
      </c>
      <c r="O216">
        <v>4</v>
      </c>
      <c r="P216" t="str">
        <v>this</v>
      </c>
      <c r="Q216">
        <v>0</v>
      </c>
      <c r="R216">
        <v>4</v>
      </c>
      <c r="S216" s="4">
        <v>4</v>
      </c>
      <c r="T216" s="10"/>
    </row>
    <row r="217" spans="5:20" x14ac:dyDescent="0.2">
      <c r="E217" s="4" t="s">
        <v>14</v>
      </c>
      <c r="K217" t="str">
        <v>a</v>
      </c>
      <c r="L217" s="4" t="str">
        <f t="shared" si="3"/>
        <v>a</v>
      </c>
      <c r="N217" s="4" cm="1">
        <f t="array" ref="N217">SUM(--(_xlfn.TEXTSPLIT($J$2,, " ") = M217))</f>
        <v>4</v>
      </c>
      <c r="O217">
        <v>4</v>
      </c>
      <c r="P217" t="str">
        <v>a</v>
      </c>
      <c r="Q217">
        <v>0</v>
      </c>
      <c r="R217">
        <v>4</v>
      </c>
      <c r="S217" s="4">
        <v>4</v>
      </c>
      <c r="T217" s="10"/>
    </row>
    <row r="218" spans="5:20" x14ac:dyDescent="0.2">
      <c r="E218" s="4" t="s">
        <v>14</v>
      </c>
      <c r="K218" t="str">
        <v>sideswipe</v>
      </c>
      <c r="L218" s="4" t="str">
        <f t="shared" si="3"/>
        <v>sideswipe</v>
      </c>
      <c r="N218" s="4" cm="1">
        <f t="array" ref="N218">SUM(--(_xlfn.TEXTSPLIT($J$2,, " ") = M218))</f>
        <v>4</v>
      </c>
      <c r="O218">
        <v>4</v>
      </c>
      <c r="P218" t="str">
        <v>sideswipe</v>
      </c>
      <c r="Q218">
        <v>0</v>
      </c>
      <c r="R218">
        <v>4</v>
      </c>
      <c r="S218" s="4">
        <v>4</v>
      </c>
      <c r="T218" s="10"/>
    </row>
    <row r="219" spans="5:20" x14ac:dyDescent="0.2">
      <c r="E219" s="4" t="s">
        <v>14</v>
      </c>
      <c r="K219" t="str">
        <v>or</v>
      </c>
      <c r="L219" s="4" t="str">
        <f t="shared" si="3"/>
        <v>or</v>
      </c>
      <c r="N219" s="4" cm="1">
        <f t="array" ref="N219">SUM(--(_xlfn.TEXTSPLIT($J$2,, " ") = M219))</f>
        <v>4</v>
      </c>
      <c r="O219">
        <v>4</v>
      </c>
      <c r="P219" t="str">
        <v>or</v>
      </c>
      <c r="Q219">
        <v>0</v>
      </c>
      <c r="R219">
        <v>4</v>
      </c>
      <c r="S219" s="4">
        <v>4</v>
      </c>
      <c r="T219" s="10"/>
    </row>
    <row r="220" spans="5:20" x14ac:dyDescent="0.2">
      <c r="E220" s="4" t="s">
        <v>14</v>
      </c>
      <c r="K220" t="str">
        <v>did</v>
      </c>
      <c r="L220" s="4" t="str">
        <f t="shared" si="3"/>
        <v>did</v>
      </c>
      <c r="N220" s="4" cm="1">
        <f t="array" ref="N220">SUM(--(_xlfn.TEXTSPLIT($J$2,, " ") = M220))</f>
        <v>4</v>
      </c>
      <c r="O220">
        <v>4</v>
      </c>
      <c r="P220" t="str">
        <v>did</v>
      </c>
      <c r="Q220">
        <v>0</v>
      </c>
      <c r="R220">
        <v>4</v>
      </c>
      <c r="S220" s="4">
        <v>4</v>
      </c>
      <c r="T220" s="10"/>
    </row>
    <row r="221" spans="5:20" x14ac:dyDescent="0.2">
      <c r="E221" s="4" t="s">
        <v>14</v>
      </c>
      <c r="K221" t="str">
        <v>you</v>
      </c>
      <c r="L221" s="4" t="str">
        <f t="shared" si="3"/>
        <v>you</v>
      </c>
      <c r="N221" s="4" cm="1">
        <f t="array" ref="N221">SUM(--(_xlfn.TEXTSPLIT($J$2,, " ") = M221))</f>
        <v>4</v>
      </c>
      <c r="O221">
        <v>4</v>
      </c>
      <c r="P221" t="str">
        <v>you</v>
      </c>
      <c r="Q221">
        <v>0</v>
      </c>
      <c r="R221">
        <v>4</v>
      </c>
      <c r="S221" s="4">
        <v>4</v>
      </c>
      <c r="T221" s="10"/>
    </row>
    <row r="222" spans="5:20" x14ac:dyDescent="0.2">
      <c r="E222" s="4" t="s">
        <v>14</v>
      </c>
      <c r="K222" t="str">
        <v>picture</v>
      </c>
      <c r="L222" s="4" t="str">
        <f t="shared" si="3"/>
        <v>picture</v>
      </c>
      <c r="N222" s="4" cm="1">
        <f t="array" ref="N222">SUM(--(_xlfn.TEXTSPLIT($J$2,, " ") = M222))</f>
        <v>4</v>
      </c>
      <c r="O222">
        <v>4</v>
      </c>
      <c r="P222" t="str">
        <v>picture</v>
      </c>
      <c r="Q222">
        <v>0</v>
      </c>
      <c r="R222">
        <v>4</v>
      </c>
      <c r="S222" s="4">
        <v>4</v>
      </c>
      <c r="T222" s="10"/>
    </row>
    <row r="223" spans="5:20" x14ac:dyDescent="0.2">
      <c r="E223" s="4" t="s">
        <v>14</v>
      </c>
      <c r="K223" t="str">
        <v>this</v>
      </c>
      <c r="L223" s="4" t="str">
        <f t="shared" si="3"/>
        <v>this</v>
      </c>
      <c r="N223" s="4" cm="1">
        <f t="array" ref="N223">SUM(--(_xlfn.TEXTSPLIT($J$2,, " ") = M223))</f>
        <v>4</v>
      </c>
      <c r="O223">
        <v>4</v>
      </c>
      <c r="P223" t="str">
        <v>this</v>
      </c>
      <c r="Q223">
        <v>0</v>
      </c>
      <c r="R223">
        <v>4</v>
      </c>
      <c r="S223" s="4">
        <v>4</v>
      </c>
      <c r="T223" s="10"/>
    </row>
    <row r="224" spans="5:20" x14ac:dyDescent="0.2">
      <c r="E224" s="4" t="s">
        <v>14</v>
      </c>
      <c r="K224" t="str">
        <v>in</v>
      </c>
      <c r="L224" s="4" t="str">
        <f t="shared" si="3"/>
        <v>in</v>
      </c>
      <c r="N224" s="4" cm="1">
        <f t="array" ref="N224">SUM(--(_xlfn.TEXTSPLIT($J$2,, " ") = M224))</f>
        <v>4</v>
      </c>
      <c r="O224">
        <v>4</v>
      </c>
      <c r="P224" t="str">
        <v>in</v>
      </c>
      <c r="Q224">
        <v>0</v>
      </c>
      <c r="R224">
        <v>4</v>
      </c>
      <c r="S224" s="4">
        <v>4</v>
      </c>
      <c r="T224" s="10"/>
    </row>
    <row r="225" spans="5:20" x14ac:dyDescent="0.2">
      <c r="E225" s="4" t="s">
        <v>14</v>
      </c>
      <c r="K225" t="str">
        <v>a</v>
      </c>
      <c r="L225" s="4" t="str">
        <f t="shared" si="3"/>
        <v>a</v>
      </c>
      <c r="N225" s="4" cm="1">
        <f t="array" ref="N225">SUM(--(_xlfn.TEXTSPLIT($J$2,, " ") = M225))</f>
        <v>4</v>
      </c>
      <c r="O225">
        <v>4</v>
      </c>
      <c r="P225" t="str">
        <v>a</v>
      </c>
      <c r="Q225">
        <v>0</v>
      </c>
      <c r="R225">
        <v>4</v>
      </c>
      <c r="S225" s="4">
        <v>4</v>
      </c>
      <c r="T225" s="10"/>
    </row>
    <row r="226" spans="5:20" x14ac:dyDescent="0.2">
      <c r="E226" s="4" t="s">
        <v>14</v>
      </c>
      <c r="K226" t="str">
        <v xml:space="preserve">dream?
</v>
      </c>
      <c r="L226" s="4" t="str">
        <f t="shared" si="3"/>
        <v xml:space="preserve">dream  </v>
      </c>
      <c r="N226" s="4" cm="1">
        <f t="array" ref="N226">SUM(--(_xlfn.TEXTSPLIT($J$2,, " ") = M226))</f>
        <v>4</v>
      </c>
      <c r="O226">
        <v>4</v>
      </c>
      <c r="P226" t="str">
        <v xml:space="preserve">dream  </v>
      </c>
      <c r="Q226">
        <v>0</v>
      </c>
      <c r="R226">
        <v>4</v>
      </c>
      <c r="S226" s="4">
        <v>4</v>
      </c>
      <c r="T226" s="10"/>
    </row>
    <row r="227" spans="5:20" x14ac:dyDescent="0.2">
      <c r="E227" s="4" t="s">
        <v>14</v>
      </c>
      <c r="K227" t="str">
        <v>Buckle</v>
      </c>
      <c r="L227" s="4" t="str">
        <f t="shared" si="3"/>
        <v>Buckle</v>
      </c>
      <c r="N227" s="4" cm="1">
        <f t="array" ref="N227">SUM(--(_xlfn.TEXTSPLIT($J$2,, " ") = M227))</f>
        <v>4</v>
      </c>
      <c r="O227">
        <v>4</v>
      </c>
      <c r="P227" t="str">
        <v>Buckle</v>
      </c>
      <c r="Q227">
        <v>0</v>
      </c>
      <c r="R227">
        <v>4</v>
      </c>
      <c r="S227" s="4">
        <v>4</v>
      </c>
      <c r="T227" s="10"/>
    </row>
    <row r="228" spans="5:20" x14ac:dyDescent="0.2">
      <c r="E228" s="4" t="s">
        <v>14</v>
      </c>
      <c r="K228" t="str">
        <v>down,</v>
      </c>
      <c r="L228" s="4" t="str">
        <f t="shared" si="3"/>
        <v xml:space="preserve">down </v>
      </c>
      <c r="N228" s="4" cm="1">
        <f t="array" ref="N228">SUM(--(_xlfn.TEXTSPLIT($J$2,, " ") = M228))</f>
        <v>4</v>
      </c>
      <c r="O228">
        <v>4</v>
      </c>
      <c r="P228" t="str">
        <v xml:space="preserve">down </v>
      </c>
      <c r="Q228">
        <v>0</v>
      </c>
      <c r="R228">
        <v>4</v>
      </c>
      <c r="S228" s="4">
        <v>4</v>
      </c>
      <c r="T228" s="10"/>
    </row>
    <row r="229" spans="5:20" x14ac:dyDescent="0.2">
      <c r="E229" s="4" t="s">
        <v>14</v>
      </c>
      <c r="K229" t="str">
        <v>this</v>
      </c>
      <c r="L229" s="4" t="str">
        <f t="shared" si="3"/>
        <v>this</v>
      </c>
      <c r="N229" s="4" cm="1">
        <f t="array" ref="N229">SUM(--(_xlfn.TEXTSPLIT($J$2,, " ") = M229))</f>
        <v>4</v>
      </c>
      <c r="O229">
        <v>4</v>
      </c>
      <c r="P229" t="str">
        <v>this</v>
      </c>
      <c r="Q229">
        <v>0</v>
      </c>
      <c r="R229">
        <v>4</v>
      </c>
      <c r="S229" s="4">
        <v>4</v>
      </c>
      <c r="T229" s="10"/>
    </row>
    <row r="230" spans="5:20" x14ac:dyDescent="0.2">
      <c r="E230" s="4" t="s">
        <v>14</v>
      </c>
      <c r="K230" t="str">
        <v>is</v>
      </c>
      <c r="L230" s="4" t="str">
        <f t="shared" si="3"/>
        <v>is</v>
      </c>
      <c r="N230" s="4" cm="1">
        <f t="array" ref="N230">SUM(--(_xlfn.TEXTSPLIT($J$2,, " ") = M230))</f>
        <v>4</v>
      </c>
      <c r="O230">
        <v>4</v>
      </c>
      <c r="P230" t="str">
        <v>is</v>
      </c>
      <c r="Q230">
        <v>0</v>
      </c>
      <c r="R230">
        <v>4</v>
      </c>
      <c r="S230" s="4">
        <v>4</v>
      </c>
      <c r="T230" s="10"/>
    </row>
    <row r="231" spans="5:20" x14ac:dyDescent="0.2">
      <c r="E231" s="4" t="s">
        <v>14</v>
      </c>
      <c r="K231" t="str">
        <v>possibly</v>
      </c>
      <c r="L231" s="4" t="str">
        <f t="shared" si="3"/>
        <v>possibly</v>
      </c>
      <c r="N231" s="4" cm="1">
        <f t="array" ref="N231">SUM(--(_xlfn.TEXTSPLIT($J$2,, " ") = M231))</f>
        <v>4</v>
      </c>
      <c r="O231">
        <v>4</v>
      </c>
      <c r="P231" t="str">
        <v>possibly</v>
      </c>
      <c r="Q231">
        <v>0</v>
      </c>
      <c r="R231">
        <v>4</v>
      </c>
      <c r="S231" s="4">
        <v>4</v>
      </c>
      <c r="T231" s="10"/>
    </row>
    <row r="232" spans="5:20" x14ac:dyDescent="0.2">
      <c r="E232" s="4" t="s">
        <v>14</v>
      </c>
      <c r="K232" t="str">
        <v>the</v>
      </c>
      <c r="L232" s="4" t="str">
        <f t="shared" si="3"/>
        <v>the</v>
      </c>
      <c r="N232" s="4" cm="1">
        <f t="array" ref="N232">SUM(--(_xlfn.TEXTSPLIT($J$2,, " ") = M232))</f>
        <v>4</v>
      </c>
      <c r="O232">
        <v>4</v>
      </c>
      <c r="P232" t="str">
        <v>the</v>
      </c>
      <c r="Q232">
        <v>0</v>
      </c>
      <c r="R232">
        <v>4</v>
      </c>
      <c r="S232" s="4">
        <v>4</v>
      </c>
      <c r="T232" s="10"/>
    </row>
    <row r="233" spans="5:20" x14ac:dyDescent="0.2">
      <c r="E233" s="4" t="s">
        <v>14</v>
      </c>
      <c r="K233" t="str">
        <v>furthest</v>
      </c>
      <c r="L233" s="4" t="str">
        <f t="shared" si="3"/>
        <v>furthest</v>
      </c>
      <c r="N233" s="4" cm="1">
        <f t="array" ref="N233">SUM(--(_xlfn.TEXTSPLIT($J$2,, " ") = M233))</f>
        <v>4</v>
      </c>
      <c r="O233">
        <v>4</v>
      </c>
      <c r="P233" t="str">
        <v>furthest</v>
      </c>
      <c r="Q233">
        <v>0</v>
      </c>
      <c r="R233">
        <v>4</v>
      </c>
      <c r="S233" s="4">
        <v>4</v>
      </c>
      <c r="T233" s="10"/>
    </row>
    <row r="234" spans="5:20" x14ac:dyDescent="0.2">
      <c r="E234" s="4" t="s">
        <v>14</v>
      </c>
      <c r="K234" t="str">
        <v>we've</v>
      </c>
      <c r="L234" s="4" t="str">
        <f t="shared" si="3"/>
        <v>we ve</v>
      </c>
      <c r="N234" s="4" cm="1">
        <f t="array" ref="N234">SUM(--(_xlfn.TEXTSPLIT($J$2,, " ") = M234))</f>
        <v>4</v>
      </c>
      <c r="O234">
        <v>4</v>
      </c>
      <c r="P234" t="str">
        <v>we ve</v>
      </c>
      <c r="Q234">
        <v>0</v>
      </c>
      <c r="R234">
        <v>4</v>
      </c>
      <c r="S234" s="4">
        <v>4</v>
      </c>
      <c r="T234" s="10"/>
    </row>
    <row r="235" spans="5:20" x14ac:dyDescent="0.2">
      <c r="E235" s="4" t="s">
        <v>14</v>
      </c>
      <c r="K235" t="str">
        <v xml:space="preserve">reached
</v>
      </c>
      <c r="L235" s="4" t="str">
        <f t="shared" si="3"/>
        <v xml:space="preserve">reached </v>
      </c>
      <c r="N235" s="4" cm="1">
        <f t="array" ref="N235">SUM(--(_xlfn.TEXTSPLIT($J$2,, " ") = M235))</f>
        <v>4</v>
      </c>
      <c r="O235">
        <v>4</v>
      </c>
      <c r="P235" t="str">
        <v xml:space="preserve">reached </v>
      </c>
      <c r="Q235">
        <v>0</v>
      </c>
      <c r="R235">
        <v>4</v>
      </c>
      <c r="S235" s="4">
        <v>4</v>
      </c>
      <c r="T235" s="10"/>
    </row>
    <row r="236" spans="5:20" x14ac:dyDescent="0.2">
      <c r="E236" s="4" t="s">
        <v>14</v>
      </c>
      <c r="K236" t="str">
        <v>Now</v>
      </c>
      <c r="L236" s="4" t="str">
        <f t="shared" si="3"/>
        <v>Now</v>
      </c>
      <c r="N236" s="4" cm="1">
        <f t="array" ref="N236">SUM(--(_xlfn.TEXTSPLIT($J$2,, " ") = M236))</f>
        <v>4</v>
      </c>
      <c r="O236">
        <v>4</v>
      </c>
      <c r="P236" t="str">
        <v>Now</v>
      </c>
      <c r="Q236">
        <v>0</v>
      </c>
      <c r="R236">
        <v>4</v>
      </c>
      <c r="S236" s="4">
        <v>4</v>
      </c>
      <c r="T236" s="10"/>
    </row>
    <row r="237" spans="5:20" x14ac:dyDescent="0.2">
      <c r="E237" s="4" t="s">
        <v>14</v>
      </c>
      <c r="K237" t="str">
        <v>move</v>
      </c>
      <c r="L237" s="4" t="str">
        <f t="shared" si="3"/>
        <v>move</v>
      </c>
      <c r="N237" s="4" cm="1">
        <f t="array" ref="N237">SUM(--(_xlfn.TEXTSPLIT($J$2,, " ") = M237))</f>
        <v>4</v>
      </c>
      <c r="O237">
        <v>4</v>
      </c>
      <c r="P237" t="str">
        <v>move</v>
      </c>
      <c r="Q237">
        <v>0</v>
      </c>
      <c r="R237">
        <v>4</v>
      </c>
      <c r="S237" s="4">
        <v>4</v>
      </c>
      <c r="T237" s="10"/>
    </row>
    <row r="238" spans="5:20" x14ac:dyDescent="0.2">
      <c r="E238" s="4" t="s">
        <v>14</v>
      </c>
      <c r="K238" t="str">
        <v>it</v>
      </c>
      <c r="L238" s="4" t="str">
        <f t="shared" si="3"/>
        <v>it</v>
      </c>
      <c r="N238" s="4" cm="1">
        <f t="array" ref="N238">SUM(--(_xlfn.TEXTSPLIT($J$2,, " ") = M238))</f>
        <v>4</v>
      </c>
      <c r="O238">
        <v>4</v>
      </c>
      <c r="P238" t="str">
        <v>it</v>
      </c>
      <c r="Q238">
        <v>0</v>
      </c>
      <c r="R238">
        <v>4</v>
      </c>
      <c r="S238" s="4">
        <v>4</v>
      </c>
      <c r="T238" s="10"/>
    </row>
    <row r="239" spans="5:20" x14ac:dyDescent="0.2">
      <c r="E239" s="4" t="s">
        <v>14</v>
      </c>
      <c r="K239" t="str">
        <v>up,</v>
      </c>
      <c r="L239" s="4" t="str">
        <f t="shared" si="3"/>
        <v xml:space="preserve">up </v>
      </c>
      <c r="N239" s="4" cm="1">
        <f t="array" ref="N239">SUM(--(_xlfn.TEXTSPLIT($J$2,, " ") = M239))</f>
        <v>4</v>
      </c>
      <c r="O239">
        <v>4</v>
      </c>
      <c r="P239" t="str">
        <v xml:space="preserve">up </v>
      </c>
      <c r="Q239">
        <v>0</v>
      </c>
      <c r="R239">
        <v>4</v>
      </c>
      <c r="S239" s="4">
        <v>4</v>
      </c>
      <c r="T239" s="10"/>
    </row>
    <row r="240" spans="5:20" x14ac:dyDescent="0.2">
      <c r="E240" s="4" t="s">
        <v>14</v>
      </c>
      <c r="K240" t="str">
        <v>move</v>
      </c>
      <c r="L240" s="4" t="str">
        <f t="shared" si="3"/>
        <v>move</v>
      </c>
      <c r="N240" s="4" cm="1">
        <f t="array" ref="N240">SUM(--(_xlfn.TEXTSPLIT($J$2,, " ") = M240))</f>
        <v>4</v>
      </c>
      <c r="O240">
        <v>4</v>
      </c>
      <c r="P240" t="str">
        <v>move</v>
      </c>
      <c r="Q240">
        <v>0</v>
      </c>
      <c r="R240">
        <v>4</v>
      </c>
      <c r="S240" s="4">
        <v>4</v>
      </c>
      <c r="T240" s="10"/>
    </row>
    <row r="241" spans="5:20" x14ac:dyDescent="0.2">
      <c r="E241" s="4" t="s">
        <v>14</v>
      </c>
      <c r="K241" t="str">
        <v>it</v>
      </c>
      <c r="L241" s="4" t="str">
        <f t="shared" si="3"/>
        <v>it</v>
      </c>
      <c r="N241" s="4" cm="1">
        <f t="array" ref="N241">SUM(--(_xlfn.TEXTSPLIT($J$2,, " ") = M241))</f>
        <v>4</v>
      </c>
      <c r="O241">
        <v>4</v>
      </c>
      <c r="P241" t="str">
        <v>it</v>
      </c>
      <c r="Q241">
        <v>0</v>
      </c>
      <c r="R241">
        <v>4</v>
      </c>
      <c r="S241" s="4">
        <v>4</v>
      </c>
      <c r="T241" s="10"/>
    </row>
    <row r="242" spans="5:20" x14ac:dyDescent="0.2">
      <c r="E242" s="4" t="s">
        <v>14</v>
      </c>
      <c r="K242" t="str">
        <v>up,</v>
      </c>
      <c r="L242" s="4" t="str">
        <f t="shared" si="3"/>
        <v xml:space="preserve">up </v>
      </c>
      <c r="N242" s="4" cm="1">
        <f t="array" ref="N242">SUM(--(_xlfn.TEXTSPLIT($J$2,, " ") = M242))</f>
        <v>4</v>
      </c>
      <c r="O242">
        <v>4</v>
      </c>
      <c r="P242" t="str">
        <v xml:space="preserve">up </v>
      </c>
      <c r="Q242">
        <v>0</v>
      </c>
      <c r="R242">
        <v>4</v>
      </c>
      <c r="S242" s="4">
        <v>4</v>
      </c>
      <c r="T242" s="10"/>
    </row>
    <row r="243" spans="5:20" x14ac:dyDescent="0.2">
      <c r="E243" s="4" t="s">
        <v>14</v>
      </c>
      <c r="K243" t="str">
        <v>it's</v>
      </c>
      <c r="L243" s="4" t="str">
        <f t="shared" si="3"/>
        <v>it s</v>
      </c>
      <c r="N243" s="4" cm="1">
        <f t="array" ref="N243">SUM(--(_xlfn.TEXTSPLIT($J$2,, " ") = M243))</f>
        <v>4</v>
      </c>
      <c r="O243">
        <v>4</v>
      </c>
      <c r="P243" t="str">
        <v>it s</v>
      </c>
      <c r="Q243">
        <v>0</v>
      </c>
      <c r="R243">
        <v>4</v>
      </c>
      <c r="S243" s="4">
        <v>4</v>
      </c>
      <c r="T243" s="10"/>
    </row>
    <row r="244" spans="5:20" x14ac:dyDescent="0.2">
      <c r="E244" s="4" t="s">
        <v>14</v>
      </c>
      <c r="K244" t="str">
        <v>a</v>
      </c>
      <c r="L244" s="4" t="str">
        <f t="shared" si="3"/>
        <v>a</v>
      </c>
      <c r="N244" s="4" cm="1">
        <f t="array" ref="N244">SUM(--(_xlfn.TEXTSPLIT($J$2,, " ") = M244))</f>
        <v>4</v>
      </c>
      <c r="O244">
        <v>4</v>
      </c>
      <c r="P244" t="str">
        <v>a</v>
      </c>
      <c r="Q244">
        <v>0</v>
      </c>
      <c r="R244">
        <v>4</v>
      </c>
      <c r="S244" s="4">
        <v>4</v>
      </c>
      <c r="T244" s="10"/>
    </row>
    <row r="245" spans="5:20" x14ac:dyDescent="0.2">
      <c r="E245" s="4" t="s">
        <v>14</v>
      </c>
      <c r="K245" t="str">
        <v xml:space="preserve">breach
</v>
      </c>
      <c r="L245" s="4" t="str">
        <f t="shared" si="3"/>
        <v xml:space="preserve">breach  </v>
      </c>
      <c r="N245" s="4" cm="1">
        <f t="array" ref="N245">SUM(--(_xlfn.TEXTSPLIT($J$2,, " ") = M245))</f>
        <v>4</v>
      </c>
      <c r="O245">
        <v>4</v>
      </c>
      <c r="P245" t="str">
        <v xml:space="preserve">breach  </v>
      </c>
      <c r="Q245">
        <v>0</v>
      </c>
      <c r="R245">
        <v>4</v>
      </c>
      <c r="S245" s="4">
        <v>4</v>
      </c>
      <c r="T245" s="10"/>
    </row>
    <row r="246" spans="5:20" x14ac:dyDescent="0.2">
      <c r="E246" s="4" t="s">
        <v>14</v>
      </c>
      <c r="K246" t="str">
        <v>I</v>
      </c>
      <c r="L246" s="4" t="str">
        <f t="shared" si="3"/>
        <v>I</v>
      </c>
      <c r="N246" s="4" cm="1">
        <f t="array" ref="N246">SUM(--(_xlfn.TEXTSPLIT($J$2,, " ") = M246))</f>
        <v>4</v>
      </c>
      <c r="O246">
        <v>4</v>
      </c>
      <c r="P246" t="str">
        <v>I</v>
      </c>
      <c r="Q246">
        <v>0</v>
      </c>
      <c r="R246">
        <v>4</v>
      </c>
      <c r="S246" s="4">
        <v>4</v>
      </c>
      <c r="T246" s="10"/>
    </row>
    <row r="247" spans="5:20" x14ac:dyDescent="0.2">
      <c r="E247" s="4" t="s">
        <v>14</v>
      </c>
      <c r="K247" t="str">
        <v>wonder</v>
      </c>
      <c r="L247" s="4" t="str">
        <f t="shared" si="3"/>
        <v>wonder</v>
      </c>
      <c r="N247" s="4" cm="1">
        <f t="array" ref="N247">SUM(--(_xlfn.TEXTSPLIT($J$2,, " ") = M247))</f>
        <v>4</v>
      </c>
      <c r="O247">
        <v>4</v>
      </c>
      <c r="P247" t="str">
        <v>wonder</v>
      </c>
      <c r="Q247">
        <v>0</v>
      </c>
      <c r="R247">
        <v>4</v>
      </c>
      <c r="S247" s="4">
        <v>4</v>
      </c>
      <c r="T247" s="10"/>
    </row>
    <row r="248" spans="5:20" x14ac:dyDescent="0.2">
      <c r="E248" s="4" t="s">
        <v>14</v>
      </c>
      <c r="K248" t="str">
        <v>where</v>
      </c>
      <c r="L248" s="4" t="str">
        <f t="shared" si="3"/>
        <v>where</v>
      </c>
      <c r="N248" s="4" cm="1">
        <f t="array" ref="N248">SUM(--(_xlfn.TEXTSPLIT($J$2,, " ") = M248))</f>
        <v>4</v>
      </c>
      <c r="O248">
        <v>4</v>
      </c>
      <c r="P248" t="str">
        <v>where</v>
      </c>
      <c r="Q248">
        <v>0</v>
      </c>
      <c r="R248">
        <v>4</v>
      </c>
      <c r="S248" s="4">
        <v>4</v>
      </c>
      <c r="T248" s="10"/>
    </row>
    <row r="249" spans="5:20" x14ac:dyDescent="0.2">
      <c r="E249" s="4" t="s">
        <v>14</v>
      </c>
      <c r="K249" t="str">
        <v>you</v>
      </c>
      <c r="L249" s="4" t="str">
        <f t="shared" si="3"/>
        <v>you</v>
      </c>
      <c r="N249" s="4" cm="1">
        <f t="array" ref="N249">SUM(--(_xlfn.TEXTSPLIT($J$2,, " ") = M249))</f>
        <v>4</v>
      </c>
      <c r="O249">
        <v>4</v>
      </c>
      <c r="P249" t="str">
        <v>you</v>
      </c>
      <c r="Q249">
        <v>0</v>
      </c>
      <c r="R249">
        <v>4</v>
      </c>
      <c r="S249" s="4">
        <v>4</v>
      </c>
      <c r="T249" s="10"/>
    </row>
    <row r="250" spans="5:20" x14ac:dyDescent="0.2">
      <c r="E250" s="4" t="s">
        <v>14</v>
      </c>
      <c r="K250" t="str">
        <v xml:space="preserve">are
</v>
      </c>
      <c r="L250" s="4" t="str">
        <f t="shared" si="3"/>
        <v xml:space="preserve">are </v>
      </c>
      <c r="N250" s="4" cm="1">
        <f t="array" ref="N250">SUM(--(_xlfn.TEXTSPLIT($J$2,, " ") = M250))</f>
        <v>4</v>
      </c>
      <c r="O250">
        <v>4</v>
      </c>
      <c r="P250" t="str">
        <v xml:space="preserve">are </v>
      </c>
      <c r="Q250">
        <v>0</v>
      </c>
      <c r="R250">
        <v>4</v>
      </c>
      <c r="S250" s="4">
        <v>4</v>
      </c>
      <c r="T250" s="10"/>
    </row>
    <row r="251" spans="5:20" x14ac:dyDescent="0.2">
      <c r="E251" s="4" t="s">
        <v>14</v>
      </c>
      <c r="K251" t="str">
        <v>I</v>
      </c>
      <c r="L251" s="4" t="str">
        <f t="shared" si="3"/>
        <v>I</v>
      </c>
      <c r="N251" s="4" cm="1">
        <f t="array" ref="N251">SUM(--(_xlfn.TEXTSPLIT($J$2,, " ") = M251))</f>
        <v>4</v>
      </c>
      <c r="O251">
        <v>4</v>
      </c>
      <c r="P251" t="str">
        <v>I</v>
      </c>
      <c r="Q251">
        <v>0</v>
      </c>
      <c r="R251">
        <v>4</v>
      </c>
      <c r="S251" s="4">
        <v>4</v>
      </c>
      <c r="T251" s="10"/>
    </row>
    <row r="252" spans="5:20" x14ac:dyDescent="0.2">
      <c r="E252" s="4" t="s">
        <v>14</v>
      </c>
      <c r="K252" t="str">
        <v>wanted</v>
      </c>
      <c r="L252" s="4" t="str">
        <f t="shared" si="3"/>
        <v>wanted</v>
      </c>
      <c r="N252" s="4" cm="1">
        <f t="array" ref="N252">SUM(--(_xlfn.TEXTSPLIT($J$2,, " ") = M252))</f>
        <v>4</v>
      </c>
      <c r="O252">
        <v>4</v>
      </c>
      <c r="P252" t="str">
        <v>wanted</v>
      </c>
      <c r="Q252">
        <v>0</v>
      </c>
      <c r="R252">
        <v>4</v>
      </c>
      <c r="S252" s="4">
        <v>4</v>
      </c>
      <c r="T252" s="10"/>
    </row>
    <row r="253" spans="5:20" x14ac:dyDescent="0.2">
      <c r="E253" s="4" t="s">
        <v>14</v>
      </c>
      <c r="K253" t="str">
        <v>you</v>
      </c>
      <c r="L253" s="4" t="str">
        <f t="shared" si="3"/>
        <v>you</v>
      </c>
      <c r="N253" s="4" cm="1">
        <f t="array" ref="N253">SUM(--(_xlfn.TEXTSPLIT($J$2,, " ") = M253))</f>
        <v>4</v>
      </c>
      <c r="O253">
        <v>4</v>
      </c>
      <c r="P253" t="str">
        <v>you</v>
      </c>
      <c r="Q253">
        <v>0</v>
      </c>
      <c r="R253">
        <v>4</v>
      </c>
      <c r="S253" s="4">
        <v>4</v>
      </c>
      <c r="T253" s="10"/>
    </row>
    <row r="254" spans="5:20" x14ac:dyDescent="0.2">
      <c r="E254" s="4" t="s">
        <v>14</v>
      </c>
      <c r="K254" t="str">
        <v>to</v>
      </c>
      <c r="L254" s="4" t="str">
        <f t="shared" si="3"/>
        <v>to</v>
      </c>
      <c r="N254" s="4" cm="1">
        <f t="array" ref="N254">SUM(--(_xlfn.TEXTSPLIT($J$2,, " ") = M254))</f>
        <v>4</v>
      </c>
      <c r="O254">
        <v>4</v>
      </c>
      <c r="P254" t="str">
        <v>to</v>
      </c>
      <c r="Q254">
        <v>0</v>
      </c>
      <c r="R254">
        <v>4</v>
      </c>
      <c r="S254" s="4">
        <v>4</v>
      </c>
      <c r="T254" s="10"/>
    </row>
    <row r="255" spans="5:20" x14ac:dyDescent="0.2">
      <c r="E255" s="4" t="s">
        <v>14</v>
      </c>
      <c r="K255" t="str">
        <v>show</v>
      </c>
      <c r="L255" s="4" t="str">
        <f t="shared" si="3"/>
        <v>show</v>
      </c>
      <c r="N255" s="4" cm="1">
        <f t="array" ref="N255">SUM(--(_xlfn.TEXTSPLIT($J$2,, " ") = M255))</f>
        <v>4</v>
      </c>
      <c r="O255">
        <v>4</v>
      </c>
      <c r="P255" t="str">
        <v>show</v>
      </c>
      <c r="Q255">
        <v>0</v>
      </c>
      <c r="R255">
        <v>4</v>
      </c>
      <c r="S255" s="4">
        <v>4</v>
      </c>
      <c r="T255" s="10"/>
    </row>
    <row r="256" spans="5:20" x14ac:dyDescent="0.2">
      <c r="E256" s="4" t="s">
        <v>14</v>
      </c>
      <c r="K256" t="str">
        <v xml:space="preserve">me
</v>
      </c>
      <c r="L256" s="4" t="str">
        <f t="shared" si="3"/>
        <v xml:space="preserve">me </v>
      </c>
      <c r="N256" s="4" cm="1">
        <f t="array" ref="N256">SUM(--(_xlfn.TEXTSPLIT($J$2,, " ") = M256))</f>
        <v>4</v>
      </c>
      <c r="O256">
        <v>4</v>
      </c>
      <c r="P256" t="str">
        <v xml:space="preserve">me </v>
      </c>
      <c r="Q256">
        <v>0</v>
      </c>
      <c r="R256">
        <v>4</v>
      </c>
      <c r="S256" s="4">
        <v>4</v>
      </c>
      <c r="T256" s="10"/>
    </row>
    <row r="257" spans="5:20" x14ac:dyDescent="0.2">
      <c r="E257" s="4" t="s">
        <v>14</v>
      </c>
      <c r="K257" t="str">
        <v>The</v>
      </c>
      <c r="L257" s="4" t="str">
        <f t="shared" si="3"/>
        <v>The</v>
      </c>
      <c r="N257" s="4" cm="1">
        <f t="array" ref="N257">SUM(--(_xlfn.TEXTSPLIT($J$2,, " ") = M257))</f>
        <v>4</v>
      </c>
      <c r="O257">
        <v>4</v>
      </c>
      <c r="P257" t="str">
        <v>The</v>
      </c>
      <c r="Q257">
        <v>0</v>
      </c>
      <c r="R257">
        <v>4</v>
      </c>
      <c r="S257" s="4">
        <v>4</v>
      </c>
      <c r="T257" s="10"/>
    </row>
    <row r="258" spans="5:20" x14ac:dyDescent="0.2">
      <c r="E258" s="4" t="s">
        <v>14</v>
      </c>
      <c r="K258" t="str">
        <v>way</v>
      </c>
      <c r="L258" s="4" t="str">
        <f t="shared" si="3"/>
        <v>way</v>
      </c>
      <c r="N258" s="4" cm="1">
        <f t="array" ref="N258">SUM(--(_xlfn.TEXTSPLIT($J$2,, " ") = M258))</f>
        <v>4</v>
      </c>
      <c r="O258">
        <v>4</v>
      </c>
      <c r="P258" t="str">
        <v>way</v>
      </c>
      <c r="Q258">
        <v>0</v>
      </c>
      <c r="R258">
        <v>4</v>
      </c>
      <c r="S258" s="4">
        <v>4</v>
      </c>
      <c r="T258" s="10"/>
    </row>
    <row r="259" spans="5:20" x14ac:dyDescent="0.2">
      <c r="E259" s="4" t="s">
        <v>14</v>
      </c>
      <c r="K259" t="str">
        <v>around</v>
      </c>
      <c r="L259" s="4" t="str">
        <f t="shared" si="3"/>
        <v>around</v>
      </c>
      <c r="N259" s="4" cm="1">
        <f t="array" ref="N259">SUM(--(_xlfn.TEXTSPLIT($J$2,, " ") = M259))</f>
        <v>4</v>
      </c>
      <c r="O259">
        <v>4</v>
      </c>
      <c r="P259" t="str">
        <v>around</v>
      </c>
      <c r="Q259">
        <v>0</v>
      </c>
      <c r="R259">
        <v>4</v>
      </c>
      <c r="S259" s="4">
        <v>4</v>
      </c>
      <c r="T259" s="10"/>
    </row>
    <row r="260" spans="5:20" x14ac:dyDescent="0.2">
      <c r="E260" s="4" t="s">
        <v>14</v>
      </c>
      <c r="K260" t="str">
        <v>the</v>
      </c>
      <c r="L260" s="4" t="str">
        <f t="shared" ref="L260:L323" si="4">_xlfn.REGEXREPLACE(K260, "[^A-Za-z ]", " ")</f>
        <v>the</v>
      </c>
      <c r="N260" s="4" cm="1">
        <f t="array" ref="N260">SUM(--(_xlfn.TEXTSPLIT($J$2,, " ") = M260))</f>
        <v>4</v>
      </c>
      <c r="O260">
        <v>4</v>
      </c>
      <c r="P260" t="str">
        <v>the</v>
      </c>
      <c r="Q260">
        <v>0</v>
      </c>
      <c r="R260">
        <v>4</v>
      </c>
      <c r="S260" s="4">
        <v>4</v>
      </c>
      <c r="T260" s="10"/>
    </row>
    <row r="261" spans="5:20" x14ac:dyDescent="0.2">
      <c r="E261" s="4" t="s">
        <v>14</v>
      </c>
      <c r="K261" t="str">
        <v>city</v>
      </c>
      <c r="L261" s="4" t="str">
        <f t="shared" si="4"/>
        <v>city</v>
      </c>
      <c r="N261" s="4" cm="1">
        <f t="array" ref="N261">SUM(--(_xlfn.TEXTSPLIT($J$2,, " ") = M261))</f>
        <v>4</v>
      </c>
      <c r="O261">
        <v>4</v>
      </c>
      <c r="P261" t="str">
        <v>city</v>
      </c>
      <c r="Q261">
        <v>0</v>
      </c>
      <c r="R261">
        <v>4</v>
      </c>
      <c r="S261" s="4">
        <v>4</v>
      </c>
      <c r="T261" s="10"/>
    </row>
    <row r="262" spans="5:20" x14ac:dyDescent="0.2">
      <c r="E262" s="4" t="s">
        <v>14</v>
      </c>
      <c r="K262" t="str">
        <v xml:space="preserve">walls
</v>
      </c>
      <c r="L262" s="4" t="str">
        <f t="shared" si="4"/>
        <v xml:space="preserve">walls </v>
      </c>
      <c r="N262" s="4" cm="1">
        <f t="array" ref="N262">SUM(--(_xlfn.TEXTSPLIT($J$2,, " ") = M262))</f>
        <v>4</v>
      </c>
      <c r="O262">
        <v>4</v>
      </c>
      <c r="P262" t="str">
        <v xml:space="preserve">walls </v>
      </c>
      <c r="Q262">
        <v>0</v>
      </c>
      <c r="R262">
        <v>4</v>
      </c>
      <c r="S262" s="4">
        <v>4</v>
      </c>
      <c r="T262" s="10"/>
    </row>
    <row r="263" spans="5:20" x14ac:dyDescent="0.2">
      <c r="E263" s="4" t="s">
        <v>14</v>
      </c>
      <c r="K263" t="str">
        <v>The</v>
      </c>
      <c r="L263" s="4" t="str">
        <f t="shared" si="4"/>
        <v>The</v>
      </c>
      <c r="N263" s="4" cm="1">
        <f t="array" ref="N263">SUM(--(_xlfn.TEXTSPLIT($J$2,, " ") = M263))</f>
        <v>4</v>
      </c>
      <c r="O263">
        <v>4</v>
      </c>
      <c r="P263" t="str">
        <v>The</v>
      </c>
      <c r="Q263">
        <v>0</v>
      </c>
      <c r="R263">
        <v>4</v>
      </c>
      <c r="S263" s="4">
        <v>4</v>
      </c>
      <c r="T263" s="10"/>
    </row>
    <row r="264" spans="5:20" x14ac:dyDescent="0.2">
      <c r="E264" s="4" t="s">
        <v>14</v>
      </c>
      <c r="K264" t="str">
        <v>way</v>
      </c>
      <c r="L264" s="4" t="str">
        <f t="shared" si="4"/>
        <v>way</v>
      </c>
      <c r="N264" s="4" cm="1">
        <f t="array" ref="N264">SUM(--(_xlfn.TEXTSPLIT($J$2,, " ") = M264))</f>
        <v>4</v>
      </c>
      <c r="O264">
        <v>4</v>
      </c>
      <c r="P264" t="str">
        <v>way</v>
      </c>
      <c r="Q264">
        <v>0</v>
      </c>
      <c r="R264">
        <v>4</v>
      </c>
      <c r="S264" s="4">
        <v>4</v>
      </c>
      <c r="T264" s="10"/>
    </row>
    <row r="265" spans="5:20" x14ac:dyDescent="0.2">
      <c r="E265" s="4" t="s">
        <v>14</v>
      </c>
      <c r="K265" t="str">
        <v>on</v>
      </c>
      <c r="L265" s="4" t="str">
        <f t="shared" si="4"/>
        <v>on</v>
      </c>
      <c r="N265" s="4" cm="1">
        <f t="array" ref="N265">SUM(--(_xlfn.TEXTSPLIT($J$2,, " ") = M265))</f>
        <v>4</v>
      </c>
      <c r="O265">
        <v>4</v>
      </c>
      <c r="P265" t="str">
        <v>on</v>
      </c>
      <c r="Q265">
        <v>0</v>
      </c>
      <c r="R265">
        <v>4</v>
      </c>
      <c r="S265" s="4">
        <v>4</v>
      </c>
      <c r="T265" s="10"/>
    </row>
    <row r="266" spans="5:20" x14ac:dyDescent="0.2">
      <c r="E266" s="4" t="s">
        <v>14</v>
      </c>
      <c r="K266" t="str">
        <v xml:space="preserve">through
</v>
      </c>
      <c r="L266" s="4" t="str">
        <f t="shared" si="4"/>
        <v xml:space="preserve">through </v>
      </c>
      <c r="N266" s="4" cm="1">
        <f t="array" ref="N266">SUM(--(_xlfn.TEXTSPLIT($J$2,, " ") = M266))</f>
        <v>4</v>
      </c>
      <c r="O266">
        <v>4</v>
      </c>
      <c r="P266" t="str">
        <v xml:space="preserve">through </v>
      </c>
      <c r="Q266">
        <v>0</v>
      </c>
      <c r="R266">
        <v>4</v>
      </c>
      <c r="S266" s="4">
        <v>4</v>
      </c>
      <c r="T266" s="10"/>
    </row>
    <row r="267" spans="5:20" x14ac:dyDescent="0.2">
      <c r="E267" s="4" t="s">
        <v>14</v>
      </c>
      <c r="K267" t="str">
        <v>I</v>
      </c>
      <c r="L267" s="4" t="str">
        <f t="shared" si="4"/>
        <v>I</v>
      </c>
      <c r="N267" s="4" cm="1">
        <f t="array" ref="N267">SUM(--(_xlfn.TEXTSPLIT($J$2,, " ") = M267))</f>
        <v>4</v>
      </c>
      <c r="O267">
        <v>4</v>
      </c>
      <c r="P267" t="str">
        <v>I</v>
      </c>
      <c r="Q267">
        <v>0</v>
      </c>
      <c r="R267">
        <v>4</v>
      </c>
      <c r="S267" s="4">
        <v>4</v>
      </c>
      <c r="T267" s="10"/>
    </row>
    <row r="268" spans="5:20" x14ac:dyDescent="0.2">
      <c r="E268" s="4" t="s">
        <v>14</v>
      </c>
      <c r="K268" t="str">
        <v>wonder</v>
      </c>
      <c r="L268" s="4" t="str">
        <f t="shared" si="4"/>
        <v>wonder</v>
      </c>
      <c r="N268" s="4" cm="1">
        <f t="array" ref="N268">SUM(--(_xlfn.TEXTSPLIT($J$2,, " ") = M268))</f>
        <v>4</v>
      </c>
      <c r="O268">
        <v>4</v>
      </c>
      <c r="P268" t="str">
        <v>wonder</v>
      </c>
      <c r="Q268">
        <v>0</v>
      </c>
      <c r="R268">
        <v>4</v>
      </c>
      <c r="S268" s="4">
        <v>4</v>
      </c>
      <c r="T268" s="10"/>
    </row>
    <row r="269" spans="5:20" x14ac:dyDescent="0.2">
      <c r="E269" s="4" t="s">
        <v>14</v>
      </c>
      <c r="K269" t="str">
        <v>where</v>
      </c>
      <c r="L269" s="4" t="str">
        <f t="shared" si="4"/>
        <v>where</v>
      </c>
      <c r="N269" s="4" cm="1">
        <f t="array" ref="N269">SUM(--(_xlfn.TEXTSPLIT($J$2,, " ") = M269))</f>
        <v>4</v>
      </c>
      <c r="O269">
        <v>4</v>
      </c>
      <c r="P269" t="str">
        <v>where</v>
      </c>
      <c r="Q269">
        <v>0</v>
      </c>
      <c r="R269">
        <v>4</v>
      </c>
      <c r="S269" s="4">
        <v>4</v>
      </c>
      <c r="T269" s="10"/>
    </row>
    <row r="270" spans="5:20" x14ac:dyDescent="0.2">
      <c r="E270" s="4" t="s">
        <v>14</v>
      </c>
      <c r="K270" t="str">
        <v>you</v>
      </c>
      <c r="L270" s="4" t="str">
        <f t="shared" si="4"/>
        <v>you</v>
      </c>
      <c r="N270" s="4" cm="1">
        <f t="array" ref="N270">SUM(--(_xlfn.TEXTSPLIT($J$2,, " ") = M270))</f>
        <v>4</v>
      </c>
      <c r="O270">
        <v>4</v>
      </c>
      <c r="P270" t="str">
        <v>you</v>
      </c>
      <c r="Q270">
        <v>0</v>
      </c>
      <c r="R270">
        <v>4</v>
      </c>
      <c r="S270" s="4">
        <v>4</v>
      </c>
      <c r="T270" s="10"/>
    </row>
    <row r="271" spans="5:20" x14ac:dyDescent="0.2">
      <c r="E271" s="4" t="s">
        <v>14</v>
      </c>
      <c r="K271" t="str">
        <v xml:space="preserve">are
</v>
      </c>
      <c r="L271" s="4" t="str">
        <f t="shared" si="4"/>
        <v xml:space="preserve">are </v>
      </c>
      <c r="N271" s="4" cm="1">
        <f t="array" ref="N271">SUM(--(_xlfn.TEXTSPLIT($J$2,, " ") = M271))</f>
        <v>4</v>
      </c>
      <c r="O271">
        <v>4</v>
      </c>
      <c r="P271" t="str">
        <v xml:space="preserve">are </v>
      </c>
      <c r="Q271">
        <v>0</v>
      </c>
      <c r="R271">
        <v>4</v>
      </c>
      <c r="S271" s="4">
        <v>4</v>
      </c>
      <c r="T271" s="10"/>
    </row>
    <row r="272" spans="5:20" x14ac:dyDescent="0.2">
      <c r="E272" s="4" t="s">
        <v>14</v>
      </c>
      <c r="K272" t="str">
        <v>I</v>
      </c>
      <c r="L272" s="4" t="str">
        <f t="shared" si="4"/>
        <v>I</v>
      </c>
      <c r="N272" s="4" cm="1">
        <f t="array" ref="N272">SUM(--(_xlfn.TEXTSPLIT($J$2,, " ") = M272))</f>
        <v>4</v>
      </c>
      <c r="O272">
        <v>4</v>
      </c>
      <c r="P272" t="str">
        <v>I</v>
      </c>
      <c r="Q272">
        <v>0</v>
      </c>
      <c r="R272">
        <v>4</v>
      </c>
      <c r="S272" s="4">
        <v>4</v>
      </c>
      <c r="T272" s="10"/>
    </row>
    <row r="273" spans="5:20" x14ac:dyDescent="0.2">
      <c r="E273" s="4" t="s">
        <v>14</v>
      </c>
      <c r="K273" t="str">
        <v>wanted</v>
      </c>
      <c r="L273" s="4" t="str">
        <f t="shared" si="4"/>
        <v>wanted</v>
      </c>
      <c r="N273" s="4" cm="1">
        <f t="array" ref="N273">SUM(--(_xlfn.TEXTSPLIT($J$2,, " ") = M273))</f>
        <v>4</v>
      </c>
      <c r="O273">
        <v>4</v>
      </c>
      <c r="P273" t="str">
        <v>wanted</v>
      </c>
      <c r="Q273">
        <v>0</v>
      </c>
      <c r="R273">
        <v>4</v>
      </c>
      <c r="S273" s="4">
        <v>4</v>
      </c>
      <c r="T273" s="10"/>
    </row>
    <row r="274" spans="5:20" x14ac:dyDescent="0.2">
      <c r="E274" s="4" t="s">
        <v>14</v>
      </c>
      <c r="K274" t="str">
        <v>you</v>
      </c>
      <c r="L274" s="4" t="str">
        <f t="shared" si="4"/>
        <v>you</v>
      </c>
      <c r="N274" s="4" cm="1">
        <f t="array" ref="N274">SUM(--(_xlfn.TEXTSPLIT($J$2,, " ") = M274))</f>
        <v>4</v>
      </c>
      <c r="O274">
        <v>4</v>
      </c>
      <c r="P274" t="str">
        <v>you</v>
      </c>
      <c r="Q274">
        <v>0</v>
      </c>
      <c r="R274">
        <v>4</v>
      </c>
      <c r="S274" s="4">
        <v>4</v>
      </c>
      <c r="T274" s="10"/>
    </row>
    <row r="275" spans="5:20" x14ac:dyDescent="0.2">
      <c r="E275" s="4" t="s">
        <v>14</v>
      </c>
      <c r="K275" t="str">
        <v>to</v>
      </c>
      <c r="L275" s="4" t="str">
        <f t="shared" si="4"/>
        <v>to</v>
      </c>
      <c r="N275" s="4" cm="1">
        <f t="array" ref="N275">SUM(--(_xlfn.TEXTSPLIT($J$2,, " ") = M275))</f>
        <v>4</v>
      </c>
      <c r="O275">
        <v>4</v>
      </c>
      <c r="P275" t="str">
        <v>to</v>
      </c>
      <c r="Q275">
        <v>0</v>
      </c>
      <c r="R275">
        <v>4</v>
      </c>
      <c r="S275" s="4">
        <v>4</v>
      </c>
      <c r="T275" s="10"/>
    </row>
    <row r="276" spans="5:20" x14ac:dyDescent="0.2">
      <c r="E276" s="4" t="s">
        <v>14</v>
      </c>
      <c r="K276" t="str">
        <v>show</v>
      </c>
      <c r="L276" s="4" t="str">
        <f t="shared" si="4"/>
        <v>show</v>
      </c>
      <c r="N276" s="4" cm="1">
        <f t="array" ref="N276">SUM(--(_xlfn.TEXTSPLIT($J$2,, " ") = M276))</f>
        <v>4</v>
      </c>
      <c r="O276">
        <v>4</v>
      </c>
      <c r="P276" t="str">
        <v>show</v>
      </c>
      <c r="Q276">
        <v>0</v>
      </c>
      <c r="R276">
        <v>4</v>
      </c>
      <c r="S276" s="4">
        <v>4</v>
      </c>
      <c r="T276" s="10"/>
    </row>
    <row r="277" spans="5:20" x14ac:dyDescent="0.2">
      <c r="E277" s="4" t="s">
        <v>14</v>
      </c>
      <c r="K277" t="str">
        <v xml:space="preserve">me
</v>
      </c>
      <c r="L277" s="4" t="str">
        <f t="shared" si="4"/>
        <v xml:space="preserve">me </v>
      </c>
      <c r="N277" s="4" cm="1">
        <f t="array" ref="N277">SUM(--(_xlfn.TEXTSPLIT($J$2,, " ") = M277))</f>
        <v>4</v>
      </c>
      <c r="O277">
        <v>4</v>
      </c>
      <c r="P277" t="str">
        <v xml:space="preserve">me </v>
      </c>
      <c r="Q277">
        <v>0</v>
      </c>
      <c r="R277">
        <v>4</v>
      </c>
      <c r="S277" s="4">
        <v>4</v>
      </c>
      <c r="T277" s="10"/>
    </row>
    <row r="278" spans="5:20" x14ac:dyDescent="0.2">
      <c r="E278" s="4" t="s">
        <v>14</v>
      </c>
      <c r="K278" t="str">
        <v>But</v>
      </c>
      <c r="L278" s="4" t="str">
        <f t="shared" si="4"/>
        <v>But</v>
      </c>
      <c r="N278" s="4" cm="1">
        <f t="array" ref="N278">SUM(--(_xlfn.TEXTSPLIT($J$2,, " ") = M278))</f>
        <v>4</v>
      </c>
      <c r="O278">
        <v>4</v>
      </c>
      <c r="P278" t="str">
        <v>But</v>
      </c>
      <c r="Q278">
        <v>0</v>
      </c>
      <c r="R278">
        <v>4</v>
      </c>
      <c r="S278" s="4">
        <v>4</v>
      </c>
      <c r="T278" s="10"/>
    </row>
    <row r="279" spans="5:20" x14ac:dyDescent="0.2">
      <c r="E279" s="4" t="s">
        <v>14</v>
      </c>
      <c r="K279" t="str">
        <v>now</v>
      </c>
      <c r="L279" s="4" t="str">
        <f t="shared" si="4"/>
        <v>now</v>
      </c>
      <c r="N279" s="4" cm="1">
        <f t="array" ref="N279">SUM(--(_xlfn.TEXTSPLIT($J$2,, " ") = M279))</f>
        <v>4</v>
      </c>
      <c r="O279">
        <v>4</v>
      </c>
      <c r="P279" t="str">
        <v>now</v>
      </c>
      <c r="Q279">
        <v>0</v>
      </c>
      <c r="R279">
        <v>4</v>
      </c>
      <c r="S279" s="4">
        <v>4</v>
      </c>
      <c r="T279" s="10"/>
    </row>
    <row r="280" spans="5:20" x14ac:dyDescent="0.2">
      <c r="E280" s="4" t="s">
        <v>14</v>
      </c>
      <c r="K280" t="str">
        <v>the</v>
      </c>
      <c r="L280" s="4" t="str">
        <f t="shared" si="4"/>
        <v>the</v>
      </c>
      <c r="N280" s="4" cm="1">
        <f t="array" ref="N280">SUM(--(_xlfn.TEXTSPLIT($J$2,, " ") = M280))</f>
        <v>4</v>
      </c>
      <c r="O280">
        <v>4</v>
      </c>
      <c r="P280" t="str">
        <v>the</v>
      </c>
      <c r="Q280">
        <v>0</v>
      </c>
      <c r="R280">
        <v>4</v>
      </c>
      <c r="S280" s="4">
        <v>4</v>
      </c>
      <c r="T280" s="10"/>
    </row>
    <row r="281" spans="5:20" x14ac:dyDescent="0.2">
      <c r="E281" s="4" t="s">
        <v>14</v>
      </c>
      <c r="K281" t="str">
        <v>night</v>
      </c>
      <c r="L281" s="4" t="str">
        <f t="shared" si="4"/>
        <v>night</v>
      </c>
      <c r="N281" s="4" cm="1">
        <f t="array" ref="N281">SUM(--(_xlfn.TEXTSPLIT($J$2,, " ") = M281))</f>
        <v>4</v>
      </c>
      <c r="O281">
        <v>4</v>
      </c>
      <c r="P281" t="str">
        <v>night</v>
      </c>
      <c r="Q281">
        <v>0</v>
      </c>
      <c r="R281">
        <v>4</v>
      </c>
      <c r="S281" s="4">
        <v>4</v>
      </c>
      <c r="T281" s="10"/>
    </row>
    <row r="282" spans="5:20" x14ac:dyDescent="0.2">
      <c r="E282" s="4" t="s">
        <v>14</v>
      </c>
      <c r="K282" t="str">
        <v>has</v>
      </c>
      <c r="L282" s="4" t="str">
        <f t="shared" si="4"/>
        <v>has</v>
      </c>
      <c r="N282" s="4" cm="1">
        <f t="array" ref="N282">SUM(--(_xlfn.TEXTSPLIT($J$2,, " ") = M282))</f>
        <v>4</v>
      </c>
      <c r="O282">
        <v>4</v>
      </c>
      <c r="P282" t="str">
        <v>has</v>
      </c>
      <c r="Q282">
        <v>0</v>
      </c>
      <c r="R282">
        <v>4</v>
      </c>
      <c r="S282" s="4">
        <v>4</v>
      </c>
      <c r="T282" s="10"/>
    </row>
    <row r="283" spans="5:20" x14ac:dyDescent="0.2">
      <c r="E283" s="4" t="s">
        <v>14</v>
      </c>
      <c r="K283" t="str">
        <v xml:space="preserve">fallen
</v>
      </c>
      <c r="L283" s="4" t="str">
        <f t="shared" si="4"/>
        <v xml:space="preserve">fallen </v>
      </c>
      <c r="N283" s="4" cm="1">
        <f t="array" ref="N283">SUM(--(_xlfn.TEXTSPLIT($J$2,, " ") = M283))</f>
        <v>4</v>
      </c>
      <c r="O283">
        <v>4</v>
      </c>
      <c r="P283" t="str">
        <v xml:space="preserve">fallen </v>
      </c>
      <c r="Q283">
        <v>0</v>
      </c>
      <c r="R283">
        <v>4</v>
      </c>
      <c r="S283" s="4">
        <v>4</v>
      </c>
      <c r="T283" s="10"/>
    </row>
    <row r="284" spans="5:20" x14ac:dyDescent="0.2">
      <c r="E284" s="4" t="s">
        <v>14</v>
      </c>
      <c r="K284" t="str">
        <v>Abandoned</v>
      </c>
      <c r="L284" s="4" t="str">
        <f t="shared" si="4"/>
        <v>Abandoned</v>
      </c>
      <c r="N284" s="4" cm="1">
        <f t="array" ref="N284">SUM(--(_xlfn.TEXTSPLIT($J$2,, " ") = M284))</f>
        <v>4</v>
      </c>
      <c r="O284">
        <v>4</v>
      </c>
      <c r="P284" t="str">
        <v>Abandoned</v>
      </c>
      <c r="Q284">
        <v>0</v>
      </c>
      <c r="R284">
        <v>4</v>
      </c>
      <c r="S284" s="4">
        <v>4</v>
      </c>
      <c r="T284" s="10"/>
    </row>
    <row r="285" spans="5:20" x14ac:dyDescent="0.2">
      <c r="E285" s="4" t="s">
        <v>14</v>
      </c>
      <c r="K285" t="str">
        <v>by</v>
      </c>
      <c r="L285" s="4" t="str">
        <f t="shared" si="4"/>
        <v>by</v>
      </c>
      <c r="N285" s="4" cm="1">
        <f t="array" ref="N285">SUM(--(_xlfn.TEXTSPLIT($J$2,, " ") = M285))</f>
        <v>4</v>
      </c>
      <c r="O285">
        <v>4</v>
      </c>
      <c r="P285" t="str">
        <v>by</v>
      </c>
      <c r="Q285">
        <v>0</v>
      </c>
      <c r="R285">
        <v>4</v>
      </c>
      <c r="S285" s="4">
        <v>4</v>
      </c>
      <c r="T285" s="10"/>
    </row>
    <row r="286" spans="5:20" x14ac:dyDescent="0.2">
      <c r="E286" s="4" t="s">
        <v>14</v>
      </c>
      <c r="K286" t="str">
        <v>the</v>
      </c>
      <c r="L286" s="4" t="str">
        <f t="shared" si="4"/>
        <v>the</v>
      </c>
      <c r="N286" s="4" cm="1">
        <f t="array" ref="N286">SUM(--(_xlfn.TEXTSPLIT($J$2,, " ") = M286))</f>
        <v>4</v>
      </c>
      <c r="O286">
        <v>4</v>
      </c>
      <c r="P286" t="str">
        <v>the</v>
      </c>
      <c r="Q286">
        <v>0</v>
      </c>
      <c r="R286">
        <v>4</v>
      </c>
      <c r="S286" s="4">
        <v>4</v>
      </c>
      <c r="T286" s="10"/>
    </row>
    <row r="287" spans="5:20" x14ac:dyDescent="0.2">
      <c r="E287" s="4" t="s">
        <v>14</v>
      </c>
      <c r="K287" t="str">
        <v xml:space="preserve">sun
</v>
      </c>
      <c r="L287" s="4" t="str">
        <f t="shared" si="4"/>
        <v xml:space="preserve">sun </v>
      </c>
      <c r="N287" s="4" cm="1">
        <f t="array" ref="N287">SUM(--(_xlfn.TEXTSPLIT($J$2,, " ") = M287))</f>
        <v>4</v>
      </c>
      <c r="O287">
        <v>3</v>
      </c>
      <c r="P287" t="str">
        <v xml:space="preserve">sun </v>
      </c>
      <c r="Q287">
        <v>0</v>
      </c>
      <c r="R287">
        <v>4</v>
      </c>
      <c r="S287" s="4">
        <v>3</v>
      </c>
      <c r="T287" s="10"/>
    </row>
    <row r="288" spans="5:20" x14ac:dyDescent="0.2">
      <c r="E288" s="4" t="s">
        <v>14</v>
      </c>
      <c r="K288" t="str">
        <v>Abandoned</v>
      </c>
      <c r="L288" s="4" t="str">
        <f t="shared" si="4"/>
        <v>Abandoned</v>
      </c>
      <c r="N288" s="4" cm="1">
        <f t="array" ref="N288">SUM(--(_xlfn.TEXTSPLIT($J$2,, " ") = M288))</f>
        <v>4</v>
      </c>
      <c r="O288">
        <v>3</v>
      </c>
      <c r="P288" t="str">
        <v>Abandoned</v>
      </c>
      <c r="Q288">
        <v>0</v>
      </c>
      <c r="R288">
        <v>4</v>
      </c>
      <c r="S288" s="4">
        <v>3</v>
      </c>
      <c r="T288" s="10"/>
    </row>
    <row r="289" spans="5:20" x14ac:dyDescent="0.2">
      <c r="E289" s="4" t="s">
        <v>14</v>
      </c>
      <c r="K289" t="str">
        <v>by</v>
      </c>
      <c r="L289" s="4" t="str">
        <f t="shared" si="4"/>
        <v>by</v>
      </c>
      <c r="N289" s="4" cm="1">
        <f t="array" ref="N289">SUM(--(_xlfn.TEXTSPLIT($J$2,, " ") = M289))</f>
        <v>4</v>
      </c>
      <c r="O289">
        <v>3</v>
      </c>
      <c r="P289" t="str">
        <v>by</v>
      </c>
      <c r="Q289">
        <v>0</v>
      </c>
      <c r="R289">
        <v>4</v>
      </c>
      <c r="S289" s="4">
        <v>3</v>
      </c>
      <c r="T289" s="10"/>
    </row>
    <row r="290" spans="5:20" x14ac:dyDescent="0.2">
      <c r="E290" s="4" t="s">
        <v>14</v>
      </c>
      <c r="K290" t="str">
        <v>the</v>
      </c>
      <c r="L290" s="4" t="str">
        <f t="shared" si="4"/>
        <v>the</v>
      </c>
      <c r="N290" s="4" cm="1">
        <f t="array" ref="N290">SUM(--(_xlfn.TEXTSPLIT($J$2,, " ") = M290))</f>
        <v>4</v>
      </c>
      <c r="O290">
        <v>3</v>
      </c>
      <c r="P290" t="str">
        <v>the</v>
      </c>
      <c r="Q290">
        <v>0</v>
      </c>
      <c r="R290">
        <v>4</v>
      </c>
      <c r="S290" s="4">
        <v>3</v>
      </c>
      <c r="T290" s="10"/>
    </row>
    <row r="291" spans="5:20" x14ac:dyDescent="0.2">
      <c r="E291" s="4" t="s">
        <v>14</v>
      </c>
      <c r="K291" t="str">
        <v xml:space="preserve">sun
</v>
      </c>
      <c r="L291" s="4" t="str">
        <f t="shared" si="4"/>
        <v xml:space="preserve">sun  </v>
      </c>
      <c r="N291" s="4" cm="1">
        <f t="array" ref="N291">SUM(--(_xlfn.TEXTSPLIT($J$2,, " ") = M291))</f>
        <v>4</v>
      </c>
      <c r="O291">
        <v>3</v>
      </c>
      <c r="P291" t="str">
        <v xml:space="preserve">sun  </v>
      </c>
      <c r="Q291">
        <v>0</v>
      </c>
      <c r="R291">
        <v>4</v>
      </c>
      <c r="S291" s="4">
        <v>3</v>
      </c>
      <c r="T291" s="10"/>
    </row>
    <row r="292" spans="5:20" x14ac:dyDescent="0.2">
      <c r="E292" s="4" t="s">
        <v>14</v>
      </c>
      <c r="K292" t="str">
        <v>My</v>
      </c>
      <c r="L292" s="4" t="str">
        <f t="shared" si="4"/>
        <v>My</v>
      </c>
      <c r="N292" s="4" cm="1">
        <f t="array" ref="N292">SUM(--(_xlfn.TEXTSPLIT($J$2,, " ") = M292))</f>
        <v>4</v>
      </c>
      <c r="O292">
        <v>3</v>
      </c>
      <c r="P292" t="str">
        <v>My</v>
      </c>
      <c r="Q292">
        <v>0</v>
      </c>
      <c r="R292">
        <v>4</v>
      </c>
      <c r="S292" s="4">
        <v>3</v>
      </c>
      <c r="T292" s="10"/>
    </row>
    <row r="293" spans="5:20" x14ac:dyDescent="0.2">
      <c r="E293" s="4" t="s">
        <v>14</v>
      </c>
      <c r="K293" t="str">
        <v>smile</v>
      </c>
      <c r="L293" s="4" t="str">
        <f t="shared" si="4"/>
        <v>smile</v>
      </c>
      <c r="N293" s="4" cm="1">
        <f t="array" ref="N293">SUM(--(_xlfn.TEXTSPLIT($J$2,, " ") = M293))</f>
        <v>4</v>
      </c>
      <c r="O293">
        <v>3</v>
      </c>
      <c r="P293" t="str">
        <v>smile</v>
      </c>
      <c r="Q293">
        <v>0</v>
      </c>
      <c r="R293">
        <v>4</v>
      </c>
      <c r="S293" s="4">
        <v>3</v>
      </c>
      <c r="T293" s="10"/>
    </row>
    <row r="294" spans="5:20" x14ac:dyDescent="0.2">
      <c r="E294" s="4" t="s">
        <v>14</v>
      </c>
      <c r="K294" t="str">
        <v>wraps</v>
      </c>
      <c r="L294" s="4" t="str">
        <f t="shared" si="4"/>
        <v>wraps</v>
      </c>
      <c r="N294" s="4" cm="1">
        <f t="array" ref="N294">SUM(--(_xlfn.TEXTSPLIT($J$2,, " ") = M294))</f>
        <v>4</v>
      </c>
      <c r="O294">
        <v>2</v>
      </c>
      <c r="P294" t="str">
        <v>wraps</v>
      </c>
      <c r="Q294">
        <v>0</v>
      </c>
      <c r="R294">
        <v>4</v>
      </c>
      <c r="S294" s="4">
        <v>2</v>
      </c>
      <c r="T294" s="10"/>
    </row>
    <row r="295" spans="5:20" x14ac:dyDescent="0.2">
      <c r="E295" s="4" t="s">
        <v>14</v>
      </c>
      <c r="K295" t="str">
        <v>around</v>
      </c>
      <c r="L295" s="4" t="str">
        <f t="shared" si="4"/>
        <v>around</v>
      </c>
      <c r="N295" s="4" cm="1">
        <f t="array" ref="N295">SUM(--(_xlfn.TEXTSPLIT($J$2,, " ") = M295))</f>
        <v>4</v>
      </c>
      <c r="O295">
        <v>2</v>
      </c>
      <c r="P295" t="str">
        <v>around</v>
      </c>
      <c r="Q295">
        <v>0</v>
      </c>
      <c r="R295">
        <v>4</v>
      </c>
      <c r="S295" s="4">
        <v>2</v>
      </c>
      <c r="T295" s="10"/>
    </row>
    <row r="296" spans="5:20" x14ac:dyDescent="0.2">
      <c r="E296" s="4" t="s">
        <v>14</v>
      </c>
      <c r="K296" t="str">
        <v>my</v>
      </c>
      <c r="L296" s="4" t="str">
        <f t="shared" si="4"/>
        <v>my</v>
      </c>
      <c r="N296" s="4" cm="1">
        <f t="array" ref="N296">SUM(--(_xlfn.TEXTSPLIT($J$2,, " ") = M296))</f>
        <v>4</v>
      </c>
      <c r="O296">
        <v>2</v>
      </c>
      <c r="P296" t="str">
        <v>my</v>
      </c>
      <c r="Q296">
        <v>0</v>
      </c>
      <c r="R296">
        <v>4</v>
      </c>
      <c r="S296" s="4">
        <v>2</v>
      </c>
      <c r="T296" s="10"/>
    </row>
    <row r="297" spans="5:20" x14ac:dyDescent="0.2">
      <c r="E297" s="4" t="s">
        <v>14</v>
      </c>
      <c r="K297" t="str">
        <v>head,</v>
      </c>
      <c r="L297" s="4" t="str">
        <f t="shared" si="4"/>
        <v xml:space="preserve">head </v>
      </c>
      <c r="N297" s="4" cm="1">
        <f t="array" ref="N297">SUM(--(_xlfn.TEXTSPLIT($J$2,, " ") = M297))</f>
        <v>4</v>
      </c>
      <c r="O297">
        <v>2</v>
      </c>
      <c r="P297" t="str">
        <v xml:space="preserve">head </v>
      </c>
      <c r="Q297">
        <v>0</v>
      </c>
      <c r="R297">
        <v>4</v>
      </c>
      <c r="S297" s="4">
        <v>2</v>
      </c>
      <c r="T297" s="10"/>
    </row>
    <row r="298" spans="5:20" x14ac:dyDescent="0.2">
      <c r="E298" s="4" t="s">
        <v>14</v>
      </c>
      <c r="K298" t="str">
        <v>splitting</v>
      </c>
      <c r="L298" s="4" t="str">
        <f t="shared" si="4"/>
        <v>splitting</v>
      </c>
      <c r="N298" s="4" cm="1">
        <f t="array" ref="N298">SUM(--(_xlfn.TEXTSPLIT($J$2,, " ") = M298))</f>
        <v>4</v>
      </c>
      <c r="O298">
        <v>2</v>
      </c>
      <c r="P298" t="str">
        <v>splitting</v>
      </c>
      <c r="Q298">
        <v>0</v>
      </c>
      <c r="R298">
        <v>4</v>
      </c>
      <c r="S298" s="4">
        <v>2</v>
      </c>
      <c r="T298" s="10"/>
    </row>
    <row r="299" spans="5:20" x14ac:dyDescent="0.2">
      <c r="E299" s="4" t="s">
        <v>14</v>
      </c>
      <c r="K299" t="str">
        <v>it</v>
      </c>
      <c r="L299" s="4" t="str">
        <f t="shared" si="4"/>
        <v>it</v>
      </c>
      <c r="N299" s="4" cm="1">
        <f t="array" ref="N299">SUM(--(_xlfn.TEXTSPLIT($J$2,, " ") = M299))</f>
        <v>4</v>
      </c>
      <c r="O299">
        <v>2</v>
      </c>
      <c r="P299" t="str">
        <v>it</v>
      </c>
      <c r="Q299">
        <v>0</v>
      </c>
      <c r="R299">
        <v>4</v>
      </c>
      <c r="S299" s="4">
        <v>2</v>
      </c>
      <c r="T299" s="10"/>
    </row>
    <row r="300" spans="5:20" x14ac:dyDescent="0.2">
      <c r="E300" s="4" t="s">
        <v>14</v>
      </c>
      <c r="K300" t="str">
        <v xml:space="preserve">in
</v>
      </c>
      <c r="L300" s="4" t="str">
        <f t="shared" si="4"/>
        <v xml:space="preserve">in </v>
      </c>
      <c r="N300" s="4" cm="1">
        <f t="array" ref="N300">SUM(--(_xlfn.TEXTSPLIT($J$2,, " ") = M300))</f>
        <v>4</v>
      </c>
      <c r="O300">
        <v>2</v>
      </c>
      <c r="P300" t="str">
        <v xml:space="preserve">in </v>
      </c>
      <c r="Q300">
        <v>0</v>
      </c>
      <c r="R300">
        <v>4</v>
      </c>
      <c r="S300" s="4">
        <v>2</v>
      </c>
      <c r="T300" s="10"/>
    </row>
    <row r="301" spans="5:20" x14ac:dyDescent="0.2">
      <c r="E301" s="4" t="s">
        <v>14</v>
      </c>
      <c r="K301" t="str">
        <v>Two,</v>
      </c>
      <c r="L301" s="4" t="str">
        <f t="shared" si="4"/>
        <v xml:space="preserve">Two </v>
      </c>
      <c r="N301" s="4" cm="1">
        <f t="array" ref="N301">SUM(--(_xlfn.TEXTSPLIT($J$2,, " ") = M301))</f>
        <v>4</v>
      </c>
      <c r="O301">
        <v>2</v>
      </c>
      <c r="P301" t="str">
        <v xml:space="preserve">Two </v>
      </c>
      <c r="Q301">
        <v>0</v>
      </c>
      <c r="R301">
        <v>4</v>
      </c>
      <c r="S301" s="4">
        <v>2</v>
      </c>
      <c r="T301" s="10"/>
    </row>
    <row r="302" spans="5:20" x14ac:dyDescent="0.2">
      <c r="E302" s="4" t="s">
        <v>14</v>
      </c>
      <c r="K302" t="str">
        <v>two,</v>
      </c>
      <c r="L302" s="4" t="str">
        <f t="shared" si="4"/>
        <v xml:space="preserve">two </v>
      </c>
      <c r="N302" s="4" cm="1">
        <f t="array" ref="N302">SUM(--(_xlfn.TEXTSPLIT($J$2,, " ") = M302))</f>
        <v>4</v>
      </c>
      <c r="O302">
        <v>2</v>
      </c>
      <c r="P302" t="str">
        <v xml:space="preserve">two </v>
      </c>
      <c r="Q302">
        <v>0</v>
      </c>
      <c r="R302">
        <v>4</v>
      </c>
      <c r="S302" s="4">
        <v>2</v>
      </c>
      <c r="T302" s="10"/>
    </row>
    <row r="303" spans="5:20" x14ac:dyDescent="0.2">
      <c r="E303" s="4" t="s">
        <v>14</v>
      </c>
      <c r="K303" t="str">
        <v>two,</v>
      </c>
      <c r="L303" s="4" t="str">
        <f t="shared" si="4"/>
        <v xml:space="preserve">two </v>
      </c>
      <c r="N303" s="4" cm="1">
        <f t="array" ref="N303">SUM(--(_xlfn.TEXTSPLIT($J$2,, " ") = M303))</f>
        <v>4</v>
      </c>
      <c r="O303">
        <v>2</v>
      </c>
      <c r="P303" t="str">
        <v xml:space="preserve">two </v>
      </c>
      <c r="Q303">
        <v>0</v>
      </c>
      <c r="R303">
        <v>4</v>
      </c>
      <c r="S303" s="4">
        <v>2</v>
      </c>
      <c r="T303" s="10"/>
    </row>
    <row r="304" spans="5:20" x14ac:dyDescent="0.2">
      <c r="E304" s="4" t="s">
        <v>14</v>
      </c>
      <c r="K304" t="str">
        <v xml:space="preserve">two
</v>
      </c>
      <c r="L304" s="4" t="str">
        <f t="shared" si="4"/>
        <v xml:space="preserve">two </v>
      </c>
      <c r="N304" s="4" cm="1">
        <f t="array" ref="N304">SUM(--(_xlfn.TEXTSPLIT($J$2,, " ") = M304))</f>
        <v>4</v>
      </c>
      <c r="O304">
        <v>2</v>
      </c>
      <c r="P304" t="str">
        <v xml:space="preserve">two </v>
      </c>
      <c r="Q304">
        <v>0</v>
      </c>
      <c r="R304">
        <v>4</v>
      </c>
      <c r="S304" s="4">
        <v>2</v>
      </c>
      <c r="T304" s="10"/>
    </row>
    <row r="305" spans="5:20" x14ac:dyDescent="0.2">
      <c r="E305" s="4" t="s">
        <v>14</v>
      </c>
      <c r="K305" t="str">
        <v>I</v>
      </c>
      <c r="L305" s="4" t="str">
        <f t="shared" si="4"/>
        <v>I</v>
      </c>
      <c r="N305" s="4" cm="1">
        <f t="array" ref="N305">SUM(--(_xlfn.TEXTSPLIT($J$2,, " ") = M305))</f>
        <v>4</v>
      </c>
      <c r="O305">
        <v>2</v>
      </c>
      <c r="P305" t="str">
        <v>I</v>
      </c>
      <c r="Q305">
        <v>0</v>
      </c>
      <c r="R305">
        <v>4</v>
      </c>
      <c r="S305" s="4">
        <v>2</v>
      </c>
      <c r="T305" s="10"/>
    </row>
    <row r="306" spans="5:20" x14ac:dyDescent="0.2">
      <c r="E306" s="4" t="s">
        <v>14</v>
      </c>
      <c r="K306" t="str">
        <v>don't</v>
      </c>
      <c r="L306" s="4" t="str">
        <f t="shared" si="4"/>
        <v>don t</v>
      </c>
      <c r="N306" s="4" cm="1">
        <f t="array" ref="N306">SUM(--(_xlfn.TEXTSPLIT($J$2,, " ") = M306))</f>
        <v>4</v>
      </c>
      <c r="O306">
        <v>2</v>
      </c>
      <c r="P306" t="str">
        <v>don t</v>
      </c>
      <c r="Q306">
        <v>0</v>
      </c>
      <c r="R306">
        <v>4</v>
      </c>
      <c r="S306" s="4">
        <v>2</v>
      </c>
      <c r="T306" s="10"/>
    </row>
    <row r="307" spans="5:20" x14ac:dyDescent="0.2">
      <c r="E307" s="4" t="s">
        <v>14</v>
      </c>
      <c r="K307" t="str">
        <v>have</v>
      </c>
      <c r="L307" s="4" t="str">
        <f t="shared" si="4"/>
        <v>have</v>
      </c>
      <c r="N307" s="4" cm="1">
        <f t="array" ref="N307">SUM(--(_xlfn.TEXTSPLIT($J$2,, " ") = M307))</f>
        <v>4</v>
      </c>
      <c r="O307">
        <v>2</v>
      </c>
      <c r="P307" t="str">
        <v>have</v>
      </c>
      <c r="Q307">
        <v>0</v>
      </c>
      <c r="R307">
        <v>4</v>
      </c>
      <c r="S307" s="4">
        <v>2</v>
      </c>
      <c r="T307" s="10"/>
    </row>
    <row r="308" spans="5:20" x14ac:dyDescent="0.2">
      <c r="E308" s="4" t="s">
        <v>14</v>
      </c>
      <c r="K308" t="str">
        <v>a</v>
      </c>
      <c r="L308" s="4" t="str">
        <f t="shared" si="4"/>
        <v>a</v>
      </c>
      <c r="N308" s="4" cm="1">
        <f t="array" ref="N308">SUM(--(_xlfn.TEXTSPLIT($J$2,, " ") = M308))</f>
        <v>4</v>
      </c>
      <c r="O308">
        <v>2</v>
      </c>
      <c r="P308" t="str">
        <v>a</v>
      </c>
      <c r="Q308">
        <v>0</v>
      </c>
      <c r="R308">
        <v>4</v>
      </c>
      <c r="S308" s="4">
        <v>2</v>
      </c>
      <c r="T308" s="10"/>
    </row>
    <row r="309" spans="5:20" x14ac:dyDescent="0.2">
      <c r="E309" s="4" t="s">
        <v>14</v>
      </c>
      <c r="K309" t="str">
        <v>clue</v>
      </c>
      <c r="L309" s="4" t="str">
        <f t="shared" si="4"/>
        <v>clue</v>
      </c>
      <c r="N309" s="4" cm="1">
        <f t="array" ref="N309">SUM(--(_xlfn.TEXTSPLIT($J$2,, " ") = M309))</f>
        <v>4</v>
      </c>
      <c r="O309">
        <v>2</v>
      </c>
      <c r="P309" t="str">
        <v>clue</v>
      </c>
      <c r="Q309">
        <v>0</v>
      </c>
      <c r="R309">
        <v>4</v>
      </c>
      <c r="S309" s="4">
        <v>2</v>
      </c>
      <c r="T309" s="10"/>
    </row>
    <row r="310" spans="5:20" x14ac:dyDescent="0.2">
      <c r="E310" s="4" t="s">
        <v>14</v>
      </c>
      <c r="K310" t="str">
        <v>how</v>
      </c>
      <c r="L310" s="4" t="str">
        <f t="shared" si="4"/>
        <v>how</v>
      </c>
      <c r="N310" s="4" cm="1">
        <f t="array" ref="N310">SUM(--(_xlfn.TEXTSPLIT($J$2,, " ") = M310))</f>
        <v>4</v>
      </c>
      <c r="O310">
        <v>2</v>
      </c>
      <c r="P310" t="str">
        <v>how</v>
      </c>
      <c r="Q310">
        <v>0</v>
      </c>
      <c r="R310">
        <v>4</v>
      </c>
      <c r="S310" s="4">
        <v>2</v>
      </c>
      <c r="T310" s="10"/>
    </row>
    <row r="311" spans="5:20" x14ac:dyDescent="0.2">
      <c r="E311" s="4" t="s">
        <v>14</v>
      </c>
      <c r="K311" t="str">
        <v>I</v>
      </c>
      <c r="L311" s="4" t="str">
        <f t="shared" si="4"/>
        <v>I</v>
      </c>
      <c r="N311" s="4" cm="1">
        <f t="array" ref="N311">SUM(--(_xlfn.TEXTSPLIT($J$2,, " ") = M311))</f>
        <v>4</v>
      </c>
      <c r="O311">
        <v>2</v>
      </c>
      <c r="P311" t="str">
        <v>I</v>
      </c>
      <c r="Q311">
        <v>0</v>
      </c>
      <c r="R311">
        <v>4</v>
      </c>
      <c r="S311" s="4">
        <v>2</v>
      </c>
      <c r="T311" s="10"/>
    </row>
    <row r="312" spans="5:20" x14ac:dyDescent="0.2">
      <c r="E312" s="4" t="s">
        <v>14</v>
      </c>
      <c r="K312" t="str">
        <v>can</v>
      </c>
      <c r="L312" s="4" t="str">
        <f t="shared" si="4"/>
        <v>can</v>
      </c>
      <c r="N312" s="4" cm="1">
        <f t="array" ref="N312">SUM(--(_xlfn.TEXTSPLIT($J$2,, " ") = M312))</f>
        <v>4</v>
      </c>
      <c r="O312">
        <v>2</v>
      </c>
      <c r="P312" t="str">
        <v>can</v>
      </c>
      <c r="Q312">
        <v>0</v>
      </c>
      <c r="R312">
        <v>4</v>
      </c>
      <c r="S312" s="4">
        <v>2</v>
      </c>
      <c r="T312" s="10"/>
    </row>
    <row r="313" spans="5:20" x14ac:dyDescent="0.2">
      <c r="E313" s="4" t="s">
        <v>14</v>
      </c>
      <c r="K313" t="str">
        <v>keep</v>
      </c>
      <c r="L313" s="4" t="str">
        <f t="shared" si="4"/>
        <v>keep</v>
      </c>
      <c r="N313" s="4" cm="1">
        <f t="array" ref="N313">SUM(--(_xlfn.TEXTSPLIT($J$2,, " ") = M313))</f>
        <v>4</v>
      </c>
      <c r="O313">
        <v>2</v>
      </c>
      <c r="P313" t="str">
        <v>keep</v>
      </c>
      <c r="Q313">
        <v>0</v>
      </c>
      <c r="R313">
        <v>4</v>
      </c>
      <c r="S313" s="4">
        <v>2</v>
      </c>
      <c r="T313" s="10"/>
    </row>
    <row r="314" spans="5:20" x14ac:dyDescent="0.2">
      <c r="E314" s="4" t="s">
        <v>14</v>
      </c>
      <c r="K314" t="str">
        <v>the</v>
      </c>
      <c r="L314" s="4" t="str">
        <f t="shared" si="4"/>
        <v>the</v>
      </c>
      <c r="N314" s="4" cm="1">
        <f t="array" ref="N314">SUM(--(_xlfn.TEXTSPLIT($J$2,, " ") = M314))</f>
        <v>4</v>
      </c>
      <c r="O314">
        <v>2</v>
      </c>
      <c r="P314" t="str">
        <v>the</v>
      </c>
      <c r="Q314">
        <v>0</v>
      </c>
      <c r="R314">
        <v>4</v>
      </c>
      <c r="S314" s="4">
        <v>2</v>
      </c>
      <c r="T314" s="10"/>
    </row>
    <row r="315" spans="5:20" x14ac:dyDescent="0.2">
      <c r="E315" s="4" t="s">
        <v>14</v>
      </c>
      <c r="K315" t="str">
        <v>top</v>
      </c>
      <c r="L315" s="4" t="str">
        <f t="shared" si="4"/>
        <v>top</v>
      </c>
      <c r="N315" s="4" cm="1">
        <f t="array" ref="N315">SUM(--(_xlfn.TEXTSPLIT($J$2,, " ") = M315))</f>
        <v>4</v>
      </c>
      <c r="O315">
        <v>2</v>
      </c>
      <c r="P315" t="str">
        <v>top</v>
      </c>
      <c r="Q315">
        <v>0</v>
      </c>
      <c r="R315">
        <v>4</v>
      </c>
      <c r="S315" s="4">
        <v>2</v>
      </c>
      <c r="T315" s="10"/>
    </row>
    <row r="316" spans="5:20" x14ac:dyDescent="0.2">
      <c r="E316" s="4" t="s">
        <v>14</v>
      </c>
      <c r="K316" t="str">
        <v xml:space="preserve">half
</v>
      </c>
      <c r="L316" s="4" t="str">
        <f t="shared" si="4"/>
        <v xml:space="preserve">half </v>
      </c>
      <c r="N316" s="4" cm="1">
        <f t="array" ref="N316">SUM(--(_xlfn.TEXTSPLIT($J$2,, " ") = M316))</f>
        <v>4</v>
      </c>
      <c r="O316">
        <v>2</v>
      </c>
      <c r="P316" t="str">
        <v xml:space="preserve">half </v>
      </c>
      <c r="Q316">
        <v>0</v>
      </c>
      <c r="R316">
        <v>4</v>
      </c>
      <c r="S316" s="4">
        <v>2</v>
      </c>
      <c r="T316" s="10"/>
    </row>
    <row r="317" spans="5:20" x14ac:dyDescent="0.2">
      <c r="E317" s="4" t="s">
        <v>14</v>
      </c>
      <c r="K317" t="str">
        <v>Glued,</v>
      </c>
      <c r="L317" s="4" t="str">
        <f t="shared" si="4"/>
        <v xml:space="preserve">Glued </v>
      </c>
      <c r="N317" s="4" cm="1">
        <f t="array" ref="N317">SUM(--(_xlfn.TEXTSPLIT($J$2,, " ") = M317))</f>
        <v>4</v>
      </c>
      <c r="O317">
        <v>2</v>
      </c>
      <c r="P317" t="str">
        <v xml:space="preserve">Glued </v>
      </c>
      <c r="Q317">
        <v>0</v>
      </c>
      <c r="R317">
        <v>4</v>
      </c>
      <c r="S317" s="4">
        <v>2</v>
      </c>
      <c r="T317" s="10"/>
    </row>
    <row r="318" spans="5:20" x14ac:dyDescent="0.2">
      <c r="E318" s="4" t="s">
        <v>14</v>
      </c>
      <c r="K318" t="str">
        <v>glued,</v>
      </c>
      <c r="L318" s="4" t="str">
        <f t="shared" si="4"/>
        <v xml:space="preserve">glued </v>
      </c>
      <c r="N318" s="4" cm="1">
        <f t="array" ref="N318">SUM(--(_xlfn.TEXTSPLIT($J$2,, " ") = M318))</f>
        <v>4</v>
      </c>
      <c r="O318">
        <v>2</v>
      </c>
      <c r="P318" t="str">
        <v xml:space="preserve">glued </v>
      </c>
      <c r="Q318">
        <v>0</v>
      </c>
      <c r="R318">
        <v>4</v>
      </c>
      <c r="S318" s="4">
        <v>2</v>
      </c>
      <c r="T318" s="10"/>
    </row>
    <row r="319" spans="5:20" x14ac:dyDescent="0.2">
      <c r="E319" s="4" t="s">
        <v>14</v>
      </c>
      <c r="K319" t="str">
        <v>glued,</v>
      </c>
      <c r="L319" s="4" t="str">
        <f t="shared" si="4"/>
        <v xml:space="preserve">glued </v>
      </c>
      <c r="N319" s="4" cm="1">
        <f t="array" ref="N319">SUM(--(_xlfn.TEXTSPLIT($J$2,, " ") = M319))</f>
        <v>4</v>
      </c>
      <c r="O319">
        <v>2</v>
      </c>
      <c r="P319" t="str">
        <v xml:space="preserve">glued </v>
      </c>
      <c r="Q319">
        <v>0</v>
      </c>
      <c r="R319">
        <v>4</v>
      </c>
      <c r="S319" s="4">
        <v>2</v>
      </c>
      <c r="T319" s="10"/>
    </row>
    <row r="320" spans="5:20" x14ac:dyDescent="0.2">
      <c r="E320" s="4" t="s">
        <v>14</v>
      </c>
      <c r="K320" t="str">
        <v xml:space="preserve">glued
</v>
      </c>
      <c r="L320" s="4" t="str">
        <f t="shared" si="4"/>
        <v xml:space="preserve">glued </v>
      </c>
      <c r="N320" s="4" cm="1">
        <f t="array" ref="N320">SUM(--(_xlfn.TEXTSPLIT($J$2,, " ") = M320))</f>
        <v>4</v>
      </c>
      <c r="O320">
        <v>2</v>
      </c>
      <c r="P320" t="str">
        <v xml:space="preserve">glued </v>
      </c>
      <c r="Q320">
        <v>0</v>
      </c>
      <c r="R320">
        <v>4</v>
      </c>
      <c r="S320" s="4">
        <v>2</v>
      </c>
      <c r="T320" s="10"/>
    </row>
    <row r="321" spans="5:20" x14ac:dyDescent="0.2">
      <c r="E321" s="4" t="s">
        <v>14</v>
      </c>
      <c r="K321" t="str">
        <v/>
      </c>
      <c r="L321" s="4" t="str">
        <f t="shared" si="4"/>
        <v/>
      </c>
      <c r="N321" s="4" cm="1">
        <f t="array" ref="N321">SUM(--(_xlfn.TEXTSPLIT($J$2,, " ") = M321))</f>
        <v>4</v>
      </c>
      <c r="O321">
        <v>2</v>
      </c>
      <c r="P321" t="str">
        <v/>
      </c>
      <c r="Q321">
        <v>0</v>
      </c>
      <c r="R321">
        <v>4</v>
      </c>
      <c r="S321" s="4">
        <v>2</v>
      </c>
      <c r="T321" s="10"/>
    </row>
    <row r="322" spans="5:20" x14ac:dyDescent="0.2">
      <c r="E322" s="4" t="s">
        <v>14</v>
      </c>
      <c r="K322" t="str">
        <v>My</v>
      </c>
      <c r="L322" s="4" t="str">
        <f t="shared" si="4"/>
        <v>My</v>
      </c>
      <c r="N322" s="4" cm="1">
        <f t="array" ref="N322">SUM(--(_xlfn.TEXTSPLIT($J$2,, " ") = M322))</f>
        <v>4</v>
      </c>
      <c r="O322">
        <v>2</v>
      </c>
      <c r="P322" t="str">
        <v>My</v>
      </c>
      <c r="Q322">
        <v>0</v>
      </c>
      <c r="R322">
        <v>4</v>
      </c>
      <c r="S322" s="4">
        <v>2</v>
      </c>
      <c r="T322" s="10"/>
    </row>
    <row r="323" spans="5:20" x14ac:dyDescent="0.2">
      <c r="E323" s="4" t="s">
        <v>14</v>
      </c>
      <c r="K323" t="str">
        <v>smile</v>
      </c>
      <c r="L323" s="4" t="str">
        <f t="shared" si="4"/>
        <v>smile</v>
      </c>
      <c r="N323" s="4" cm="1">
        <f t="array" ref="N323">SUM(--(_xlfn.TEXTSPLIT($J$2,, " ") = M323))</f>
        <v>4</v>
      </c>
      <c r="O323">
        <v>2</v>
      </c>
      <c r="P323" t="str">
        <v>smile</v>
      </c>
      <c r="Q323">
        <v>0</v>
      </c>
      <c r="R323">
        <v>4</v>
      </c>
      <c r="S323" s="4">
        <v>2</v>
      </c>
      <c r="T323" s="10"/>
    </row>
    <row r="324" spans="5:20" x14ac:dyDescent="0.2">
      <c r="E324" s="4" t="s">
        <v>14</v>
      </c>
      <c r="K324" t="str">
        <v>wraps</v>
      </c>
      <c r="L324" s="4" t="str">
        <f t="shared" ref="L324:L387" si="5">_xlfn.REGEXREPLACE(K324, "[^A-Za-z ]", " ")</f>
        <v>wraps</v>
      </c>
      <c r="N324" s="4" cm="1">
        <f t="array" ref="N324">SUM(--(_xlfn.TEXTSPLIT($J$2,, " ") = M324))</f>
        <v>4</v>
      </c>
      <c r="O324">
        <v>2</v>
      </c>
      <c r="P324" t="str">
        <v>wraps</v>
      </c>
      <c r="Q324">
        <v>0</v>
      </c>
      <c r="R324">
        <v>4</v>
      </c>
      <c r="S324" s="4">
        <v>2</v>
      </c>
      <c r="T324" s="10"/>
    </row>
    <row r="325" spans="5:20" x14ac:dyDescent="0.2">
      <c r="E325" s="4" t="s">
        <v>14</v>
      </c>
      <c r="K325" t="str">
        <v>around</v>
      </c>
      <c r="L325" s="4" t="str">
        <f t="shared" si="5"/>
        <v>around</v>
      </c>
      <c r="N325" s="4" cm="1">
        <f t="array" ref="N325">SUM(--(_xlfn.TEXTSPLIT($J$2,, " ") = M325))</f>
        <v>4</v>
      </c>
      <c r="O325">
        <v>2</v>
      </c>
      <c r="P325" t="str">
        <v>around</v>
      </c>
      <c r="Q325">
        <v>0</v>
      </c>
      <c r="R325">
        <v>4</v>
      </c>
      <c r="S325" s="4">
        <v>2</v>
      </c>
      <c r="T325" s="10"/>
    </row>
    <row r="326" spans="5:20" x14ac:dyDescent="0.2">
      <c r="E326" s="4" t="s">
        <v>14</v>
      </c>
      <c r="K326" t="str">
        <v>my</v>
      </c>
      <c r="L326" s="4" t="str">
        <f t="shared" si="5"/>
        <v>my</v>
      </c>
      <c r="N326" s="4" cm="1">
        <f t="array" ref="N326">SUM(--(_xlfn.TEXTSPLIT($J$2,, " ") = M326))</f>
        <v>4</v>
      </c>
      <c r="O326">
        <v>2</v>
      </c>
      <c r="P326" t="str">
        <v>my</v>
      </c>
      <c r="Q326">
        <v>0</v>
      </c>
      <c r="R326">
        <v>4</v>
      </c>
      <c r="S326" s="4">
        <v>2</v>
      </c>
      <c r="T326" s="10"/>
    </row>
    <row r="327" spans="5:20" x14ac:dyDescent="0.2">
      <c r="E327" s="4" t="s">
        <v>14</v>
      </c>
      <c r="K327" t="str">
        <v>head,</v>
      </c>
      <c r="L327" s="4" t="str">
        <f t="shared" si="5"/>
        <v xml:space="preserve">head </v>
      </c>
      <c r="N327" s="4" cm="1">
        <f t="array" ref="N327">SUM(--(_xlfn.TEXTSPLIT($J$2,, " ") = M327))</f>
        <v>4</v>
      </c>
      <c r="O327">
        <v>2</v>
      </c>
      <c r="P327" t="str">
        <v xml:space="preserve">head </v>
      </c>
      <c r="Q327">
        <v>0</v>
      </c>
      <c r="R327">
        <v>4</v>
      </c>
      <c r="S327" s="4">
        <v>2</v>
      </c>
      <c r="T327" s="10"/>
    </row>
    <row r="328" spans="5:20" x14ac:dyDescent="0.2">
      <c r="E328" s="4" t="s">
        <v>14</v>
      </c>
      <c r="K328" t="str">
        <v>splitting</v>
      </c>
      <c r="L328" s="4" t="str">
        <f t="shared" si="5"/>
        <v>splitting</v>
      </c>
      <c r="N328" s="4" cm="1">
        <f t="array" ref="N328">SUM(--(_xlfn.TEXTSPLIT($J$2,, " ") = M328))</f>
        <v>4</v>
      </c>
      <c r="O328">
        <v>2</v>
      </c>
      <c r="P328" t="str">
        <v>splitting</v>
      </c>
      <c r="Q328">
        <v>0</v>
      </c>
      <c r="R328">
        <v>4</v>
      </c>
      <c r="S328" s="4">
        <v>2</v>
      </c>
      <c r="T328" s="10"/>
    </row>
    <row r="329" spans="5:20" x14ac:dyDescent="0.2">
      <c r="E329" s="4" t="s">
        <v>14</v>
      </c>
      <c r="K329" t="str">
        <v>it</v>
      </c>
      <c r="L329" s="4" t="str">
        <f t="shared" si="5"/>
        <v>it</v>
      </c>
      <c r="N329" s="4" cm="1">
        <f t="array" ref="N329">SUM(--(_xlfn.TEXTSPLIT($J$2,, " ") = M329))</f>
        <v>4</v>
      </c>
      <c r="O329">
        <v>2</v>
      </c>
      <c r="P329" t="str">
        <v>it</v>
      </c>
      <c r="Q329">
        <v>0</v>
      </c>
      <c r="R329">
        <v>4</v>
      </c>
      <c r="S329" s="4">
        <v>2</v>
      </c>
      <c r="T329" s="10"/>
    </row>
    <row r="330" spans="5:20" x14ac:dyDescent="0.2">
      <c r="E330" s="4" t="s">
        <v>14</v>
      </c>
      <c r="K330" t="str">
        <v xml:space="preserve">in
</v>
      </c>
      <c r="L330" s="4" t="str">
        <f t="shared" si="5"/>
        <v xml:space="preserve">in </v>
      </c>
      <c r="N330" s="4" cm="1">
        <f t="array" ref="N330">SUM(--(_xlfn.TEXTSPLIT($J$2,, " ") = M330))</f>
        <v>4</v>
      </c>
      <c r="O330">
        <v>2</v>
      </c>
      <c r="P330" t="str">
        <v xml:space="preserve">in </v>
      </c>
      <c r="Q330">
        <v>0</v>
      </c>
      <c r="R330">
        <v>4</v>
      </c>
      <c r="S330" s="4">
        <v>2</v>
      </c>
      <c r="T330" s="10"/>
    </row>
    <row r="331" spans="5:20" x14ac:dyDescent="0.2">
      <c r="E331" s="4" t="s">
        <v>14</v>
      </c>
      <c r="K331" t="str">
        <v>Two,</v>
      </c>
      <c r="L331" s="4" t="str">
        <f t="shared" si="5"/>
        <v xml:space="preserve">Two </v>
      </c>
      <c r="N331" s="4" cm="1">
        <f t="array" ref="N331">SUM(--(_xlfn.TEXTSPLIT($J$2,, " ") = M331))</f>
        <v>4</v>
      </c>
      <c r="O331">
        <v>2</v>
      </c>
      <c r="P331" t="str">
        <v xml:space="preserve">Two </v>
      </c>
      <c r="Q331">
        <v>0</v>
      </c>
      <c r="R331">
        <v>4</v>
      </c>
      <c r="S331" s="4">
        <v>2</v>
      </c>
      <c r="T331" s="10"/>
    </row>
    <row r="332" spans="5:20" x14ac:dyDescent="0.2">
      <c r="E332" s="4" t="s">
        <v>14</v>
      </c>
      <c r="K332" t="str">
        <v>two,</v>
      </c>
      <c r="L332" s="4" t="str">
        <f t="shared" si="5"/>
        <v xml:space="preserve">two </v>
      </c>
      <c r="N332" s="4" cm="1">
        <f t="array" ref="N332">SUM(--(_xlfn.TEXTSPLIT($J$2,, " ") = M332))</f>
        <v>4</v>
      </c>
      <c r="O332">
        <v>1</v>
      </c>
      <c r="P332" t="str">
        <v xml:space="preserve">two </v>
      </c>
      <c r="Q332">
        <v>0</v>
      </c>
      <c r="R332">
        <v>4</v>
      </c>
      <c r="S332" s="4">
        <v>1</v>
      </c>
      <c r="T332" s="10"/>
    </row>
    <row r="333" spans="5:20" x14ac:dyDescent="0.2">
      <c r="E333" s="4" t="s">
        <v>14</v>
      </c>
      <c r="K333" t="str">
        <v>two,</v>
      </c>
      <c r="L333" s="4" t="str">
        <f t="shared" si="5"/>
        <v xml:space="preserve">two </v>
      </c>
      <c r="N333" s="4" cm="1">
        <f t="array" ref="N333">SUM(--(_xlfn.TEXTSPLIT($J$2,, " ") = M333))</f>
        <v>4</v>
      </c>
      <c r="O333">
        <v>1</v>
      </c>
      <c r="P333" t="str">
        <v xml:space="preserve">two </v>
      </c>
      <c r="Q333">
        <v>0</v>
      </c>
      <c r="R333">
        <v>4</v>
      </c>
      <c r="S333" s="4">
        <v>1</v>
      </c>
      <c r="T333" s="10"/>
    </row>
    <row r="334" spans="5:20" x14ac:dyDescent="0.2">
      <c r="E334" s="4" t="s">
        <v>14</v>
      </c>
      <c r="K334" t="str">
        <v xml:space="preserve">two
</v>
      </c>
      <c r="L334" s="4" t="str">
        <f t="shared" si="5"/>
        <v xml:space="preserve">two </v>
      </c>
      <c r="N334" s="4" cm="1">
        <f t="array" ref="N334">SUM(--(_xlfn.TEXTSPLIT($J$2,, " ") = M334))</f>
        <v>4</v>
      </c>
      <c r="O334">
        <v>1</v>
      </c>
      <c r="P334" t="str">
        <v xml:space="preserve">two </v>
      </c>
      <c r="Q334">
        <v>0</v>
      </c>
      <c r="R334">
        <v>4</v>
      </c>
      <c r="S334" s="4">
        <v>1</v>
      </c>
      <c r="T334" s="10"/>
    </row>
    <row r="335" spans="5:20" x14ac:dyDescent="0.2">
      <c r="E335" s="4" t="s">
        <v>14</v>
      </c>
      <c r="K335" t="str">
        <v/>
      </c>
      <c r="L335" s="4" t="str">
        <f t="shared" si="5"/>
        <v/>
      </c>
      <c r="N335" s="4" cm="1">
        <f t="array" ref="N335">SUM(--(_xlfn.TEXTSPLIT($J$2,, " ") = M335))</f>
        <v>4</v>
      </c>
      <c r="O335">
        <v>1</v>
      </c>
      <c r="P335" t="str">
        <v/>
      </c>
      <c r="Q335">
        <v>0</v>
      </c>
      <c r="R335">
        <v>4</v>
      </c>
      <c r="S335" s="4">
        <v>1</v>
      </c>
      <c r="T335" s="10"/>
    </row>
    <row r="336" spans="5:20" x14ac:dyDescent="0.2">
      <c r="E336" s="4" t="s">
        <v>14</v>
      </c>
      <c r="K336" t="str">
        <v>I</v>
      </c>
      <c r="L336" s="4" t="str">
        <f t="shared" si="5"/>
        <v>I</v>
      </c>
      <c r="N336" s="4" cm="1">
        <f t="array" ref="N336">SUM(--(_xlfn.TEXTSPLIT($J$2,, " ") = M336))</f>
        <v>4</v>
      </c>
      <c r="O336">
        <v>1</v>
      </c>
      <c r="P336" t="str">
        <v>I</v>
      </c>
      <c r="Q336">
        <v>0</v>
      </c>
      <c r="R336">
        <v>4</v>
      </c>
      <c r="S336" s="4">
        <v>1</v>
      </c>
      <c r="T336" s="10"/>
    </row>
    <row r="337" spans="5:20" x14ac:dyDescent="0.2">
      <c r="E337" s="4" t="s">
        <v>14</v>
      </c>
      <c r="K337" t="str">
        <v>don't</v>
      </c>
      <c r="L337" s="4" t="str">
        <f t="shared" si="5"/>
        <v>don t</v>
      </c>
      <c r="N337" s="4" cm="1">
        <f t="array" ref="N337">SUM(--(_xlfn.TEXTSPLIT($J$2,, " ") = M337))</f>
        <v>4</v>
      </c>
      <c r="O337">
        <v>1</v>
      </c>
      <c r="P337" t="str">
        <v>don t</v>
      </c>
      <c r="Q337">
        <v>0</v>
      </c>
      <c r="R337">
        <v>4</v>
      </c>
      <c r="S337" s="4">
        <v>1</v>
      </c>
      <c r="T337" s="10"/>
    </row>
    <row r="338" spans="5:20" x14ac:dyDescent="0.2">
      <c r="E338" s="4" t="s">
        <v>14</v>
      </c>
      <c r="K338" t="str">
        <v>have</v>
      </c>
      <c r="L338" s="4" t="str">
        <f t="shared" si="5"/>
        <v>have</v>
      </c>
      <c r="N338" s="4" cm="1">
        <f t="array" ref="N338">SUM(--(_xlfn.TEXTSPLIT($J$2,, " ") = M338))</f>
        <v>4</v>
      </c>
      <c r="O338">
        <v>1</v>
      </c>
      <c r="P338" t="str">
        <v>have</v>
      </c>
      <c r="Q338">
        <v>0</v>
      </c>
      <c r="R338">
        <v>4</v>
      </c>
      <c r="S338" s="4">
        <v>1</v>
      </c>
      <c r="T338" s="10"/>
    </row>
    <row r="339" spans="5:20" x14ac:dyDescent="0.2">
      <c r="E339" s="4" t="s">
        <v>14</v>
      </c>
      <c r="K339" t="str">
        <v>a</v>
      </c>
      <c r="L339" s="4" t="str">
        <f t="shared" si="5"/>
        <v>a</v>
      </c>
      <c r="N339" s="4" cm="1">
        <f t="array" ref="N339">SUM(--(_xlfn.TEXTSPLIT($J$2,, " ") = M339))</f>
        <v>4</v>
      </c>
      <c r="O339">
        <v>1</v>
      </c>
      <c r="P339" t="str">
        <v>a</v>
      </c>
      <c r="Q339">
        <v>0</v>
      </c>
      <c r="R339">
        <v>4</v>
      </c>
      <c r="S339" s="4">
        <v>1</v>
      </c>
      <c r="T339" s="10"/>
    </row>
    <row r="340" spans="5:20" x14ac:dyDescent="0.2">
      <c r="E340" s="4" t="s">
        <v>14</v>
      </c>
      <c r="K340" t="str">
        <v>clue</v>
      </c>
      <c r="L340" s="4" t="str">
        <f t="shared" si="5"/>
        <v>clue</v>
      </c>
      <c r="N340" s="4" cm="1">
        <f t="array" ref="N340">SUM(--(_xlfn.TEXTSPLIT($J$2,, " ") = M340))</f>
        <v>4</v>
      </c>
      <c r="O340">
        <v>1</v>
      </c>
      <c r="P340" t="str">
        <v>clue</v>
      </c>
      <c r="Q340">
        <v>0</v>
      </c>
      <c r="R340">
        <v>4</v>
      </c>
      <c r="S340" s="4">
        <v>1</v>
      </c>
      <c r="T340" s="10"/>
    </row>
    <row r="341" spans="5:20" x14ac:dyDescent="0.2">
      <c r="E341" s="4" t="s">
        <v>14</v>
      </c>
      <c r="K341" t="str">
        <v>how</v>
      </c>
      <c r="L341" s="4" t="str">
        <f t="shared" si="5"/>
        <v>how</v>
      </c>
      <c r="N341" s="4" cm="1">
        <f t="array" ref="N341">SUM(--(_xlfn.TEXTSPLIT($J$2,, " ") = M341))</f>
        <v>4</v>
      </c>
      <c r="O341">
        <v>1</v>
      </c>
      <c r="P341" t="str">
        <v>how</v>
      </c>
      <c r="Q341">
        <v>0</v>
      </c>
      <c r="R341">
        <v>4</v>
      </c>
      <c r="S341" s="4">
        <v>1</v>
      </c>
      <c r="T341" s="10"/>
    </row>
    <row r="342" spans="5:20" x14ac:dyDescent="0.2">
      <c r="E342" s="4" t="s">
        <v>14</v>
      </c>
      <c r="K342" t="str">
        <v>I</v>
      </c>
      <c r="L342" s="4" t="str">
        <f t="shared" si="5"/>
        <v>I</v>
      </c>
      <c r="N342" s="4" cm="1">
        <f t="array" ref="N342">SUM(--(_xlfn.TEXTSPLIT($J$2,, " ") = M342))</f>
        <v>4</v>
      </c>
      <c r="O342">
        <v>1</v>
      </c>
      <c r="P342" t="str">
        <v>I</v>
      </c>
      <c r="Q342">
        <v>0</v>
      </c>
      <c r="R342">
        <v>4</v>
      </c>
      <c r="S342" s="4">
        <v>1</v>
      </c>
      <c r="T342" s="10"/>
    </row>
    <row r="343" spans="5:20" x14ac:dyDescent="0.2">
      <c r="E343" s="4" t="s">
        <v>14</v>
      </c>
      <c r="K343" t="str">
        <v>can</v>
      </c>
      <c r="L343" s="4" t="str">
        <f t="shared" si="5"/>
        <v>can</v>
      </c>
      <c r="N343" s="4" cm="1">
        <f t="array" ref="N343">SUM(--(_xlfn.TEXTSPLIT($J$2,, " ") = M343))</f>
        <v>4</v>
      </c>
      <c r="O343">
        <v>1</v>
      </c>
      <c r="P343" t="str">
        <v>can</v>
      </c>
      <c r="Q343">
        <v>0</v>
      </c>
      <c r="R343">
        <v>4</v>
      </c>
      <c r="S343" s="4">
        <v>1</v>
      </c>
      <c r="T343" s="10"/>
    </row>
    <row r="344" spans="5:20" x14ac:dyDescent="0.2">
      <c r="E344" s="4" t="s">
        <v>14</v>
      </c>
      <c r="K344" t="str">
        <v>keep</v>
      </c>
      <c r="L344" s="4" t="str">
        <f t="shared" si="5"/>
        <v>keep</v>
      </c>
      <c r="N344" s="4" cm="1">
        <f t="array" ref="N344">SUM(--(_xlfn.TEXTSPLIT($J$2,, " ") = M344))</f>
        <v>4</v>
      </c>
      <c r="O344">
        <v>1</v>
      </c>
      <c r="P344" t="str">
        <v>keep</v>
      </c>
      <c r="Q344">
        <v>0</v>
      </c>
      <c r="R344">
        <v>4</v>
      </c>
      <c r="S344" s="4">
        <v>1</v>
      </c>
      <c r="T344" s="10"/>
    </row>
    <row r="345" spans="5:20" x14ac:dyDescent="0.2">
      <c r="E345" s="4" t="s">
        <v>14</v>
      </c>
      <c r="K345" t="str">
        <v>the</v>
      </c>
      <c r="L345" s="4" t="str">
        <f t="shared" si="5"/>
        <v>the</v>
      </c>
      <c r="N345" s="4" cm="1">
        <f t="array" ref="N345">SUM(--(_xlfn.TEXTSPLIT($J$2,, " ") = M345))</f>
        <v>4</v>
      </c>
      <c r="O345">
        <v>1</v>
      </c>
      <c r="P345" t="str">
        <v>the</v>
      </c>
      <c r="Q345">
        <v>0</v>
      </c>
      <c r="R345">
        <v>4</v>
      </c>
      <c r="S345" s="4">
        <v>1</v>
      </c>
      <c r="T345" s="10"/>
    </row>
    <row r="346" spans="5:20" x14ac:dyDescent="0.2">
      <c r="E346" s="4" t="s">
        <v>14</v>
      </c>
      <c r="K346" t="str">
        <v>top</v>
      </c>
      <c r="L346" s="4" t="str">
        <f t="shared" si="5"/>
        <v>top</v>
      </c>
      <c r="N346" s="4" cm="1">
        <f t="array" ref="N346">SUM(--(_xlfn.TEXTSPLIT($J$2,, " ") = M346))</f>
        <v>4</v>
      </c>
      <c r="O346">
        <v>1</v>
      </c>
      <c r="P346" t="str">
        <v>top</v>
      </c>
      <c r="Q346">
        <v>0</v>
      </c>
      <c r="R346">
        <v>4</v>
      </c>
      <c r="S346" s="4">
        <v>1</v>
      </c>
      <c r="T346" s="10"/>
    </row>
    <row r="347" spans="5:20" x14ac:dyDescent="0.2">
      <c r="E347" s="4" t="s">
        <v>14</v>
      </c>
      <c r="K347" t="str">
        <v xml:space="preserve">half
</v>
      </c>
      <c r="L347" s="4" t="str">
        <f t="shared" si="5"/>
        <v xml:space="preserve">half </v>
      </c>
      <c r="N347" s="4" cm="1">
        <f t="array" ref="N347">SUM(--(_xlfn.TEXTSPLIT($J$2,, " ") = M347))</f>
        <v>4</v>
      </c>
      <c r="O347">
        <v>1</v>
      </c>
      <c r="P347" t="str">
        <v xml:space="preserve">half </v>
      </c>
      <c r="Q347">
        <v>0</v>
      </c>
      <c r="R347">
        <v>4</v>
      </c>
      <c r="S347" s="4">
        <v>1</v>
      </c>
      <c r="T347" s="10"/>
    </row>
    <row r="348" spans="5:20" x14ac:dyDescent="0.2">
      <c r="E348" s="4" t="s">
        <v>14</v>
      </c>
      <c r="K348" t="str">
        <v>Glued,</v>
      </c>
      <c r="L348" s="4" t="str">
        <f t="shared" si="5"/>
        <v xml:space="preserve">Glued </v>
      </c>
      <c r="N348" s="4" cm="1">
        <f t="array" ref="N348">SUM(--(_xlfn.TEXTSPLIT($J$2,, " ") = M348))</f>
        <v>4</v>
      </c>
      <c r="O348">
        <v>1</v>
      </c>
      <c r="P348" t="str">
        <v xml:space="preserve">Glued </v>
      </c>
      <c r="Q348">
        <v>0</v>
      </c>
      <c r="R348">
        <v>4</v>
      </c>
      <c r="S348" s="4">
        <v>1</v>
      </c>
      <c r="T348" s="10"/>
    </row>
    <row r="349" spans="5:20" x14ac:dyDescent="0.2">
      <c r="E349" s="4" t="s">
        <v>14</v>
      </c>
      <c r="K349" t="str">
        <v>glued,</v>
      </c>
      <c r="L349" s="4" t="str">
        <f t="shared" si="5"/>
        <v xml:space="preserve">glued </v>
      </c>
      <c r="N349" s="4" cm="1">
        <f t="array" ref="N349">SUM(--(_xlfn.TEXTSPLIT($J$2,, " ") = M349))</f>
        <v>4</v>
      </c>
      <c r="O349">
        <v>1</v>
      </c>
      <c r="P349" t="str">
        <v xml:space="preserve">glued </v>
      </c>
      <c r="Q349">
        <v>0</v>
      </c>
      <c r="R349">
        <v>4</v>
      </c>
      <c r="S349" s="4">
        <v>1</v>
      </c>
      <c r="T349" s="10"/>
    </row>
    <row r="350" spans="5:20" x14ac:dyDescent="0.2">
      <c r="E350" s="4" t="s">
        <v>14</v>
      </c>
      <c r="K350" t="str">
        <v>glued,</v>
      </c>
      <c r="L350" s="4" t="str">
        <f t="shared" si="5"/>
        <v xml:space="preserve">glued </v>
      </c>
      <c r="N350" s="4" cm="1">
        <f t="array" ref="N350">SUM(--(_xlfn.TEXTSPLIT($J$2,, " ") = M350))</f>
        <v>4</v>
      </c>
      <c r="O350">
        <v>1</v>
      </c>
      <c r="P350" t="str">
        <v xml:space="preserve">glued </v>
      </c>
      <c r="Q350">
        <v>0</v>
      </c>
      <c r="R350">
        <v>4</v>
      </c>
      <c r="S350" s="4">
        <v>1</v>
      </c>
      <c r="T350" s="10"/>
    </row>
    <row r="351" spans="5:20" x14ac:dyDescent="0.2">
      <c r="E351" s="4" t="s">
        <v>14</v>
      </c>
      <c r="K351" t="str">
        <v xml:space="preserve">glued
</v>
      </c>
      <c r="L351" s="4" t="str">
        <f t="shared" si="5"/>
        <v xml:space="preserve">glued  </v>
      </c>
      <c r="N351" s="4" cm="1">
        <f t="array" ref="N351">SUM(--(_xlfn.TEXTSPLIT($J$2,, " ") = M351))</f>
        <v>4</v>
      </c>
      <c r="O351">
        <v>1</v>
      </c>
      <c r="P351" t="str">
        <v xml:space="preserve">glued  </v>
      </c>
      <c r="Q351">
        <v>0</v>
      </c>
      <c r="R351">
        <v>4</v>
      </c>
      <c r="S351" s="4">
        <v>1</v>
      </c>
      <c r="T351" s="10"/>
    </row>
    <row r="352" spans="5:20" x14ac:dyDescent="0.2">
      <c r="E352" s="4" t="s">
        <v>14</v>
      </c>
      <c r="K352" t="str">
        <v/>
      </c>
      <c r="L352" s="4" t="str">
        <f t="shared" si="5"/>
        <v/>
      </c>
      <c r="N352" s="4" cm="1">
        <f t="array" ref="N352">SUM(--(_xlfn.TEXTSPLIT($J$2,, " ") = M352))</f>
        <v>4</v>
      </c>
      <c r="O352">
        <v>1</v>
      </c>
      <c r="P352" t="str">
        <v/>
      </c>
      <c r="Q352">
        <v>0</v>
      </c>
      <c r="R352">
        <v>4</v>
      </c>
      <c r="S352" s="4">
        <v>1</v>
      </c>
      <c r="T352" s="10"/>
    </row>
    <row r="353" spans="5:20" x14ac:dyDescent="0.2">
      <c r="E353" s="4" t="s">
        <v>14</v>
      </c>
      <c r="K353" t="str">
        <v>I</v>
      </c>
      <c r="L353" s="4" t="str">
        <f t="shared" si="5"/>
        <v>I</v>
      </c>
      <c r="N353" s="4" cm="1">
        <f t="array" ref="N353">SUM(--(_xlfn.TEXTSPLIT($J$2,, " ") = M353))</f>
        <v>4</v>
      </c>
      <c r="O353">
        <v>1</v>
      </c>
      <c r="P353" t="str">
        <v>I</v>
      </c>
      <c r="Q353">
        <v>0</v>
      </c>
      <c r="R353">
        <v>4</v>
      </c>
      <c r="S353" s="4">
        <v>1</v>
      </c>
      <c r="T353" s="10"/>
    </row>
    <row r="354" spans="5:20" x14ac:dyDescent="0.2">
      <c r="E354" s="4" t="s">
        <v>14</v>
      </c>
      <c r="K354" t="str">
        <v>wonder</v>
      </c>
      <c r="L354" s="4" t="str">
        <f t="shared" si="5"/>
        <v>wonder</v>
      </c>
      <c r="N354" s="4" cm="1">
        <f t="array" ref="N354">SUM(--(_xlfn.TEXTSPLIT($J$2,, " ") = M354))</f>
        <v>4</v>
      </c>
      <c r="O354">
        <v>1</v>
      </c>
      <c r="P354" t="str">
        <v>wonder</v>
      </c>
      <c r="Q354">
        <v>0</v>
      </c>
      <c r="R354">
        <v>4</v>
      </c>
      <c r="S354" s="4">
        <v>1</v>
      </c>
      <c r="T354" s="10"/>
    </row>
    <row r="355" spans="5:20" x14ac:dyDescent="0.2">
      <c r="E355" s="4" t="s">
        <v>14</v>
      </c>
      <c r="K355" t="str">
        <v>where</v>
      </c>
      <c r="L355" s="4" t="str">
        <f t="shared" si="5"/>
        <v>where</v>
      </c>
      <c r="N355" s="4" cm="1">
        <f t="array" ref="N355">SUM(--(_xlfn.TEXTSPLIT($J$2,, " ") = M355))</f>
        <v>4</v>
      </c>
      <c r="O355">
        <v>1</v>
      </c>
      <c r="P355" t="str">
        <v>where</v>
      </c>
      <c r="Q355">
        <v>0</v>
      </c>
      <c r="R355">
        <v>4</v>
      </c>
      <c r="S355" s="4">
        <v>1</v>
      </c>
      <c r="T355" s="10"/>
    </row>
    <row r="356" spans="5:20" x14ac:dyDescent="0.2">
      <c r="E356" s="4" t="s">
        <v>14</v>
      </c>
      <c r="K356" t="str">
        <v>you</v>
      </c>
      <c r="L356" s="4" t="str">
        <f t="shared" si="5"/>
        <v>you</v>
      </c>
      <c r="N356" s="4" cm="1">
        <f t="array" ref="N356">SUM(--(_xlfn.TEXTSPLIT($J$2,, " ") = M356))</f>
        <v>4</v>
      </c>
      <c r="O356">
        <v>1</v>
      </c>
      <c r="P356" t="str">
        <v>you</v>
      </c>
      <c r="Q356">
        <v>0</v>
      </c>
      <c r="R356">
        <v>4</v>
      </c>
      <c r="S356" s="4">
        <v>1</v>
      </c>
      <c r="T356" s="10"/>
    </row>
    <row r="357" spans="5:20" x14ac:dyDescent="0.2">
      <c r="E357" s="4" t="s">
        <v>14</v>
      </c>
      <c r="K357" t="str">
        <v>are
I</v>
      </c>
      <c r="L357" s="4" t="str">
        <f t="shared" si="5"/>
        <v>are I</v>
      </c>
      <c r="N357" s="4" cm="1">
        <f t="array" ref="N357">SUM(--(_xlfn.TEXTSPLIT($J$2,, " ") = M357))</f>
        <v>4</v>
      </c>
      <c r="O357">
        <v>1</v>
      </c>
      <c r="P357" t="str">
        <v>are I</v>
      </c>
      <c r="Q357">
        <v>0</v>
      </c>
      <c r="R357">
        <v>4</v>
      </c>
      <c r="S357" s="4">
        <v>1</v>
      </c>
      <c r="T357" s="10"/>
    </row>
    <row r="358" spans="5:20" x14ac:dyDescent="0.2">
      <c r="E358" s="4" t="s">
        <v>14</v>
      </c>
      <c r="K358" t="str">
        <v>wanted</v>
      </c>
      <c r="L358" s="4" t="str">
        <f t="shared" si="5"/>
        <v>wanted</v>
      </c>
      <c r="N358" s="4" cm="1">
        <f t="array" ref="N358">SUM(--(_xlfn.TEXTSPLIT($J$2,, " ") = M358))</f>
        <v>4</v>
      </c>
      <c r="O358">
        <v>1</v>
      </c>
      <c r="P358" t="str">
        <v>wanted</v>
      </c>
      <c r="Q358">
        <v>0</v>
      </c>
      <c r="R358">
        <v>4</v>
      </c>
      <c r="S358" s="4">
        <v>1</v>
      </c>
      <c r="T358" s="10"/>
    </row>
    <row r="359" spans="5:20" x14ac:dyDescent="0.2">
      <c r="E359" s="4" t="s">
        <v>14</v>
      </c>
      <c r="K359" t="str">
        <v>you</v>
      </c>
      <c r="L359" s="4" t="str">
        <f t="shared" si="5"/>
        <v>you</v>
      </c>
      <c r="N359" s="4" cm="1">
        <f t="array" ref="N359">SUM(--(_xlfn.TEXTSPLIT($J$2,, " ") = M359))</f>
        <v>4</v>
      </c>
      <c r="O359">
        <v>1</v>
      </c>
      <c r="P359" t="str">
        <v>you</v>
      </c>
      <c r="Q359">
        <v>0</v>
      </c>
      <c r="R359">
        <v>4</v>
      </c>
      <c r="S359" s="4">
        <v>1</v>
      </c>
      <c r="T359" s="10"/>
    </row>
    <row r="360" spans="5:20" x14ac:dyDescent="0.2">
      <c r="E360" s="4" t="s">
        <v>14</v>
      </c>
      <c r="K360" t="str">
        <v>to</v>
      </c>
      <c r="L360" s="4" t="str">
        <f t="shared" si="5"/>
        <v>to</v>
      </c>
      <c r="N360" s="4" cm="1">
        <f t="array" ref="N360">SUM(--(_xlfn.TEXTSPLIT($J$2,, " ") = M360))</f>
        <v>4</v>
      </c>
      <c r="O360">
        <v>1</v>
      </c>
      <c r="P360" t="str">
        <v>to</v>
      </c>
      <c r="Q360">
        <v>0</v>
      </c>
      <c r="R360">
        <v>4</v>
      </c>
      <c r="S360" s="4">
        <v>1</v>
      </c>
      <c r="T360" s="10"/>
    </row>
    <row r="361" spans="5:20" x14ac:dyDescent="0.2">
      <c r="E361" s="4" t="s">
        <v>14</v>
      </c>
      <c r="K361" t="str">
        <v>show</v>
      </c>
      <c r="L361" s="4" t="str">
        <f t="shared" si="5"/>
        <v>show</v>
      </c>
      <c r="N361" s="4" cm="1">
        <f t="array" ref="N361">SUM(--(_xlfn.TEXTSPLIT($J$2,, " ") = M361))</f>
        <v>4</v>
      </c>
      <c r="O361">
        <v>1</v>
      </c>
      <c r="P361" t="str">
        <v>show</v>
      </c>
      <c r="Q361">
        <v>0</v>
      </c>
      <c r="R361">
        <v>4</v>
      </c>
      <c r="S361" s="4">
        <v>1</v>
      </c>
      <c r="T361" s="10"/>
    </row>
    <row r="362" spans="5:20" x14ac:dyDescent="0.2">
      <c r="E362" s="4" t="s">
        <v>14</v>
      </c>
      <c r="K362" t="str">
        <v xml:space="preserve">me
</v>
      </c>
      <c r="L362" s="4" t="str">
        <f t="shared" si="5"/>
        <v xml:space="preserve">me  </v>
      </c>
      <c r="N362" s="4" cm="1">
        <f t="array" ref="N362">SUM(--(_xlfn.TEXTSPLIT($J$2,, " ") = M362))</f>
        <v>4</v>
      </c>
      <c r="O362">
        <v>1</v>
      </c>
      <c r="P362" t="str">
        <v xml:space="preserve">me  </v>
      </c>
      <c r="Q362">
        <v>0</v>
      </c>
      <c r="R362">
        <v>4</v>
      </c>
      <c r="S362" s="4">
        <v>1</v>
      </c>
      <c r="T362" s="10"/>
    </row>
    <row r="363" spans="5:20" x14ac:dyDescent="0.2">
      <c r="E363" s="4" t="s">
        <v>14</v>
      </c>
      <c r="K363" t="str">
        <v>Entertain</v>
      </c>
      <c r="L363" s="4" t="str">
        <f t="shared" si="5"/>
        <v>Entertain</v>
      </c>
      <c r="N363" s="4" cm="1">
        <f t="array" ref="N363">SUM(--(_xlfn.TEXTSPLIT($J$2,, " ") = M363))</f>
        <v>4</v>
      </c>
      <c r="O363">
        <v>1</v>
      </c>
      <c r="P363" t="str">
        <v>Entertain</v>
      </c>
      <c r="Q363">
        <v>0</v>
      </c>
      <c r="R363">
        <v>4</v>
      </c>
      <c r="S363" s="4">
        <v>1</v>
      </c>
      <c r="T363" s="10"/>
    </row>
    <row r="364" spans="5:20" x14ac:dyDescent="0.2">
      <c r="E364" s="4" t="s">
        <v>14</v>
      </c>
      <c r="K364" t="str">
        <v>my,</v>
      </c>
      <c r="L364" s="4" t="str">
        <f t="shared" si="5"/>
        <v xml:space="preserve">my </v>
      </c>
      <c r="N364" s="4" cm="1">
        <f t="array" ref="N364">SUM(--(_xlfn.TEXTSPLIT($J$2,, " ") = M364))</f>
        <v>4</v>
      </c>
      <c r="O364">
        <v>1</v>
      </c>
      <c r="P364" t="str">
        <v xml:space="preserve">my </v>
      </c>
      <c r="Q364">
        <v>0</v>
      </c>
      <c r="R364">
        <v>4</v>
      </c>
      <c r="S364" s="4">
        <v>1</v>
      </c>
      <c r="T364" s="10"/>
    </row>
    <row r="365" spans="5:20" x14ac:dyDescent="0.2">
      <c r="E365" s="4" t="s">
        <v>14</v>
      </c>
      <c r="K365" t="str">
        <v>entertain</v>
      </c>
      <c r="L365" s="4" t="str">
        <f t="shared" si="5"/>
        <v>entertain</v>
      </c>
      <c r="N365" s="4" cm="1">
        <f t="array" ref="N365">SUM(--(_xlfn.TEXTSPLIT($J$2,, " ") = M365))</f>
        <v>4</v>
      </c>
      <c r="O365">
        <v>1</v>
      </c>
      <c r="P365" t="str">
        <v>entertain</v>
      </c>
      <c r="Q365">
        <v>0</v>
      </c>
      <c r="R365">
        <v>4</v>
      </c>
      <c r="S365" s="4">
        <v>1</v>
      </c>
      <c r="T365" s="10"/>
    </row>
    <row r="366" spans="5:20" x14ac:dyDescent="0.2">
      <c r="E366" s="4" t="s">
        <v>14</v>
      </c>
      <c r="K366" t="str">
        <v xml:space="preserve">my
</v>
      </c>
      <c r="L366" s="4" t="str">
        <f t="shared" si="5"/>
        <v xml:space="preserve">my </v>
      </c>
      <c r="N366" s="4" cm="1">
        <f t="array" ref="N366">SUM(--(_xlfn.TEXTSPLIT($J$2,, " ") = M366))</f>
        <v>4</v>
      </c>
      <c r="O366">
        <v>1</v>
      </c>
      <c r="P366" t="str">
        <v xml:space="preserve">my </v>
      </c>
      <c r="Q366">
        <v>0</v>
      </c>
      <c r="R366">
        <v>4</v>
      </c>
      <c r="S366" s="4">
        <v>1</v>
      </c>
      <c r="T366" s="10"/>
    </row>
    <row r="367" spans="5:20" x14ac:dyDescent="0.2">
      <c r="E367" s="4" t="s">
        <v>14</v>
      </c>
      <c r="K367" t="str">
        <v>Entertain</v>
      </c>
      <c r="L367" s="4" t="str">
        <f t="shared" si="5"/>
        <v>Entertain</v>
      </c>
      <c r="N367" s="4" cm="1">
        <f t="array" ref="N367">SUM(--(_xlfn.TEXTSPLIT($J$2,, " ") = M367))</f>
        <v>4</v>
      </c>
      <c r="O367">
        <v>1</v>
      </c>
      <c r="P367" t="str">
        <v>Entertain</v>
      </c>
      <c r="Q367">
        <v>0</v>
      </c>
      <c r="R367">
        <v>4</v>
      </c>
      <c r="S367" s="4">
        <v>1</v>
      </c>
      <c r="T367" s="10"/>
    </row>
    <row r="368" spans="5:20" x14ac:dyDescent="0.2">
      <c r="E368" s="4" t="s">
        <v>14</v>
      </c>
      <c r="K368" t="str">
        <v>my,</v>
      </c>
      <c r="L368" s="4" t="str">
        <f t="shared" si="5"/>
        <v xml:space="preserve">my </v>
      </c>
      <c r="N368" s="4" cm="1">
        <f t="array" ref="N368">SUM(--(_xlfn.TEXTSPLIT($J$2,, " ") = M368))</f>
        <v>4</v>
      </c>
      <c r="O368">
        <v>1</v>
      </c>
      <c r="P368" t="str">
        <v xml:space="preserve">my </v>
      </c>
      <c r="Q368">
        <v>0</v>
      </c>
      <c r="R368">
        <v>4</v>
      </c>
      <c r="S368" s="4">
        <v>1</v>
      </c>
      <c r="T368" s="10"/>
    </row>
    <row r="369" spans="5:20" x14ac:dyDescent="0.2">
      <c r="E369" s="4" t="s">
        <v>14</v>
      </c>
      <c r="K369" t="str">
        <v>entertain</v>
      </c>
      <c r="L369" s="4" t="str">
        <f t="shared" si="5"/>
        <v>entertain</v>
      </c>
      <c r="N369" s="4" cm="1">
        <f t="array" ref="N369">SUM(--(_xlfn.TEXTSPLIT($J$2,, " ") = M369))</f>
        <v>4</v>
      </c>
      <c r="O369">
        <v>1</v>
      </c>
      <c r="P369" t="str">
        <v>entertain</v>
      </c>
      <c r="Q369">
        <v>0</v>
      </c>
      <c r="R369">
        <v>4</v>
      </c>
      <c r="S369" s="4">
        <v>1</v>
      </c>
      <c r="T369" s="10"/>
    </row>
    <row r="370" spans="5:20" x14ac:dyDescent="0.2">
      <c r="E370" s="4" t="s">
        <v>14</v>
      </c>
      <c r="K370" t="str">
        <v xml:space="preserve">my
</v>
      </c>
      <c r="L370" s="4" t="str">
        <f t="shared" si="5"/>
        <v xml:space="preserve">my </v>
      </c>
      <c r="N370" s="4" cm="1">
        <f t="array" ref="N370">SUM(--(_xlfn.TEXTSPLIT($J$2,, " ") = M370))</f>
        <v>4</v>
      </c>
      <c r="O370">
        <v>1</v>
      </c>
      <c r="P370" t="str">
        <v xml:space="preserve">my </v>
      </c>
      <c r="Q370">
        <v>0</v>
      </c>
      <c r="R370">
        <v>4</v>
      </c>
      <c r="S370" s="4">
        <v>1</v>
      </c>
      <c r="T370" s="10"/>
    </row>
    <row r="371" spans="5:20" x14ac:dyDescent="0.2">
      <c r="E371" s="4" t="s">
        <v>14</v>
      </c>
      <c r="K371" t="str">
        <v>Entertain</v>
      </c>
      <c r="L371" s="4" t="str">
        <f t="shared" si="5"/>
        <v>Entertain</v>
      </c>
      <c r="N371" s="4" cm="1">
        <f t="array" ref="N371">SUM(--(_xlfn.TEXTSPLIT($J$2,, " ") = M371))</f>
        <v>4</v>
      </c>
      <c r="O371">
        <v>1</v>
      </c>
      <c r="P371" t="str">
        <v>Entertain</v>
      </c>
      <c r="Q371">
        <v>0</v>
      </c>
      <c r="R371">
        <v>4</v>
      </c>
      <c r="S371" s="4">
        <v>1</v>
      </c>
      <c r="T371" s="10"/>
    </row>
    <row r="372" spans="5:20" x14ac:dyDescent="0.2">
      <c r="E372" s="4" t="s">
        <v>14</v>
      </c>
      <c r="K372" t="str">
        <v>my,</v>
      </c>
      <c r="L372" s="4" t="str">
        <f t="shared" si="5"/>
        <v xml:space="preserve">my </v>
      </c>
      <c r="N372" s="4" cm="1">
        <f t="array" ref="N372">SUM(--(_xlfn.TEXTSPLIT($J$2,, " ") = M372))</f>
        <v>4</v>
      </c>
      <c r="O372">
        <v>1</v>
      </c>
      <c r="P372" t="str">
        <v xml:space="preserve">my </v>
      </c>
      <c r="Q372">
        <v>0</v>
      </c>
      <c r="R372">
        <v>4</v>
      </c>
      <c r="S372" s="4">
        <v>1</v>
      </c>
      <c r="T372" s="10"/>
    </row>
    <row r="373" spans="5:20" x14ac:dyDescent="0.2">
      <c r="E373" s="4" t="s">
        <v>14</v>
      </c>
      <c r="K373" t="str">
        <v>entertain</v>
      </c>
      <c r="L373" s="4" t="str">
        <f t="shared" si="5"/>
        <v>entertain</v>
      </c>
      <c r="N373" s="4" cm="1">
        <f t="array" ref="N373">SUM(--(_xlfn.TEXTSPLIT($J$2,, " ") = M373))</f>
        <v>4</v>
      </c>
      <c r="O373">
        <v>1</v>
      </c>
      <c r="P373" t="str">
        <v>entertain</v>
      </c>
      <c r="Q373">
        <v>0</v>
      </c>
      <c r="R373">
        <v>4</v>
      </c>
      <c r="S373" s="4">
        <v>1</v>
      </c>
      <c r="T373" s="10"/>
    </row>
    <row r="374" spans="5:20" x14ac:dyDescent="0.2">
      <c r="E374" s="4" t="s">
        <v>14</v>
      </c>
      <c r="K374" t="str">
        <v xml:space="preserve">my
</v>
      </c>
      <c r="L374" s="4" t="str">
        <f t="shared" si="5"/>
        <v xml:space="preserve">my </v>
      </c>
      <c r="N374" s="4" cm="1">
        <f t="array" ref="N374">SUM(--(_xlfn.TEXTSPLIT($J$2,, " ") = M374))</f>
        <v>4</v>
      </c>
      <c r="O374">
        <v>1</v>
      </c>
      <c r="P374" t="str">
        <v xml:space="preserve">my </v>
      </c>
      <c r="Q374">
        <v>0</v>
      </c>
      <c r="R374">
        <v>4</v>
      </c>
      <c r="S374" s="4">
        <v>1</v>
      </c>
      <c r="T374" s="10"/>
    </row>
    <row r="375" spans="5:20" x14ac:dyDescent="0.2">
      <c r="E375" s="4" t="s">
        <v>14</v>
      </c>
      <c r="K375" t="str">
        <v>Entertain</v>
      </c>
      <c r="L375" s="4" t="str">
        <f t="shared" si="5"/>
        <v>Entertain</v>
      </c>
      <c r="N375" s="4" cm="1">
        <f t="array" ref="N375">SUM(--(_xlfn.TEXTSPLIT($J$2,, " ") = M375))</f>
        <v>4</v>
      </c>
      <c r="O375">
        <v>1</v>
      </c>
      <c r="P375" t="str">
        <v>Entertain</v>
      </c>
      <c r="Q375">
        <v>0</v>
      </c>
      <c r="R375">
        <v>4</v>
      </c>
      <c r="S375" s="4">
        <v>1</v>
      </c>
      <c r="T375" s="10"/>
    </row>
    <row r="376" spans="5:20" x14ac:dyDescent="0.2">
      <c r="E376" s="4" t="s">
        <v>14</v>
      </c>
      <c r="K376" t="str">
        <v>my,</v>
      </c>
      <c r="L376" s="4" t="str">
        <f t="shared" si="5"/>
        <v xml:space="preserve">my </v>
      </c>
      <c r="N376" s="4" cm="1">
        <f t="array" ref="N376">SUM(--(_xlfn.TEXTSPLIT($J$2,, " ") = M376))</f>
        <v>4</v>
      </c>
      <c r="O376">
        <v>1</v>
      </c>
      <c r="P376" t="str">
        <v xml:space="preserve">my </v>
      </c>
      <c r="Q376">
        <v>0</v>
      </c>
      <c r="R376">
        <v>4</v>
      </c>
      <c r="S376" s="4">
        <v>1</v>
      </c>
      <c r="T376" s="10"/>
    </row>
    <row r="377" spans="5:20" x14ac:dyDescent="0.2">
      <c r="E377" s="4" t="s">
        <v>14</v>
      </c>
      <c r="K377" t="str">
        <v>entertain</v>
      </c>
      <c r="L377" s="4" t="str">
        <f t="shared" si="5"/>
        <v>entertain</v>
      </c>
      <c r="N377" s="4" cm="1">
        <f t="array" ref="N377">SUM(--(_xlfn.TEXTSPLIT($J$2,, " ") = M377))</f>
        <v>4</v>
      </c>
      <c r="O377">
        <v>1</v>
      </c>
      <c r="P377" t="str">
        <v>entertain</v>
      </c>
      <c r="Q377">
        <v>0</v>
      </c>
      <c r="R377">
        <v>4</v>
      </c>
      <c r="S377" s="4">
        <v>1</v>
      </c>
      <c r="T377" s="10"/>
    </row>
    <row r="378" spans="5:20" x14ac:dyDescent="0.2">
      <c r="E378" s="4" t="s">
        <v>14</v>
      </c>
      <c r="K378" t="str">
        <v>my</v>
      </c>
      <c r="L378" s="4" t="str">
        <f t="shared" si="5"/>
        <v>my</v>
      </c>
      <c r="N378" s="4" cm="1">
        <f t="array" ref="N378">SUM(--(_xlfn.TEXTSPLIT($J$2,, " ") = M378))</f>
        <v>4</v>
      </c>
      <c r="O378">
        <v>1</v>
      </c>
      <c r="P378" t="str">
        <v>my</v>
      </c>
      <c r="Q378">
        <v>0</v>
      </c>
      <c r="R378">
        <v>4</v>
      </c>
      <c r="S378" s="4">
        <v>1</v>
      </c>
      <c r="T378" s="10"/>
    </row>
    <row r="379" spans="5:20" x14ac:dyDescent="0.2">
      <c r="E379" s="4" t="s">
        <v>14</v>
      </c>
      <c r="K379" t="str">
        <v xml:space="preserve">faith
</v>
      </c>
      <c r="L379" s="4" t="str">
        <f t="shared" si="5"/>
        <v xml:space="preserve">faith </v>
      </c>
      <c r="N379" s="4" cm="1">
        <f t="array" ref="N379">SUM(--(_xlfn.TEXTSPLIT($J$2,, " ") = M379))</f>
        <v>4</v>
      </c>
      <c r="O379">
        <v>1</v>
      </c>
      <c r="P379" t="str">
        <v xml:space="preserve">faith </v>
      </c>
      <c r="Q379">
        <v>0</v>
      </c>
      <c r="R379">
        <v>4</v>
      </c>
      <c r="S379" s="4">
        <v>1</v>
      </c>
      <c r="T379" s="10"/>
    </row>
    <row r="380" spans="5:20" x14ac:dyDescent="0.2">
      <c r="E380" s="4" t="s">
        <v>14</v>
      </c>
      <c r="K380" t="str">
        <v/>
      </c>
      <c r="L380" s="4" t="str">
        <f t="shared" si="5"/>
        <v/>
      </c>
      <c r="N380" s="4" cm="1">
        <f t="array" ref="N380">SUM(--(_xlfn.TEXTSPLIT($J$2,, " ") = M380))</f>
        <v>4</v>
      </c>
      <c r="O380">
        <v>1</v>
      </c>
      <c r="P380" t="str">
        <v/>
      </c>
      <c r="Q380">
        <v>0</v>
      </c>
      <c r="R380">
        <v>4</v>
      </c>
      <c r="S380" s="4">
        <v>1</v>
      </c>
      <c r="T380" s="10"/>
    </row>
    <row r="381" spans="5:20" x14ac:dyDescent="0.2">
      <c r="E381" s="4" t="s">
        <v>14</v>
      </c>
      <c r="K381" t="str">
        <v>This</v>
      </c>
      <c r="L381" s="4" t="str">
        <f t="shared" si="5"/>
        <v>This</v>
      </c>
      <c r="N381" s="4" cm="1">
        <f t="array" ref="N381">SUM(--(_xlfn.TEXTSPLIT($J$2,, " ") = M381))</f>
        <v>4</v>
      </c>
      <c r="O381">
        <v>1</v>
      </c>
      <c r="P381" t="str">
        <v>This</v>
      </c>
      <c r="Q381">
        <v>0</v>
      </c>
      <c r="R381">
        <v>4</v>
      </c>
      <c r="S381" s="4">
        <v>1</v>
      </c>
      <c r="T381" s="10"/>
    </row>
    <row r="382" spans="5:20" x14ac:dyDescent="0.2">
      <c r="E382" s="4" t="s">
        <v>14</v>
      </c>
      <c r="K382" t="str">
        <v>is</v>
      </c>
      <c r="L382" s="4" t="str">
        <f t="shared" si="5"/>
        <v>is</v>
      </c>
      <c r="N382" s="4" cm="1">
        <f t="array" ref="N382">SUM(--(_xlfn.TEXTSPLIT($J$2,, " ") = M382))</f>
        <v>4</v>
      </c>
      <c r="O382">
        <v>1</v>
      </c>
      <c r="P382" t="str">
        <v>is</v>
      </c>
      <c r="Q382">
        <v>0</v>
      </c>
      <c r="R382">
        <v>4</v>
      </c>
      <c r="S382" s="4">
        <v>1</v>
      </c>
      <c r="T382" s="10"/>
    </row>
    <row r="383" spans="5:20" x14ac:dyDescent="0.2">
      <c r="E383" s="4" t="s">
        <v>14</v>
      </c>
      <c r="K383" t="str">
        <v>the</v>
      </c>
      <c r="L383" s="4" t="str">
        <f t="shared" si="5"/>
        <v>the</v>
      </c>
      <c r="N383" s="4" cm="1">
        <f t="array" ref="N383">SUM(--(_xlfn.TEXTSPLIT($J$2,, " ") = M383))</f>
        <v>4</v>
      </c>
      <c r="O383">
        <v>1</v>
      </c>
      <c r="P383" t="str">
        <v>the</v>
      </c>
      <c r="Q383">
        <v>0</v>
      </c>
      <c r="R383">
        <v>4</v>
      </c>
      <c r="S383" s="4">
        <v>1</v>
      </c>
      <c r="T383" s="10"/>
    </row>
    <row r="384" spans="5:20" x14ac:dyDescent="0.2">
      <c r="E384" s="4" t="s">
        <v>14</v>
      </c>
      <c r="K384" t="str">
        <v>last</v>
      </c>
      <c r="L384" s="4" t="str">
        <f t="shared" si="5"/>
        <v>last</v>
      </c>
      <c r="N384" s="4" cm="1">
        <f t="array" ref="N384">SUM(--(_xlfn.TEXTSPLIT($J$2,, " ") = M384))</f>
        <v>4</v>
      </c>
      <c r="O384">
        <v>1</v>
      </c>
      <c r="P384" t="str">
        <v>last</v>
      </c>
      <c r="Q384">
        <v>0</v>
      </c>
      <c r="R384">
        <v>4</v>
      </c>
      <c r="S384" s="4">
        <v>1</v>
      </c>
      <c r="T384" s="10"/>
    </row>
    <row r="385" spans="5:20" x14ac:dyDescent="0.2">
      <c r="E385" s="4" t="s">
        <v>14</v>
      </c>
      <c r="K385" t="str">
        <v>time,</v>
      </c>
      <c r="L385" s="4" t="str">
        <f t="shared" si="5"/>
        <v xml:space="preserve">time </v>
      </c>
      <c r="N385" s="4" cm="1">
        <f t="array" ref="N385">SUM(--(_xlfn.TEXTSPLIT($J$2,, " ") = M385))</f>
        <v>4</v>
      </c>
      <c r="O385">
        <v>1</v>
      </c>
      <c r="P385" t="str">
        <v xml:space="preserve">time </v>
      </c>
      <c r="Q385">
        <v>0</v>
      </c>
      <c r="R385">
        <v>4</v>
      </c>
      <c r="S385" s="4">
        <v>1</v>
      </c>
      <c r="T385" s="10"/>
    </row>
    <row r="386" spans="5:20" x14ac:dyDescent="0.2">
      <c r="E386" s="4" t="s">
        <v>14</v>
      </c>
      <c r="K386" t="str">
        <v>this</v>
      </c>
      <c r="L386" s="4" t="str">
        <f t="shared" si="5"/>
        <v>this</v>
      </c>
      <c r="N386" s="4" cm="1">
        <f t="array" ref="N386">SUM(--(_xlfn.TEXTSPLIT($J$2,, " ") = M386))</f>
        <v>4</v>
      </c>
      <c r="O386">
        <v>1</v>
      </c>
      <c r="P386" t="str">
        <v>this</v>
      </c>
      <c r="Q386">
        <v>0</v>
      </c>
      <c r="R386">
        <v>4</v>
      </c>
      <c r="S386" s="4">
        <v>1</v>
      </c>
      <c r="T386" s="10"/>
    </row>
    <row r="387" spans="5:20" x14ac:dyDescent="0.2">
      <c r="E387" s="4" t="s">
        <v>14</v>
      </c>
      <c r="K387" t="str">
        <v>is</v>
      </c>
      <c r="L387" s="4" t="str">
        <f t="shared" si="5"/>
        <v>is</v>
      </c>
      <c r="N387" s="4" cm="1">
        <f t="array" ref="N387">SUM(--(_xlfn.TEXTSPLIT($J$2,, " ") = M387))</f>
        <v>4</v>
      </c>
      <c r="O387">
        <v>1</v>
      </c>
      <c r="P387" t="str">
        <v>is</v>
      </c>
      <c r="Q387">
        <v>0</v>
      </c>
      <c r="R387">
        <v>4</v>
      </c>
      <c r="S387" s="4">
        <v>1</v>
      </c>
      <c r="T387" s="10"/>
    </row>
    <row r="388" spans="5:20" x14ac:dyDescent="0.2">
      <c r="E388" s="4" t="s">
        <v>14</v>
      </c>
      <c r="K388" t="str">
        <v>the</v>
      </c>
      <c r="L388" s="4" t="str">
        <f t="shared" ref="L388:L451" si="6">_xlfn.REGEXREPLACE(K388, "[^A-Za-z ]", " ")</f>
        <v>the</v>
      </c>
      <c r="N388" s="4" cm="1">
        <f t="array" ref="N388">SUM(--(_xlfn.TEXTSPLIT($J$2,, " ") = M388))</f>
        <v>4</v>
      </c>
      <c r="O388">
        <v>1</v>
      </c>
      <c r="P388" t="str">
        <v>the</v>
      </c>
      <c r="Q388">
        <v>0</v>
      </c>
      <c r="R388">
        <v>4</v>
      </c>
      <c r="S388" s="4">
        <v>1</v>
      </c>
      <c r="T388" s="10"/>
    </row>
    <row r="389" spans="5:20" x14ac:dyDescent="0.2">
      <c r="E389" s="4" t="s">
        <v>14</v>
      </c>
      <c r="K389" t="str">
        <v>last</v>
      </c>
      <c r="L389" s="4" t="str">
        <f t="shared" si="6"/>
        <v>last</v>
      </c>
      <c r="N389" s="4" cm="1">
        <f t="array" ref="N389">SUM(--(_xlfn.TEXTSPLIT($J$2,, " ") = M389))</f>
        <v>4</v>
      </c>
      <c r="O389">
        <v>1</v>
      </c>
      <c r="P389" t="str">
        <v>last</v>
      </c>
      <c r="Q389">
        <v>0</v>
      </c>
      <c r="R389">
        <v>4</v>
      </c>
      <c r="S389" s="4">
        <v>1</v>
      </c>
      <c r="T389" s="10"/>
    </row>
    <row r="390" spans="5:20" x14ac:dyDescent="0.2">
      <c r="E390" s="4" t="s">
        <v>14</v>
      </c>
      <c r="K390" t="str">
        <v xml:space="preserve">time
</v>
      </c>
      <c r="L390" s="4" t="str">
        <f t="shared" si="6"/>
        <v xml:space="preserve">time </v>
      </c>
      <c r="N390" s="4" cm="1">
        <f t="array" ref="N390">SUM(--(_xlfn.TEXTSPLIT($J$2,, " ") = M390))</f>
        <v>4</v>
      </c>
      <c r="O390">
        <v>1</v>
      </c>
      <c r="P390" t="str">
        <v xml:space="preserve">time </v>
      </c>
      <c r="Q390">
        <v>0</v>
      </c>
      <c r="R390">
        <v>4</v>
      </c>
      <c r="S390" s="4">
        <v>1</v>
      </c>
      <c r="T390" s="10"/>
    </row>
    <row r="391" spans="5:20" x14ac:dyDescent="0.2">
      <c r="E391" s="4" t="s">
        <v>14</v>
      </c>
      <c r="K391" t="str">
        <v>Entertain</v>
      </c>
      <c r="L391" s="4" t="str">
        <f t="shared" si="6"/>
        <v>Entertain</v>
      </c>
      <c r="N391" s="4" cm="1">
        <f t="array" ref="N391">SUM(--(_xlfn.TEXTSPLIT($J$2,, " ") = M391))</f>
        <v>4</v>
      </c>
      <c r="O391">
        <v>1</v>
      </c>
      <c r="P391" t="str">
        <v>Entertain</v>
      </c>
      <c r="Q391">
        <v>0</v>
      </c>
      <c r="R391">
        <v>4</v>
      </c>
      <c r="S391" s="4">
        <v>1</v>
      </c>
      <c r="T391" s="10"/>
    </row>
    <row r="392" spans="5:20" x14ac:dyDescent="0.2">
      <c r="E392" s="4" t="s">
        <v>14</v>
      </c>
      <c r="K392" t="str">
        <v>my</v>
      </c>
      <c r="L392" s="4" t="str">
        <f t="shared" si="6"/>
        <v>my</v>
      </c>
      <c r="N392" s="4" cm="1">
        <f t="array" ref="N392">SUM(--(_xlfn.TEXTSPLIT($J$2,, " ") = M392))</f>
        <v>4</v>
      </c>
      <c r="O392">
        <v>1</v>
      </c>
      <c r="P392" t="str">
        <v>my</v>
      </c>
      <c r="Q392">
        <v>0</v>
      </c>
      <c r="R392">
        <v>4</v>
      </c>
      <c r="S392" s="4">
        <v>1</v>
      </c>
      <c r="T392" s="10"/>
    </row>
    <row r="393" spans="5:20" x14ac:dyDescent="0.2">
      <c r="E393" s="4" t="s">
        <v>14</v>
      </c>
      <c r="K393" t="str">
        <v xml:space="preserve">faith
</v>
      </c>
      <c r="L393" s="4" t="str">
        <f t="shared" si="6"/>
        <v xml:space="preserve">faith </v>
      </c>
      <c r="N393" s="4" cm="1">
        <f t="array" ref="N393">SUM(--(_xlfn.TEXTSPLIT($J$2,, " ") = M393))</f>
        <v>4</v>
      </c>
      <c r="O393">
        <v>1</v>
      </c>
      <c r="P393" t="str">
        <v xml:space="preserve">faith </v>
      </c>
      <c r="Q393">
        <v>0</v>
      </c>
      <c r="R393">
        <v>4</v>
      </c>
      <c r="S393" s="4">
        <v>1</v>
      </c>
      <c r="T393" s="10"/>
    </row>
    <row r="394" spans="5:20" x14ac:dyDescent="0.2">
      <c r="E394" s="4" t="s">
        <v>14</v>
      </c>
      <c r="K394" t="str">
        <v>This</v>
      </c>
      <c r="L394" s="4" t="str">
        <f t="shared" si="6"/>
        <v>This</v>
      </c>
      <c r="N394" s="4" cm="1">
        <f t="array" ref="N394">SUM(--(_xlfn.TEXTSPLIT($J$2,, " ") = M394))</f>
        <v>4</v>
      </c>
      <c r="O394">
        <v>1</v>
      </c>
      <c r="P394" t="str">
        <v>This</v>
      </c>
      <c r="Q394">
        <v>0</v>
      </c>
      <c r="R394">
        <v>4</v>
      </c>
      <c r="S394" s="4">
        <v>1</v>
      </c>
      <c r="T394" s="10"/>
    </row>
    <row r="395" spans="5:20" x14ac:dyDescent="0.2">
      <c r="E395" s="4" t="s">
        <v>14</v>
      </c>
      <c r="K395" t="str">
        <v>is</v>
      </c>
      <c r="L395" s="4" t="str">
        <f t="shared" si="6"/>
        <v>is</v>
      </c>
      <c r="N395" s="4" cm="1">
        <f t="array" ref="N395">SUM(--(_xlfn.TEXTSPLIT($J$2,, " ") = M395))</f>
        <v>4</v>
      </c>
      <c r="O395">
        <v>1</v>
      </c>
      <c r="P395" t="str">
        <v>is</v>
      </c>
      <c r="Q395">
        <v>0</v>
      </c>
      <c r="R395">
        <v>4</v>
      </c>
      <c r="S395" s="4">
        <v>1</v>
      </c>
      <c r="T395" s="10"/>
    </row>
    <row r="396" spans="5:20" x14ac:dyDescent="0.2">
      <c r="E396" s="4" t="s">
        <v>14</v>
      </c>
      <c r="K396" t="str">
        <v>the</v>
      </c>
      <c r="L396" s="4" t="str">
        <f t="shared" si="6"/>
        <v>the</v>
      </c>
      <c r="N396" s="4" cm="1">
        <f t="array" ref="N396">SUM(--(_xlfn.TEXTSPLIT($J$2,, " ") = M396))</f>
        <v>4</v>
      </c>
      <c r="O396">
        <v>1</v>
      </c>
      <c r="P396" t="str">
        <v>the</v>
      </c>
      <c r="Q396">
        <v>0</v>
      </c>
      <c r="R396">
        <v>4</v>
      </c>
      <c r="S396" s="4">
        <v>1</v>
      </c>
      <c r="T396" s="10"/>
    </row>
    <row r="397" spans="5:20" x14ac:dyDescent="0.2">
      <c r="E397" s="4" t="s">
        <v>14</v>
      </c>
      <c r="K397" t="str">
        <v>last</v>
      </c>
      <c r="L397" s="4" t="str">
        <f t="shared" si="6"/>
        <v>last</v>
      </c>
      <c r="N397" s="4" cm="1">
        <f t="array" ref="N397">SUM(--(_xlfn.TEXTSPLIT($J$2,, " ") = M397))</f>
        <v>4</v>
      </c>
      <c r="O397">
        <v>1</v>
      </c>
      <c r="P397" t="str">
        <v>last</v>
      </c>
      <c r="Q397">
        <v>0</v>
      </c>
      <c r="R397">
        <v>4</v>
      </c>
      <c r="S397" s="4">
        <v>1</v>
      </c>
      <c r="T397" s="10"/>
    </row>
    <row r="398" spans="5:20" x14ac:dyDescent="0.2">
      <c r="E398" s="4" t="s">
        <v>14</v>
      </c>
      <c r="K398" t="str">
        <v>time</v>
      </c>
      <c r="L398" s="4" t="str">
        <f t="shared" si="6"/>
        <v>time</v>
      </c>
      <c r="N398" s="4" cm="1">
        <f t="array" ref="N398">SUM(--(_xlfn.TEXTSPLIT($J$2,, " ") = M398))</f>
        <v>4</v>
      </c>
      <c r="O398">
        <v>1</v>
      </c>
      <c r="P398" t="str">
        <v>time</v>
      </c>
      <c r="Q398">
        <v>0</v>
      </c>
      <c r="R398">
        <v>4</v>
      </c>
      <c r="S398" s="4">
        <v>1</v>
      </c>
      <c r="T398" s="10"/>
    </row>
    <row r="399" spans="5:20" x14ac:dyDescent="0.2">
      <c r="E399" s="4" t="s">
        <v>14</v>
      </c>
      <c r="K399" t="str">
        <v>that</v>
      </c>
      <c r="L399" s="4" t="str">
        <f t="shared" si="6"/>
        <v>that</v>
      </c>
      <c r="N399" s="4" cm="1">
        <f t="array" ref="N399">SUM(--(_xlfn.TEXTSPLIT($J$2,, " ") = M399))</f>
        <v>4</v>
      </c>
      <c r="O399">
        <v>1</v>
      </c>
      <c r="P399" t="str">
        <v>that</v>
      </c>
      <c r="Q399">
        <v>0</v>
      </c>
      <c r="R399">
        <v>4</v>
      </c>
      <c r="S399" s="4">
        <v>1</v>
      </c>
      <c r="T399" s="10"/>
    </row>
    <row r="400" spans="5:20" x14ac:dyDescent="0.2">
      <c r="E400" s="4" t="s">
        <v>14</v>
      </c>
      <c r="K400" t="str">
        <v>I</v>
      </c>
      <c r="L400" s="4" t="str">
        <f t="shared" si="6"/>
        <v>I</v>
      </c>
      <c r="N400" s="4" cm="1">
        <f t="array" ref="N400">SUM(--(_xlfn.TEXTSPLIT($J$2,, " ") = M400))</f>
        <v>4</v>
      </c>
      <c r="O400">
        <v>1</v>
      </c>
      <c r="P400" t="str">
        <v>I</v>
      </c>
      <c r="Q400">
        <v>0</v>
      </c>
      <c r="R400">
        <v>4</v>
      </c>
      <c r="S400" s="4">
        <v>1</v>
      </c>
      <c r="T400" s="10"/>
    </row>
    <row r="401" spans="5:20" x14ac:dyDescent="0.2">
      <c r="E401" s="4" t="s">
        <v>14</v>
      </c>
      <c r="K401" t="str">
        <v xml:space="preserve">try
</v>
      </c>
      <c r="L401" s="4" t="str">
        <f t="shared" si="6"/>
        <v xml:space="preserve">try </v>
      </c>
      <c r="N401" s="4" cm="1">
        <f t="array" ref="N401">SUM(--(_xlfn.TEXTSPLIT($J$2,, " ") = M401))</f>
        <v>4</v>
      </c>
      <c r="O401">
        <v>1</v>
      </c>
      <c r="P401" t="str">
        <v xml:space="preserve">try </v>
      </c>
      <c r="Q401">
        <v>0</v>
      </c>
      <c r="R401">
        <v>4</v>
      </c>
      <c r="S401" s="4">
        <v>1</v>
      </c>
      <c r="T401" s="10"/>
    </row>
    <row r="402" spans="5:20" x14ac:dyDescent="0.2">
      <c r="E402" s="4" t="s">
        <v>14</v>
      </c>
      <c r="K402" t="str">
        <v>Address</v>
      </c>
      <c r="L402" s="4" t="str">
        <f t="shared" si="6"/>
        <v>Address</v>
      </c>
      <c r="N402" s="4" cm="1">
        <f t="array" ref="N402">SUM(--(_xlfn.TEXTSPLIT($J$2,, " ") = M402))</f>
        <v>4</v>
      </c>
      <c r="O402">
        <v>1</v>
      </c>
      <c r="P402" t="str">
        <v>Address</v>
      </c>
      <c r="Q402">
        <v>0</v>
      </c>
      <c r="R402">
        <v>4</v>
      </c>
      <c r="S402" s="4">
        <v>1</v>
      </c>
      <c r="T402" s="10"/>
    </row>
    <row r="403" spans="5:20" x14ac:dyDescent="0.2">
      <c r="E403" s="4" t="s">
        <v>14</v>
      </c>
      <c r="K403" t="str">
        <v>my</v>
      </c>
      <c r="L403" s="4" t="str">
        <f t="shared" si="6"/>
        <v>my</v>
      </c>
      <c r="N403" s="4" cm="1">
        <f t="array" ref="N403">SUM(--(_xlfn.TEXTSPLIT($J$2,, " ") = M403))</f>
        <v>4</v>
      </c>
      <c r="O403">
        <v>1</v>
      </c>
      <c r="P403" t="str">
        <v>my</v>
      </c>
      <c r="Q403">
        <v>0</v>
      </c>
      <c r="R403">
        <v>4</v>
      </c>
      <c r="S403" s="4">
        <v>1</v>
      </c>
      <c r="T403" s="10"/>
    </row>
    <row r="404" spans="5:20" x14ac:dyDescent="0.2">
      <c r="E404" s="4" t="s">
        <v>14</v>
      </c>
      <c r="K404" t="str">
        <v>soul,</v>
      </c>
      <c r="L404" s="4" t="str">
        <f t="shared" si="6"/>
        <v xml:space="preserve">soul </v>
      </c>
      <c r="N404" s="4" cm="1">
        <f t="array" ref="N404">SUM(--(_xlfn.TEXTSPLIT($J$2,, " ") = M404))</f>
        <v>4</v>
      </c>
      <c r="O404">
        <v>1</v>
      </c>
      <c r="P404" t="str">
        <v xml:space="preserve">soul </v>
      </c>
      <c r="Q404">
        <v>0</v>
      </c>
      <c r="R404">
        <v>4</v>
      </c>
      <c r="S404" s="4">
        <v>1</v>
      </c>
      <c r="T404" s="10"/>
    </row>
    <row r="405" spans="5:20" x14ac:dyDescent="0.2">
      <c r="E405" s="4" t="s">
        <v>14</v>
      </c>
      <c r="K405" t="str">
        <v>address</v>
      </c>
      <c r="L405" s="4" t="str">
        <f t="shared" si="6"/>
        <v>address</v>
      </c>
      <c r="N405" s="4" cm="1">
        <f t="array" ref="N405">SUM(--(_xlfn.TEXTSPLIT($J$2,, " ") = M405))</f>
        <v>4</v>
      </c>
      <c r="O405">
        <v>1</v>
      </c>
      <c r="P405" t="str">
        <v>address</v>
      </c>
      <c r="Q405">
        <v>0</v>
      </c>
      <c r="R405">
        <v>4</v>
      </c>
      <c r="S405" s="4">
        <v>1</v>
      </c>
      <c r="T405" s="10"/>
    </row>
    <row r="406" spans="5:20" x14ac:dyDescent="0.2">
      <c r="E406" s="4" t="s">
        <v>14</v>
      </c>
      <c r="K406" t="str">
        <v>my</v>
      </c>
      <c r="L406" s="4" t="str">
        <f t="shared" si="6"/>
        <v>my</v>
      </c>
      <c r="N406" s="4" cm="1">
        <f t="array" ref="N406">SUM(--(_xlfn.TEXTSPLIT($J$2,, " ") = M406))</f>
        <v>4</v>
      </c>
      <c r="O406">
        <v>1</v>
      </c>
      <c r="P406" t="str">
        <v>my</v>
      </c>
      <c r="Q406">
        <v>0</v>
      </c>
      <c r="R406">
        <v>4</v>
      </c>
      <c r="S406" s="4">
        <v>1</v>
      </c>
      <c r="T406" s="10"/>
    </row>
    <row r="407" spans="5:20" x14ac:dyDescent="0.2">
      <c r="E407" s="4" t="s">
        <v>14</v>
      </c>
      <c r="K407" t="str">
        <v>soul,</v>
      </c>
      <c r="L407" s="4" t="str">
        <f t="shared" si="6"/>
        <v xml:space="preserve">soul </v>
      </c>
      <c r="N407" s="4" cm="1">
        <f t="array" ref="N407">SUM(--(_xlfn.TEXTSPLIT($J$2,, " ") = M407))</f>
        <v>4</v>
      </c>
      <c r="O407">
        <v>1</v>
      </c>
      <c r="P407" t="str">
        <v xml:space="preserve">soul </v>
      </c>
      <c r="Q407">
        <v>0</v>
      </c>
      <c r="R407">
        <v>4</v>
      </c>
      <c r="S407" s="4">
        <v>1</v>
      </c>
      <c r="T407" s="10"/>
    </row>
    <row r="408" spans="5:20" x14ac:dyDescent="0.2">
      <c r="E408" s="4" t="s">
        <v>14</v>
      </c>
      <c r="K408" t="str">
        <v>address</v>
      </c>
      <c r="L408" s="4" t="str">
        <f t="shared" si="6"/>
        <v>address</v>
      </c>
      <c r="N408" s="4" cm="1">
        <f t="array" ref="N408">SUM(--(_xlfn.TEXTSPLIT($J$2,, " ") = M408))</f>
        <v>4</v>
      </c>
      <c r="O408">
        <v>1</v>
      </c>
      <c r="P408" t="str">
        <v>address</v>
      </c>
      <c r="Q408">
        <v>0</v>
      </c>
      <c r="R408">
        <v>4</v>
      </c>
      <c r="S408" s="4">
        <v>1</v>
      </c>
      <c r="T408" s="10"/>
    </row>
    <row r="409" spans="5:20" x14ac:dyDescent="0.2">
      <c r="E409" s="4" t="s">
        <v>14</v>
      </c>
      <c r="K409" t="str">
        <v>my</v>
      </c>
      <c r="L409" s="4" t="str">
        <f t="shared" si="6"/>
        <v>my</v>
      </c>
      <c r="N409" s="4" cm="1">
        <f t="array" ref="N409">SUM(--(_xlfn.TEXTSPLIT($J$2,, " ") = M409))</f>
        <v>4</v>
      </c>
      <c r="O409">
        <v>1</v>
      </c>
      <c r="P409" t="str">
        <v>my</v>
      </c>
      <c r="Q409">
        <v>0</v>
      </c>
      <c r="R409">
        <v>4</v>
      </c>
      <c r="S409" s="4">
        <v>1</v>
      </c>
      <c r="T409" s="10"/>
    </row>
    <row r="410" spans="5:20" x14ac:dyDescent="0.2">
      <c r="E410" s="4" t="s">
        <v>14</v>
      </c>
      <c r="K410" t="str">
        <v xml:space="preserve">soul
</v>
      </c>
      <c r="L410" s="4" t="str">
        <f t="shared" si="6"/>
        <v xml:space="preserve">soul </v>
      </c>
      <c r="N410" s="4" cm="1">
        <f t="array" ref="N410">SUM(--(_xlfn.TEXTSPLIT($J$2,, " ") = M410))</f>
        <v>4</v>
      </c>
      <c r="O410">
        <v>1</v>
      </c>
      <c r="P410" t="str">
        <v xml:space="preserve">soul </v>
      </c>
      <c r="Q410">
        <v>0</v>
      </c>
      <c r="R410">
        <v>4</v>
      </c>
      <c r="S410" s="4">
        <v>1</v>
      </c>
      <c r="T410" s="10"/>
    </row>
    <row r="411" spans="5:20" x14ac:dyDescent="0.2">
      <c r="E411" s="4" t="s">
        <v>14</v>
      </c>
      <c r="K411" t="str">
        <v>Entertain</v>
      </c>
      <c r="L411" s="4" t="str">
        <f t="shared" si="6"/>
        <v>Entertain</v>
      </c>
      <c r="N411" s="4" cm="1">
        <f t="array" ref="N411">SUM(--(_xlfn.TEXTSPLIT($J$2,, " ") = M411))</f>
        <v>4</v>
      </c>
      <c r="O411">
        <v>1</v>
      </c>
      <c r="P411" t="str">
        <v>Entertain</v>
      </c>
      <c r="Q411">
        <v>0</v>
      </c>
      <c r="R411">
        <v>4</v>
      </c>
      <c r="S411" s="4">
        <v>1</v>
      </c>
      <c r="T411" s="10"/>
    </row>
    <row r="412" spans="5:20" x14ac:dyDescent="0.2">
      <c r="E412" s="4" t="s">
        <v>14</v>
      </c>
      <c r="K412" t="str">
        <v>my</v>
      </c>
      <c r="L412" s="4" t="str">
        <f t="shared" si="6"/>
        <v>my</v>
      </c>
      <c r="N412" s="4" cm="1">
        <f t="array" ref="N412">SUM(--(_xlfn.TEXTSPLIT($J$2,, " ") = M412))</f>
        <v>4</v>
      </c>
      <c r="O412">
        <v>1</v>
      </c>
      <c r="P412" t="str">
        <v>my</v>
      </c>
      <c r="Q412">
        <v>0</v>
      </c>
      <c r="R412">
        <v>4</v>
      </c>
      <c r="S412" s="4">
        <v>1</v>
      </c>
      <c r="T412" s="10"/>
    </row>
    <row r="413" spans="5:20" x14ac:dyDescent="0.2">
      <c r="E413" s="4" t="s">
        <v>14</v>
      </c>
      <c r="K413" t="str">
        <v xml:space="preserve">faith
</v>
      </c>
      <c r="L413" s="4" t="str">
        <f t="shared" si="6"/>
        <v xml:space="preserve">faith </v>
      </c>
      <c r="N413" s="4" cm="1">
        <f t="array" ref="N413">SUM(--(_xlfn.TEXTSPLIT($J$2,, " ") = M413))</f>
        <v>4</v>
      </c>
      <c r="O413">
        <v>1</v>
      </c>
      <c r="P413" t="str">
        <v xml:space="preserve">faith </v>
      </c>
      <c r="Q413">
        <v>0</v>
      </c>
      <c r="R413">
        <v>4</v>
      </c>
      <c r="S413" s="4">
        <v>1</v>
      </c>
      <c r="T413" s="10"/>
    </row>
    <row r="414" spans="5:20" x14ac:dyDescent="0.2">
      <c r="E414" s="4" t="s">
        <v>14</v>
      </c>
      <c r="K414" t="str">
        <v>This</v>
      </c>
      <c r="L414" s="4" t="str">
        <f t="shared" si="6"/>
        <v>This</v>
      </c>
      <c r="N414" s="4" cm="1">
        <f t="array" ref="N414">SUM(--(_xlfn.TEXTSPLIT($J$2,, " ") = M414))</f>
        <v>4</v>
      </c>
      <c r="O414">
        <v>1</v>
      </c>
      <c r="P414" t="str">
        <v>This</v>
      </c>
      <c r="Q414">
        <v>0</v>
      </c>
      <c r="R414">
        <v>4</v>
      </c>
      <c r="S414" s="4">
        <v>1</v>
      </c>
      <c r="T414" s="10"/>
    </row>
    <row r="415" spans="5:20" x14ac:dyDescent="0.2">
      <c r="E415" s="4" t="s">
        <v>14</v>
      </c>
      <c r="K415" t="str">
        <v>is</v>
      </c>
      <c r="L415" s="4" t="str">
        <f t="shared" si="6"/>
        <v>is</v>
      </c>
      <c r="N415" s="4" cm="1">
        <f t="array" ref="N415">SUM(--(_xlfn.TEXTSPLIT($J$2,, " ") = M415))</f>
        <v>4</v>
      </c>
      <c r="O415">
        <v>1</v>
      </c>
      <c r="P415" t="str">
        <v>is</v>
      </c>
      <c r="Q415">
        <v>0</v>
      </c>
      <c r="R415">
        <v>4</v>
      </c>
      <c r="S415" s="4">
        <v>1</v>
      </c>
      <c r="T415" s="10"/>
    </row>
    <row r="416" spans="5:20" x14ac:dyDescent="0.2">
      <c r="E416" s="4" t="s">
        <v>14</v>
      </c>
      <c r="K416" t="str">
        <v>the</v>
      </c>
      <c r="L416" s="4" t="str">
        <f t="shared" si="6"/>
        <v>the</v>
      </c>
      <c r="N416" s="4" cm="1">
        <f t="array" ref="N416">SUM(--(_xlfn.TEXTSPLIT($J$2,, " ") = M416))</f>
        <v>4</v>
      </c>
      <c r="O416">
        <v>1</v>
      </c>
      <c r="P416" t="str">
        <v>the</v>
      </c>
      <c r="Q416">
        <v>0</v>
      </c>
      <c r="R416">
        <v>4</v>
      </c>
      <c r="S416" s="4">
        <v>1</v>
      </c>
      <c r="T416" s="10"/>
    </row>
    <row r="417" spans="1:23" x14ac:dyDescent="0.2">
      <c r="E417" s="4" t="s">
        <v>14</v>
      </c>
      <c r="K417" t="str">
        <v>last</v>
      </c>
      <c r="L417" s="4" t="str">
        <f t="shared" si="6"/>
        <v>last</v>
      </c>
      <c r="N417" s="4" cm="1">
        <f t="array" ref="N417">SUM(--(_xlfn.TEXTSPLIT($J$2,, " ") = M417))</f>
        <v>4</v>
      </c>
      <c r="O417">
        <v>1</v>
      </c>
      <c r="P417" t="str">
        <v>last</v>
      </c>
      <c r="Q417">
        <v>0</v>
      </c>
      <c r="R417">
        <v>4</v>
      </c>
      <c r="S417" s="4">
        <v>1</v>
      </c>
      <c r="T417" s="10"/>
    </row>
    <row r="418" spans="1:23" x14ac:dyDescent="0.2">
      <c r="E418" s="4" t="s">
        <v>14</v>
      </c>
      <c r="K418" t="str">
        <v>time</v>
      </c>
      <c r="L418" s="4" t="str">
        <f t="shared" si="6"/>
        <v>time</v>
      </c>
      <c r="N418" s="4" cm="1">
        <f t="array" ref="N418">SUM(--(_xlfn.TEXTSPLIT($J$2,, " ") = M418))</f>
        <v>4</v>
      </c>
      <c r="O418">
        <v>1</v>
      </c>
      <c r="P418" t="str">
        <v>time</v>
      </c>
      <c r="Q418">
        <v>0</v>
      </c>
      <c r="R418">
        <v>4</v>
      </c>
      <c r="S418" s="4">
        <v>1</v>
      </c>
      <c r="T418" s="10"/>
    </row>
    <row r="419" spans="1:23" x14ac:dyDescent="0.2">
      <c r="E419" s="4" t="s">
        <v>14</v>
      </c>
      <c r="K419" t="str">
        <v>that</v>
      </c>
      <c r="L419" s="4" t="str">
        <f t="shared" si="6"/>
        <v>that</v>
      </c>
      <c r="N419" s="4" cm="1">
        <f t="array" ref="N419">SUM(--(_xlfn.TEXTSPLIT($J$2,, " ") = M419))</f>
        <v>4</v>
      </c>
      <c r="O419">
        <v>1</v>
      </c>
      <c r="P419" t="str">
        <v>that</v>
      </c>
      <c r="Q419">
        <v>0</v>
      </c>
      <c r="R419">
        <v>4</v>
      </c>
      <c r="S419" s="4">
        <v>1</v>
      </c>
      <c r="T419" s="10"/>
    </row>
    <row r="420" spans="1:23" x14ac:dyDescent="0.2">
      <c r="E420" s="4" t="s">
        <v>14</v>
      </c>
      <c r="K420" t="str">
        <v>I</v>
      </c>
      <c r="L420" s="4" t="str">
        <f t="shared" si="6"/>
        <v>I</v>
      </c>
      <c r="N420" s="4" cm="1">
        <f t="array" ref="N420">SUM(--(_xlfn.TEXTSPLIT($J$2,, " ") = M420))</f>
        <v>4</v>
      </c>
      <c r="O420">
        <v>1</v>
      </c>
      <c r="P420" t="str">
        <v>I</v>
      </c>
      <c r="Q420">
        <v>0</v>
      </c>
      <c r="R420">
        <v>4</v>
      </c>
      <c r="S420" s="4">
        <v>1</v>
      </c>
      <c r="T420" s="10"/>
    </row>
    <row r="421" spans="1:23" x14ac:dyDescent="0.2">
      <c r="E421" s="4" t="s">
        <v>14</v>
      </c>
      <c r="K421" t="str">
        <v>try</v>
      </c>
      <c r="L421" s="4" t="str">
        <f t="shared" si="6"/>
        <v>try</v>
      </c>
      <c r="N421" s="4" cm="1">
        <f t="array" ref="N421">SUM(--(_xlfn.TEXTSPLIT($J$2,, " ") = M421))</f>
        <v>4</v>
      </c>
      <c r="O421">
        <v>1</v>
      </c>
      <c r="P421" t="str">
        <v>try</v>
      </c>
      <c r="Q421">
        <v>0</v>
      </c>
      <c r="R421">
        <v>4</v>
      </c>
      <c r="S421" s="4">
        <v>1</v>
      </c>
      <c r="T421" s="10"/>
    </row>
    <row r="422" spans="1:23" x14ac:dyDescent="0.2">
      <c r="A422" s="1"/>
      <c r="B422" s="1" t="s">
        <v>0</v>
      </c>
      <c r="C422" s="2" t="s">
        <v>1</v>
      </c>
      <c r="D422" s="3" t="s">
        <v>2</v>
      </c>
      <c r="E422" s="1" t="s">
        <v>3</v>
      </c>
      <c r="F422" s="1" t="s">
        <v>4</v>
      </c>
      <c r="G422" s="1" t="s">
        <v>5</v>
      </c>
      <c r="H422" s="1" t="s">
        <v>6</v>
      </c>
      <c r="I422" s="1" t="s">
        <v>7</v>
      </c>
      <c r="J422" s="2" t="s">
        <v>8</v>
      </c>
      <c r="K422" s="2" t="s">
        <v>9</v>
      </c>
      <c r="L422" s="4" t="str">
        <f t="shared" si="6"/>
        <v>TEXTSPLIT</v>
      </c>
      <c r="M422" s="2" t="s">
        <v>10</v>
      </c>
      <c r="N422" s="2" t="s">
        <v>11</v>
      </c>
      <c r="O422" s="1" t="s">
        <v>22</v>
      </c>
      <c r="P422" s="2" t="s">
        <v>12</v>
      </c>
      <c r="Q422" s="2"/>
      <c r="R422" s="2"/>
      <c r="S422" s="4" t="s">
        <v>23</v>
      </c>
      <c r="T422" s="10"/>
    </row>
    <row r="423" spans="1:23" s="4" customFormat="1" x14ac:dyDescent="0.2">
      <c r="A423" s="4">
        <v>2</v>
      </c>
      <c r="B423" s="5">
        <v>45912</v>
      </c>
      <c r="C423" s="6">
        <v>0.14027777777777778</v>
      </c>
      <c r="D423" s="7">
        <v>202</v>
      </c>
      <c r="E423" s="4" t="s">
        <v>17</v>
      </c>
      <c r="F423" s="4">
        <v>2</v>
      </c>
      <c r="G423" s="8" t="s">
        <v>15</v>
      </c>
      <c r="H423" s="9" t="s">
        <v>18</v>
      </c>
      <c r="I423" s="4">
        <v>1</v>
      </c>
      <c r="J423" s="4" t="str">
        <f>_xlfn.TEXTJOIN(" ", TRUE, H423:H436)</f>
        <v>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K423" s="4" t="str" cm="1">
        <f t="array" ref="K423:K851">_xlfn.TEXTSPLIT(J423, ," ")</f>
        <v>Raw</v>
      </c>
      <c r="L423" s="4" t="str">
        <f t="shared" si="6"/>
        <v>Raw</v>
      </c>
      <c r="M423" s="4" t="str" cm="1">
        <f t="array" ref="M423:M541">_xlfn.UNIQUE(_xlfn.TEXTSPLIT(J423, , " "))</f>
        <v>Raw</v>
      </c>
      <c r="N423" s="4" cm="1">
        <f t="array" ref="N423">SUM(--(_xlfn.TEXTSPLIT($J$423,, " ") = M423))</f>
        <v>11</v>
      </c>
      <c r="O423" cm="1">
        <f t="array" ref="O423:O851">_xlfn._xlws.SORT(N423:N851, , -1)</f>
        <v>32</v>
      </c>
      <c r="P423" s="4" cm="1">
        <f t="array" ref="P423:Q851">_xlfn.SORTBY(N423:O851, O423:O851, -1)</f>
        <v>11</v>
      </c>
      <c r="Q423" s="4">
        <v>32</v>
      </c>
      <c r="S423" s="4">
        <v>851</v>
      </c>
      <c r="T423" s="10"/>
      <c r="U423"/>
      <c r="V423"/>
      <c r="W423"/>
    </row>
    <row r="424" spans="1:23" x14ac:dyDescent="0.2">
      <c r="E424" s="4" t="s">
        <v>17</v>
      </c>
      <c r="K424" t="str">
        <v xml:space="preserve">fear
</v>
      </c>
      <c r="L424" s="4" t="str">
        <f t="shared" si="6"/>
        <v xml:space="preserve">fear </v>
      </c>
      <c r="M424" t="str">
        <v xml:space="preserve">fear
</v>
      </c>
      <c r="N424" s="4" cm="1">
        <f t="array" ref="N424">SUM(--(_xlfn.TEXTSPLIT($J$423,, " ") = M424))</f>
        <v>1</v>
      </c>
      <c r="O424">
        <v>19</v>
      </c>
      <c r="P424">
        <v>1</v>
      </c>
      <c r="Q424">
        <v>19</v>
      </c>
      <c r="S424" s="4"/>
      <c r="T424" s="10"/>
    </row>
    <row r="425" spans="1:23" x14ac:dyDescent="0.2">
      <c r="E425" s="4" t="s">
        <v>17</v>
      </c>
      <c r="K425" t="str">
        <v>Raw</v>
      </c>
      <c r="L425" s="4" t="str">
        <f t="shared" si="6"/>
        <v>Raw</v>
      </c>
      <c r="M425" t="str">
        <v xml:space="preserve">fear
</v>
      </c>
      <c r="N425" s="4" cm="1">
        <f t="array" ref="N425">SUM(--(_xlfn.TEXTSPLIT($J$423,, " ") = M425))</f>
        <v>1</v>
      </c>
      <c r="O425">
        <v>17</v>
      </c>
      <c r="P425">
        <v>1</v>
      </c>
      <c r="Q425">
        <v>17</v>
      </c>
      <c r="S425" s="4"/>
      <c r="T425" s="10"/>
    </row>
    <row r="426" spans="1:23" x14ac:dyDescent="0.2">
      <c r="E426" s="4" t="s">
        <v>17</v>
      </c>
      <c r="K426" t="str">
        <v xml:space="preserve">fear
</v>
      </c>
      <c r="L426" s="4" t="str">
        <f t="shared" si="6"/>
        <v xml:space="preserve">fear  </v>
      </c>
      <c r="M426" t="str">
        <v>fear</v>
      </c>
      <c r="N426" s="4" cm="1">
        <f t="array" ref="N426">SUM(--(_xlfn.TEXTSPLIT($J$423,, " ") = M426))</f>
        <v>9</v>
      </c>
      <c r="O426">
        <v>16</v>
      </c>
      <c r="P426">
        <v>9</v>
      </c>
      <c r="Q426">
        <v>16</v>
      </c>
      <c r="S426" s="4"/>
      <c r="T426" s="10"/>
    </row>
    <row r="427" spans="1:23" x14ac:dyDescent="0.2">
      <c r="E427" s="4" t="s">
        <v>17</v>
      </c>
      <c r="K427" t="str">
        <v>Raw</v>
      </c>
      <c r="L427" s="4" t="str">
        <f t="shared" si="6"/>
        <v>Raw</v>
      </c>
      <c r="M427" t="str">
        <v>moves</v>
      </c>
      <c r="N427" s="4" cm="1">
        <f t="array" ref="N427">SUM(--(_xlfn.TEXTSPLIT($J$423,, " ") = M427))</f>
        <v>9</v>
      </c>
      <c r="O427">
        <v>11</v>
      </c>
      <c r="P427">
        <v>9</v>
      </c>
      <c r="Q427">
        <v>11</v>
      </c>
      <c r="S427" s="4"/>
      <c r="T427" s="10"/>
    </row>
    <row r="428" spans="1:23" x14ac:dyDescent="0.2">
      <c r="E428" s="4" t="s">
        <v>17</v>
      </c>
      <c r="K428" t="str">
        <v>fear</v>
      </c>
      <c r="L428" s="4" t="str">
        <f t="shared" si="6"/>
        <v>fear</v>
      </c>
      <c r="M428" t="str">
        <v>me,</v>
      </c>
      <c r="N428" s="4" cm="1">
        <f t="array" ref="N428">SUM(--(_xlfn.TEXTSPLIT($J$423,, " ") = M428))</f>
        <v>9</v>
      </c>
      <c r="O428">
        <v>11</v>
      </c>
      <c r="P428">
        <v>9</v>
      </c>
      <c r="Q428">
        <v>11</v>
      </c>
      <c r="S428" s="4"/>
      <c r="T428" s="10"/>
    </row>
    <row r="429" spans="1:23" x14ac:dyDescent="0.2">
      <c r="E429" s="4" t="s">
        <v>17</v>
      </c>
      <c r="K429" t="str">
        <v>moves</v>
      </c>
      <c r="L429" s="4" t="str">
        <f t="shared" si="6"/>
        <v>moves</v>
      </c>
      <c r="M429" t="str">
        <v>sounds</v>
      </c>
      <c r="N429" s="4" cm="1">
        <f t="array" ref="N429">SUM(--(_xlfn.TEXTSPLIT($J$423,, " ") = M429))</f>
        <v>9</v>
      </c>
      <c r="O429">
        <v>11</v>
      </c>
      <c r="P429">
        <v>9</v>
      </c>
      <c r="Q429">
        <v>11</v>
      </c>
      <c r="S429" s="4"/>
      <c r="T429" s="10"/>
    </row>
    <row r="430" spans="1:23" x14ac:dyDescent="0.2">
      <c r="E430" s="4" t="s">
        <v>17</v>
      </c>
      <c r="K430" t="str">
        <v>me,</v>
      </c>
      <c r="L430" s="4" t="str">
        <f t="shared" si="6"/>
        <v xml:space="preserve">me </v>
      </c>
      <c r="M430" t="str">
        <v>of</v>
      </c>
      <c r="N430" s="4" cm="1">
        <f t="array" ref="N430">SUM(--(_xlfn.TEXTSPLIT($J$423,, " ") = M430))</f>
        <v>9</v>
      </c>
      <c r="O430">
        <v>9</v>
      </c>
      <c r="P430">
        <v>9</v>
      </c>
      <c r="Q430">
        <v>9</v>
      </c>
      <c r="S430" s="4"/>
      <c r="T430" s="10"/>
    </row>
    <row r="431" spans="1:23" x14ac:dyDescent="0.2">
      <c r="E431" s="4" t="s">
        <v>17</v>
      </c>
      <c r="K431" t="str">
        <v>sounds</v>
      </c>
      <c r="L431" s="4" t="str">
        <f t="shared" si="6"/>
        <v>sounds</v>
      </c>
      <c r="M431" t="str">
        <v>empty</v>
      </c>
      <c r="N431" s="4" cm="1">
        <f t="array" ref="N431">SUM(--(_xlfn.TEXTSPLIT($J$423,, " ") = M431))</f>
        <v>9</v>
      </c>
      <c r="O431">
        <v>9</v>
      </c>
      <c r="P431">
        <v>9</v>
      </c>
      <c r="Q431">
        <v>9</v>
      </c>
      <c r="S431" s="4"/>
      <c r="T431" s="10"/>
    </row>
    <row r="432" spans="1:23" x14ac:dyDescent="0.2">
      <c r="E432" s="4" t="s">
        <v>17</v>
      </c>
      <c r="K432" t="str">
        <v>of</v>
      </c>
      <c r="L432" s="4" t="str">
        <f t="shared" si="6"/>
        <v>of</v>
      </c>
      <c r="M432" t="str">
        <v xml:space="preserve">Uzis
</v>
      </c>
      <c r="N432" s="4" cm="1">
        <f t="array" ref="N432">SUM(--(_xlfn.TEXTSPLIT($J$423,, " ") = M432))</f>
        <v>5</v>
      </c>
      <c r="O432">
        <v>9</v>
      </c>
      <c r="P432">
        <v>5</v>
      </c>
      <c r="Q432">
        <v>9</v>
      </c>
      <c r="S432" s="4"/>
      <c r="T432" s="10"/>
    </row>
    <row r="433" spans="5:20" x14ac:dyDescent="0.2">
      <c r="E433" s="4" t="s">
        <v>17</v>
      </c>
      <c r="K433" t="str">
        <v>empty</v>
      </c>
      <c r="L433" s="4" t="str">
        <f t="shared" si="6"/>
        <v>empty</v>
      </c>
      <c r="M433" t="str">
        <v>Life</v>
      </c>
      <c r="N433" s="4" cm="1">
        <f t="array" ref="N433">SUM(--(_xlfn.TEXTSPLIT($J$423,, " ") = M433))</f>
        <v>9</v>
      </c>
      <c r="O433">
        <v>9</v>
      </c>
      <c r="P433">
        <v>9</v>
      </c>
      <c r="Q433">
        <v>9</v>
      </c>
      <c r="S433" s="4"/>
      <c r="T433" s="10"/>
    </row>
    <row r="434" spans="5:20" x14ac:dyDescent="0.2">
      <c r="E434" s="4" t="s">
        <v>17</v>
      </c>
      <c r="K434" t="str">
        <v xml:space="preserve">Uzis
</v>
      </c>
      <c r="L434" s="4" t="str">
        <f t="shared" si="6"/>
        <v xml:space="preserve">Uzis </v>
      </c>
      <c r="M434" t="str">
        <v>is</v>
      </c>
      <c r="N434" s="4" cm="1">
        <f t="array" ref="N434">SUM(--(_xlfn.TEXTSPLIT($J$423,, " ") = M434))</f>
        <v>11</v>
      </c>
      <c r="O434">
        <v>9</v>
      </c>
      <c r="P434">
        <v>11</v>
      </c>
      <c r="Q434">
        <v>9</v>
      </c>
      <c r="S434" s="4"/>
      <c r="T434" s="10"/>
    </row>
    <row r="435" spans="5:20" x14ac:dyDescent="0.2">
      <c r="E435" s="4" t="s">
        <v>17</v>
      </c>
      <c r="K435" t="str">
        <v>Life</v>
      </c>
      <c r="L435" s="4" t="str">
        <f t="shared" si="6"/>
        <v>Life</v>
      </c>
      <c r="M435" t="str">
        <v>just</v>
      </c>
      <c r="N435" s="4" cm="1">
        <f t="array" ref="N435">SUM(--(_xlfn.TEXTSPLIT($J$423,, " ") = M435))</f>
        <v>9</v>
      </c>
      <c r="O435">
        <v>9</v>
      </c>
      <c r="P435">
        <v>9</v>
      </c>
      <c r="Q435">
        <v>9</v>
      </c>
      <c r="S435" s="4"/>
      <c r="T435" s="10"/>
    </row>
    <row r="436" spans="5:20" x14ac:dyDescent="0.2">
      <c r="E436" s="4" t="s">
        <v>17</v>
      </c>
      <c r="K436" t="str">
        <v>is</v>
      </c>
      <c r="L436" s="4" t="str">
        <f t="shared" si="6"/>
        <v>is</v>
      </c>
      <c r="M436" t="str">
        <v>forever</v>
      </c>
      <c r="N436" s="4" cm="1">
        <f t="array" ref="N436">SUM(--(_xlfn.TEXTSPLIT($J$423,, " ") = M436))</f>
        <v>9</v>
      </c>
      <c r="O436">
        <v>9</v>
      </c>
      <c r="P436">
        <v>9</v>
      </c>
      <c r="Q436">
        <v>9</v>
      </c>
      <c r="S436" s="4"/>
      <c r="T436" s="10"/>
    </row>
    <row r="437" spans="5:20" x14ac:dyDescent="0.2">
      <c r="E437" s="4" t="s">
        <v>17</v>
      </c>
      <c r="K437" t="str">
        <v>just</v>
      </c>
      <c r="L437" s="4" t="str">
        <f t="shared" si="6"/>
        <v>just</v>
      </c>
      <c r="M437" t="str">
        <v>nipping</v>
      </c>
      <c r="N437" s="4" cm="1">
        <f t="array" ref="N437">SUM(--(_xlfn.TEXTSPLIT($J$423,, " ") = M437))</f>
        <v>4</v>
      </c>
      <c r="O437">
        <v>9</v>
      </c>
      <c r="P437">
        <v>4</v>
      </c>
      <c r="Q437">
        <v>9</v>
      </c>
      <c r="S437" s="4"/>
      <c r="T437" s="10"/>
    </row>
    <row r="438" spans="5:20" x14ac:dyDescent="0.2">
      <c r="E438" s="4" t="s">
        <v>17</v>
      </c>
      <c r="K438" t="str">
        <v>forever</v>
      </c>
      <c r="L438" s="4" t="str">
        <f t="shared" si="6"/>
        <v>forever</v>
      </c>
      <c r="M438" t="str">
        <v>heels,</v>
      </c>
      <c r="N438" s="4" cm="1">
        <f t="array" ref="N438">SUM(--(_xlfn.TEXTSPLIT($J$423,, " ") = M438))</f>
        <v>4</v>
      </c>
      <c r="O438">
        <v>9</v>
      </c>
      <c r="P438">
        <v>4</v>
      </c>
      <c r="Q438">
        <v>9</v>
      </c>
      <c r="S438" s="4"/>
      <c r="T438" s="10"/>
    </row>
    <row r="439" spans="5:20" x14ac:dyDescent="0.2">
      <c r="E439" s="4" t="s">
        <v>17</v>
      </c>
      <c r="K439" t="str">
        <v>nipping</v>
      </c>
      <c r="L439" s="4" t="str">
        <f t="shared" si="6"/>
        <v>nipping</v>
      </c>
      <c r="M439" t="str">
        <v>never</v>
      </c>
      <c r="N439" s="4" cm="1">
        <f t="array" ref="N439">SUM(--(_xlfn.TEXTSPLIT($J$423,, " ") = M439))</f>
        <v>16</v>
      </c>
      <c r="O439">
        <v>8</v>
      </c>
      <c r="P439">
        <v>16</v>
      </c>
      <c r="Q439">
        <v>8</v>
      </c>
      <c r="S439" s="4"/>
      <c r="T439" s="10"/>
    </row>
    <row r="440" spans="5:20" x14ac:dyDescent="0.2">
      <c r="E440" s="4" t="s">
        <v>17</v>
      </c>
      <c r="K440" t="str">
        <v>heels,</v>
      </c>
      <c r="L440" s="4" t="str">
        <f t="shared" si="6"/>
        <v xml:space="preserve">heels </v>
      </c>
      <c r="M440" t="str">
        <v>slowing</v>
      </c>
      <c r="N440" s="4" cm="1">
        <f t="array" ref="N440">SUM(--(_xlfn.TEXTSPLIT($J$423,, " ") = M440))</f>
        <v>32</v>
      </c>
      <c r="O440">
        <v>7</v>
      </c>
      <c r="P440">
        <v>32</v>
      </c>
      <c r="Q440">
        <v>7</v>
      </c>
      <c r="S440" s="4"/>
      <c r="T440" s="10"/>
    </row>
    <row r="441" spans="5:20" x14ac:dyDescent="0.2">
      <c r="E441" s="4" t="s">
        <v>17</v>
      </c>
      <c r="K441" t="str">
        <v>never</v>
      </c>
      <c r="L441" s="4" t="str">
        <f t="shared" si="6"/>
        <v>never</v>
      </c>
      <c r="M441" t="str">
        <v xml:space="preserve">down
</v>
      </c>
      <c r="N441" s="4" cm="1">
        <f t="array" ref="N441">SUM(--(_xlfn.TEXTSPLIT($J$423,, " ") = M441))</f>
        <v>6</v>
      </c>
      <c r="O441">
        <v>7</v>
      </c>
      <c r="P441">
        <v>6</v>
      </c>
      <c r="Q441">
        <v>7</v>
      </c>
      <c r="S441" s="4"/>
      <c r="T441" s="10"/>
    </row>
    <row r="442" spans="5:20" x14ac:dyDescent="0.2">
      <c r="E442" s="4" t="s">
        <v>17</v>
      </c>
      <c r="K442" t="str">
        <v>slowing</v>
      </c>
      <c r="L442" s="4" t="str">
        <f t="shared" si="6"/>
        <v>slowing</v>
      </c>
      <c r="M442" t="str">
        <v>gripping</v>
      </c>
      <c r="N442" s="4" cm="1">
        <f t="array" ref="N442">SUM(--(_xlfn.TEXTSPLIT($J$423,, " ") = M442))</f>
        <v>5</v>
      </c>
      <c r="O442">
        <v>7</v>
      </c>
      <c r="P442">
        <v>5</v>
      </c>
      <c r="Q442">
        <v>7</v>
      </c>
      <c r="S442" s="4"/>
      <c r="T442" s="10"/>
    </row>
    <row r="443" spans="5:20" x14ac:dyDescent="0.2">
      <c r="E443" s="4" t="s">
        <v>17</v>
      </c>
      <c r="K443" t="str">
        <v xml:space="preserve">down
</v>
      </c>
      <c r="L443" s="4" t="str">
        <f t="shared" si="6"/>
        <v xml:space="preserve">down </v>
      </c>
      <c r="M443" t="str">
        <v>feels,</v>
      </c>
      <c r="N443" s="4" cm="1">
        <f t="array" ref="N443">SUM(--(_xlfn.TEXTSPLIT($J$423,, " ") = M443))</f>
        <v>5</v>
      </c>
      <c r="O443">
        <v>6</v>
      </c>
      <c r="P443">
        <v>5</v>
      </c>
      <c r="Q443">
        <v>6</v>
      </c>
      <c r="S443" s="4"/>
      <c r="T443" s="10"/>
    </row>
    <row r="444" spans="5:20" x14ac:dyDescent="0.2">
      <c r="E444" s="4" t="s">
        <v>17</v>
      </c>
      <c r="K444" t="str">
        <v>Raw</v>
      </c>
      <c r="L444" s="4" t="str">
        <f t="shared" si="6"/>
        <v>Raw</v>
      </c>
      <c r="M444" t="str">
        <v xml:space="preserve">down
</v>
      </c>
      <c r="N444" s="4" cm="1">
        <f t="array" ref="N444">SUM(--(_xlfn.TEXTSPLIT($J$423,, " ") = M444))</f>
        <v>2</v>
      </c>
      <c r="O444">
        <v>6</v>
      </c>
      <c r="P444">
        <v>2</v>
      </c>
      <c r="Q444">
        <v>6</v>
      </c>
      <c r="S444" s="4"/>
      <c r="T444" s="10"/>
    </row>
    <row r="445" spans="5:20" x14ac:dyDescent="0.2">
      <c r="E445" s="4" t="s">
        <v>17</v>
      </c>
      <c r="K445" t="str">
        <v>fear</v>
      </c>
      <c r="L445" s="4" t="str">
        <f t="shared" si="6"/>
        <v>fear</v>
      </c>
      <c r="M445" t="str">
        <v>You</v>
      </c>
      <c r="N445" s="4" cm="1">
        <f t="array" ref="N445">SUM(--(_xlfn.TEXTSPLIT($J$423,, " ") = M445))</f>
        <v>7</v>
      </c>
      <c r="O445">
        <v>6</v>
      </c>
      <c r="P445">
        <v>7</v>
      </c>
      <c r="Q445">
        <v>6</v>
      </c>
      <c r="S445" s="4"/>
      <c r="T445" s="10"/>
    </row>
    <row r="446" spans="5:20" x14ac:dyDescent="0.2">
      <c r="E446" s="4" t="s">
        <v>17</v>
      </c>
      <c r="K446" t="str">
        <v>moves</v>
      </c>
      <c r="L446" s="4" t="str">
        <f t="shared" si="6"/>
        <v>moves</v>
      </c>
      <c r="M446" t="str">
        <v>know</v>
      </c>
      <c r="N446" s="4" cm="1">
        <f t="array" ref="N446">SUM(--(_xlfn.TEXTSPLIT($J$423,, " ") = M446))</f>
        <v>3</v>
      </c>
      <c r="O446">
        <v>6</v>
      </c>
      <c r="P446">
        <v>3</v>
      </c>
      <c r="Q446">
        <v>6</v>
      </c>
      <c r="S446" s="4"/>
      <c r="T446" s="10"/>
    </row>
    <row r="447" spans="5:20" x14ac:dyDescent="0.2">
      <c r="E447" s="4" t="s">
        <v>17</v>
      </c>
      <c r="K447" t="str">
        <v>me,</v>
      </c>
      <c r="L447" s="4" t="str">
        <f t="shared" si="6"/>
        <v xml:space="preserve">me </v>
      </c>
      <c r="M447" t="str">
        <v>what</v>
      </c>
      <c r="N447" s="4" cm="1">
        <f t="array" ref="N447">SUM(--(_xlfn.TEXTSPLIT($J$423,, " ") = M447))</f>
        <v>3</v>
      </c>
      <c r="O447">
        <v>5</v>
      </c>
      <c r="P447">
        <v>3</v>
      </c>
      <c r="Q447">
        <v>5</v>
      </c>
      <c r="S447" s="4"/>
      <c r="T447" s="10"/>
    </row>
    <row r="448" spans="5:20" x14ac:dyDescent="0.2">
      <c r="E448" s="4" t="s">
        <v>17</v>
      </c>
      <c r="K448" t="str">
        <v>sounds</v>
      </c>
      <c r="L448" s="4" t="str">
        <f t="shared" si="6"/>
        <v>sounds</v>
      </c>
      <c r="M448" t="str">
        <v>scares</v>
      </c>
      <c r="N448" s="4" cm="1">
        <f t="array" ref="N448">SUM(--(_xlfn.TEXTSPLIT($J$423,, " ") = M448))</f>
        <v>2</v>
      </c>
      <c r="O448">
        <v>5</v>
      </c>
      <c r="P448">
        <v>2</v>
      </c>
      <c r="Q448">
        <v>5</v>
      </c>
      <c r="S448" s="4"/>
      <c r="T448" s="10"/>
    </row>
    <row r="449" spans="5:20" x14ac:dyDescent="0.2">
      <c r="E449" s="4" t="s">
        <v>17</v>
      </c>
      <c r="K449" t="str">
        <v>of</v>
      </c>
      <c r="L449" s="4" t="str">
        <f t="shared" si="6"/>
        <v>of</v>
      </c>
      <c r="M449" t="str">
        <v>me?</v>
      </c>
      <c r="N449" s="4" cm="1">
        <f t="array" ref="N449">SUM(--(_xlfn.TEXTSPLIT($J$423,, " ") = M449))</f>
        <v>3</v>
      </c>
      <c r="O449">
        <v>5</v>
      </c>
      <c r="P449">
        <v>3</v>
      </c>
      <c r="Q449">
        <v>5</v>
      </c>
      <c r="S449" s="4"/>
      <c r="T449" s="10"/>
    </row>
    <row r="450" spans="5:20" x14ac:dyDescent="0.2">
      <c r="E450" s="4" t="s">
        <v>17</v>
      </c>
      <c r="K450" t="str">
        <v>empty</v>
      </c>
      <c r="L450" s="4" t="str">
        <f t="shared" si="6"/>
        <v>empty</v>
      </c>
      <c r="M450" t="str">
        <v>Nah,</v>
      </c>
      <c r="N450" s="4" cm="1">
        <f t="array" ref="N450">SUM(--(_xlfn.TEXTSPLIT($J$423,, " ") = M450))</f>
        <v>2</v>
      </c>
      <c r="O450">
        <v>5</v>
      </c>
      <c r="P450">
        <v>2</v>
      </c>
      <c r="Q450">
        <v>5</v>
      </c>
      <c r="S450" s="4"/>
      <c r="T450" s="10"/>
    </row>
    <row r="451" spans="5:20" x14ac:dyDescent="0.2">
      <c r="E451" s="4" t="s">
        <v>17</v>
      </c>
      <c r="K451" t="str">
        <v xml:space="preserve">Uzis
</v>
      </c>
      <c r="L451" s="4" t="str">
        <f t="shared" si="6"/>
        <v xml:space="preserve">Uzis </v>
      </c>
      <c r="M451" t="str">
        <v>it's</v>
      </c>
      <c r="N451" s="4" cm="1">
        <f t="array" ref="N451">SUM(--(_xlfn.TEXTSPLIT($J$423,, " ") = M451))</f>
        <v>2</v>
      </c>
      <c r="O451">
        <v>5</v>
      </c>
      <c r="P451">
        <v>2</v>
      </c>
      <c r="Q451">
        <v>5</v>
      </c>
      <c r="S451" s="4"/>
      <c r="T451" s="10"/>
    </row>
    <row r="452" spans="5:20" x14ac:dyDescent="0.2">
      <c r="E452" s="4" t="s">
        <v>17</v>
      </c>
      <c r="K452" t="str">
        <v>Life</v>
      </c>
      <c r="L452" s="4" t="str">
        <f t="shared" ref="L452:L515" si="7">_xlfn.REGEXREPLACE(K452, "[^A-Za-z ]", " ")</f>
        <v>Life</v>
      </c>
      <c r="M452" t="str">
        <v xml:space="preserve">stupid
</v>
      </c>
      <c r="N452" s="4" cm="1">
        <f t="array" ref="N452">SUM(--(_xlfn.TEXTSPLIT($J$423,, " ") = M452))</f>
        <v>2</v>
      </c>
      <c r="O452">
        <v>4</v>
      </c>
      <c r="P452">
        <v>2</v>
      </c>
      <c r="Q452">
        <v>4</v>
      </c>
      <c r="S452" s="4"/>
      <c r="T452" s="10"/>
    </row>
    <row r="453" spans="5:20" x14ac:dyDescent="0.2">
      <c r="E453" s="4" t="s">
        <v>17</v>
      </c>
      <c r="K453" t="str">
        <v>is</v>
      </c>
      <c r="L453" s="4" t="str">
        <f t="shared" si="7"/>
        <v>is</v>
      </c>
      <c r="M453" t="str">
        <v>You've</v>
      </c>
      <c r="N453" s="4" cm="1">
        <f t="array" ref="N453">SUM(--(_xlfn.TEXTSPLIT($J$423,, " ") = M453))</f>
        <v>1</v>
      </c>
      <c r="O453">
        <v>4</v>
      </c>
      <c r="P453">
        <v>1</v>
      </c>
      <c r="Q453">
        <v>4</v>
      </c>
      <c r="S453" s="4"/>
      <c r="T453" s="10"/>
    </row>
    <row r="454" spans="5:20" x14ac:dyDescent="0.2">
      <c r="E454" s="4" t="s">
        <v>17</v>
      </c>
      <c r="K454" t="str">
        <v>just</v>
      </c>
      <c r="L454" s="4" t="str">
        <f t="shared" si="7"/>
        <v>just</v>
      </c>
      <c r="M454" t="str">
        <v>met</v>
      </c>
      <c r="N454" s="4" cm="1">
        <f t="array" ref="N454">SUM(--(_xlfn.TEXTSPLIT($J$423,, " ") = M454))</f>
        <v>1</v>
      </c>
      <c r="O454">
        <v>4</v>
      </c>
      <c r="P454">
        <v>1</v>
      </c>
      <c r="Q454">
        <v>4</v>
      </c>
      <c r="S454" s="4"/>
      <c r="T454" s="10"/>
    </row>
    <row r="455" spans="5:20" x14ac:dyDescent="0.2">
      <c r="E455" s="4" t="s">
        <v>17</v>
      </c>
      <c r="K455" t="str">
        <v>forever</v>
      </c>
      <c r="L455" s="4" t="str">
        <f t="shared" si="7"/>
        <v>forever</v>
      </c>
      <c r="M455" t="str">
        <v>my</v>
      </c>
      <c r="N455" s="4" cm="1">
        <f t="array" ref="N455">SUM(--(_xlfn.TEXTSPLIT($J$423,, " ") = M455))</f>
        <v>1</v>
      </c>
      <c r="O455">
        <v>3</v>
      </c>
      <c r="P455">
        <v>1</v>
      </c>
      <c r="Q455">
        <v>3</v>
      </c>
      <c r="S455" s="4"/>
      <c r="T455" s="10"/>
    </row>
    <row r="456" spans="5:20" x14ac:dyDescent="0.2">
      <c r="E456" s="4" t="s">
        <v>17</v>
      </c>
      <c r="K456" t="str">
        <v>gripping</v>
      </c>
      <c r="L456" s="4" t="str">
        <f t="shared" si="7"/>
        <v>gripping</v>
      </c>
      <c r="M456" t="str">
        <v>fears,</v>
      </c>
      <c r="N456" s="4" cm="1">
        <f t="array" ref="N456">SUM(--(_xlfn.TEXTSPLIT($J$423,, " ") = M456))</f>
        <v>1</v>
      </c>
      <c r="O456">
        <v>3</v>
      </c>
      <c r="P456">
        <v>1</v>
      </c>
      <c r="Q456">
        <v>3</v>
      </c>
      <c r="S456" s="4"/>
      <c r="T456" s="10"/>
    </row>
    <row r="457" spans="5:20" x14ac:dyDescent="0.2">
      <c r="E457" s="4" t="s">
        <v>17</v>
      </c>
      <c r="K457" t="str">
        <v>feels,</v>
      </c>
      <c r="L457" s="4" t="str">
        <f t="shared" si="7"/>
        <v xml:space="preserve">feels </v>
      </c>
      <c r="M457" t="str">
        <v>they're</v>
      </c>
      <c r="N457" s="4" cm="1">
        <f t="array" ref="N457">SUM(--(_xlfn.TEXTSPLIT($J$423,, " ") = M457))</f>
        <v>1</v>
      </c>
      <c r="O457">
        <v>3</v>
      </c>
      <c r="P457">
        <v>1</v>
      </c>
      <c r="Q457">
        <v>3</v>
      </c>
      <c r="S457" s="4"/>
      <c r="T457" s="10"/>
    </row>
    <row r="458" spans="5:20" x14ac:dyDescent="0.2">
      <c r="E458" s="4" t="s">
        <v>17</v>
      </c>
      <c r="K458" t="str">
        <v>never</v>
      </c>
      <c r="L458" s="4" t="str">
        <f t="shared" si="7"/>
        <v>never</v>
      </c>
      <c r="M458" t="str">
        <v>all</v>
      </c>
      <c r="N458" s="4" cm="1">
        <f t="array" ref="N458">SUM(--(_xlfn.TEXTSPLIT($J$423,, " ") = M458))</f>
        <v>2</v>
      </c>
      <c r="O458">
        <v>3</v>
      </c>
      <c r="P458">
        <v>2</v>
      </c>
      <c r="Q458">
        <v>3</v>
      </c>
      <c r="S458" s="4"/>
      <c r="T458" s="10"/>
    </row>
    <row r="459" spans="5:20" x14ac:dyDescent="0.2">
      <c r="E459" s="4" t="s">
        <v>17</v>
      </c>
      <c r="K459" t="str">
        <v>slowing</v>
      </c>
      <c r="L459" s="4" t="str">
        <f t="shared" si="7"/>
        <v>slowing</v>
      </c>
      <c r="M459" t="str">
        <v xml:space="preserve">regulars
</v>
      </c>
      <c r="N459" s="4" cm="1">
        <f t="array" ref="N459">SUM(--(_xlfn.TEXTSPLIT($J$423,, " ") = M459))</f>
        <v>1</v>
      </c>
      <c r="O459">
        <v>3</v>
      </c>
      <c r="P459">
        <v>1</v>
      </c>
      <c r="Q459">
        <v>3</v>
      </c>
      <c r="S459" s="4"/>
      <c r="T459" s="10"/>
    </row>
    <row r="460" spans="5:20" x14ac:dyDescent="0.2">
      <c r="E460" s="4" t="s">
        <v>17</v>
      </c>
      <c r="K460" t="str">
        <v xml:space="preserve">down
</v>
      </c>
      <c r="L460" s="4" t="str">
        <f t="shared" si="7"/>
        <v xml:space="preserve">down  </v>
      </c>
      <c r="M460" t="str">
        <v>Wait,</v>
      </c>
      <c r="N460" s="4" cm="1">
        <f t="array" ref="N460">SUM(--(_xlfn.TEXTSPLIT($J$423,, " ") = M460))</f>
        <v>2</v>
      </c>
      <c r="O460">
        <v>3</v>
      </c>
      <c r="P460">
        <v>2</v>
      </c>
      <c r="Q460">
        <v>3</v>
      </c>
      <c r="S460" s="4"/>
      <c r="T460" s="10"/>
    </row>
    <row r="461" spans="5:20" x14ac:dyDescent="0.2">
      <c r="E461" s="4" t="s">
        <v>17</v>
      </c>
      <c r="K461" t="str">
        <v>You</v>
      </c>
      <c r="L461" s="4" t="str">
        <f t="shared" si="7"/>
        <v>You</v>
      </c>
      <c r="M461" t="str">
        <v>who's</v>
      </c>
      <c r="N461" s="4" cm="1">
        <f t="array" ref="N461">SUM(--(_xlfn.TEXTSPLIT($J$423,, " ") = M461))</f>
        <v>2</v>
      </c>
      <c r="O461">
        <v>3</v>
      </c>
      <c r="P461">
        <v>2</v>
      </c>
      <c r="Q461">
        <v>3</v>
      </c>
      <c r="S461" s="4"/>
      <c r="T461" s="10"/>
    </row>
    <row r="462" spans="5:20" x14ac:dyDescent="0.2">
      <c r="E462" s="4" t="s">
        <v>17</v>
      </c>
      <c r="K462" t="str">
        <v>know</v>
      </c>
      <c r="L462" s="4" t="str">
        <f t="shared" si="7"/>
        <v>know</v>
      </c>
      <c r="M462" t="str">
        <v>the</v>
      </c>
      <c r="N462" s="4" cm="1">
        <f t="array" ref="N462">SUM(--(_xlfn.TEXTSPLIT($J$423,, " ") = M462))</f>
        <v>6</v>
      </c>
      <c r="O462">
        <v>3</v>
      </c>
      <c r="P462">
        <v>6</v>
      </c>
      <c r="Q462">
        <v>3</v>
      </c>
      <c r="S462" s="4"/>
      <c r="T462" s="10"/>
    </row>
    <row r="463" spans="5:20" x14ac:dyDescent="0.2">
      <c r="E463" s="4" t="s">
        <v>17</v>
      </c>
      <c r="K463" t="str">
        <v>what</v>
      </c>
      <c r="L463" s="4" t="str">
        <f t="shared" si="7"/>
        <v>what</v>
      </c>
      <c r="M463" t="str">
        <v>new</v>
      </c>
      <c r="N463" s="4" cm="1">
        <f t="array" ref="N463">SUM(--(_xlfn.TEXTSPLIT($J$423,, " ") = M463))</f>
        <v>2</v>
      </c>
      <c r="O463">
        <v>3</v>
      </c>
      <c r="P463">
        <v>2</v>
      </c>
      <c r="Q463">
        <v>3</v>
      </c>
      <c r="S463" s="4"/>
      <c r="T463" s="10"/>
    </row>
    <row r="464" spans="5:20" x14ac:dyDescent="0.2">
      <c r="E464" s="4" t="s">
        <v>17</v>
      </c>
      <c r="K464" t="str">
        <v>scares</v>
      </c>
      <c r="L464" s="4" t="str">
        <f t="shared" si="7"/>
        <v>scares</v>
      </c>
      <c r="M464" t="str">
        <v xml:space="preserve">kid?
</v>
      </c>
      <c r="N464" s="4" cm="1">
        <f t="array" ref="N464">SUM(--(_xlfn.TEXTSPLIT($J$423,, " ") = M464))</f>
        <v>1</v>
      </c>
      <c r="O464">
        <v>3</v>
      </c>
      <c r="P464">
        <v>1</v>
      </c>
      <c r="Q464">
        <v>3</v>
      </c>
      <c r="S464" s="4"/>
      <c r="T464" s="10"/>
    </row>
    <row r="465" spans="5:20" x14ac:dyDescent="0.2">
      <c r="E465" s="4" t="s">
        <v>17</v>
      </c>
      <c r="K465" t="str">
        <v>me?</v>
      </c>
      <c r="L465" s="4" t="str">
        <f t="shared" si="7"/>
        <v xml:space="preserve">me </v>
      </c>
      <c r="M465" t="str">
        <v>kills</v>
      </c>
      <c r="N465" s="4" cm="1">
        <f t="array" ref="N465">SUM(--(_xlfn.TEXTSPLIT($J$423,, " ") = M465))</f>
        <v>1</v>
      </c>
      <c r="O465">
        <v>3</v>
      </c>
      <c r="P465">
        <v>1</v>
      </c>
      <c r="Q465">
        <v>3</v>
      </c>
      <c r="S465" s="4"/>
      <c r="T465" s="10"/>
    </row>
    <row r="466" spans="5:20" x14ac:dyDescent="0.2">
      <c r="E466" s="4" t="s">
        <v>17</v>
      </c>
      <c r="K466" t="str">
        <v>Nah,</v>
      </c>
      <c r="L466" s="4" t="str">
        <f t="shared" si="7"/>
        <v xml:space="preserve">Nah </v>
      </c>
      <c r="M466" t="str">
        <v>Not</v>
      </c>
      <c r="N466" s="4" cm="1">
        <f t="array" ref="N466">SUM(--(_xlfn.TEXTSPLIT($J$423,, " ") = M466))</f>
        <v>3</v>
      </c>
      <c r="O466">
        <v>3</v>
      </c>
      <c r="P466">
        <v>3</v>
      </c>
      <c r="Q466">
        <v>3</v>
      </c>
      <c r="S466" s="4"/>
      <c r="T466" s="10"/>
    </row>
    <row r="467" spans="5:20" x14ac:dyDescent="0.2">
      <c r="E467" s="4" t="s">
        <v>17</v>
      </c>
      <c r="K467" t="str">
        <v>it's</v>
      </c>
      <c r="L467" s="4" t="str">
        <f t="shared" si="7"/>
        <v>it s</v>
      </c>
      <c r="M467" t="str">
        <v>getting</v>
      </c>
      <c r="N467" s="4" cm="1">
        <f t="array" ref="N467">SUM(--(_xlfn.TEXTSPLIT($J$423,, " ") = M467))</f>
        <v>2</v>
      </c>
      <c r="O467">
        <v>3</v>
      </c>
      <c r="P467">
        <v>2</v>
      </c>
      <c r="Q467">
        <v>3</v>
      </c>
      <c r="S467" s="4"/>
      <c r="T467" s="10"/>
    </row>
    <row r="468" spans="5:20" x14ac:dyDescent="0.2">
      <c r="E468" s="4" t="s">
        <v>17</v>
      </c>
      <c r="K468" t="str">
        <v xml:space="preserve">stupid
</v>
      </c>
      <c r="L468" s="4" t="str">
        <f t="shared" si="7"/>
        <v xml:space="preserve">stupid </v>
      </c>
      <c r="M468" t="str">
        <v xml:space="preserve">stronger
</v>
      </c>
      <c r="N468" s="4" cm="1">
        <f t="array" ref="N468">SUM(--(_xlfn.TEXTSPLIT($J$423,, " ") = M468))</f>
        <v>2</v>
      </c>
      <c r="O468">
        <v>2</v>
      </c>
      <c r="P468">
        <v>2</v>
      </c>
      <c r="Q468">
        <v>2</v>
      </c>
      <c r="S468" s="4"/>
      <c r="T468" s="10"/>
    </row>
    <row r="469" spans="5:20" x14ac:dyDescent="0.2">
      <c r="E469" s="4" t="s">
        <v>17</v>
      </c>
      <c r="K469" t="str">
        <v>You've</v>
      </c>
      <c r="L469" s="4" t="str">
        <f t="shared" si="7"/>
        <v>You ve</v>
      </c>
      <c r="M469" t="str">
        <v>And</v>
      </c>
      <c r="N469" s="4" cm="1">
        <f t="array" ref="N469">SUM(--(_xlfn.TEXTSPLIT($J$423,, " ") = M469))</f>
        <v>7</v>
      </c>
      <c r="O469">
        <v>2</v>
      </c>
      <c r="P469">
        <v>7</v>
      </c>
      <c r="Q469">
        <v>2</v>
      </c>
      <c r="S469" s="4"/>
      <c r="T469" s="10"/>
    </row>
    <row r="470" spans="5:20" x14ac:dyDescent="0.2">
      <c r="E470" s="4" t="s">
        <v>17</v>
      </c>
      <c r="K470" t="str">
        <v>met</v>
      </c>
      <c r="L470" s="4" t="str">
        <f t="shared" si="7"/>
        <v>met</v>
      </c>
      <c r="M470" t="str">
        <v>now</v>
      </c>
      <c r="N470" s="4" cm="1">
        <f t="array" ref="N470">SUM(--(_xlfn.TEXTSPLIT($J$423,, " ") = M470))</f>
        <v>2</v>
      </c>
      <c r="O470">
        <v>2</v>
      </c>
      <c r="P470">
        <v>2</v>
      </c>
      <c r="Q470">
        <v>2</v>
      </c>
      <c r="S470" s="4"/>
      <c r="T470" s="10"/>
    </row>
    <row r="471" spans="5:20" x14ac:dyDescent="0.2">
      <c r="E471" s="4" t="s">
        <v>17</v>
      </c>
      <c r="K471" t="str">
        <v>my</v>
      </c>
      <c r="L471" s="4" t="str">
        <f t="shared" si="7"/>
        <v>my</v>
      </c>
      <c r="M471" t="str">
        <v>I</v>
      </c>
      <c r="N471" s="4" cm="1">
        <f t="array" ref="N471">SUM(--(_xlfn.TEXTSPLIT($J$423,, " ") = M471))</f>
        <v>8</v>
      </c>
      <c r="O471">
        <v>2</v>
      </c>
      <c r="P471">
        <v>8</v>
      </c>
      <c r="Q471">
        <v>2</v>
      </c>
      <c r="S471" s="4"/>
      <c r="T471" s="10"/>
    </row>
    <row r="472" spans="5:20" x14ac:dyDescent="0.2">
      <c r="E472" s="4" t="s">
        <v>17</v>
      </c>
      <c r="K472" t="str">
        <v>fears,</v>
      </c>
      <c r="L472" s="4" t="str">
        <f t="shared" si="7"/>
        <v xml:space="preserve">fears </v>
      </c>
      <c r="M472" t="str">
        <v>can't</v>
      </c>
      <c r="N472" s="4" cm="1">
        <f t="array" ref="N472">SUM(--(_xlfn.TEXTSPLIT($J$423,, " ") = M472))</f>
        <v>3</v>
      </c>
      <c r="O472">
        <v>2</v>
      </c>
      <c r="P472">
        <v>3</v>
      </c>
      <c r="Q472">
        <v>2</v>
      </c>
      <c r="S472" s="4"/>
      <c r="T472" s="10"/>
    </row>
    <row r="473" spans="5:20" x14ac:dyDescent="0.2">
      <c r="E473" s="4" t="s">
        <v>17</v>
      </c>
      <c r="K473" t="str">
        <v>they're</v>
      </c>
      <c r="L473" s="4" t="str">
        <f t="shared" si="7"/>
        <v>they re</v>
      </c>
      <c r="M473" t="str">
        <v>seem</v>
      </c>
      <c r="N473" s="4" cm="1">
        <f t="array" ref="N473">SUM(--(_xlfn.TEXTSPLIT($J$423,, " ") = M473))</f>
        <v>3</v>
      </c>
      <c r="O473">
        <v>2</v>
      </c>
      <c r="P473">
        <v>3</v>
      </c>
      <c r="Q473">
        <v>2</v>
      </c>
      <c r="S473" s="4"/>
      <c r="T473" s="10"/>
    </row>
    <row r="474" spans="5:20" x14ac:dyDescent="0.2">
      <c r="E474" s="4" t="s">
        <v>17</v>
      </c>
      <c r="K474" t="str">
        <v>all</v>
      </c>
      <c r="L474" s="4" t="str">
        <f t="shared" si="7"/>
        <v>all</v>
      </c>
      <c r="M474" t="str">
        <v>to</v>
      </c>
      <c r="N474" s="4" cm="1">
        <f t="array" ref="N474">SUM(--(_xlfn.TEXTSPLIT($J$423,, " ") = M474))</f>
        <v>7</v>
      </c>
      <c r="O474">
        <v>2</v>
      </c>
      <c r="P474">
        <v>7</v>
      </c>
      <c r="Q474">
        <v>2</v>
      </c>
      <c r="S474" s="4"/>
      <c r="T474" s="10"/>
    </row>
    <row r="475" spans="5:20" x14ac:dyDescent="0.2">
      <c r="E475" s="4" t="s">
        <v>17</v>
      </c>
      <c r="K475" t="str">
        <v xml:space="preserve">regulars
</v>
      </c>
      <c r="L475" s="4" t="str">
        <f t="shared" si="7"/>
        <v xml:space="preserve">regulars </v>
      </c>
      <c r="M475" t="str">
        <v>sit</v>
      </c>
      <c r="N475" s="4" cm="1">
        <f t="array" ref="N475">SUM(--(_xlfn.TEXTSPLIT($J$423,, " ") = M475))</f>
        <v>3</v>
      </c>
      <c r="O475">
        <v>2</v>
      </c>
      <c r="P475">
        <v>3</v>
      </c>
      <c r="Q475">
        <v>2</v>
      </c>
      <c r="S475" s="4"/>
      <c r="T475" s="10"/>
    </row>
    <row r="476" spans="5:20" x14ac:dyDescent="0.2">
      <c r="E476" s="4" t="s">
        <v>17</v>
      </c>
      <c r="K476" t="str">
        <v>Wait,</v>
      </c>
      <c r="L476" s="4" t="str">
        <f t="shared" si="7"/>
        <v xml:space="preserve">Wait </v>
      </c>
      <c r="M476" t="str">
        <v>still</v>
      </c>
      <c r="N476" s="4" cm="1">
        <f t="array" ref="N476">SUM(--(_xlfn.TEXTSPLIT($J$423,, " ") = M476))</f>
        <v>3</v>
      </c>
      <c r="O476">
        <v>2</v>
      </c>
      <c r="P476">
        <v>3</v>
      </c>
      <c r="Q476">
        <v>2</v>
      </c>
      <c r="S476" s="4"/>
      <c r="T476" s="10"/>
    </row>
    <row r="477" spans="5:20" x14ac:dyDescent="0.2">
      <c r="E477" s="4" t="s">
        <v>17</v>
      </c>
      <c r="K477" t="str">
        <v>who's</v>
      </c>
      <c r="L477" s="4" t="str">
        <f t="shared" si="7"/>
        <v>who s</v>
      </c>
      <c r="M477" t="str">
        <v>any</v>
      </c>
      <c r="N477" s="4" cm="1">
        <f t="array" ref="N477">SUM(--(_xlfn.TEXTSPLIT($J$423,, " ") = M477))</f>
        <v>3</v>
      </c>
      <c r="O477">
        <v>2</v>
      </c>
      <c r="P477">
        <v>3</v>
      </c>
      <c r="Q477">
        <v>2</v>
      </c>
      <c r="S477" s="4"/>
      <c r="T477" s="10"/>
    </row>
    <row r="478" spans="5:20" x14ac:dyDescent="0.2">
      <c r="E478" s="4" t="s">
        <v>17</v>
      </c>
      <c r="K478" t="str">
        <v>the</v>
      </c>
      <c r="L478" s="4" t="str">
        <f t="shared" si="7"/>
        <v>the</v>
      </c>
      <c r="M478" t="str">
        <v xml:space="preserve">longer
</v>
      </c>
      <c r="N478" s="4" cm="1">
        <f t="array" ref="N478">SUM(--(_xlfn.TEXTSPLIT($J$423,, " ") = M478))</f>
        <v>2</v>
      </c>
      <c r="O478">
        <v>2</v>
      </c>
      <c r="P478">
        <v>2</v>
      </c>
      <c r="Q478">
        <v>2</v>
      </c>
      <c r="S478" s="4"/>
      <c r="T478" s="10"/>
    </row>
    <row r="479" spans="5:20" x14ac:dyDescent="0.2">
      <c r="E479" s="4" t="s">
        <v>17</v>
      </c>
      <c r="K479" t="str">
        <v>new</v>
      </c>
      <c r="L479" s="4" t="str">
        <f t="shared" si="7"/>
        <v>new</v>
      </c>
      <c r="M479" t="str">
        <v>(I</v>
      </c>
      <c r="N479" s="4" cm="1">
        <f t="array" ref="N479">SUM(--(_xlfn.TEXTSPLIT($J$423,, " ") = M479))</f>
        <v>1</v>
      </c>
      <c r="O479">
        <v>2</v>
      </c>
      <c r="P479">
        <v>1</v>
      </c>
      <c r="Q479">
        <v>2</v>
      </c>
      <c r="S479" s="4"/>
      <c r="T479" s="10"/>
    </row>
    <row r="480" spans="5:20" x14ac:dyDescent="0.2">
      <c r="E480" s="4" t="s">
        <v>17</v>
      </c>
      <c r="K480" t="str">
        <v xml:space="preserve">kid?
</v>
      </c>
      <c r="L480" s="4" t="str">
        <f t="shared" si="7"/>
        <v xml:space="preserve">kid  </v>
      </c>
      <c r="M480" t="str">
        <v xml:space="preserve">longer)
</v>
      </c>
      <c r="N480" s="4" cm="1">
        <f t="array" ref="N480">SUM(--(_xlfn.TEXTSPLIT($J$423,, " ") = M480))</f>
        <v>1</v>
      </c>
      <c r="O480">
        <v>2</v>
      </c>
      <c r="P480">
        <v>1</v>
      </c>
      <c r="Q480">
        <v>2</v>
      </c>
      <c r="S480" s="4"/>
      <c r="T480" s="10"/>
    </row>
    <row r="481" spans="5:20" x14ac:dyDescent="0.2">
      <c r="E481" s="4" t="s">
        <v>17</v>
      </c>
      <c r="K481" t="str">
        <v>You</v>
      </c>
      <c r="L481" s="4" t="str">
        <f t="shared" si="7"/>
        <v>You</v>
      </c>
      <c r="M481" t="str">
        <v>(Never</v>
      </c>
      <c r="N481" s="4" cm="1">
        <f t="array" ref="N481">SUM(--(_xlfn.TEXTSPLIT($J$423,, " ") = M481))</f>
        <v>17</v>
      </c>
      <c r="O481">
        <v>2</v>
      </c>
      <c r="P481">
        <v>17</v>
      </c>
      <c r="Q481">
        <v>2</v>
      </c>
      <c r="S481" s="4"/>
      <c r="T481" s="10"/>
    </row>
    <row r="482" spans="5:20" x14ac:dyDescent="0.2">
      <c r="E482" s="4" t="s">
        <v>17</v>
      </c>
      <c r="K482" t="str">
        <v>know</v>
      </c>
      <c r="L482" s="4" t="str">
        <f t="shared" si="7"/>
        <v>know</v>
      </c>
      <c r="M482" t="str">
        <v xml:space="preserve">down)
</v>
      </c>
      <c r="N482" s="4" cm="1">
        <f t="array" ref="N482">SUM(--(_xlfn.TEXTSPLIT($J$423,, " ") = M482))</f>
        <v>19</v>
      </c>
      <c r="O482">
        <v>2</v>
      </c>
      <c r="P482">
        <v>19</v>
      </c>
      <c r="Q482">
        <v>2</v>
      </c>
      <c r="S482" s="4"/>
      <c r="T482" s="10"/>
    </row>
    <row r="483" spans="5:20" x14ac:dyDescent="0.2">
      <c r="E483" s="4" t="s">
        <v>17</v>
      </c>
      <c r="K483" t="str">
        <v>what</v>
      </c>
      <c r="L483" s="4" t="str">
        <f t="shared" si="7"/>
        <v>what</v>
      </c>
      <c r="M483" t="str">
        <v>(Never,</v>
      </c>
      <c r="N483" s="4" cm="1">
        <f t="array" ref="N483">SUM(--(_xlfn.TEXTSPLIT($J$423,, " ") = M483))</f>
        <v>3</v>
      </c>
      <c r="O483">
        <v>2</v>
      </c>
      <c r="P483">
        <v>3</v>
      </c>
      <c r="Q483">
        <v>2</v>
      </c>
      <c r="S483" s="4"/>
      <c r="T483" s="10"/>
    </row>
    <row r="484" spans="5:20" x14ac:dyDescent="0.2">
      <c r="E484" s="4" t="s">
        <v>17</v>
      </c>
      <c r="K484" t="str">
        <v>kills</v>
      </c>
      <c r="L484" s="4" t="str">
        <f t="shared" si="7"/>
        <v>kills</v>
      </c>
      <c r="M484" t="str">
        <v xml:space="preserve">down)
</v>
      </c>
      <c r="N484" s="4" cm="1">
        <f t="array" ref="N484">SUM(--(_xlfn.TEXTSPLIT($J$423,, " ") = M484))</f>
        <v>1</v>
      </c>
      <c r="O484">
        <v>2</v>
      </c>
      <c r="P484">
        <v>1</v>
      </c>
      <c r="Q484">
        <v>2</v>
      </c>
      <c r="S484" s="4"/>
      <c r="T484" s="10"/>
    </row>
    <row r="485" spans="5:20" x14ac:dyDescent="0.2">
      <c r="E485" s="4" t="s">
        <v>17</v>
      </c>
      <c r="K485" t="str">
        <v>me?</v>
      </c>
      <c r="L485" s="4" t="str">
        <f t="shared" si="7"/>
        <v xml:space="preserve">me </v>
      </c>
      <c r="M485" t="str">
        <v>Learning</v>
      </c>
      <c r="N485" s="4" cm="1">
        <f t="array" ref="N485">SUM(--(_xlfn.TEXTSPLIT($J$423,, " ") = M485))</f>
        <v>1</v>
      </c>
      <c r="O485">
        <v>2</v>
      </c>
      <c r="P485">
        <v>1</v>
      </c>
      <c r="Q485">
        <v>2</v>
      </c>
      <c r="S485" s="4"/>
      <c r="T485" s="10"/>
    </row>
    <row r="486" spans="5:20" x14ac:dyDescent="0.2">
      <c r="E486" s="4" t="s">
        <v>17</v>
      </c>
      <c r="K486" t="str">
        <v>Not</v>
      </c>
      <c r="L486" s="4" t="str">
        <f t="shared" si="7"/>
        <v>Not</v>
      </c>
      <c r="M486" t="str">
        <v>that</v>
      </c>
      <c r="N486" s="4" cm="1">
        <f t="array" ref="N486">SUM(--(_xlfn.TEXTSPLIT($J$423,, " ") = M486))</f>
        <v>1</v>
      </c>
      <c r="O486">
        <v>2</v>
      </c>
      <c r="P486">
        <v>1</v>
      </c>
      <c r="Q486">
        <v>2</v>
      </c>
      <c r="S486" s="4"/>
      <c r="T486" s="10"/>
    </row>
    <row r="487" spans="5:20" x14ac:dyDescent="0.2">
      <c r="E487" s="4" t="s">
        <v>17</v>
      </c>
      <c r="K487" t="str">
        <v>getting</v>
      </c>
      <c r="L487" s="4" t="str">
        <f t="shared" si="7"/>
        <v>getting</v>
      </c>
      <c r="M487" t="str">
        <v>really</v>
      </c>
      <c r="N487" s="4" cm="1">
        <f t="array" ref="N487">SUM(--(_xlfn.TEXTSPLIT($J$423,, " ") = M487))</f>
        <v>1</v>
      </c>
      <c r="O487">
        <v>2</v>
      </c>
      <c r="P487">
        <v>1</v>
      </c>
      <c r="Q487">
        <v>2</v>
      </c>
      <c r="S487" s="4"/>
      <c r="T487" s="10"/>
    </row>
    <row r="488" spans="5:20" x14ac:dyDescent="0.2">
      <c r="E488" s="4" t="s">
        <v>17</v>
      </c>
      <c r="K488" t="str">
        <v xml:space="preserve">stronger
</v>
      </c>
      <c r="L488" s="4" t="str">
        <f t="shared" si="7"/>
        <v xml:space="preserve">stronger </v>
      </c>
      <c r="M488" t="str">
        <v>matters</v>
      </c>
      <c r="N488" s="4" cm="1">
        <f t="array" ref="N488">SUM(--(_xlfn.TEXTSPLIT($J$423,, " ") = M488))</f>
        <v>1</v>
      </c>
      <c r="O488">
        <v>2</v>
      </c>
      <c r="P488">
        <v>1</v>
      </c>
      <c r="Q488">
        <v>2</v>
      </c>
      <c r="S488" s="4"/>
      <c r="T488" s="10"/>
    </row>
    <row r="489" spans="5:20" x14ac:dyDescent="0.2">
      <c r="E489" s="4" t="s">
        <v>17</v>
      </c>
      <c r="K489" t="str">
        <v>And</v>
      </c>
      <c r="L489" s="4" t="str">
        <f t="shared" si="7"/>
        <v>And</v>
      </c>
      <c r="M489" t="str">
        <v>a</v>
      </c>
      <c r="N489" s="4" cm="1">
        <f t="array" ref="N489">SUM(--(_xlfn.TEXTSPLIT($J$423,, " ") = M489))</f>
        <v>3</v>
      </c>
      <c r="O489">
        <v>2</v>
      </c>
      <c r="P489">
        <v>3</v>
      </c>
      <c r="Q489">
        <v>2</v>
      </c>
      <c r="S489" s="4"/>
      <c r="T489" s="10"/>
    </row>
    <row r="490" spans="5:20" x14ac:dyDescent="0.2">
      <c r="E490" s="4" t="s">
        <v>17</v>
      </c>
      <c r="K490" t="str">
        <v>now</v>
      </c>
      <c r="L490" s="4" t="str">
        <f t="shared" si="7"/>
        <v>now</v>
      </c>
      <c r="M490" t="str">
        <v>slow</v>
      </c>
      <c r="N490" s="4" cm="1">
        <f t="array" ref="N490">SUM(--(_xlfn.TEXTSPLIT($J$423,, " ") = M490))</f>
        <v>1</v>
      </c>
      <c r="O490">
        <v>2</v>
      </c>
      <c r="P490">
        <v>1</v>
      </c>
      <c r="Q490">
        <v>2</v>
      </c>
      <c r="S490" s="4"/>
      <c r="T490" s="10"/>
    </row>
    <row r="491" spans="5:20" x14ac:dyDescent="0.2">
      <c r="E491" s="4" t="s">
        <v>17</v>
      </c>
      <c r="K491" t="str">
        <v>I</v>
      </c>
      <c r="L491" s="4" t="str">
        <f t="shared" si="7"/>
        <v>I</v>
      </c>
      <c r="M491" t="str">
        <v>painful</v>
      </c>
      <c r="N491" s="4" cm="1">
        <f t="array" ref="N491">SUM(--(_xlfn.TEXTSPLIT($J$423,, " ") = M491))</f>
        <v>1</v>
      </c>
      <c r="O491">
        <v>2</v>
      </c>
      <c r="P491">
        <v>1</v>
      </c>
      <c r="Q491">
        <v>2</v>
      </c>
      <c r="S491" s="4"/>
      <c r="T491" s="10"/>
    </row>
    <row r="492" spans="5:20" x14ac:dyDescent="0.2">
      <c r="E492" s="4" t="s">
        <v>17</v>
      </c>
      <c r="K492" t="str">
        <v>can't</v>
      </c>
      <c r="L492" s="4" t="str">
        <f t="shared" si="7"/>
        <v>can t</v>
      </c>
      <c r="M492" t="str">
        <v>lesson</v>
      </c>
      <c r="N492" s="4" cm="1">
        <f t="array" ref="N492">SUM(--(_xlfn.TEXTSPLIT($J$423,, " ") = M492))</f>
        <v>1</v>
      </c>
      <c r="O492">
        <v>2</v>
      </c>
      <c r="P492">
        <v>1</v>
      </c>
      <c r="Q492">
        <v>2</v>
      </c>
      <c r="S492" s="4"/>
      <c r="T492" s="10"/>
    </row>
    <row r="493" spans="5:20" x14ac:dyDescent="0.2">
      <c r="E493" s="4" t="s">
        <v>17</v>
      </c>
      <c r="K493" t="str">
        <v>seem</v>
      </c>
      <c r="L493" s="4" t="str">
        <f t="shared" si="7"/>
        <v>seem</v>
      </c>
      <c r="M493" t="str">
        <v>down,</v>
      </c>
      <c r="N493" s="4" cm="1">
        <f t="array" ref="N493">SUM(--(_xlfn.TEXTSPLIT($J$423,, " ") = M493))</f>
        <v>3</v>
      </c>
      <c r="O493">
        <v>2</v>
      </c>
      <c r="P493">
        <v>3</v>
      </c>
      <c r="Q493">
        <v>2</v>
      </c>
      <c r="S493" s="4"/>
      <c r="T493" s="10"/>
    </row>
    <row r="494" spans="5:20" x14ac:dyDescent="0.2">
      <c r="E494" s="4" t="s">
        <v>17</v>
      </c>
      <c r="K494" t="str">
        <v>to</v>
      </c>
      <c r="L494" s="4" t="str">
        <f t="shared" si="7"/>
        <v>to</v>
      </c>
      <c r="M494" t="str">
        <v>It</v>
      </c>
      <c r="N494" s="4" cm="1">
        <f t="array" ref="N494">SUM(--(_xlfn.TEXTSPLIT($J$423,, " ") = M494))</f>
        <v>2</v>
      </c>
      <c r="O494">
        <v>2</v>
      </c>
      <c r="P494">
        <v>2</v>
      </c>
      <c r="Q494">
        <v>2</v>
      </c>
      <c r="S494" s="4"/>
      <c r="T494" s="10"/>
    </row>
    <row r="495" spans="5:20" x14ac:dyDescent="0.2">
      <c r="E495" s="4" t="s">
        <v>17</v>
      </c>
      <c r="K495" t="str">
        <v>sit</v>
      </c>
      <c r="L495" s="4" t="str">
        <f t="shared" si="7"/>
        <v>sit</v>
      </c>
      <c r="M495" t="str">
        <v>pass</v>
      </c>
      <c r="N495" s="4" cm="1">
        <f t="array" ref="N495">SUM(--(_xlfn.TEXTSPLIT($J$423,, " ") = M495))</f>
        <v>1</v>
      </c>
      <c r="O495">
        <v>2</v>
      </c>
      <c r="P495">
        <v>1</v>
      </c>
      <c r="Q495">
        <v>2</v>
      </c>
      <c r="S495" s="4"/>
      <c r="T495" s="10"/>
    </row>
    <row r="496" spans="5:20" x14ac:dyDescent="0.2">
      <c r="E496" s="4" t="s">
        <v>17</v>
      </c>
      <c r="K496" t="str">
        <v>still</v>
      </c>
      <c r="L496" s="4" t="str">
        <f t="shared" si="7"/>
        <v>still</v>
      </c>
      <c r="M496" t="str">
        <v>or</v>
      </c>
      <c r="N496" s="4" cm="1">
        <f t="array" ref="N496">SUM(--(_xlfn.TEXTSPLIT($J$423,, " ") = M496))</f>
        <v>1</v>
      </c>
      <c r="O496">
        <v>1</v>
      </c>
      <c r="P496">
        <v>1</v>
      </c>
      <c r="Q496">
        <v>1</v>
      </c>
      <c r="S496" s="4"/>
      <c r="T496" s="10"/>
    </row>
    <row r="497" spans="5:20" x14ac:dyDescent="0.2">
      <c r="E497" s="4" t="s">
        <v>17</v>
      </c>
      <c r="K497" t="str">
        <v>any</v>
      </c>
      <c r="L497" s="4" t="str">
        <f t="shared" si="7"/>
        <v>any</v>
      </c>
      <c r="M497" t="str">
        <v>fail,</v>
      </c>
      <c r="N497" s="4" cm="1">
        <f t="array" ref="N497">SUM(--(_xlfn.TEXTSPLIT($J$423,, " ") = M497))</f>
        <v>1</v>
      </c>
      <c r="O497">
        <v>1</v>
      </c>
      <c r="P497">
        <v>1</v>
      </c>
      <c r="Q497">
        <v>1</v>
      </c>
      <c r="S497" s="4"/>
      <c r="T497" s="10"/>
    </row>
    <row r="498" spans="5:20" x14ac:dyDescent="0.2">
      <c r="E498" s="4" t="s">
        <v>17</v>
      </c>
      <c r="K498" t="str">
        <v xml:space="preserve">longer
</v>
      </c>
      <c r="L498" s="4" t="str">
        <f t="shared" si="7"/>
        <v xml:space="preserve">longer  </v>
      </c>
      <c r="M498" t="str">
        <v>but</v>
      </c>
      <c r="N498" s="4" cm="1">
        <f t="array" ref="N498">SUM(--(_xlfn.TEXTSPLIT($J$423,, " ") = M498))</f>
        <v>3</v>
      </c>
      <c r="O498">
        <v>1</v>
      </c>
      <c r="P498">
        <v>3</v>
      </c>
      <c r="Q498">
        <v>1</v>
      </c>
      <c r="S498" s="4"/>
      <c r="T498" s="10"/>
    </row>
    <row r="499" spans="5:20" x14ac:dyDescent="0.2">
      <c r="E499" s="4" t="s">
        <v>17</v>
      </c>
      <c r="K499" t="str">
        <v>Raw</v>
      </c>
      <c r="L499" s="4" t="str">
        <f t="shared" si="7"/>
        <v>Raw</v>
      </c>
      <c r="M499" t="str">
        <v>poisonous</v>
      </c>
      <c r="N499" s="4" cm="1">
        <f t="array" ref="N499">SUM(--(_xlfn.TEXTSPLIT($J$423,, " ") = M499))</f>
        <v>1</v>
      </c>
      <c r="O499">
        <v>1</v>
      </c>
      <c r="P499">
        <v>1</v>
      </c>
      <c r="Q499">
        <v>1</v>
      </c>
      <c r="S499" s="4"/>
      <c r="T499" s="10"/>
    </row>
    <row r="500" spans="5:20" x14ac:dyDescent="0.2">
      <c r="E500" s="4" t="s">
        <v>17</v>
      </c>
      <c r="K500" t="str">
        <v>fear</v>
      </c>
      <c r="L500" s="4" t="str">
        <f t="shared" si="7"/>
        <v>fear</v>
      </c>
      <c r="M500" t="str">
        <v>progression</v>
      </c>
      <c r="N500" s="4" cm="1">
        <f t="array" ref="N500">SUM(--(_xlfn.TEXTSPLIT($J$423,, " ") = M500))</f>
        <v>1</v>
      </c>
      <c r="O500">
        <v>1</v>
      </c>
      <c r="P500">
        <v>1</v>
      </c>
      <c r="Q500">
        <v>1</v>
      </c>
      <c r="S500" s="4"/>
      <c r="T500" s="10"/>
    </row>
    <row r="501" spans="5:20" x14ac:dyDescent="0.2">
      <c r="E501" s="4" t="s">
        <v>17</v>
      </c>
      <c r="K501" t="str">
        <v>moves</v>
      </c>
      <c r="L501" s="4" t="str">
        <f t="shared" si="7"/>
        <v>moves</v>
      </c>
      <c r="M501" t="str">
        <v>Try</v>
      </c>
      <c r="N501" s="4" cm="1">
        <f t="array" ref="N501">SUM(--(_xlfn.TEXTSPLIT($J$423,, " ") = M501))</f>
        <v>2</v>
      </c>
      <c r="O501">
        <v>1</v>
      </c>
      <c r="P501">
        <v>2</v>
      </c>
      <c r="Q501">
        <v>1</v>
      </c>
      <c r="S501" s="4"/>
      <c r="T501" s="10"/>
    </row>
    <row r="502" spans="5:20" x14ac:dyDescent="0.2">
      <c r="E502" s="4" t="s">
        <v>17</v>
      </c>
      <c r="K502" t="str">
        <v>me,</v>
      </c>
      <c r="L502" s="4" t="str">
        <f t="shared" si="7"/>
        <v xml:space="preserve">me </v>
      </c>
      <c r="M502" t="str">
        <v>micro-dose</v>
      </c>
      <c r="N502" s="4" cm="1">
        <f t="array" ref="N502">SUM(--(_xlfn.TEXTSPLIT($J$423,, " ") = M502))</f>
        <v>2</v>
      </c>
      <c r="O502">
        <v>1</v>
      </c>
      <c r="P502">
        <v>2</v>
      </c>
      <c r="Q502">
        <v>1</v>
      </c>
      <c r="S502" s="4"/>
      <c r="T502" s="10"/>
    </row>
    <row r="503" spans="5:20" x14ac:dyDescent="0.2">
      <c r="E503" s="4" t="s">
        <v>17</v>
      </c>
      <c r="K503" t="str">
        <v>sounds</v>
      </c>
      <c r="L503" s="4" t="str">
        <f t="shared" si="7"/>
        <v>sounds</v>
      </c>
      <c r="M503" t="str">
        <v>immunity</v>
      </c>
      <c r="N503" s="4" cm="1">
        <f t="array" ref="N503">SUM(--(_xlfn.TEXTSPLIT($J$423,, " ") = M503))</f>
        <v>2</v>
      </c>
      <c r="O503">
        <v>1</v>
      </c>
      <c r="P503">
        <v>2</v>
      </c>
      <c r="Q503">
        <v>1</v>
      </c>
      <c r="S503" s="4"/>
      <c r="T503" s="10"/>
    </row>
    <row r="504" spans="5:20" x14ac:dyDescent="0.2">
      <c r="E504" s="4" t="s">
        <v>17</v>
      </c>
      <c r="K504" t="str">
        <v>of</v>
      </c>
      <c r="L504" s="4" t="str">
        <f t="shared" si="7"/>
        <v>of</v>
      </c>
      <c r="M504" t="str">
        <v>you'll</v>
      </c>
      <c r="N504" s="4" cm="1">
        <f t="array" ref="N504">SUM(--(_xlfn.TEXTSPLIT($J$423,, " ") = M504))</f>
        <v>1</v>
      </c>
      <c r="O504">
        <v>1</v>
      </c>
      <c r="P504">
        <v>1</v>
      </c>
      <c r="Q504">
        <v>1</v>
      </c>
      <c r="S504" s="4"/>
      <c r="T504" s="10"/>
    </row>
    <row r="505" spans="5:20" x14ac:dyDescent="0.2">
      <c r="E505" s="4" t="s">
        <v>17</v>
      </c>
      <c r="K505" t="str">
        <v>empty</v>
      </c>
      <c r="L505" s="4" t="str">
        <f t="shared" si="7"/>
        <v>empty</v>
      </c>
      <c r="M505" t="str">
        <v>never,</v>
      </c>
      <c r="N505" s="4" cm="1">
        <f t="array" ref="N505">SUM(--(_xlfn.TEXTSPLIT($J$423,, " ") = M505))</f>
        <v>1</v>
      </c>
      <c r="O505">
        <v>1</v>
      </c>
      <c r="P505">
        <v>1</v>
      </c>
      <c r="Q505">
        <v>1</v>
      </c>
      <c r="S505" s="4"/>
      <c r="T505" s="10"/>
    </row>
    <row r="506" spans="5:20" x14ac:dyDescent="0.2">
      <c r="E506" s="4" t="s">
        <v>17</v>
      </c>
      <c r="K506" t="str">
        <v xml:space="preserve">Uzis
</v>
      </c>
      <c r="L506" s="4" t="str">
        <f t="shared" si="7"/>
        <v xml:space="preserve">Uzis </v>
      </c>
      <c r="M506" t="str">
        <v>ever</v>
      </c>
      <c r="N506" s="4" cm="1">
        <f t="array" ref="N506">SUM(--(_xlfn.TEXTSPLIT($J$423,, " ") = M506))</f>
        <v>1</v>
      </c>
      <c r="O506">
        <v>1</v>
      </c>
      <c r="P506">
        <v>1</v>
      </c>
      <c r="Q506">
        <v>1</v>
      </c>
      <c r="S506" s="4"/>
      <c r="T506" s="10"/>
    </row>
    <row r="507" spans="5:20" x14ac:dyDescent="0.2">
      <c r="E507" s="4" t="s">
        <v>17</v>
      </c>
      <c r="K507" t="str">
        <v>Life</v>
      </c>
      <c r="L507" s="4" t="str">
        <f t="shared" si="7"/>
        <v>Life</v>
      </c>
      <c r="M507" t="str">
        <v>get</v>
      </c>
      <c r="N507" s="4" cm="1">
        <f t="array" ref="N507">SUM(--(_xlfn.TEXTSPLIT($J$423,, " ") = M507))</f>
        <v>1</v>
      </c>
      <c r="O507">
        <v>1</v>
      </c>
      <c r="P507">
        <v>1</v>
      </c>
      <c r="Q507">
        <v>1</v>
      </c>
      <c r="S507" s="4"/>
      <c r="T507" s="10"/>
    </row>
    <row r="508" spans="5:20" x14ac:dyDescent="0.2">
      <c r="E508" s="4" t="s">
        <v>17</v>
      </c>
      <c r="K508" t="str">
        <v>is</v>
      </c>
      <c r="L508" s="4" t="str">
        <f t="shared" si="7"/>
        <v>is</v>
      </c>
      <c r="M508" t="str">
        <v>go,</v>
      </c>
      <c r="N508" s="4" cm="1">
        <f t="array" ref="N508">SUM(--(_xlfn.TEXTSPLIT($J$423,, " ") = M508))</f>
        <v>6</v>
      </c>
      <c r="O508">
        <v>1</v>
      </c>
      <c r="P508">
        <v>6</v>
      </c>
      <c r="Q508">
        <v>1</v>
      </c>
      <c r="S508" s="4"/>
      <c r="T508" s="10"/>
    </row>
    <row r="509" spans="5:20" x14ac:dyDescent="0.2">
      <c r="E509" s="4" t="s">
        <v>17</v>
      </c>
      <c r="K509" t="str">
        <v>just</v>
      </c>
      <c r="L509" s="4" t="str">
        <f t="shared" si="7"/>
        <v>just</v>
      </c>
      <c r="M509" t="str">
        <v>ah,</v>
      </c>
      <c r="N509" s="4" cm="1">
        <f t="array" ref="N509">SUM(--(_xlfn.TEXTSPLIT($J$423,, " ") = M509))</f>
        <v>11</v>
      </c>
      <c r="O509">
        <v>1</v>
      </c>
      <c r="P509">
        <v>11</v>
      </c>
      <c r="Q509">
        <v>1</v>
      </c>
      <c r="S509" s="4"/>
      <c r="T509" s="10"/>
    </row>
    <row r="510" spans="5:20" x14ac:dyDescent="0.2">
      <c r="E510" s="4" t="s">
        <v>17</v>
      </c>
      <c r="K510" t="str">
        <v>forever</v>
      </c>
      <c r="L510" s="4" t="str">
        <f t="shared" si="7"/>
        <v>forever</v>
      </c>
      <c r="M510" t="str">
        <v>ah</v>
      </c>
      <c r="N510" s="4" cm="1">
        <f t="array" ref="N510">SUM(--(_xlfn.TEXTSPLIT($J$423,, " ") = M510))</f>
        <v>2</v>
      </c>
      <c r="O510">
        <v>1</v>
      </c>
      <c r="P510">
        <v>2</v>
      </c>
      <c r="Q510">
        <v>1</v>
      </c>
      <c r="S510" s="4"/>
      <c r="T510" s="10"/>
    </row>
    <row r="511" spans="5:20" x14ac:dyDescent="0.2">
      <c r="E511" s="4" t="s">
        <v>17</v>
      </c>
      <c r="K511" t="str">
        <v>nipping</v>
      </c>
      <c r="L511" s="4" t="str">
        <f t="shared" si="7"/>
        <v>nipping</v>
      </c>
      <c r="M511" t="str">
        <v>What's</v>
      </c>
      <c r="N511" s="4" cm="1">
        <f t="array" ref="N511">SUM(--(_xlfn.TEXTSPLIT($J$423,, " ") = M511))</f>
        <v>2</v>
      </c>
      <c r="O511">
        <v>1</v>
      </c>
      <c r="P511">
        <v>2</v>
      </c>
      <c r="Q511">
        <v>1</v>
      </c>
      <c r="S511" s="4"/>
      <c r="T511" s="10"/>
    </row>
    <row r="512" spans="5:20" x14ac:dyDescent="0.2">
      <c r="E512" s="4" t="s">
        <v>17</v>
      </c>
      <c r="K512" t="str">
        <v>heels,</v>
      </c>
      <c r="L512" s="4" t="str">
        <f t="shared" si="7"/>
        <v xml:space="preserve">heels </v>
      </c>
      <c r="M512" t="str">
        <v>matter?</v>
      </c>
      <c r="N512" s="4" cm="1">
        <f t="array" ref="N512">SUM(--(_xlfn.TEXTSPLIT($J$423,, " ") = M512))</f>
        <v>2</v>
      </c>
      <c r="O512">
        <v>1</v>
      </c>
      <c r="P512">
        <v>2</v>
      </c>
      <c r="Q512">
        <v>1</v>
      </c>
      <c r="S512" s="4"/>
      <c r="T512" s="10"/>
    </row>
    <row r="513" spans="5:20" x14ac:dyDescent="0.2">
      <c r="E513" s="4" t="s">
        <v>17</v>
      </c>
      <c r="K513" t="str">
        <v>never</v>
      </c>
      <c r="L513" s="4" t="str">
        <f t="shared" si="7"/>
        <v>never</v>
      </c>
      <c r="M513" t="str">
        <v>isn't</v>
      </c>
      <c r="N513" s="4" cm="1">
        <f t="array" ref="N513">SUM(--(_xlfn.TEXTSPLIT($J$423,, " ") = M513))</f>
        <v>2</v>
      </c>
      <c r="O513">
        <v>1</v>
      </c>
      <c r="P513">
        <v>2</v>
      </c>
      <c r="Q513">
        <v>1</v>
      </c>
      <c r="S513" s="4"/>
      <c r="T513" s="10"/>
    </row>
    <row r="514" spans="5:20" x14ac:dyDescent="0.2">
      <c r="E514" s="4" t="s">
        <v>17</v>
      </c>
      <c r="K514" t="str">
        <v>slowing</v>
      </c>
      <c r="L514" s="4" t="str">
        <f t="shared" si="7"/>
        <v>slowing</v>
      </c>
      <c r="M514" t="str">
        <v>helping</v>
      </c>
      <c r="N514" s="4" cm="1">
        <f t="array" ref="N514">SUM(--(_xlfn.TEXTSPLIT($J$423,, " ") = M514))</f>
        <v>2</v>
      </c>
      <c r="O514">
        <v>1</v>
      </c>
      <c r="P514">
        <v>2</v>
      </c>
      <c r="Q514">
        <v>1</v>
      </c>
      <c r="S514" s="4"/>
      <c r="T514" s="10"/>
    </row>
    <row r="515" spans="5:20" x14ac:dyDescent="0.2">
      <c r="E515" s="4" t="s">
        <v>17</v>
      </c>
      <c r="K515" t="str">
        <v xml:space="preserve">down
</v>
      </c>
      <c r="L515" s="4" t="str">
        <f t="shared" si="7"/>
        <v xml:space="preserve">down </v>
      </c>
      <c r="M515" t="str">
        <v>ooh,</v>
      </c>
      <c r="N515" s="4" cm="1">
        <f t="array" ref="N515">SUM(--(_xlfn.TEXTSPLIT($J$423,, " ") = M515))</f>
        <v>6</v>
      </c>
      <c r="O515">
        <v>1</v>
      </c>
      <c r="P515">
        <v>6</v>
      </c>
      <c r="Q515">
        <v>1</v>
      </c>
      <c r="S515" s="4"/>
      <c r="T515" s="10"/>
    </row>
    <row r="516" spans="5:20" x14ac:dyDescent="0.2">
      <c r="E516" s="4" t="s">
        <v>17</v>
      </c>
      <c r="K516" t="str">
        <v>Raw</v>
      </c>
      <c r="L516" s="4" t="str">
        <f t="shared" ref="L516:L579" si="8">_xlfn.REGEXREPLACE(K516, "[^A-Za-z ]", " ")</f>
        <v>Raw</v>
      </c>
      <c r="M516" t="str">
        <v>ooh</v>
      </c>
      <c r="N516" s="4" cm="1">
        <f t="array" ref="N516">SUM(--(_xlfn.TEXTSPLIT($J$423,, " ") = M516))</f>
        <v>2</v>
      </c>
      <c r="O516">
        <v>1</v>
      </c>
      <c r="P516">
        <v>2</v>
      </c>
      <c r="Q516">
        <v>1</v>
      </c>
      <c r="S516" s="4"/>
      <c r="T516" s="10"/>
    </row>
    <row r="517" spans="5:20" x14ac:dyDescent="0.2">
      <c r="E517" s="4" t="s">
        <v>17</v>
      </c>
      <c r="K517" t="str">
        <v>fear</v>
      </c>
      <c r="L517" s="4" t="str">
        <f t="shared" si="8"/>
        <v>fear</v>
      </c>
      <c r="M517" t="str">
        <v>wish</v>
      </c>
      <c r="N517" s="4" cm="1">
        <f t="array" ref="N517">SUM(--(_xlfn.TEXTSPLIT($J$423,, " ") = M517))</f>
        <v>2</v>
      </c>
      <c r="O517">
        <v>1</v>
      </c>
      <c r="P517">
        <v>2</v>
      </c>
      <c r="Q517">
        <v>1</v>
      </c>
      <c r="S517" s="4"/>
      <c r="T517" s="10"/>
    </row>
    <row r="518" spans="5:20" x14ac:dyDescent="0.2">
      <c r="E518" s="4" t="s">
        <v>17</v>
      </c>
      <c r="K518" t="str">
        <v>moves</v>
      </c>
      <c r="L518" s="4" t="str">
        <f t="shared" si="8"/>
        <v>moves</v>
      </c>
      <c r="M518" t="str">
        <v>her</v>
      </c>
      <c r="N518" s="4" cm="1">
        <f t="array" ref="N518">SUM(--(_xlfn.TEXTSPLIT($J$423,, " ") = M518))</f>
        <v>2</v>
      </c>
      <c r="O518">
        <v>1</v>
      </c>
      <c r="P518">
        <v>2</v>
      </c>
      <c r="Q518">
        <v>1</v>
      </c>
      <c r="S518" s="4"/>
      <c r="T518" s="10"/>
    </row>
    <row r="519" spans="5:20" x14ac:dyDescent="0.2">
      <c r="E519" s="4" t="s">
        <v>17</v>
      </c>
      <c r="K519" t="str">
        <v>me,</v>
      </c>
      <c r="L519" s="4" t="str">
        <f t="shared" si="8"/>
        <v xml:space="preserve">me </v>
      </c>
      <c r="M519" t="str">
        <v>parents</v>
      </c>
      <c r="N519" s="4" cm="1">
        <f t="array" ref="N519">SUM(--(_xlfn.TEXTSPLIT($J$423,, " ") = M519))</f>
        <v>2</v>
      </c>
      <c r="O519">
        <v>1</v>
      </c>
      <c r="P519">
        <v>2</v>
      </c>
      <c r="Q519">
        <v>1</v>
      </c>
      <c r="S519" s="4"/>
      <c r="T519" s="10"/>
    </row>
    <row r="520" spans="5:20" x14ac:dyDescent="0.2">
      <c r="E520" s="4" t="s">
        <v>17</v>
      </c>
      <c r="K520" t="str">
        <v>sounds</v>
      </c>
      <c r="L520" s="4" t="str">
        <f t="shared" si="8"/>
        <v>sounds</v>
      </c>
      <c r="M520" t="str">
        <v>would</v>
      </c>
      <c r="N520" s="4" cm="1">
        <f t="array" ref="N520">SUM(--(_xlfn.TEXTSPLIT($J$423,, " ") = M520))</f>
        <v>2</v>
      </c>
      <c r="O520">
        <v>1</v>
      </c>
      <c r="P520">
        <v>2</v>
      </c>
      <c r="Q520">
        <v>1</v>
      </c>
      <c r="S520" s="4"/>
      <c r="T520" s="10"/>
    </row>
    <row r="521" spans="5:20" x14ac:dyDescent="0.2">
      <c r="E521" s="4" t="s">
        <v>17</v>
      </c>
      <c r="K521" t="str">
        <v>of</v>
      </c>
      <c r="L521" s="4" t="str">
        <f t="shared" si="8"/>
        <v>of</v>
      </c>
      <c r="M521" t="str">
        <v>stop</v>
      </c>
      <c r="N521" s="4" cm="1">
        <f t="array" ref="N521">SUM(--(_xlfn.TEXTSPLIT($J$423,, " ") = M521))</f>
        <v>2</v>
      </c>
      <c r="O521">
        <v>1</v>
      </c>
      <c r="P521">
        <v>2</v>
      </c>
      <c r="Q521">
        <v>1</v>
      </c>
      <c r="S521" s="4"/>
      <c r="T521" s="10"/>
    </row>
    <row r="522" spans="5:20" x14ac:dyDescent="0.2">
      <c r="E522" s="4" t="s">
        <v>17</v>
      </c>
      <c r="K522" t="str">
        <v>empty</v>
      </c>
      <c r="L522" s="4" t="str">
        <f t="shared" si="8"/>
        <v>empty</v>
      </c>
      <c r="M522" t="str">
        <v>yelling</v>
      </c>
      <c r="N522" s="4" cm="1">
        <f t="array" ref="N522">SUM(--(_xlfn.TEXTSPLIT($J$423,, " ") = M522))</f>
        <v>1</v>
      </c>
      <c r="O522">
        <v>1</v>
      </c>
      <c r="P522">
        <v>1</v>
      </c>
      <c r="Q522">
        <v>1</v>
      </c>
      <c r="S522" s="4"/>
      <c r="T522" s="10"/>
    </row>
    <row r="523" spans="5:20" x14ac:dyDescent="0.2">
      <c r="E523" s="4" t="s">
        <v>17</v>
      </c>
      <c r="K523" t="str">
        <v xml:space="preserve">Uzis
</v>
      </c>
      <c r="L523" s="4" t="str">
        <f t="shared" si="8"/>
        <v xml:space="preserve">Uzis </v>
      </c>
      <c r="M523" t="str">
        <v>could</v>
      </c>
      <c r="N523" s="4" cm="1">
        <f t="array" ref="N523">SUM(--(_xlfn.TEXTSPLIT($J$423,, " ") = M523))</f>
        <v>1</v>
      </c>
      <c r="O523">
        <v>1</v>
      </c>
      <c r="P523">
        <v>1</v>
      </c>
      <c r="Q523">
        <v>1</v>
      </c>
      <c r="S523" s="4"/>
      <c r="T523" s="10"/>
    </row>
    <row r="524" spans="5:20" x14ac:dyDescent="0.2">
      <c r="E524" s="4" t="s">
        <v>17</v>
      </c>
      <c r="K524" t="str">
        <v>Life</v>
      </c>
      <c r="L524" s="4" t="str">
        <f t="shared" si="8"/>
        <v>Life</v>
      </c>
      <c r="M524" t="str">
        <v>build</v>
      </c>
      <c r="N524" s="4" cm="1">
        <f t="array" ref="N524">SUM(--(_xlfn.TEXTSPLIT($J$423,, " ") = M524))</f>
        <v>1</v>
      </c>
      <c r="O524">
        <v>1</v>
      </c>
      <c r="P524">
        <v>1</v>
      </c>
      <c r="Q524">
        <v>1</v>
      </c>
      <c r="S524" s="4"/>
      <c r="T524" s="10"/>
    </row>
    <row r="525" spans="5:20" x14ac:dyDescent="0.2">
      <c r="E525" s="4" t="s">
        <v>17</v>
      </c>
      <c r="K525" t="str">
        <v>is</v>
      </c>
      <c r="L525" s="4" t="str">
        <f t="shared" si="8"/>
        <v>is</v>
      </c>
      <c r="M525" t="str">
        <v>tower</v>
      </c>
      <c r="N525" s="4" cm="1">
        <f t="array" ref="N525">SUM(--(_xlfn.TEXTSPLIT($J$423,, " ") = M525))</f>
        <v>1</v>
      </c>
      <c r="O525">
        <v>1</v>
      </c>
      <c r="P525">
        <v>1</v>
      </c>
      <c r="Q525">
        <v>1</v>
      </c>
      <c r="S525" s="4"/>
      <c r="T525" s="10"/>
    </row>
    <row r="526" spans="5:20" x14ac:dyDescent="0.2">
      <c r="E526" s="4" t="s">
        <v>17</v>
      </c>
      <c r="K526" t="str">
        <v>just</v>
      </c>
      <c r="L526" s="4" t="str">
        <f t="shared" si="8"/>
        <v>just</v>
      </c>
      <c r="M526" t="str">
        <v>with</v>
      </c>
      <c r="N526" s="4" cm="1">
        <f t="array" ref="N526">SUM(--(_xlfn.TEXTSPLIT($J$423,, " ") = M526))</f>
        <v>1</v>
      </c>
      <c r="O526">
        <v>1</v>
      </c>
      <c r="P526">
        <v>1</v>
      </c>
      <c r="Q526">
        <v>1</v>
      </c>
      <c r="S526" s="4"/>
      <c r="T526" s="10"/>
    </row>
    <row r="527" spans="5:20" x14ac:dyDescent="0.2">
      <c r="E527" s="4" t="s">
        <v>17</v>
      </c>
      <c r="K527" t="str">
        <v>forever</v>
      </c>
      <c r="L527" s="4" t="str">
        <f t="shared" si="8"/>
        <v>forever</v>
      </c>
      <c r="M527" t="str">
        <v>times</v>
      </c>
      <c r="N527" s="4" cm="1">
        <f t="array" ref="N527">SUM(--(_xlfn.TEXTSPLIT($J$423,, " ") = M527))</f>
        <v>1</v>
      </c>
      <c r="O527">
        <v>1</v>
      </c>
      <c r="P527">
        <v>1</v>
      </c>
      <c r="Q527">
        <v>1</v>
      </c>
      <c r="S527" s="4"/>
      <c r="T527" s="10"/>
    </row>
    <row r="528" spans="5:20" x14ac:dyDescent="0.2">
      <c r="E528" s="4" t="s">
        <v>17</v>
      </c>
      <c r="K528" t="str">
        <v>gripping</v>
      </c>
      <c r="L528" s="4" t="str">
        <f t="shared" si="8"/>
        <v>gripping</v>
      </c>
      <c r="M528" t="str">
        <v>was</v>
      </c>
      <c r="N528" s="4" cm="1">
        <f t="array" ref="N528">SUM(--(_xlfn.TEXTSPLIT($J$423,, " ") = M528))</f>
        <v>1</v>
      </c>
      <c r="O528">
        <v>1</v>
      </c>
      <c r="P528">
        <v>1</v>
      </c>
      <c r="Q528">
        <v>1</v>
      </c>
      <c r="S528" s="4"/>
      <c r="T528" s="10"/>
    </row>
    <row r="529" spans="5:20" x14ac:dyDescent="0.2">
      <c r="E529" s="4" t="s">
        <v>17</v>
      </c>
      <c r="K529" t="str">
        <v>feels,</v>
      </c>
      <c r="L529" s="4" t="str">
        <f t="shared" si="8"/>
        <v xml:space="preserve">feels </v>
      </c>
      <c r="M529" t="str">
        <v>pretending</v>
      </c>
      <c r="N529" s="4" cm="1">
        <f t="array" ref="N529">SUM(--(_xlfn.TEXTSPLIT($J$423,, " ") = M529))</f>
        <v>1</v>
      </c>
      <c r="O529">
        <v>1</v>
      </c>
      <c r="P529">
        <v>1</v>
      </c>
      <c r="Q529">
        <v>1</v>
      </c>
      <c r="S529" s="4"/>
      <c r="T529" s="10"/>
    </row>
    <row r="530" spans="5:20" x14ac:dyDescent="0.2">
      <c r="E530" s="4" t="s">
        <v>17</v>
      </c>
      <c r="K530" t="str">
        <v>never</v>
      </c>
      <c r="L530" s="4" t="str">
        <f t="shared" si="8"/>
        <v>never</v>
      </c>
      <c r="M530" t="str">
        <v>I'll</v>
      </c>
      <c r="N530" s="4" cm="1">
        <f t="array" ref="N530">SUM(--(_xlfn.TEXTSPLIT($J$423,, " ") = M530))</f>
        <v>1</v>
      </c>
      <c r="O530">
        <v>1</v>
      </c>
      <c r="P530">
        <v>1</v>
      </c>
      <c r="Q530">
        <v>1</v>
      </c>
      <c r="S530" s="4"/>
      <c r="T530" s="10"/>
    </row>
    <row r="531" spans="5:20" x14ac:dyDescent="0.2">
      <c r="E531" s="4" t="s">
        <v>17</v>
      </c>
      <c r="K531" t="str">
        <v>slowing</v>
      </c>
      <c r="L531" s="4" t="str">
        <f t="shared" si="8"/>
        <v>slowing</v>
      </c>
      <c r="M531" t="str">
        <v>see</v>
      </c>
      <c r="N531" s="4" cm="1">
        <f t="array" ref="N531">SUM(--(_xlfn.TEXTSPLIT($J$423,, " ") = M531))</f>
        <v>1</v>
      </c>
      <c r="O531">
        <v>1</v>
      </c>
      <c r="P531">
        <v>1</v>
      </c>
      <c r="Q531">
        <v>1</v>
      </c>
      <c r="S531" s="4"/>
      <c r="T531" s="10"/>
    </row>
    <row r="532" spans="5:20" x14ac:dyDescent="0.2">
      <c r="E532" s="4" t="s">
        <v>17</v>
      </c>
      <c r="K532" t="str">
        <v xml:space="preserve">down
</v>
      </c>
      <c r="L532" s="4" t="str">
        <f t="shared" si="8"/>
        <v xml:space="preserve">down </v>
      </c>
      <c r="M532" t="str">
        <v>ending</v>
      </c>
      <c r="N532" s="4" cm="1">
        <f t="array" ref="N532">SUM(--(_xlfn.TEXTSPLIT($J$423,, " ") = M532))</f>
        <v>1</v>
      </c>
      <c r="O532">
        <v>1</v>
      </c>
      <c r="P532">
        <v>1</v>
      </c>
      <c r="Q532">
        <v>1</v>
      </c>
      <c r="S532" s="4"/>
      <c r="T532" s="10"/>
    </row>
    <row r="533" spans="5:20" x14ac:dyDescent="0.2">
      <c r="E533" s="4" t="s">
        <v>17</v>
      </c>
      <c r="K533" t="str">
        <v>(I</v>
      </c>
      <c r="L533" s="4" t="str">
        <f t="shared" si="8"/>
        <v xml:space="preserve"> I</v>
      </c>
      <c r="M533" t="str">
        <v/>
      </c>
      <c r="N533" s="4" cm="1">
        <f t="array" ref="N533">SUM(--(_xlfn.TEXTSPLIT($J$423,, " ") = M533))</f>
        <v>1</v>
      </c>
      <c r="O533">
        <v>1</v>
      </c>
      <c r="P533">
        <v>1</v>
      </c>
      <c r="Q533">
        <v>1</v>
      </c>
      <c r="S533" s="4"/>
      <c r="T533" s="10"/>
    </row>
    <row r="534" spans="5:20" x14ac:dyDescent="0.2">
      <c r="E534" s="4" t="s">
        <v>17</v>
      </c>
      <c r="K534" t="str">
        <v>can't</v>
      </c>
      <c r="L534" s="4" t="str">
        <f t="shared" si="8"/>
        <v>can t</v>
      </c>
      <c r="M534" t="str">
        <v xml:space="preserve">yelling
</v>
      </c>
      <c r="N534" s="4" cm="1">
        <f t="array" ref="N534">SUM(--(_xlfn.TEXTSPLIT($J$423,, " ") = M534))</f>
        <v>1</v>
      </c>
      <c r="O534">
        <v>1</v>
      </c>
      <c r="P534">
        <v>1</v>
      </c>
      <c r="Q534">
        <v>1</v>
      </c>
      <c r="S534" s="4"/>
      <c r="T534" s="10"/>
    </row>
    <row r="535" spans="5:20" x14ac:dyDescent="0.2">
      <c r="E535" s="4" t="s">
        <v>17</v>
      </c>
      <c r="K535" t="str">
        <v>seem</v>
      </c>
      <c r="L535" s="4" t="str">
        <f t="shared" si="8"/>
        <v>seem</v>
      </c>
      <c r="M535" t="str">
        <v>(Ah,</v>
      </c>
      <c r="N535" s="4" cm="1">
        <f t="array" ref="N535">SUM(--(_xlfn.TEXTSPLIT($J$423,, " ") = M535))</f>
        <v>5</v>
      </c>
      <c r="O535">
        <v>1</v>
      </c>
      <c r="P535">
        <v>5</v>
      </c>
      <c r="Q535">
        <v>1</v>
      </c>
      <c r="S535" s="4"/>
      <c r="T535" s="10"/>
    </row>
    <row r="536" spans="5:20" x14ac:dyDescent="0.2">
      <c r="E536" s="4" t="s">
        <v>17</v>
      </c>
      <c r="K536" t="str">
        <v>to</v>
      </c>
      <c r="L536" s="4" t="str">
        <f t="shared" si="8"/>
        <v>to</v>
      </c>
      <c r="M536" t="str">
        <v xml:space="preserve">ah)
</v>
      </c>
      <c r="N536" s="4" cm="1">
        <f t="array" ref="N536">SUM(--(_xlfn.TEXTSPLIT($J$423,, " ") = M536))</f>
        <v>5</v>
      </c>
      <c r="O536">
        <v>1</v>
      </c>
      <c r="P536">
        <v>5</v>
      </c>
      <c r="Q536">
        <v>1</v>
      </c>
      <c r="S536" s="4"/>
      <c r="T536" s="10"/>
    </row>
    <row r="537" spans="5:20" x14ac:dyDescent="0.2">
      <c r="E537" s="4" t="s">
        <v>17</v>
      </c>
      <c r="K537" t="str">
        <v>sit</v>
      </c>
      <c r="L537" s="4" t="str">
        <f t="shared" si="8"/>
        <v>sit</v>
      </c>
      <c r="M537" t="str">
        <v xml:space="preserve">ooh
</v>
      </c>
      <c r="N537" s="4" cm="1">
        <f t="array" ref="N537">SUM(--(_xlfn.TEXTSPLIT($J$423,, " ") = M537))</f>
        <v>1</v>
      </c>
      <c r="O537">
        <v>1</v>
      </c>
      <c r="P537">
        <v>1</v>
      </c>
      <c r="Q537">
        <v>1</v>
      </c>
      <c r="S537" s="4"/>
      <c r="T537" s="10"/>
    </row>
    <row r="538" spans="5:20" x14ac:dyDescent="0.2">
      <c r="E538" s="4" t="s">
        <v>17</v>
      </c>
      <c r="K538" t="str">
        <v>still</v>
      </c>
      <c r="L538" s="4" t="str">
        <f t="shared" si="8"/>
        <v>still</v>
      </c>
      <c r="M538" t="str">
        <v>kid?</v>
      </c>
      <c r="N538" s="4" cm="1">
        <f t="array" ref="N538">SUM(--(_xlfn.TEXTSPLIT($J$423,, " ") = M538))</f>
        <v>1</v>
      </c>
      <c r="O538">
        <v>1</v>
      </c>
      <c r="P538">
        <v>1</v>
      </c>
      <c r="Q538">
        <v>1</v>
      </c>
      <c r="S538" s="4"/>
      <c r="T538" s="10"/>
    </row>
    <row r="539" spans="5:20" x14ac:dyDescent="0.2">
      <c r="E539" s="4" t="s">
        <v>17</v>
      </c>
      <c r="K539" t="str">
        <v>any</v>
      </c>
      <c r="L539" s="4" t="str">
        <f t="shared" si="8"/>
        <v>any</v>
      </c>
      <c r="M539" t="str">
        <v xml:space="preserve">ah
</v>
      </c>
      <c r="N539" s="4" cm="1">
        <f t="array" ref="N539">SUM(--(_xlfn.TEXTSPLIT($J$423,, " ") = M539))</f>
        <v>1</v>
      </c>
      <c r="O539">
        <v>1</v>
      </c>
      <c r="P539">
        <v>1</v>
      </c>
      <c r="Q539">
        <v>1</v>
      </c>
      <c r="S539" s="4"/>
      <c r="T539" s="10"/>
    </row>
    <row r="540" spans="5:20" x14ac:dyDescent="0.2">
      <c r="E540" s="4" t="s">
        <v>17</v>
      </c>
      <c r="K540" t="str">
        <v xml:space="preserve">longer)
</v>
      </c>
      <c r="L540" s="4" t="str">
        <f t="shared" si="8"/>
        <v xml:space="preserve">longer  </v>
      </c>
      <c r="M540" t="str">
        <v>Uzis</v>
      </c>
      <c r="N540" s="4" cm="1">
        <f t="array" ref="N540">SUM(--(_xlfn.TEXTSPLIT($J$423,, " ") = M540))</f>
        <v>4</v>
      </c>
      <c r="O540">
        <v>1</v>
      </c>
      <c r="P540">
        <v>4</v>
      </c>
      <c r="Q540">
        <v>1</v>
      </c>
      <c r="S540" s="4"/>
      <c r="T540" s="10"/>
    </row>
    <row r="541" spans="5:20" x14ac:dyDescent="0.2">
      <c r="E541" s="4" t="s">
        <v>17</v>
      </c>
      <c r="K541" t="str">
        <v>Raw</v>
      </c>
      <c r="L541" s="4" t="str">
        <f t="shared" si="8"/>
        <v>Raw</v>
      </c>
      <c r="M541" t="str">
        <v>down</v>
      </c>
      <c r="N541" s="4" cm="1">
        <f t="array" ref="N541">SUM(--(_xlfn.TEXTSPLIT($J$423,, " ") = M541))</f>
        <v>1</v>
      </c>
      <c r="O541">
        <v>1</v>
      </c>
      <c r="P541">
        <v>1</v>
      </c>
      <c r="Q541">
        <v>1</v>
      </c>
      <c r="S541" s="4"/>
      <c r="T541" s="10"/>
    </row>
    <row r="542" spans="5:20" x14ac:dyDescent="0.2">
      <c r="E542" s="4" t="s">
        <v>17</v>
      </c>
      <c r="K542" t="str">
        <v>fear</v>
      </c>
      <c r="L542" s="4" t="str">
        <f t="shared" si="8"/>
        <v>fear</v>
      </c>
      <c r="N542" s="4" cm="1">
        <f t="array" ref="N542">SUM(--(_xlfn.TEXTSPLIT($J$423,, " ") = M542))</f>
        <v>1</v>
      </c>
      <c r="O542">
        <v>1</v>
      </c>
      <c r="P542">
        <v>1</v>
      </c>
      <c r="Q542">
        <v>1</v>
      </c>
      <c r="S542" s="4"/>
      <c r="T542" s="10"/>
    </row>
    <row r="543" spans="5:20" x14ac:dyDescent="0.2">
      <c r="E543" s="4" t="s">
        <v>17</v>
      </c>
      <c r="K543" t="str">
        <v>moves</v>
      </c>
      <c r="L543" s="4" t="str">
        <f t="shared" si="8"/>
        <v>moves</v>
      </c>
      <c r="N543" s="4" cm="1">
        <f t="array" ref="N543">SUM(--(_xlfn.TEXTSPLIT($J$423,, " ") = M543))</f>
        <v>1</v>
      </c>
      <c r="O543">
        <v>1</v>
      </c>
      <c r="P543">
        <v>1</v>
      </c>
      <c r="Q543">
        <v>1</v>
      </c>
      <c r="S543" s="4"/>
      <c r="T543" s="10"/>
    </row>
    <row r="544" spans="5:20" x14ac:dyDescent="0.2">
      <c r="E544" s="4" t="s">
        <v>17</v>
      </c>
      <c r="K544" t="str">
        <v>me,</v>
      </c>
      <c r="L544" s="4" t="str">
        <f t="shared" si="8"/>
        <v xml:space="preserve">me </v>
      </c>
      <c r="N544" s="4" cm="1">
        <f t="array" ref="N544">SUM(--(_xlfn.TEXTSPLIT($J$423,, " ") = M544))</f>
        <v>1</v>
      </c>
      <c r="O544">
        <v>1</v>
      </c>
      <c r="P544">
        <v>1</v>
      </c>
      <c r="Q544">
        <v>1</v>
      </c>
      <c r="S544" s="4"/>
      <c r="T544" s="10"/>
    </row>
    <row r="545" spans="5:20" x14ac:dyDescent="0.2">
      <c r="E545" s="4" t="s">
        <v>17</v>
      </c>
      <c r="K545" t="str">
        <v>sounds</v>
      </c>
      <c r="L545" s="4" t="str">
        <f t="shared" si="8"/>
        <v>sounds</v>
      </c>
      <c r="N545" s="4" cm="1">
        <f t="array" ref="N545">SUM(--(_xlfn.TEXTSPLIT($J$423,, " ") = M545))</f>
        <v>1</v>
      </c>
      <c r="O545">
        <v>1</v>
      </c>
      <c r="P545">
        <v>1</v>
      </c>
      <c r="Q545">
        <v>1</v>
      </c>
      <c r="S545" s="4"/>
      <c r="T545" s="10"/>
    </row>
    <row r="546" spans="5:20" x14ac:dyDescent="0.2">
      <c r="E546" s="4" t="s">
        <v>17</v>
      </c>
      <c r="K546" t="str">
        <v>of</v>
      </c>
      <c r="L546" s="4" t="str">
        <f t="shared" si="8"/>
        <v>of</v>
      </c>
      <c r="N546" s="4" cm="1">
        <f t="array" ref="N546">SUM(--(_xlfn.TEXTSPLIT($J$423,, " ") = M546))</f>
        <v>1</v>
      </c>
      <c r="O546">
        <v>1</v>
      </c>
      <c r="P546">
        <v>1</v>
      </c>
      <c r="Q546">
        <v>1</v>
      </c>
      <c r="S546" s="4"/>
      <c r="T546" s="10"/>
    </row>
    <row r="547" spans="5:20" x14ac:dyDescent="0.2">
      <c r="E547" s="4" t="s">
        <v>17</v>
      </c>
      <c r="K547" t="str">
        <v>empty</v>
      </c>
      <c r="L547" s="4" t="str">
        <f t="shared" si="8"/>
        <v>empty</v>
      </c>
      <c r="N547" s="4" cm="1">
        <f t="array" ref="N547">SUM(--(_xlfn.TEXTSPLIT($J$423,, " ") = M547))</f>
        <v>1</v>
      </c>
      <c r="O547">
        <v>1</v>
      </c>
      <c r="P547">
        <v>1</v>
      </c>
      <c r="Q547">
        <v>1</v>
      </c>
      <c r="S547" s="4"/>
      <c r="T547" s="10"/>
    </row>
    <row r="548" spans="5:20" x14ac:dyDescent="0.2">
      <c r="E548" s="4" t="s">
        <v>17</v>
      </c>
      <c r="K548" t="str">
        <v xml:space="preserve">Uzis
</v>
      </c>
      <c r="L548" s="4" t="str">
        <f t="shared" si="8"/>
        <v xml:space="preserve">Uzis </v>
      </c>
      <c r="N548" s="4" cm="1">
        <f t="array" ref="N548">SUM(--(_xlfn.TEXTSPLIT($J$423,, " ") = M548))</f>
        <v>1</v>
      </c>
      <c r="O548">
        <v>1</v>
      </c>
      <c r="P548">
        <v>1</v>
      </c>
      <c r="Q548">
        <v>1</v>
      </c>
      <c r="S548" s="4"/>
      <c r="T548" s="10"/>
    </row>
    <row r="549" spans="5:20" x14ac:dyDescent="0.2">
      <c r="E549" s="4" t="s">
        <v>17</v>
      </c>
      <c r="K549" t="str">
        <v>Life</v>
      </c>
      <c r="L549" s="4" t="str">
        <f t="shared" si="8"/>
        <v>Life</v>
      </c>
      <c r="N549" s="4" cm="1">
        <f t="array" ref="N549">SUM(--(_xlfn.TEXTSPLIT($J$423,, " ") = M549))</f>
        <v>1</v>
      </c>
      <c r="O549">
        <v>1</v>
      </c>
      <c r="P549">
        <v>1</v>
      </c>
      <c r="Q549">
        <v>1</v>
      </c>
      <c r="S549" s="4"/>
      <c r="T549" s="10"/>
    </row>
    <row r="550" spans="5:20" x14ac:dyDescent="0.2">
      <c r="E550" s="4" t="s">
        <v>17</v>
      </c>
      <c r="K550" t="str">
        <v>is</v>
      </c>
      <c r="L550" s="4" t="str">
        <f t="shared" si="8"/>
        <v>is</v>
      </c>
      <c r="N550" s="4" cm="1">
        <f t="array" ref="N550">SUM(--(_xlfn.TEXTSPLIT($J$423,, " ") = M550))</f>
        <v>1</v>
      </c>
      <c r="O550">
        <v>1</v>
      </c>
      <c r="P550">
        <v>1</v>
      </c>
      <c r="Q550">
        <v>1</v>
      </c>
      <c r="S550" s="4"/>
      <c r="T550" s="10"/>
    </row>
    <row r="551" spans="5:20" x14ac:dyDescent="0.2">
      <c r="E551" s="4" t="s">
        <v>17</v>
      </c>
      <c r="K551" t="str">
        <v>just</v>
      </c>
      <c r="L551" s="4" t="str">
        <f t="shared" si="8"/>
        <v>just</v>
      </c>
      <c r="N551" s="4" cm="1">
        <f t="array" ref="N551">SUM(--(_xlfn.TEXTSPLIT($J$423,, " ") = M551))</f>
        <v>1</v>
      </c>
      <c r="O551">
        <v>1</v>
      </c>
      <c r="P551">
        <v>1</v>
      </c>
      <c r="Q551">
        <v>1</v>
      </c>
      <c r="S551" s="4"/>
      <c r="T551" s="10"/>
    </row>
    <row r="552" spans="5:20" x14ac:dyDescent="0.2">
      <c r="E552" s="4" t="s">
        <v>17</v>
      </c>
      <c r="K552" t="str">
        <v>forever</v>
      </c>
      <c r="L552" s="4" t="str">
        <f t="shared" si="8"/>
        <v>forever</v>
      </c>
      <c r="N552" s="4" cm="1">
        <f t="array" ref="N552">SUM(--(_xlfn.TEXTSPLIT($J$423,, " ") = M552))</f>
        <v>1</v>
      </c>
      <c r="O552">
        <v>1</v>
      </c>
      <c r="P552">
        <v>1</v>
      </c>
      <c r="Q552">
        <v>1</v>
      </c>
      <c r="S552" s="4"/>
      <c r="T552" s="10"/>
    </row>
    <row r="553" spans="5:20" x14ac:dyDescent="0.2">
      <c r="E553" s="4" t="s">
        <v>17</v>
      </c>
      <c r="K553" t="str">
        <v>gripping</v>
      </c>
      <c r="L553" s="4" t="str">
        <f t="shared" si="8"/>
        <v>gripping</v>
      </c>
      <c r="N553" s="4" cm="1">
        <f t="array" ref="N553">SUM(--(_xlfn.TEXTSPLIT($J$423,, " ") = M553))</f>
        <v>1</v>
      </c>
      <c r="O553">
        <v>1</v>
      </c>
      <c r="P553">
        <v>1</v>
      </c>
      <c r="Q553">
        <v>1</v>
      </c>
      <c r="S553" s="4"/>
      <c r="T553" s="10"/>
    </row>
    <row r="554" spans="5:20" x14ac:dyDescent="0.2">
      <c r="E554" s="4" t="s">
        <v>17</v>
      </c>
      <c r="K554" t="str">
        <v>feels,</v>
      </c>
      <c r="L554" s="4" t="str">
        <f t="shared" si="8"/>
        <v xml:space="preserve">feels </v>
      </c>
      <c r="N554" s="4" cm="1">
        <f t="array" ref="N554">SUM(--(_xlfn.TEXTSPLIT($J$423,, " ") = M554))</f>
        <v>1</v>
      </c>
      <c r="O554">
        <v>1</v>
      </c>
      <c r="P554">
        <v>1</v>
      </c>
      <c r="Q554">
        <v>1</v>
      </c>
      <c r="S554" s="4"/>
      <c r="T554" s="10"/>
    </row>
    <row r="555" spans="5:20" x14ac:dyDescent="0.2">
      <c r="E555" s="4" t="s">
        <v>17</v>
      </c>
      <c r="K555" t="str">
        <v>never</v>
      </c>
      <c r="L555" s="4" t="str">
        <f t="shared" si="8"/>
        <v>never</v>
      </c>
      <c r="N555" s="4" cm="1">
        <f t="array" ref="N555">SUM(--(_xlfn.TEXTSPLIT($J$423,, " ") = M555))</f>
        <v>1</v>
      </c>
      <c r="O555">
        <v>1</v>
      </c>
      <c r="P555">
        <v>1</v>
      </c>
      <c r="Q555">
        <v>1</v>
      </c>
      <c r="S555" s="4"/>
      <c r="T555" s="10"/>
    </row>
    <row r="556" spans="5:20" x14ac:dyDescent="0.2">
      <c r="E556" s="4" t="s">
        <v>17</v>
      </c>
      <c r="K556" t="str">
        <v>slowing</v>
      </c>
      <c r="L556" s="4" t="str">
        <f t="shared" si="8"/>
        <v>slowing</v>
      </c>
      <c r="N556" s="4" cm="1">
        <f t="array" ref="N556">SUM(--(_xlfn.TEXTSPLIT($J$423,, " ") = M556))</f>
        <v>1</v>
      </c>
      <c r="O556">
        <v>1</v>
      </c>
      <c r="P556">
        <v>1</v>
      </c>
      <c r="Q556">
        <v>1</v>
      </c>
      <c r="S556" s="4"/>
      <c r="T556" s="10"/>
    </row>
    <row r="557" spans="5:20" x14ac:dyDescent="0.2">
      <c r="E557" s="4" t="s">
        <v>17</v>
      </c>
      <c r="K557" t="str">
        <v xml:space="preserve">down
</v>
      </c>
      <c r="L557" s="4" t="str">
        <f t="shared" si="8"/>
        <v xml:space="preserve">down  </v>
      </c>
      <c r="N557" s="4" cm="1">
        <f t="array" ref="N557">SUM(--(_xlfn.TEXTSPLIT($J$423,, " ") = M557))</f>
        <v>1</v>
      </c>
      <c r="O557">
        <v>1</v>
      </c>
      <c r="P557">
        <v>1</v>
      </c>
      <c r="Q557">
        <v>1</v>
      </c>
      <c r="S557" s="4"/>
      <c r="T557" s="10"/>
    </row>
    <row r="558" spans="5:20" x14ac:dyDescent="0.2">
      <c r="E558" s="4" t="s">
        <v>17</v>
      </c>
      <c r="K558" t="str">
        <v>(Never</v>
      </c>
      <c r="L558" s="4" t="str">
        <f t="shared" si="8"/>
        <v xml:space="preserve"> Never</v>
      </c>
      <c r="N558" s="4" cm="1">
        <f t="array" ref="N558">SUM(--(_xlfn.TEXTSPLIT($J$423,, " ") = M558))</f>
        <v>1</v>
      </c>
      <c r="O558">
        <v>1</v>
      </c>
      <c r="P558">
        <v>1</v>
      </c>
      <c r="Q558">
        <v>1</v>
      </c>
      <c r="S558" s="4"/>
      <c r="T558" s="10"/>
    </row>
    <row r="559" spans="5:20" x14ac:dyDescent="0.2">
      <c r="E559" s="4" t="s">
        <v>17</v>
      </c>
      <c r="K559" t="str">
        <v>slowing</v>
      </c>
      <c r="L559" s="4" t="str">
        <f t="shared" si="8"/>
        <v>slowing</v>
      </c>
      <c r="N559" s="4" cm="1">
        <f t="array" ref="N559">SUM(--(_xlfn.TEXTSPLIT($J$423,, " ") = M559))</f>
        <v>1</v>
      </c>
      <c r="O559">
        <v>1</v>
      </c>
      <c r="P559">
        <v>1</v>
      </c>
      <c r="Q559">
        <v>1</v>
      </c>
      <c r="S559" s="4"/>
      <c r="T559" s="10"/>
    </row>
    <row r="560" spans="5:20" x14ac:dyDescent="0.2">
      <c r="E560" s="4" t="s">
        <v>17</v>
      </c>
      <c r="K560" t="str">
        <v xml:space="preserve">down)
</v>
      </c>
      <c r="L560" s="4" t="str">
        <f t="shared" si="8"/>
        <v xml:space="preserve">down  </v>
      </c>
      <c r="N560" s="4" cm="1">
        <f t="array" ref="N560">SUM(--(_xlfn.TEXTSPLIT($J$423,, " ") = M560))</f>
        <v>1</v>
      </c>
      <c r="O560">
        <v>1</v>
      </c>
      <c r="P560">
        <v>1</v>
      </c>
      <c r="Q560">
        <v>1</v>
      </c>
      <c r="S560" s="4"/>
      <c r="T560" s="10"/>
    </row>
    <row r="561" spans="5:20" x14ac:dyDescent="0.2">
      <c r="E561" s="4" t="s">
        <v>17</v>
      </c>
      <c r="K561" t="str">
        <v>(Never</v>
      </c>
      <c r="L561" s="4" t="str">
        <f t="shared" si="8"/>
        <v xml:space="preserve"> Never</v>
      </c>
      <c r="N561" s="4" cm="1">
        <f t="array" ref="N561">SUM(--(_xlfn.TEXTSPLIT($J$423,, " ") = M561))</f>
        <v>1</v>
      </c>
      <c r="O561">
        <v>1</v>
      </c>
      <c r="P561">
        <v>1</v>
      </c>
      <c r="Q561">
        <v>1</v>
      </c>
      <c r="S561" s="4"/>
      <c r="T561" s="10"/>
    </row>
    <row r="562" spans="5:20" x14ac:dyDescent="0.2">
      <c r="E562" s="4" t="s">
        <v>17</v>
      </c>
      <c r="K562" t="str">
        <v>slowing</v>
      </c>
      <c r="L562" s="4" t="str">
        <f t="shared" si="8"/>
        <v>slowing</v>
      </c>
      <c r="N562" s="4" cm="1">
        <f t="array" ref="N562">SUM(--(_xlfn.TEXTSPLIT($J$423,, " ") = M562))</f>
        <v>1</v>
      </c>
      <c r="O562">
        <v>1</v>
      </c>
      <c r="P562">
        <v>1</v>
      </c>
      <c r="Q562">
        <v>1</v>
      </c>
      <c r="S562" s="4"/>
      <c r="T562" s="10"/>
    </row>
    <row r="563" spans="5:20" x14ac:dyDescent="0.2">
      <c r="E563" s="4" t="s">
        <v>17</v>
      </c>
      <c r="K563" t="str">
        <v xml:space="preserve">down)
</v>
      </c>
      <c r="L563" s="4" t="str">
        <f t="shared" si="8"/>
        <v xml:space="preserve">down  </v>
      </c>
      <c r="N563" s="4" cm="1">
        <f t="array" ref="N563">SUM(--(_xlfn.TEXTSPLIT($J$423,, " ") = M563))</f>
        <v>1</v>
      </c>
      <c r="O563">
        <v>1</v>
      </c>
      <c r="P563">
        <v>1</v>
      </c>
      <c r="Q563">
        <v>1</v>
      </c>
      <c r="S563" s="4"/>
      <c r="T563" s="10"/>
    </row>
    <row r="564" spans="5:20" x14ac:dyDescent="0.2">
      <c r="E564" s="4" t="s">
        <v>17</v>
      </c>
      <c r="K564" t="str">
        <v>(Never,</v>
      </c>
      <c r="L564" s="4" t="str">
        <f t="shared" si="8"/>
        <v xml:space="preserve"> Never </v>
      </c>
      <c r="N564" s="4" cm="1">
        <f t="array" ref="N564">SUM(--(_xlfn.TEXTSPLIT($J$423,, " ") = M564))</f>
        <v>1</v>
      </c>
      <c r="O564">
        <v>1</v>
      </c>
      <c r="P564">
        <v>1</v>
      </c>
      <c r="Q564">
        <v>1</v>
      </c>
      <c r="S564" s="4"/>
      <c r="T564" s="10"/>
    </row>
    <row r="565" spans="5:20" x14ac:dyDescent="0.2">
      <c r="E565" s="4" t="s">
        <v>17</v>
      </c>
      <c r="K565" t="str">
        <v>never</v>
      </c>
      <c r="L565" s="4" t="str">
        <f t="shared" si="8"/>
        <v>never</v>
      </c>
      <c r="N565" s="4" cm="1">
        <f t="array" ref="N565">SUM(--(_xlfn.TEXTSPLIT($J$423,, " ") = M565))</f>
        <v>1</v>
      </c>
      <c r="O565">
        <v>1</v>
      </c>
      <c r="P565">
        <v>1</v>
      </c>
      <c r="Q565">
        <v>1</v>
      </c>
      <c r="S565" s="4"/>
      <c r="T565" s="10"/>
    </row>
    <row r="566" spans="5:20" x14ac:dyDescent="0.2">
      <c r="E566" s="4" t="s">
        <v>17</v>
      </c>
      <c r="K566" t="str">
        <v>slowing</v>
      </c>
      <c r="L566" s="4" t="str">
        <f t="shared" si="8"/>
        <v>slowing</v>
      </c>
      <c r="N566" s="4" cm="1">
        <f t="array" ref="N566">SUM(--(_xlfn.TEXTSPLIT($J$423,, " ") = M566))</f>
        <v>1</v>
      </c>
      <c r="O566">
        <v>1</v>
      </c>
      <c r="P566">
        <v>1</v>
      </c>
      <c r="Q566">
        <v>1</v>
      </c>
      <c r="S566" s="4"/>
      <c r="T566" s="10"/>
    </row>
    <row r="567" spans="5:20" x14ac:dyDescent="0.2">
      <c r="E567" s="4" t="s">
        <v>17</v>
      </c>
      <c r="K567" t="str">
        <v xml:space="preserve">down)
</v>
      </c>
      <c r="L567" s="4" t="str">
        <f t="shared" si="8"/>
        <v xml:space="preserve">down  </v>
      </c>
      <c r="N567" s="4" cm="1">
        <f t="array" ref="N567">SUM(--(_xlfn.TEXTSPLIT($J$423,, " ") = M567))</f>
        <v>1</v>
      </c>
      <c r="O567">
        <v>1</v>
      </c>
      <c r="P567">
        <v>1</v>
      </c>
      <c r="Q567">
        <v>1</v>
      </c>
      <c r="S567" s="4"/>
      <c r="T567" s="10"/>
    </row>
    <row r="568" spans="5:20" x14ac:dyDescent="0.2">
      <c r="E568" s="4" t="s">
        <v>17</v>
      </c>
      <c r="K568" t="str">
        <v>(Never</v>
      </c>
      <c r="L568" s="4" t="str">
        <f t="shared" si="8"/>
        <v xml:space="preserve"> Never</v>
      </c>
      <c r="N568" s="4" cm="1">
        <f t="array" ref="N568">SUM(--(_xlfn.TEXTSPLIT($J$423,, " ") = M568))</f>
        <v>1</v>
      </c>
      <c r="O568">
        <v>1</v>
      </c>
      <c r="P568">
        <v>1</v>
      </c>
      <c r="Q568">
        <v>1</v>
      </c>
      <c r="S568" s="4"/>
      <c r="T568" s="10"/>
    </row>
    <row r="569" spans="5:20" x14ac:dyDescent="0.2">
      <c r="E569" s="4" t="s">
        <v>17</v>
      </c>
      <c r="K569" t="str">
        <v>slowing</v>
      </c>
      <c r="L569" s="4" t="str">
        <f t="shared" si="8"/>
        <v>slowing</v>
      </c>
      <c r="N569" s="4" cm="1">
        <f t="array" ref="N569">SUM(--(_xlfn.TEXTSPLIT($J$423,, " ") = M569))</f>
        <v>1</v>
      </c>
      <c r="O569">
        <v>1</v>
      </c>
      <c r="P569">
        <v>1</v>
      </c>
      <c r="Q569">
        <v>1</v>
      </c>
      <c r="S569" s="4"/>
      <c r="T569" s="10"/>
    </row>
    <row r="570" spans="5:20" x14ac:dyDescent="0.2">
      <c r="E570" s="4" t="s">
        <v>17</v>
      </c>
      <c r="K570" t="str">
        <v xml:space="preserve">down)
</v>
      </c>
      <c r="L570" s="4" t="str">
        <f t="shared" si="8"/>
        <v xml:space="preserve">down  </v>
      </c>
      <c r="N570" s="4" cm="1">
        <f t="array" ref="N570">SUM(--(_xlfn.TEXTSPLIT($J$423,, " ") = M570))</f>
        <v>1</v>
      </c>
      <c r="O570">
        <v>1</v>
      </c>
      <c r="P570">
        <v>1</v>
      </c>
      <c r="Q570">
        <v>1</v>
      </c>
      <c r="S570" s="4"/>
      <c r="T570" s="10"/>
    </row>
    <row r="571" spans="5:20" x14ac:dyDescent="0.2">
      <c r="E571" s="4" t="s">
        <v>17</v>
      </c>
      <c r="K571" t="str">
        <v>(Never,</v>
      </c>
      <c r="L571" s="4" t="str">
        <f t="shared" si="8"/>
        <v xml:space="preserve"> Never </v>
      </c>
      <c r="N571" s="4" cm="1">
        <f t="array" ref="N571">SUM(--(_xlfn.TEXTSPLIT($J$423,, " ") = M571))</f>
        <v>1</v>
      </c>
      <c r="O571">
        <v>1</v>
      </c>
      <c r="P571">
        <v>1</v>
      </c>
      <c r="Q571">
        <v>1</v>
      </c>
      <c r="S571" s="4"/>
      <c r="T571" s="10"/>
    </row>
    <row r="572" spans="5:20" x14ac:dyDescent="0.2">
      <c r="E572" s="4" t="s">
        <v>17</v>
      </c>
      <c r="K572" t="str">
        <v>never</v>
      </c>
      <c r="L572" s="4" t="str">
        <f t="shared" si="8"/>
        <v>never</v>
      </c>
      <c r="N572" s="4" cm="1">
        <f t="array" ref="N572">SUM(--(_xlfn.TEXTSPLIT($J$423,, " ") = M572))</f>
        <v>1</v>
      </c>
      <c r="O572">
        <v>1</v>
      </c>
      <c r="P572">
        <v>1</v>
      </c>
      <c r="Q572">
        <v>1</v>
      </c>
      <c r="S572" s="4"/>
      <c r="T572" s="10"/>
    </row>
    <row r="573" spans="5:20" x14ac:dyDescent="0.2">
      <c r="E573" s="4" t="s">
        <v>17</v>
      </c>
      <c r="K573" t="str">
        <v>slowing</v>
      </c>
      <c r="L573" s="4" t="str">
        <f t="shared" si="8"/>
        <v>slowing</v>
      </c>
      <c r="N573" s="4" cm="1">
        <f t="array" ref="N573">SUM(--(_xlfn.TEXTSPLIT($J$423,, " ") = M573))</f>
        <v>1</v>
      </c>
      <c r="O573">
        <v>1</v>
      </c>
      <c r="P573">
        <v>1</v>
      </c>
      <c r="Q573">
        <v>1</v>
      </c>
      <c r="S573" s="4"/>
      <c r="T573" s="10"/>
    </row>
    <row r="574" spans="5:20" x14ac:dyDescent="0.2">
      <c r="E574" s="4" t="s">
        <v>17</v>
      </c>
      <c r="K574" t="str">
        <v xml:space="preserve">down)
</v>
      </c>
      <c r="L574" s="4" t="str">
        <f t="shared" si="8"/>
        <v xml:space="preserve">down  </v>
      </c>
      <c r="N574" s="4" cm="1">
        <f t="array" ref="N574">SUM(--(_xlfn.TEXTSPLIT($J$423,, " ") = M574))</f>
        <v>1</v>
      </c>
      <c r="O574">
        <v>1</v>
      </c>
      <c r="P574">
        <v>1</v>
      </c>
      <c r="Q574">
        <v>1</v>
      </c>
      <c r="S574" s="4"/>
      <c r="T574" s="10"/>
    </row>
    <row r="575" spans="5:20" x14ac:dyDescent="0.2">
      <c r="E575" s="4" t="s">
        <v>17</v>
      </c>
      <c r="K575" t="str">
        <v>(Never</v>
      </c>
      <c r="L575" s="4" t="str">
        <f t="shared" si="8"/>
        <v xml:space="preserve"> Never</v>
      </c>
      <c r="N575" s="4" cm="1">
        <f t="array" ref="N575">SUM(--(_xlfn.TEXTSPLIT($J$423,, " ") = M575))</f>
        <v>1</v>
      </c>
      <c r="O575">
        <v>1</v>
      </c>
      <c r="P575">
        <v>1</v>
      </c>
      <c r="Q575">
        <v>1</v>
      </c>
      <c r="S575" s="4"/>
      <c r="T575" s="10"/>
    </row>
    <row r="576" spans="5:20" x14ac:dyDescent="0.2">
      <c r="E576" s="4" t="s">
        <v>17</v>
      </c>
      <c r="K576" t="str">
        <v>slowing</v>
      </c>
      <c r="L576" s="4" t="str">
        <f t="shared" si="8"/>
        <v>slowing</v>
      </c>
      <c r="N576" s="4" cm="1">
        <f t="array" ref="N576">SUM(--(_xlfn.TEXTSPLIT($J$423,, " ") = M576))</f>
        <v>1</v>
      </c>
      <c r="O576">
        <v>1</v>
      </c>
      <c r="P576">
        <v>1</v>
      </c>
      <c r="Q576">
        <v>1</v>
      </c>
      <c r="S576" s="4"/>
      <c r="T576" s="10"/>
    </row>
    <row r="577" spans="5:20" x14ac:dyDescent="0.2">
      <c r="E577" s="4" t="s">
        <v>17</v>
      </c>
      <c r="K577" t="str">
        <v xml:space="preserve">down)
</v>
      </c>
      <c r="L577" s="4" t="str">
        <f t="shared" si="8"/>
        <v xml:space="preserve">down  </v>
      </c>
      <c r="N577" s="4" cm="1">
        <f t="array" ref="N577">SUM(--(_xlfn.TEXTSPLIT($J$423,, " ") = M577))</f>
        <v>1</v>
      </c>
      <c r="O577">
        <v>1</v>
      </c>
      <c r="P577">
        <v>1</v>
      </c>
      <c r="Q577">
        <v>1</v>
      </c>
      <c r="S577" s="4"/>
      <c r="T577" s="10"/>
    </row>
    <row r="578" spans="5:20" x14ac:dyDescent="0.2">
      <c r="E578" s="4" t="s">
        <v>17</v>
      </c>
      <c r="K578" t="str">
        <v>(Never,</v>
      </c>
      <c r="L578" s="4" t="str">
        <f t="shared" si="8"/>
        <v xml:space="preserve"> Never </v>
      </c>
      <c r="N578" s="4" cm="1">
        <f t="array" ref="N578">SUM(--(_xlfn.TEXTSPLIT($J$423,, " ") = M578))</f>
        <v>1</v>
      </c>
      <c r="O578">
        <v>1</v>
      </c>
      <c r="P578">
        <v>1</v>
      </c>
      <c r="Q578">
        <v>1</v>
      </c>
      <c r="S578" s="4"/>
      <c r="T578" s="10"/>
    </row>
    <row r="579" spans="5:20" x14ac:dyDescent="0.2">
      <c r="E579" s="4" t="s">
        <v>17</v>
      </c>
      <c r="K579" t="str">
        <v>never</v>
      </c>
      <c r="L579" s="4" t="str">
        <f t="shared" si="8"/>
        <v>never</v>
      </c>
      <c r="N579" s="4" cm="1">
        <f t="array" ref="N579">SUM(--(_xlfn.TEXTSPLIT($J$423,, " ") = M579))</f>
        <v>1</v>
      </c>
      <c r="O579">
        <v>1</v>
      </c>
      <c r="P579">
        <v>1</v>
      </c>
      <c r="Q579">
        <v>1</v>
      </c>
      <c r="S579" s="4"/>
      <c r="T579" s="10"/>
    </row>
    <row r="580" spans="5:20" x14ac:dyDescent="0.2">
      <c r="E580" s="4" t="s">
        <v>17</v>
      </c>
      <c r="K580" t="str">
        <v>slowing</v>
      </c>
      <c r="L580" s="4" t="str">
        <f t="shared" ref="L580:L643" si="9">_xlfn.REGEXREPLACE(K580, "[^A-Za-z ]", " ")</f>
        <v>slowing</v>
      </c>
      <c r="N580" s="4" cm="1">
        <f t="array" ref="N580">SUM(--(_xlfn.TEXTSPLIT($J$423,, " ") = M580))</f>
        <v>1</v>
      </c>
      <c r="O580">
        <v>1</v>
      </c>
      <c r="P580">
        <v>1</v>
      </c>
      <c r="Q580">
        <v>1</v>
      </c>
      <c r="S580" s="4"/>
      <c r="T580" s="10"/>
    </row>
    <row r="581" spans="5:20" x14ac:dyDescent="0.2">
      <c r="E581" s="4" t="s">
        <v>17</v>
      </c>
      <c r="K581" t="str">
        <v xml:space="preserve">down)
</v>
      </c>
      <c r="L581" s="4" t="str">
        <f t="shared" si="9"/>
        <v xml:space="preserve">down   </v>
      </c>
      <c r="N581" s="4" cm="1">
        <f t="array" ref="N581">SUM(--(_xlfn.TEXTSPLIT($J$423,, " ") = M581))</f>
        <v>1</v>
      </c>
      <c r="O581">
        <v>1</v>
      </c>
      <c r="P581">
        <v>1</v>
      </c>
      <c r="Q581">
        <v>1</v>
      </c>
      <c r="S581" s="4"/>
      <c r="T581" s="10"/>
    </row>
    <row r="582" spans="5:20" x14ac:dyDescent="0.2">
      <c r="E582" s="4" t="s">
        <v>17</v>
      </c>
      <c r="K582" t="str">
        <v>Learning</v>
      </c>
      <c r="L582" s="4" t="str">
        <f t="shared" si="9"/>
        <v>Learning</v>
      </c>
      <c r="N582" s="4" cm="1">
        <f t="array" ref="N582">SUM(--(_xlfn.TEXTSPLIT($J$423,, " ") = M582))</f>
        <v>1</v>
      </c>
      <c r="O582">
        <v>1</v>
      </c>
      <c r="P582">
        <v>1</v>
      </c>
      <c r="Q582">
        <v>1</v>
      </c>
      <c r="S582" s="4"/>
      <c r="T582" s="10"/>
    </row>
    <row r="583" spans="5:20" x14ac:dyDescent="0.2">
      <c r="E583" s="4" t="s">
        <v>17</v>
      </c>
      <c r="K583" t="str">
        <v>all</v>
      </c>
      <c r="L583" s="4" t="str">
        <f t="shared" si="9"/>
        <v>all</v>
      </c>
      <c r="N583" s="4" cm="1">
        <f t="array" ref="N583">SUM(--(_xlfn.TEXTSPLIT($J$423,, " ") = M583))</f>
        <v>1</v>
      </c>
      <c r="O583">
        <v>1</v>
      </c>
      <c r="P583">
        <v>1</v>
      </c>
      <c r="Q583">
        <v>1</v>
      </c>
      <c r="S583" s="4"/>
      <c r="T583" s="10"/>
    </row>
    <row r="584" spans="5:20" x14ac:dyDescent="0.2">
      <c r="E584" s="4" t="s">
        <v>17</v>
      </c>
      <c r="K584" t="str">
        <v>that</v>
      </c>
      <c r="L584" s="4" t="str">
        <f t="shared" si="9"/>
        <v>that</v>
      </c>
      <c r="N584" s="4" cm="1">
        <f t="array" ref="N584">SUM(--(_xlfn.TEXTSPLIT($J$423,, " ") = M584))</f>
        <v>1</v>
      </c>
      <c r="O584">
        <v>1</v>
      </c>
      <c r="P584">
        <v>1</v>
      </c>
      <c r="Q584">
        <v>1</v>
      </c>
      <c r="S584" s="4"/>
      <c r="T584" s="10"/>
    </row>
    <row r="585" spans="5:20" x14ac:dyDescent="0.2">
      <c r="E585" s="4" t="s">
        <v>17</v>
      </c>
      <c r="K585" t="str">
        <v>really</v>
      </c>
      <c r="L585" s="4" t="str">
        <f t="shared" si="9"/>
        <v>really</v>
      </c>
      <c r="N585" s="4" cm="1">
        <f t="array" ref="N585">SUM(--(_xlfn.TEXTSPLIT($J$423,, " ") = M585))</f>
        <v>1</v>
      </c>
      <c r="O585">
        <v>1</v>
      </c>
      <c r="P585">
        <v>1</v>
      </c>
      <c r="Q585">
        <v>1</v>
      </c>
      <c r="S585" s="4"/>
      <c r="T585" s="10"/>
    </row>
    <row r="586" spans="5:20" x14ac:dyDescent="0.2">
      <c r="E586" s="4" t="s">
        <v>17</v>
      </c>
      <c r="K586" t="str">
        <v>matters</v>
      </c>
      <c r="L586" s="4" t="str">
        <f t="shared" si="9"/>
        <v>matters</v>
      </c>
      <c r="N586" s="4" cm="1">
        <f t="array" ref="N586">SUM(--(_xlfn.TEXTSPLIT($J$423,, " ") = M586))</f>
        <v>1</v>
      </c>
      <c r="O586">
        <v>1</v>
      </c>
      <c r="P586">
        <v>1</v>
      </c>
      <c r="Q586">
        <v>1</v>
      </c>
      <c r="S586" s="4"/>
      <c r="T586" s="10"/>
    </row>
    <row r="587" spans="5:20" x14ac:dyDescent="0.2">
      <c r="E587" s="4" t="s">
        <v>17</v>
      </c>
      <c r="K587" t="str">
        <v>is</v>
      </c>
      <c r="L587" s="4" t="str">
        <f t="shared" si="9"/>
        <v>is</v>
      </c>
      <c r="N587" s="4" cm="1">
        <f t="array" ref="N587">SUM(--(_xlfn.TEXTSPLIT($J$423,, " ") = M587))</f>
        <v>1</v>
      </c>
      <c r="O587">
        <v>1</v>
      </c>
      <c r="P587">
        <v>1</v>
      </c>
      <c r="Q587">
        <v>1</v>
      </c>
      <c r="S587" s="4"/>
      <c r="T587" s="10"/>
    </row>
    <row r="588" spans="5:20" x14ac:dyDescent="0.2">
      <c r="E588" s="4" t="s">
        <v>17</v>
      </c>
      <c r="K588" t="str">
        <v>a</v>
      </c>
      <c r="L588" s="4" t="str">
        <f t="shared" si="9"/>
        <v>a</v>
      </c>
      <c r="N588" s="4" cm="1">
        <f t="array" ref="N588">SUM(--(_xlfn.TEXTSPLIT($J$423,, " ") = M588))</f>
        <v>1</v>
      </c>
      <c r="O588">
        <v>1</v>
      </c>
      <c r="P588">
        <v>1</v>
      </c>
      <c r="Q588">
        <v>1</v>
      </c>
      <c r="S588" s="4"/>
      <c r="T588" s="10"/>
    </row>
    <row r="589" spans="5:20" x14ac:dyDescent="0.2">
      <c r="E589" s="4" t="s">
        <v>17</v>
      </c>
      <c r="K589" t="str">
        <v>slow</v>
      </c>
      <c r="L589" s="4" t="str">
        <f t="shared" si="9"/>
        <v>slow</v>
      </c>
      <c r="N589" s="4" cm="1">
        <f t="array" ref="N589">SUM(--(_xlfn.TEXTSPLIT($J$423,, " ") = M589))</f>
        <v>1</v>
      </c>
      <c r="O589">
        <v>1</v>
      </c>
      <c r="P589">
        <v>1</v>
      </c>
      <c r="Q589">
        <v>1</v>
      </c>
      <c r="S589" s="4"/>
      <c r="T589" s="10"/>
    </row>
    <row r="590" spans="5:20" x14ac:dyDescent="0.2">
      <c r="E590" s="4" t="s">
        <v>17</v>
      </c>
      <c r="K590" t="str">
        <v>and</v>
      </c>
      <c r="L590" s="4" t="str">
        <f t="shared" si="9"/>
        <v>and</v>
      </c>
      <c r="N590" s="4" cm="1">
        <f t="array" ref="N590">SUM(--(_xlfn.TEXTSPLIT($J$423,, " ") = M590))</f>
        <v>1</v>
      </c>
      <c r="O590">
        <v>1</v>
      </c>
      <c r="P590">
        <v>1</v>
      </c>
      <c r="Q590">
        <v>1</v>
      </c>
      <c r="S590" s="4"/>
      <c r="T590" s="10"/>
    </row>
    <row r="591" spans="5:20" x14ac:dyDescent="0.2">
      <c r="E591" s="4" t="s">
        <v>17</v>
      </c>
      <c r="K591" t="str">
        <v>painful</v>
      </c>
      <c r="L591" s="4" t="str">
        <f t="shared" si="9"/>
        <v>painful</v>
      </c>
      <c r="N591" s="4" cm="1">
        <f t="array" ref="N591">SUM(--(_xlfn.TEXTSPLIT($J$423,, " ") = M591))</f>
        <v>1</v>
      </c>
      <c r="O591">
        <v>1</v>
      </c>
      <c r="P591">
        <v>1</v>
      </c>
      <c r="Q591">
        <v>1</v>
      </c>
      <c r="S591" s="4"/>
      <c r="T591" s="10"/>
    </row>
    <row r="592" spans="5:20" x14ac:dyDescent="0.2">
      <c r="E592" s="4" t="s">
        <v>17</v>
      </c>
      <c r="K592" t="str">
        <v>lesson</v>
      </c>
      <c r="L592" s="4" t="str">
        <f t="shared" si="9"/>
        <v>lesson</v>
      </c>
      <c r="N592" s="4" cm="1">
        <f t="array" ref="N592">SUM(--(_xlfn.TEXTSPLIT($J$423,, " ") = M592))</f>
        <v>1</v>
      </c>
      <c r="O592">
        <v>1</v>
      </c>
      <c r="P592">
        <v>1</v>
      </c>
      <c r="Q592">
        <v>1</v>
      </c>
      <c r="S592" s="4"/>
      <c r="T592" s="10"/>
    </row>
    <row r="593" spans="5:20" x14ac:dyDescent="0.2">
      <c r="E593" s="4" t="s">
        <v>17</v>
      </c>
      <c r="K593" t="str">
        <v>(Never</v>
      </c>
      <c r="L593" s="4" t="str">
        <f t="shared" si="9"/>
        <v xml:space="preserve"> Never</v>
      </c>
      <c r="N593" s="4" cm="1">
        <f t="array" ref="N593">SUM(--(_xlfn.TEXTSPLIT($J$423,, " ") = M593))</f>
        <v>1</v>
      </c>
      <c r="O593">
        <v>1</v>
      </c>
      <c r="P593">
        <v>1</v>
      </c>
      <c r="Q593">
        <v>1</v>
      </c>
      <c r="S593" s="4"/>
      <c r="T593" s="10"/>
    </row>
    <row r="594" spans="5:20" x14ac:dyDescent="0.2">
      <c r="E594" s="4" t="s">
        <v>17</v>
      </c>
      <c r="K594" t="str">
        <v>slowing</v>
      </c>
      <c r="L594" s="4" t="str">
        <f t="shared" si="9"/>
        <v>slowing</v>
      </c>
      <c r="N594" s="4" cm="1">
        <f t="array" ref="N594">SUM(--(_xlfn.TEXTSPLIT($J$423,, " ") = M594))</f>
        <v>1</v>
      </c>
      <c r="O594">
        <v>1</v>
      </c>
      <c r="P594">
        <v>1</v>
      </c>
      <c r="Q594">
        <v>1</v>
      </c>
      <c r="S594" s="4"/>
      <c r="T594" s="10"/>
    </row>
    <row r="595" spans="5:20" x14ac:dyDescent="0.2">
      <c r="E595" s="4" t="s">
        <v>17</v>
      </c>
      <c r="K595" t="str">
        <v>down,</v>
      </c>
      <c r="L595" s="4" t="str">
        <f t="shared" si="9"/>
        <v xml:space="preserve">down </v>
      </c>
      <c r="N595" s="4" cm="1">
        <f t="array" ref="N595">SUM(--(_xlfn.TEXTSPLIT($J$423,, " ") = M595))</f>
        <v>1</v>
      </c>
      <c r="O595">
        <v>1</v>
      </c>
      <c r="P595">
        <v>1</v>
      </c>
      <c r="Q595">
        <v>1</v>
      </c>
      <c r="S595" s="4"/>
      <c r="T595" s="10"/>
    </row>
    <row r="596" spans="5:20" x14ac:dyDescent="0.2">
      <c r="E596" s="4" t="s">
        <v>17</v>
      </c>
      <c r="K596" t="str">
        <v>never</v>
      </c>
      <c r="L596" s="4" t="str">
        <f t="shared" si="9"/>
        <v>never</v>
      </c>
      <c r="N596" s="4" cm="1">
        <f t="array" ref="N596">SUM(--(_xlfn.TEXTSPLIT($J$423,, " ") = M596))</f>
        <v>1</v>
      </c>
      <c r="O596">
        <v>1</v>
      </c>
      <c r="P596">
        <v>1</v>
      </c>
      <c r="Q596">
        <v>1</v>
      </c>
      <c r="S596" s="4"/>
      <c r="T596" s="10"/>
    </row>
    <row r="597" spans="5:20" x14ac:dyDescent="0.2">
      <c r="E597" s="4" t="s">
        <v>17</v>
      </c>
      <c r="K597" t="str">
        <v>slowing</v>
      </c>
      <c r="L597" s="4" t="str">
        <f t="shared" si="9"/>
        <v>slowing</v>
      </c>
      <c r="N597" s="4" cm="1">
        <f t="array" ref="N597">SUM(--(_xlfn.TEXTSPLIT($J$423,, " ") = M597))</f>
        <v>1</v>
      </c>
      <c r="O597">
        <v>1</v>
      </c>
      <c r="P597">
        <v>1</v>
      </c>
      <c r="Q597">
        <v>1</v>
      </c>
      <c r="S597" s="4"/>
      <c r="T597" s="10"/>
    </row>
    <row r="598" spans="5:20" x14ac:dyDescent="0.2">
      <c r="E598" s="4" t="s">
        <v>17</v>
      </c>
      <c r="K598" t="str">
        <v xml:space="preserve">down)
</v>
      </c>
      <c r="L598" s="4" t="str">
        <f t="shared" si="9"/>
        <v xml:space="preserve">down  </v>
      </c>
      <c r="N598" s="4" cm="1">
        <f t="array" ref="N598">SUM(--(_xlfn.TEXTSPLIT($J$423,, " ") = M598))</f>
        <v>1</v>
      </c>
      <c r="O598">
        <v>1</v>
      </c>
      <c r="P598">
        <v>1</v>
      </c>
      <c r="Q598">
        <v>1</v>
      </c>
      <c r="S598" s="4"/>
      <c r="T598" s="10"/>
    </row>
    <row r="599" spans="5:20" x14ac:dyDescent="0.2">
      <c r="E599" s="4" t="s">
        <v>17</v>
      </c>
      <c r="K599" t="str">
        <v>It</v>
      </c>
      <c r="L599" s="4" t="str">
        <f t="shared" si="9"/>
        <v>It</v>
      </c>
      <c r="N599" s="4" cm="1">
        <f t="array" ref="N599">SUM(--(_xlfn.TEXTSPLIT($J$423,, " ") = M599))</f>
        <v>1</v>
      </c>
      <c r="O599">
        <v>1</v>
      </c>
      <c r="P599">
        <v>1</v>
      </c>
      <c r="Q599">
        <v>1</v>
      </c>
      <c r="S599" s="4"/>
      <c r="T599" s="10"/>
    </row>
    <row r="600" spans="5:20" x14ac:dyDescent="0.2">
      <c r="E600" s="4" t="s">
        <v>17</v>
      </c>
      <c r="K600" t="str">
        <v>is</v>
      </c>
      <c r="L600" s="4" t="str">
        <f t="shared" si="9"/>
        <v>is</v>
      </c>
      <c r="N600" s="4" cm="1">
        <f t="array" ref="N600">SUM(--(_xlfn.TEXTSPLIT($J$423,, " ") = M600))</f>
        <v>1</v>
      </c>
      <c r="O600">
        <v>1</v>
      </c>
      <c r="P600">
        <v>1</v>
      </c>
      <c r="Q600">
        <v>1</v>
      </c>
      <c r="S600" s="4"/>
      <c r="T600" s="10"/>
    </row>
    <row r="601" spans="5:20" x14ac:dyDescent="0.2">
      <c r="E601" s="4" t="s">
        <v>17</v>
      </c>
      <c r="K601" t="str">
        <v>not</v>
      </c>
      <c r="L601" s="4" t="str">
        <f t="shared" si="9"/>
        <v>not</v>
      </c>
      <c r="N601" s="4" cm="1">
        <f t="array" ref="N601">SUM(--(_xlfn.TEXTSPLIT($J$423,, " ") = M601))</f>
        <v>1</v>
      </c>
      <c r="O601">
        <v>1</v>
      </c>
      <c r="P601">
        <v>1</v>
      </c>
      <c r="Q601">
        <v>1</v>
      </c>
      <c r="S601" s="4"/>
      <c r="T601" s="10"/>
    </row>
    <row r="602" spans="5:20" x14ac:dyDescent="0.2">
      <c r="E602" s="4" t="s">
        <v>17</v>
      </c>
      <c r="K602" t="str">
        <v>pass</v>
      </c>
      <c r="L602" s="4" t="str">
        <f t="shared" si="9"/>
        <v>pass</v>
      </c>
      <c r="N602" s="4" cm="1">
        <f t="array" ref="N602">SUM(--(_xlfn.TEXTSPLIT($J$423,, " ") = M602))</f>
        <v>1</v>
      </c>
      <c r="O602">
        <v>1</v>
      </c>
      <c r="P602">
        <v>1</v>
      </c>
      <c r="Q602">
        <v>1</v>
      </c>
      <c r="S602" s="4"/>
      <c r="T602" s="10"/>
    </row>
    <row r="603" spans="5:20" x14ac:dyDescent="0.2">
      <c r="E603" s="4" t="s">
        <v>17</v>
      </c>
      <c r="K603" t="str">
        <v>or</v>
      </c>
      <c r="L603" s="4" t="str">
        <f t="shared" si="9"/>
        <v>or</v>
      </c>
      <c r="N603" s="4" cm="1">
        <f t="array" ref="N603">SUM(--(_xlfn.TEXTSPLIT($J$423,, " ") = M603))</f>
        <v>1</v>
      </c>
      <c r="O603">
        <v>1</v>
      </c>
      <c r="P603">
        <v>1</v>
      </c>
      <c r="Q603">
        <v>1</v>
      </c>
      <c r="S603" s="4"/>
      <c r="T603" s="10"/>
    </row>
    <row r="604" spans="5:20" x14ac:dyDescent="0.2">
      <c r="E604" s="4" t="s">
        <v>17</v>
      </c>
      <c r="K604" t="str">
        <v>fail,</v>
      </c>
      <c r="L604" s="4" t="str">
        <f t="shared" si="9"/>
        <v xml:space="preserve">fail </v>
      </c>
      <c r="N604" s="4" cm="1">
        <f t="array" ref="N604">SUM(--(_xlfn.TEXTSPLIT($J$423,, " ") = M604))</f>
        <v>1</v>
      </c>
      <c r="O604">
        <v>1</v>
      </c>
      <c r="P604">
        <v>1</v>
      </c>
      <c r="Q604">
        <v>1</v>
      </c>
      <c r="S604" s="4"/>
      <c r="T604" s="10"/>
    </row>
    <row r="605" spans="5:20" x14ac:dyDescent="0.2">
      <c r="E605" s="4" t="s">
        <v>17</v>
      </c>
      <c r="K605" t="str">
        <v>but</v>
      </c>
      <c r="L605" s="4" t="str">
        <f t="shared" si="9"/>
        <v>but</v>
      </c>
      <c r="N605" s="4" cm="1">
        <f t="array" ref="N605">SUM(--(_xlfn.TEXTSPLIT($J$423,, " ") = M605))</f>
        <v>1</v>
      </c>
      <c r="O605">
        <v>1</v>
      </c>
      <c r="P605">
        <v>1</v>
      </c>
      <c r="Q605">
        <v>1</v>
      </c>
      <c r="S605" s="4"/>
      <c r="T605" s="10"/>
    </row>
    <row r="606" spans="5:20" x14ac:dyDescent="0.2">
      <c r="E606" s="4" t="s">
        <v>17</v>
      </c>
      <c r="K606" t="str">
        <v>a</v>
      </c>
      <c r="L606" s="4" t="str">
        <f t="shared" si="9"/>
        <v>a</v>
      </c>
      <c r="N606" s="4" cm="1">
        <f t="array" ref="N606">SUM(--(_xlfn.TEXTSPLIT($J$423,, " ") = M606))</f>
        <v>1</v>
      </c>
      <c r="O606">
        <v>1</v>
      </c>
      <c r="P606">
        <v>1</v>
      </c>
      <c r="Q606">
        <v>1</v>
      </c>
      <c r="S606" s="4"/>
      <c r="T606" s="10"/>
    </row>
    <row r="607" spans="5:20" x14ac:dyDescent="0.2">
      <c r="E607" s="4" t="s">
        <v>17</v>
      </c>
      <c r="K607" t="str">
        <v>poisonous</v>
      </c>
      <c r="L607" s="4" t="str">
        <f t="shared" si="9"/>
        <v>poisonous</v>
      </c>
      <c r="N607" s="4" cm="1">
        <f t="array" ref="N607">SUM(--(_xlfn.TEXTSPLIT($J$423,, " ") = M607))</f>
        <v>1</v>
      </c>
      <c r="O607">
        <v>1</v>
      </c>
      <c r="P607">
        <v>1</v>
      </c>
      <c r="Q607">
        <v>1</v>
      </c>
      <c r="S607" s="4"/>
      <c r="T607" s="10"/>
    </row>
    <row r="608" spans="5:20" x14ac:dyDescent="0.2">
      <c r="E608" s="4" t="s">
        <v>17</v>
      </c>
      <c r="K608" t="str">
        <v>progression</v>
      </c>
      <c r="L608" s="4" t="str">
        <f t="shared" si="9"/>
        <v>progression</v>
      </c>
      <c r="N608" s="4" cm="1">
        <f t="array" ref="N608">SUM(--(_xlfn.TEXTSPLIT($J$423,, " ") = M608))</f>
        <v>1</v>
      </c>
      <c r="O608">
        <v>1</v>
      </c>
      <c r="P608">
        <v>1</v>
      </c>
      <c r="Q608">
        <v>1</v>
      </c>
      <c r="S608" s="4"/>
      <c r="T608" s="10"/>
    </row>
    <row r="609" spans="5:20" x14ac:dyDescent="0.2">
      <c r="E609" s="4" t="s">
        <v>17</v>
      </c>
      <c r="K609" t="str">
        <v>(Never</v>
      </c>
      <c r="L609" s="4" t="str">
        <f t="shared" si="9"/>
        <v xml:space="preserve"> Never</v>
      </c>
      <c r="N609" s="4" cm="1">
        <f t="array" ref="N609">SUM(--(_xlfn.TEXTSPLIT($J$423,, " ") = M609))</f>
        <v>1</v>
      </c>
      <c r="O609">
        <v>1</v>
      </c>
      <c r="P609">
        <v>1</v>
      </c>
      <c r="Q609">
        <v>1</v>
      </c>
      <c r="S609" s="4"/>
      <c r="T609" s="10"/>
    </row>
    <row r="610" spans="5:20" x14ac:dyDescent="0.2">
      <c r="E610" s="4" t="s">
        <v>17</v>
      </c>
      <c r="K610" t="str">
        <v>slowing</v>
      </c>
      <c r="L610" s="4" t="str">
        <f t="shared" si="9"/>
        <v>slowing</v>
      </c>
      <c r="N610" s="4" cm="1">
        <f t="array" ref="N610">SUM(--(_xlfn.TEXTSPLIT($J$423,, " ") = M610))</f>
        <v>1</v>
      </c>
      <c r="O610">
        <v>1</v>
      </c>
      <c r="P610">
        <v>1</v>
      </c>
      <c r="Q610">
        <v>1</v>
      </c>
      <c r="S610" s="4"/>
      <c r="T610" s="10"/>
    </row>
    <row r="611" spans="5:20" x14ac:dyDescent="0.2">
      <c r="E611" s="4" t="s">
        <v>17</v>
      </c>
      <c r="K611" t="str">
        <v>down,</v>
      </c>
      <c r="L611" s="4" t="str">
        <f t="shared" si="9"/>
        <v xml:space="preserve">down </v>
      </c>
      <c r="N611" s="4" cm="1">
        <f t="array" ref="N611">SUM(--(_xlfn.TEXTSPLIT($J$423,, " ") = M611))</f>
        <v>1</v>
      </c>
      <c r="O611">
        <v>1</v>
      </c>
      <c r="P611">
        <v>1</v>
      </c>
      <c r="Q611">
        <v>1</v>
      </c>
      <c r="S611" s="4"/>
      <c r="T611" s="10"/>
    </row>
    <row r="612" spans="5:20" x14ac:dyDescent="0.2">
      <c r="E612" s="4" t="s">
        <v>17</v>
      </c>
      <c r="K612" t="str">
        <v>never</v>
      </c>
      <c r="L612" s="4" t="str">
        <f t="shared" si="9"/>
        <v>never</v>
      </c>
      <c r="N612" s="4" cm="1">
        <f t="array" ref="N612">SUM(--(_xlfn.TEXTSPLIT($J$423,, " ") = M612))</f>
        <v>1</v>
      </c>
      <c r="O612">
        <v>1</v>
      </c>
      <c r="P612">
        <v>1</v>
      </c>
      <c r="Q612">
        <v>1</v>
      </c>
      <c r="S612" s="4"/>
      <c r="T612" s="10"/>
    </row>
    <row r="613" spans="5:20" x14ac:dyDescent="0.2">
      <c r="E613" s="4" t="s">
        <v>17</v>
      </c>
      <c r="K613" t="str">
        <v>slowing</v>
      </c>
      <c r="L613" s="4" t="str">
        <f t="shared" si="9"/>
        <v>slowing</v>
      </c>
      <c r="N613" s="4" cm="1">
        <f t="array" ref="N613">SUM(--(_xlfn.TEXTSPLIT($J$423,, " ") = M613))</f>
        <v>1</v>
      </c>
      <c r="O613">
        <v>1</v>
      </c>
      <c r="P613">
        <v>1</v>
      </c>
      <c r="Q613">
        <v>1</v>
      </c>
      <c r="S613" s="4"/>
      <c r="T613" s="10"/>
    </row>
    <row r="614" spans="5:20" x14ac:dyDescent="0.2">
      <c r="E614" s="4" t="s">
        <v>17</v>
      </c>
      <c r="K614" t="str">
        <v xml:space="preserve">down)
</v>
      </c>
      <c r="L614" s="4" t="str">
        <f t="shared" si="9"/>
        <v xml:space="preserve">down  </v>
      </c>
      <c r="N614" s="4" cm="1">
        <f t="array" ref="N614">SUM(--(_xlfn.TEXTSPLIT($J$423,, " ") = M614))</f>
        <v>1</v>
      </c>
      <c r="O614">
        <v>1</v>
      </c>
      <c r="P614">
        <v>1</v>
      </c>
      <c r="Q614">
        <v>1</v>
      </c>
      <c r="S614" s="4"/>
      <c r="T614" s="10"/>
    </row>
    <row r="615" spans="5:20" x14ac:dyDescent="0.2">
      <c r="E615" s="4" t="s">
        <v>17</v>
      </c>
      <c r="K615" t="str">
        <v>Try</v>
      </c>
      <c r="L615" s="4" t="str">
        <f t="shared" si="9"/>
        <v>Try</v>
      </c>
      <c r="N615" s="4" cm="1">
        <f t="array" ref="N615">SUM(--(_xlfn.TEXTSPLIT($J$423,, " ") = M615))</f>
        <v>1</v>
      </c>
      <c r="O615">
        <v>1</v>
      </c>
      <c r="P615">
        <v>1</v>
      </c>
      <c r="Q615">
        <v>1</v>
      </c>
      <c r="S615" s="4"/>
      <c r="T615" s="10"/>
    </row>
    <row r="616" spans="5:20" x14ac:dyDescent="0.2">
      <c r="E616" s="4" t="s">
        <v>17</v>
      </c>
      <c r="K616" t="str">
        <v>to</v>
      </c>
      <c r="L616" s="4" t="str">
        <f t="shared" si="9"/>
        <v>to</v>
      </c>
      <c r="N616" s="4" cm="1">
        <f t="array" ref="N616">SUM(--(_xlfn.TEXTSPLIT($J$423,, " ") = M616))</f>
        <v>1</v>
      </c>
      <c r="O616">
        <v>1</v>
      </c>
      <c r="P616">
        <v>1</v>
      </c>
      <c r="Q616">
        <v>1</v>
      </c>
      <c r="S616" s="4"/>
      <c r="T616" s="10"/>
    </row>
    <row r="617" spans="5:20" x14ac:dyDescent="0.2">
      <c r="E617" s="4" t="s">
        <v>17</v>
      </c>
      <c r="K617" t="str">
        <v>micro-dose</v>
      </c>
      <c r="L617" s="4" t="str">
        <f t="shared" si="9"/>
        <v>micro dose</v>
      </c>
      <c r="N617" s="4" cm="1">
        <f t="array" ref="N617">SUM(--(_xlfn.TEXTSPLIT($J$423,, " ") = M617))</f>
        <v>1</v>
      </c>
      <c r="O617">
        <v>1</v>
      </c>
      <c r="P617">
        <v>1</v>
      </c>
      <c r="Q617">
        <v>1</v>
      </c>
      <c r="S617" s="4"/>
      <c r="T617" s="10"/>
    </row>
    <row r="618" spans="5:20" x14ac:dyDescent="0.2">
      <c r="E618" s="4" t="s">
        <v>17</v>
      </c>
      <c r="K618" t="str">
        <v>to</v>
      </c>
      <c r="L618" s="4" t="str">
        <f t="shared" si="9"/>
        <v>to</v>
      </c>
      <c r="N618" s="4" cm="1">
        <f t="array" ref="N618">SUM(--(_xlfn.TEXTSPLIT($J$423,, " ") = M618))</f>
        <v>1</v>
      </c>
      <c r="O618">
        <v>1</v>
      </c>
      <c r="P618">
        <v>1</v>
      </c>
      <c r="Q618">
        <v>1</v>
      </c>
      <c r="S618" s="4"/>
      <c r="T618" s="10"/>
    </row>
    <row r="619" spans="5:20" x14ac:dyDescent="0.2">
      <c r="E619" s="4" t="s">
        <v>17</v>
      </c>
      <c r="K619" t="str">
        <v>immunity</v>
      </c>
      <c r="L619" s="4" t="str">
        <f t="shared" si="9"/>
        <v>immunity</v>
      </c>
      <c r="N619" s="4" cm="1">
        <f t="array" ref="N619">SUM(--(_xlfn.TEXTSPLIT($J$423,, " ") = M619))</f>
        <v>1</v>
      </c>
      <c r="O619">
        <v>1</v>
      </c>
      <c r="P619">
        <v>1</v>
      </c>
      <c r="Q619">
        <v>1</v>
      </c>
      <c r="S619" s="4"/>
      <c r="T619" s="10"/>
    </row>
    <row r="620" spans="5:20" x14ac:dyDescent="0.2">
      <c r="E620" s="4" t="s">
        <v>17</v>
      </c>
      <c r="K620" t="str">
        <v>but</v>
      </c>
      <c r="L620" s="4" t="str">
        <f t="shared" si="9"/>
        <v>but</v>
      </c>
      <c r="N620" s="4" cm="1">
        <f t="array" ref="N620">SUM(--(_xlfn.TEXTSPLIT($J$423,, " ") = M620))</f>
        <v>1</v>
      </c>
      <c r="O620">
        <v>1</v>
      </c>
      <c r="P620">
        <v>1</v>
      </c>
      <c r="Q620">
        <v>1</v>
      </c>
      <c r="S620" s="4"/>
      <c r="T620" s="10"/>
    </row>
    <row r="621" spans="5:20" x14ac:dyDescent="0.2">
      <c r="E621" s="4" t="s">
        <v>17</v>
      </c>
      <c r="K621" t="str">
        <v>you'll</v>
      </c>
      <c r="L621" s="4" t="str">
        <f t="shared" si="9"/>
        <v>you ll</v>
      </c>
      <c r="N621" s="4" cm="1">
        <f t="array" ref="N621">SUM(--(_xlfn.TEXTSPLIT($J$423,, " ") = M621))</f>
        <v>1</v>
      </c>
      <c r="O621">
        <v>1</v>
      </c>
      <c r="P621">
        <v>1</v>
      </c>
      <c r="Q621">
        <v>1</v>
      </c>
      <c r="S621" s="4"/>
      <c r="T621" s="10"/>
    </row>
    <row r="622" spans="5:20" x14ac:dyDescent="0.2">
      <c r="E622" s="4" t="s">
        <v>17</v>
      </c>
      <c r="K622" t="str">
        <v>never,</v>
      </c>
      <c r="L622" s="4" t="str">
        <f t="shared" si="9"/>
        <v xml:space="preserve">never </v>
      </c>
      <c r="N622" s="4" cm="1">
        <f t="array" ref="N622">SUM(--(_xlfn.TEXTSPLIT($J$423,, " ") = M622))</f>
        <v>1</v>
      </c>
      <c r="O622">
        <v>1</v>
      </c>
      <c r="P622">
        <v>1</v>
      </c>
      <c r="Q622">
        <v>1</v>
      </c>
      <c r="S622" s="4"/>
      <c r="T622" s="10"/>
    </row>
    <row r="623" spans="5:20" x14ac:dyDescent="0.2">
      <c r="E623" s="4" t="s">
        <v>17</v>
      </c>
      <c r="K623" t="str">
        <v>ever</v>
      </c>
      <c r="L623" s="4" t="str">
        <f t="shared" si="9"/>
        <v>ever</v>
      </c>
      <c r="N623" s="4" cm="1">
        <f t="array" ref="N623">SUM(--(_xlfn.TEXTSPLIT($J$423,, " ") = M623))</f>
        <v>1</v>
      </c>
      <c r="O623">
        <v>1</v>
      </c>
      <c r="P623">
        <v>1</v>
      </c>
      <c r="Q623">
        <v>1</v>
      </c>
      <c r="S623" s="4"/>
      <c r="T623" s="10"/>
    </row>
    <row r="624" spans="5:20" x14ac:dyDescent="0.2">
      <c r="E624" s="4" t="s">
        <v>17</v>
      </c>
      <c r="K624" t="str">
        <v>get</v>
      </c>
      <c r="L624" s="4" t="str">
        <f t="shared" si="9"/>
        <v>get</v>
      </c>
      <c r="N624" s="4" cm="1">
        <f t="array" ref="N624">SUM(--(_xlfn.TEXTSPLIT($J$423,, " ") = M624))</f>
        <v>1</v>
      </c>
      <c r="O624">
        <v>1</v>
      </c>
      <c r="P624">
        <v>1</v>
      </c>
      <c r="Q624">
        <v>1</v>
      </c>
      <c r="S624" s="4"/>
      <c r="T624" s="10"/>
    </row>
    <row r="625" spans="5:20" x14ac:dyDescent="0.2">
      <c r="E625" s="4" t="s">
        <v>17</v>
      </c>
      <c r="K625" t="str">
        <v>it</v>
      </c>
      <c r="L625" s="4" t="str">
        <f t="shared" si="9"/>
        <v>it</v>
      </c>
      <c r="N625" s="4" cm="1">
        <f t="array" ref="N625">SUM(--(_xlfn.TEXTSPLIT($J$423,, " ") = M625))</f>
        <v>1</v>
      </c>
      <c r="O625">
        <v>1</v>
      </c>
      <c r="P625">
        <v>1</v>
      </c>
      <c r="Q625">
        <v>1</v>
      </c>
      <c r="S625" s="4"/>
      <c r="T625" s="10"/>
    </row>
    <row r="626" spans="5:20" x14ac:dyDescent="0.2">
      <c r="E626" s="4" t="s">
        <v>17</v>
      </c>
      <c r="K626" t="str">
        <v>(Never</v>
      </c>
      <c r="L626" s="4" t="str">
        <f t="shared" si="9"/>
        <v xml:space="preserve"> Never</v>
      </c>
      <c r="N626" s="4" cm="1">
        <f t="array" ref="N626">SUM(--(_xlfn.TEXTSPLIT($J$423,, " ") = M626))</f>
        <v>1</v>
      </c>
      <c r="O626">
        <v>1</v>
      </c>
      <c r="P626">
        <v>1</v>
      </c>
      <c r="Q626">
        <v>1</v>
      </c>
      <c r="S626" s="4"/>
      <c r="T626" s="10"/>
    </row>
    <row r="627" spans="5:20" x14ac:dyDescent="0.2">
      <c r="E627" s="4" t="s">
        <v>17</v>
      </c>
      <c r="K627" t="str">
        <v>slowing</v>
      </c>
      <c r="L627" s="4" t="str">
        <f t="shared" si="9"/>
        <v>slowing</v>
      </c>
      <c r="N627" s="4" cm="1">
        <f t="array" ref="N627">SUM(--(_xlfn.TEXTSPLIT($J$423,, " ") = M627))</f>
        <v>1</v>
      </c>
      <c r="O627">
        <v>1</v>
      </c>
      <c r="P627">
        <v>1</v>
      </c>
      <c r="Q627">
        <v>1</v>
      </c>
      <c r="S627" s="4"/>
      <c r="T627" s="10"/>
    </row>
    <row r="628" spans="5:20" x14ac:dyDescent="0.2">
      <c r="E628" s="4" t="s">
        <v>17</v>
      </c>
      <c r="K628" t="str">
        <v>down,</v>
      </c>
      <c r="L628" s="4" t="str">
        <f t="shared" si="9"/>
        <v xml:space="preserve">down </v>
      </c>
      <c r="N628" s="4" cm="1">
        <f t="array" ref="N628">SUM(--(_xlfn.TEXTSPLIT($J$423,, " ") = M628))</f>
        <v>1</v>
      </c>
      <c r="O628">
        <v>1</v>
      </c>
      <c r="P628">
        <v>1</v>
      </c>
      <c r="Q628">
        <v>1</v>
      </c>
      <c r="S628" s="4"/>
      <c r="T628" s="10"/>
    </row>
    <row r="629" spans="5:20" x14ac:dyDescent="0.2">
      <c r="E629" s="4" t="s">
        <v>17</v>
      </c>
      <c r="K629" t="str">
        <v>never</v>
      </c>
      <c r="L629" s="4" t="str">
        <f t="shared" si="9"/>
        <v>never</v>
      </c>
      <c r="N629" s="4" cm="1">
        <f t="array" ref="N629">SUM(--(_xlfn.TEXTSPLIT($J$423,, " ") = M629))</f>
        <v>1</v>
      </c>
      <c r="O629">
        <v>1</v>
      </c>
      <c r="P629">
        <v>1</v>
      </c>
      <c r="Q629">
        <v>1</v>
      </c>
      <c r="S629" s="4"/>
      <c r="T629" s="10"/>
    </row>
    <row r="630" spans="5:20" x14ac:dyDescent="0.2">
      <c r="E630" s="4" t="s">
        <v>17</v>
      </c>
      <c r="K630" t="str">
        <v>slowing</v>
      </c>
      <c r="L630" s="4" t="str">
        <f t="shared" si="9"/>
        <v>slowing</v>
      </c>
      <c r="N630" s="4" cm="1">
        <f t="array" ref="N630">SUM(--(_xlfn.TEXTSPLIT($J$423,, " ") = M630))</f>
        <v>1</v>
      </c>
      <c r="O630">
        <v>1</v>
      </c>
      <c r="P630">
        <v>1</v>
      </c>
      <c r="Q630">
        <v>1</v>
      </c>
      <c r="S630" s="4"/>
      <c r="T630" s="10"/>
    </row>
    <row r="631" spans="5:20" x14ac:dyDescent="0.2">
      <c r="E631" s="4" t="s">
        <v>17</v>
      </c>
      <c r="K631" t="str">
        <v xml:space="preserve">down)
</v>
      </c>
      <c r="L631" s="4" t="str">
        <f t="shared" si="9"/>
        <v xml:space="preserve">down  </v>
      </c>
      <c r="N631" s="4" cm="1">
        <f t="array" ref="N631">SUM(--(_xlfn.TEXTSPLIT($J$423,, " ") = M631))</f>
        <v>1</v>
      </c>
      <c r="O631">
        <v>1</v>
      </c>
      <c r="P631">
        <v>1</v>
      </c>
      <c r="Q631">
        <v>1</v>
      </c>
      <c r="S631" s="4"/>
      <c r="T631" s="10"/>
    </row>
    <row r="632" spans="5:20" x14ac:dyDescent="0.2">
      <c r="E632" s="4" t="s">
        <v>17</v>
      </c>
      <c r="K632" t="str">
        <v>And</v>
      </c>
      <c r="L632" s="4" t="str">
        <f t="shared" si="9"/>
        <v>And</v>
      </c>
      <c r="N632" s="4" cm="1">
        <f t="array" ref="N632">SUM(--(_xlfn.TEXTSPLIT($J$423,, " ") = M632))</f>
        <v>1</v>
      </c>
      <c r="O632">
        <v>1</v>
      </c>
      <c r="P632">
        <v>1</v>
      </c>
      <c r="Q632">
        <v>1</v>
      </c>
      <c r="S632" s="4"/>
      <c r="T632" s="10"/>
    </row>
    <row r="633" spans="5:20" x14ac:dyDescent="0.2">
      <c r="E633" s="4" t="s">
        <v>17</v>
      </c>
      <c r="K633" t="str">
        <v>I</v>
      </c>
      <c r="L633" s="4" t="str">
        <f t="shared" si="9"/>
        <v>I</v>
      </c>
      <c r="N633" s="4" cm="1">
        <f t="array" ref="N633">SUM(--(_xlfn.TEXTSPLIT($J$423,, " ") = M633))</f>
        <v>1</v>
      </c>
      <c r="O633">
        <v>1</v>
      </c>
      <c r="P633">
        <v>1</v>
      </c>
      <c r="Q633">
        <v>1</v>
      </c>
      <c r="S633" s="4"/>
      <c r="T633" s="10"/>
    </row>
    <row r="634" spans="5:20" x14ac:dyDescent="0.2">
      <c r="E634" s="4" t="s">
        <v>17</v>
      </c>
      <c r="K634" t="str">
        <v>go,</v>
      </c>
      <c r="L634" s="4" t="str">
        <f t="shared" si="9"/>
        <v xml:space="preserve">go </v>
      </c>
      <c r="N634" s="4" cm="1">
        <f t="array" ref="N634">SUM(--(_xlfn.TEXTSPLIT($J$423,, " ") = M634))</f>
        <v>1</v>
      </c>
      <c r="O634">
        <v>1</v>
      </c>
      <c r="P634">
        <v>1</v>
      </c>
      <c r="Q634">
        <v>1</v>
      </c>
      <c r="S634" s="4"/>
      <c r="T634" s="10"/>
    </row>
    <row r="635" spans="5:20" x14ac:dyDescent="0.2">
      <c r="E635" s="4" t="s">
        <v>17</v>
      </c>
      <c r="K635" t="str">
        <v>ah,</v>
      </c>
      <c r="L635" s="4" t="str">
        <f t="shared" si="9"/>
        <v xml:space="preserve">ah </v>
      </c>
      <c r="N635" s="4" cm="1">
        <f t="array" ref="N635">SUM(--(_xlfn.TEXTSPLIT($J$423,, " ") = M635))</f>
        <v>1</v>
      </c>
      <c r="O635">
        <v>1</v>
      </c>
      <c r="P635">
        <v>1</v>
      </c>
      <c r="Q635">
        <v>1</v>
      </c>
      <c r="S635" s="4"/>
      <c r="T635" s="10"/>
    </row>
    <row r="636" spans="5:20" x14ac:dyDescent="0.2">
      <c r="E636" s="4" t="s">
        <v>17</v>
      </c>
      <c r="K636" t="str">
        <v>ah,</v>
      </c>
      <c r="L636" s="4" t="str">
        <f t="shared" si="9"/>
        <v xml:space="preserve">ah </v>
      </c>
      <c r="N636" s="4" cm="1">
        <f t="array" ref="N636">SUM(--(_xlfn.TEXTSPLIT($J$423,, " ") = M636))</f>
        <v>1</v>
      </c>
      <c r="O636">
        <v>1</v>
      </c>
      <c r="P636">
        <v>1</v>
      </c>
      <c r="Q636">
        <v>1</v>
      </c>
      <c r="S636" s="4"/>
      <c r="T636" s="10"/>
    </row>
    <row r="637" spans="5:20" x14ac:dyDescent="0.2">
      <c r="E637" s="4" t="s">
        <v>17</v>
      </c>
      <c r="K637" t="str">
        <v>ah</v>
      </c>
      <c r="L637" s="4" t="str">
        <f t="shared" si="9"/>
        <v>ah</v>
      </c>
      <c r="N637" s="4" cm="1">
        <f t="array" ref="N637">SUM(--(_xlfn.TEXTSPLIT($J$423,, " ") = M637))</f>
        <v>1</v>
      </c>
      <c r="O637">
        <v>1</v>
      </c>
      <c r="P637">
        <v>1</v>
      </c>
      <c r="Q637">
        <v>1</v>
      </c>
      <c r="S637" s="4"/>
      <c r="T637" s="10"/>
    </row>
    <row r="638" spans="5:20" x14ac:dyDescent="0.2">
      <c r="E638" s="4" t="s">
        <v>17</v>
      </c>
      <c r="K638" t="str">
        <v>(Never</v>
      </c>
      <c r="L638" s="4" t="str">
        <f t="shared" si="9"/>
        <v xml:space="preserve"> Never</v>
      </c>
      <c r="N638" s="4" cm="1">
        <f t="array" ref="N638">SUM(--(_xlfn.TEXTSPLIT($J$423,, " ") = M638))</f>
        <v>1</v>
      </c>
      <c r="O638">
        <v>1</v>
      </c>
      <c r="P638">
        <v>1</v>
      </c>
      <c r="Q638">
        <v>1</v>
      </c>
      <c r="S638" s="4"/>
      <c r="T638" s="10"/>
    </row>
    <row r="639" spans="5:20" x14ac:dyDescent="0.2">
      <c r="E639" s="4" t="s">
        <v>17</v>
      </c>
      <c r="K639" t="str">
        <v>slowing</v>
      </c>
      <c r="L639" s="4" t="str">
        <f t="shared" si="9"/>
        <v>slowing</v>
      </c>
      <c r="N639" s="4" cm="1">
        <f t="array" ref="N639">SUM(--(_xlfn.TEXTSPLIT($J$423,, " ") = M639))</f>
        <v>1</v>
      </c>
      <c r="O639">
        <v>1</v>
      </c>
      <c r="P639">
        <v>1</v>
      </c>
      <c r="Q639">
        <v>1</v>
      </c>
      <c r="S639" s="4"/>
      <c r="T639" s="10"/>
    </row>
    <row r="640" spans="5:20" x14ac:dyDescent="0.2">
      <c r="E640" s="4" t="s">
        <v>17</v>
      </c>
      <c r="K640" t="str">
        <v xml:space="preserve">down)
</v>
      </c>
      <c r="L640" s="4" t="str">
        <f t="shared" si="9"/>
        <v xml:space="preserve">down  </v>
      </c>
      <c r="N640" s="4" cm="1">
        <f t="array" ref="N640">SUM(--(_xlfn.TEXTSPLIT($J$423,, " ") = M640))</f>
        <v>1</v>
      </c>
      <c r="O640">
        <v>1</v>
      </c>
      <c r="P640">
        <v>1</v>
      </c>
      <c r="Q640">
        <v>1</v>
      </c>
      <c r="S640" s="4"/>
      <c r="T640" s="10"/>
    </row>
    <row r="641" spans="5:20" x14ac:dyDescent="0.2">
      <c r="E641" s="4" t="s">
        <v>17</v>
      </c>
      <c r="K641" t="str">
        <v>What's</v>
      </c>
      <c r="L641" s="4" t="str">
        <f t="shared" si="9"/>
        <v>What s</v>
      </c>
      <c r="N641" s="4" cm="1">
        <f t="array" ref="N641">SUM(--(_xlfn.TEXTSPLIT($J$423,, " ") = M641))</f>
        <v>1</v>
      </c>
      <c r="O641">
        <v>1</v>
      </c>
      <c r="P641">
        <v>1</v>
      </c>
      <c r="Q641">
        <v>1</v>
      </c>
      <c r="S641" s="4"/>
      <c r="T641" s="10"/>
    </row>
    <row r="642" spans="5:20" x14ac:dyDescent="0.2">
      <c r="E642" s="4" t="s">
        <v>17</v>
      </c>
      <c r="K642" t="str">
        <v>the</v>
      </c>
      <c r="L642" s="4" t="str">
        <f t="shared" si="9"/>
        <v>the</v>
      </c>
      <c r="N642" s="4" cm="1">
        <f t="array" ref="N642">SUM(--(_xlfn.TEXTSPLIT($J$423,, " ") = M642))</f>
        <v>1</v>
      </c>
      <c r="O642">
        <v>1</v>
      </c>
      <c r="P642">
        <v>1</v>
      </c>
      <c r="Q642">
        <v>1</v>
      </c>
      <c r="S642" s="4"/>
      <c r="T642" s="10"/>
    </row>
    <row r="643" spans="5:20" x14ac:dyDescent="0.2">
      <c r="E643" s="4" t="s">
        <v>17</v>
      </c>
      <c r="K643" t="str">
        <v>matter?</v>
      </c>
      <c r="L643" s="4" t="str">
        <f t="shared" si="9"/>
        <v xml:space="preserve">matter </v>
      </c>
      <c r="N643" s="4" cm="1">
        <f t="array" ref="N643">SUM(--(_xlfn.TEXTSPLIT($J$423,, " ") = M643))</f>
        <v>1</v>
      </c>
      <c r="O643">
        <v>1</v>
      </c>
      <c r="P643">
        <v>1</v>
      </c>
      <c r="Q643">
        <v>1</v>
      </c>
      <c r="S643" s="4"/>
      <c r="T643" s="10"/>
    </row>
    <row r="644" spans="5:20" x14ac:dyDescent="0.2">
      <c r="E644" s="4" t="s">
        <v>17</v>
      </c>
      <c r="K644" t="str">
        <v>isn't</v>
      </c>
      <c r="L644" s="4" t="str">
        <f t="shared" ref="L644:L707" si="10">_xlfn.REGEXREPLACE(K644, "[^A-Za-z ]", " ")</f>
        <v>isn t</v>
      </c>
      <c r="N644" s="4" cm="1">
        <f t="array" ref="N644">SUM(--(_xlfn.TEXTSPLIT($J$423,, " ") = M644))</f>
        <v>1</v>
      </c>
      <c r="O644">
        <v>1</v>
      </c>
      <c r="P644">
        <v>1</v>
      </c>
      <c r="Q644">
        <v>1</v>
      </c>
      <c r="S644" s="4"/>
      <c r="T644" s="10"/>
    </row>
    <row r="645" spans="5:20" x14ac:dyDescent="0.2">
      <c r="E645" s="4" t="s">
        <v>17</v>
      </c>
      <c r="K645" t="str">
        <v>helping</v>
      </c>
      <c r="L645" s="4" t="str">
        <f t="shared" si="10"/>
        <v>helping</v>
      </c>
      <c r="N645" s="4" cm="1">
        <f t="array" ref="N645">SUM(--(_xlfn.TEXTSPLIT($J$423,, " ") = M645))</f>
        <v>1</v>
      </c>
      <c r="O645">
        <v>1</v>
      </c>
      <c r="P645">
        <v>1</v>
      </c>
      <c r="Q645">
        <v>1</v>
      </c>
      <c r="S645" s="4"/>
      <c r="T645" s="10"/>
    </row>
    <row r="646" spans="5:20" x14ac:dyDescent="0.2">
      <c r="E646" s="4" t="s">
        <v>17</v>
      </c>
      <c r="K646" t="str">
        <v>(Never</v>
      </c>
      <c r="L646" s="4" t="str">
        <f t="shared" si="10"/>
        <v xml:space="preserve"> Never</v>
      </c>
      <c r="N646" s="4" cm="1">
        <f t="array" ref="N646">SUM(--(_xlfn.TEXTSPLIT($J$423,, " ") = M646))</f>
        <v>1</v>
      </c>
      <c r="O646">
        <v>1</v>
      </c>
      <c r="P646">
        <v>1</v>
      </c>
      <c r="Q646">
        <v>1</v>
      </c>
      <c r="S646" s="4"/>
      <c r="T646" s="10"/>
    </row>
    <row r="647" spans="5:20" x14ac:dyDescent="0.2">
      <c r="E647" s="4" t="s">
        <v>17</v>
      </c>
      <c r="K647" t="str">
        <v>slowing</v>
      </c>
      <c r="L647" s="4" t="str">
        <f t="shared" si="10"/>
        <v>slowing</v>
      </c>
      <c r="N647" s="4" cm="1">
        <f t="array" ref="N647">SUM(--(_xlfn.TEXTSPLIT($J$423,, " ") = M647))</f>
        <v>1</v>
      </c>
      <c r="O647">
        <v>1</v>
      </c>
      <c r="P647">
        <v>1</v>
      </c>
      <c r="Q647">
        <v>1</v>
      </c>
      <c r="S647" s="4"/>
      <c r="T647" s="10"/>
    </row>
    <row r="648" spans="5:20" x14ac:dyDescent="0.2">
      <c r="E648" s="4" t="s">
        <v>17</v>
      </c>
      <c r="K648" t="str">
        <v xml:space="preserve">down)
</v>
      </c>
      <c r="L648" s="4" t="str">
        <f t="shared" si="10"/>
        <v xml:space="preserve">down  </v>
      </c>
      <c r="N648" s="4" cm="1">
        <f t="array" ref="N648">SUM(--(_xlfn.TEXTSPLIT($J$423,, " ") = M648))</f>
        <v>1</v>
      </c>
      <c r="O648">
        <v>1</v>
      </c>
      <c r="P648">
        <v>1</v>
      </c>
      <c r="Q648">
        <v>1</v>
      </c>
      <c r="S648" s="4"/>
      <c r="T648" s="10"/>
    </row>
    <row r="649" spans="5:20" x14ac:dyDescent="0.2">
      <c r="E649" s="4" t="s">
        <v>17</v>
      </c>
      <c r="K649" t="str">
        <v>You</v>
      </c>
      <c r="L649" s="4" t="str">
        <f t="shared" si="10"/>
        <v>You</v>
      </c>
      <c r="N649" s="4" cm="1">
        <f t="array" ref="N649">SUM(--(_xlfn.TEXTSPLIT($J$423,, " ") = M649))</f>
        <v>1</v>
      </c>
      <c r="O649">
        <v>1</v>
      </c>
      <c r="P649">
        <v>1</v>
      </c>
      <c r="Q649">
        <v>1</v>
      </c>
      <c r="S649" s="4"/>
      <c r="T649" s="10"/>
    </row>
    <row r="650" spans="5:20" x14ac:dyDescent="0.2">
      <c r="E650" s="4" t="s">
        <v>17</v>
      </c>
      <c r="K650" t="str">
        <v>go,</v>
      </c>
      <c r="L650" s="4" t="str">
        <f t="shared" si="10"/>
        <v xml:space="preserve">go </v>
      </c>
      <c r="N650" s="4" cm="1">
        <f t="array" ref="N650">SUM(--(_xlfn.TEXTSPLIT($J$423,, " ") = M650))</f>
        <v>1</v>
      </c>
      <c r="O650">
        <v>1</v>
      </c>
      <c r="P650">
        <v>1</v>
      </c>
      <c r="Q650">
        <v>1</v>
      </c>
      <c r="S650" s="4"/>
      <c r="T650" s="10"/>
    </row>
    <row r="651" spans="5:20" x14ac:dyDescent="0.2">
      <c r="E651" s="4" t="s">
        <v>17</v>
      </c>
      <c r="K651" t="str">
        <v>ooh,</v>
      </c>
      <c r="L651" s="4" t="str">
        <f t="shared" si="10"/>
        <v xml:space="preserve">ooh </v>
      </c>
      <c r="N651" s="4" cm="1">
        <f t="array" ref="N651">SUM(--(_xlfn.TEXTSPLIT($J$423,, " ") = M651))</f>
        <v>1</v>
      </c>
      <c r="O651">
        <v>1</v>
      </c>
      <c r="P651">
        <v>1</v>
      </c>
      <c r="Q651">
        <v>1</v>
      </c>
      <c r="S651" s="4"/>
      <c r="T651" s="10"/>
    </row>
    <row r="652" spans="5:20" x14ac:dyDescent="0.2">
      <c r="E652" s="4" t="s">
        <v>17</v>
      </c>
      <c r="K652" t="str">
        <v>ooh,</v>
      </c>
      <c r="L652" s="4" t="str">
        <f t="shared" si="10"/>
        <v xml:space="preserve">ooh </v>
      </c>
      <c r="N652" s="4" cm="1">
        <f t="array" ref="N652">SUM(--(_xlfn.TEXTSPLIT($J$423,, " ") = M652))</f>
        <v>1</v>
      </c>
      <c r="O652">
        <v>1</v>
      </c>
      <c r="P652">
        <v>1</v>
      </c>
      <c r="Q652">
        <v>1</v>
      </c>
      <c r="S652" s="4"/>
      <c r="T652" s="10"/>
    </row>
    <row r="653" spans="5:20" x14ac:dyDescent="0.2">
      <c r="E653" s="4" t="s">
        <v>17</v>
      </c>
      <c r="K653" t="str">
        <v>ooh</v>
      </c>
      <c r="L653" s="4" t="str">
        <f t="shared" si="10"/>
        <v>ooh</v>
      </c>
      <c r="N653" s="4" cm="1">
        <f t="array" ref="N653">SUM(--(_xlfn.TEXTSPLIT($J$423,, " ") = M653))</f>
        <v>1</v>
      </c>
      <c r="O653">
        <v>1</v>
      </c>
      <c r="P653">
        <v>1</v>
      </c>
      <c r="Q653">
        <v>1</v>
      </c>
      <c r="S653" s="4"/>
      <c r="T653" s="10"/>
    </row>
    <row r="654" spans="5:20" x14ac:dyDescent="0.2">
      <c r="E654" s="4" t="s">
        <v>17</v>
      </c>
      <c r="K654" t="str">
        <v>(Never</v>
      </c>
      <c r="L654" s="4" t="str">
        <f t="shared" si="10"/>
        <v xml:space="preserve"> Never</v>
      </c>
      <c r="N654" s="4" cm="1">
        <f t="array" ref="N654">SUM(--(_xlfn.TEXTSPLIT($J$423,, " ") = M654))</f>
        <v>1</v>
      </c>
      <c r="O654">
        <v>1</v>
      </c>
      <c r="P654">
        <v>1</v>
      </c>
      <c r="Q654">
        <v>1</v>
      </c>
      <c r="S654" s="4"/>
      <c r="T654" s="10"/>
    </row>
    <row r="655" spans="5:20" x14ac:dyDescent="0.2">
      <c r="E655" s="4" t="s">
        <v>17</v>
      </c>
      <c r="K655" t="str">
        <v>slowing</v>
      </c>
      <c r="L655" s="4" t="str">
        <f t="shared" si="10"/>
        <v>slowing</v>
      </c>
      <c r="N655" s="4" cm="1">
        <f t="array" ref="N655">SUM(--(_xlfn.TEXTSPLIT($J$423,, " ") = M655))</f>
        <v>1</v>
      </c>
      <c r="O655">
        <v>1</v>
      </c>
      <c r="P655">
        <v>1</v>
      </c>
      <c r="Q655">
        <v>1</v>
      </c>
      <c r="S655" s="4"/>
      <c r="T655" s="10"/>
    </row>
    <row r="656" spans="5:20" x14ac:dyDescent="0.2">
      <c r="E656" s="4" t="s">
        <v>17</v>
      </c>
      <c r="K656" t="str">
        <v xml:space="preserve">down)
</v>
      </c>
      <c r="L656" s="4" t="str">
        <f t="shared" si="10"/>
        <v xml:space="preserve">down  </v>
      </c>
      <c r="N656" s="4" cm="1">
        <f t="array" ref="N656">SUM(--(_xlfn.TEXTSPLIT($J$423,, " ") = M656))</f>
        <v>1</v>
      </c>
      <c r="O656">
        <v>1</v>
      </c>
      <c r="P656">
        <v>1</v>
      </c>
      <c r="Q656">
        <v>1</v>
      </c>
      <c r="S656" s="4"/>
      <c r="T656" s="10"/>
    </row>
    <row r="657" spans="5:20" x14ac:dyDescent="0.2">
      <c r="E657" s="4" t="s">
        <v>17</v>
      </c>
      <c r="K657" t="str">
        <v>I</v>
      </c>
      <c r="L657" s="4" t="str">
        <f t="shared" si="10"/>
        <v>I</v>
      </c>
      <c r="N657" s="4" cm="1">
        <f t="array" ref="N657">SUM(--(_xlfn.TEXTSPLIT($J$423,, " ") = M657))</f>
        <v>1</v>
      </c>
      <c r="O657">
        <v>1</v>
      </c>
      <c r="P657">
        <v>1</v>
      </c>
      <c r="Q657">
        <v>1</v>
      </c>
      <c r="S657" s="4"/>
      <c r="T657" s="10"/>
    </row>
    <row r="658" spans="5:20" x14ac:dyDescent="0.2">
      <c r="E658" s="4" t="s">
        <v>17</v>
      </c>
      <c r="K658" t="str">
        <v>wish</v>
      </c>
      <c r="L658" s="4" t="str">
        <f t="shared" si="10"/>
        <v>wish</v>
      </c>
      <c r="N658" s="4" cm="1">
        <f t="array" ref="N658">SUM(--(_xlfn.TEXTSPLIT($J$423,, " ") = M658))</f>
        <v>1</v>
      </c>
      <c r="O658">
        <v>1</v>
      </c>
      <c r="P658">
        <v>1</v>
      </c>
      <c r="Q658">
        <v>1</v>
      </c>
      <c r="S658" s="4"/>
      <c r="T658" s="10"/>
    </row>
    <row r="659" spans="5:20" x14ac:dyDescent="0.2">
      <c r="E659" s="4" t="s">
        <v>17</v>
      </c>
      <c r="K659" t="str">
        <v>her</v>
      </c>
      <c r="L659" s="4" t="str">
        <f t="shared" si="10"/>
        <v>her</v>
      </c>
      <c r="N659" s="4" cm="1">
        <f t="array" ref="N659">SUM(--(_xlfn.TEXTSPLIT($J$423,, " ") = M659))</f>
        <v>1</v>
      </c>
      <c r="O659">
        <v>1</v>
      </c>
      <c r="P659">
        <v>1</v>
      </c>
      <c r="Q659">
        <v>1</v>
      </c>
      <c r="S659" s="4"/>
      <c r="T659" s="10"/>
    </row>
    <row r="660" spans="5:20" x14ac:dyDescent="0.2">
      <c r="E660" s="4" t="s">
        <v>17</v>
      </c>
      <c r="K660" t="str">
        <v>parents</v>
      </c>
      <c r="L660" s="4" t="str">
        <f t="shared" si="10"/>
        <v>parents</v>
      </c>
      <c r="N660" s="4" cm="1">
        <f t="array" ref="N660">SUM(--(_xlfn.TEXTSPLIT($J$423,, " ") = M660))</f>
        <v>1</v>
      </c>
      <c r="O660">
        <v>1</v>
      </c>
      <c r="P660">
        <v>1</v>
      </c>
      <c r="Q660">
        <v>1</v>
      </c>
      <c r="S660" s="4"/>
      <c r="T660" s="10"/>
    </row>
    <row r="661" spans="5:20" x14ac:dyDescent="0.2">
      <c r="E661" s="4" t="s">
        <v>17</v>
      </c>
      <c r="K661" t="str">
        <v>would</v>
      </c>
      <c r="L661" s="4" t="str">
        <f t="shared" si="10"/>
        <v>would</v>
      </c>
      <c r="N661" s="4" cm="1">
        <f t="array" ref="N661">SUM(--(_xlfn.TEXTSPLIT($J$423,, " ") = M661))</f>
        <v>1</v>
      </c>
      <c r="O661">
        <v>1</v>
      </c>
      <c r="P661">
        <v>1</v>
      </c>
      <c r="Q661">
        <v>1</v>
      </c>
      <c r="S661" s="4"/>
      <c r="T661" s="10"/>
    </row>
    <row r="662" spans="5:20" x14ac:dyDescent="0.2">
      <c r="E662" s="4" t="s">
        <v>17</v>
      </c>
      <c r="K662" t="str">
        <v>stop</v>
      </c>
      <c r="L662" s="4" t="str">
        <f t="shared" si="10"/>
        <v>stop</v>
      </c>
      <c r="N662" s="4" cm="1">
        <f t="array" ref="N662">SUM(--(_xlfn.TEXTSPLIT($J$423,, " ") = M662))</f>
        <v>1</v>
      </c>
      <c r="O662">
        <v>1</v>
      </c>
      <c r="P662">
        <v>1</v>
      </c>
      <c r="Q662">
        <v>1</v>
      </c>
      <c r="S662" s="4"/>
      <c r="T662" s="10"/>
    </row>
    <row r="663" spans="5:20" x14ac:dyDescent="0.2">
      <c r="E663" s="4" t="s">
        <v>17</v>
      </c>
      <c r="K663" t="str">
        <v>yelling</v>
      </c>
      <c r="L663" s="4" t="str">
        <f t="shared" si="10"/>
        <v>yelling</v>
      </c>
      <c r="N663" s="4" cm="1">
        <f t="array" ref="N663">SUM(--(_xlfn.TEXTSPLIT($J$423,, " ") = M663))</f>
        <v>1</v>
      </c>
      <c r="O663">
        <v>1</v>
      </c>
      <c r="P663">
        <v>1</v>
      </c>
      <c r="Q663">
        <v>1</v>
      </c>
      <c r="S663" s="4"/>
      <c r="T663" s="10"/>
    </row>
    <row r="664" spans="5:20" x14ac:dyDescent="0.2">
      <c r="E664" s="4" t="s">
        <v>17</v>
      </c>
      <c r="K664" t="str">
        <v>(Never</v>
      </c>
      <c r="L664" s="4" t="str">
        <f t="shared" si="10"/>
        <v xml:space="preserve"> Never</v>
      </c>
      <c r="N664" s="4" cm="1">
        <f t="array" ref="N664">SUM(--(_xlfn.TEXTSPLIT($J$423,, " ") = M664))</f>
        <v>1</v>
      </c>
      <c r="O664">
        <v>1</v>
      </c>
      <c r="P664">
        <v>1</v>
      </c>
      <c r="Q664">
        <v>1</v>
      </c>
      <c r="S664" s="4"/>
      <c r="T664" s="10"/>
    </row>
    <row r="665" spans="5:20" x14ac:dyDescent="0.2">
      <c r="E665" s="4" t="s">
        <v>17</v>
      </c>
      <c r="K665" t="str">
        <v>slowing</v>
      </c>
      <c r="L665" s="4" t="str">
        <f t="shared" si="10"/>
        <v>slowing</v>
      </c>
      <c r="N665" s="4" cm="1">
        <f t="array" ref="N665">SUM(--(_xlfn.TEXTSPLIT($J$423,, " ") = M665))</f>
        <v>1</v>
      </c>
      <c r="O665">
        <v>1</v>
      </c>
      <c r="P665">
        <v>1</v>
      </c>
      <c r="Q665">
        <v>1</v>
      </c>
      <c r="S665" s="4"/>
      <c r="T665" s="10"/>
    </row>
    <row r="666" spans="5:20" x14ac:dyDescent="0.2">
      <c r="E666" s="4" t="s">
        <v>17</v>
      </c>
      <c r="K666" t="str">
        <v xml:space="preserve">down)
</v>
      </c>
      <c r="L666" s="4" t="str">
        <f t="shared" si="10"/>
        <v xml:space="preserve">down  </v>
      </c>
      <c r="N666" s="4" cm="1">
        <f t="array" ref="N666">SUM(--(_xlfn.TEXTSPLIT($J$423,, " ") = M666))</f>
        <v>1</v>
      </c>
      <c r="O666">
        <v>1</v>
      </c>
      <c r="P666">
        <v>1</v>
      </c>
      <c r="Q666">
        <v>1</v>
      </c>
      <c r="S666" s="4"/>
      <c r="T666" s="10"/>
    </row>
    <row r="667" spans="5:20" x14ac:dyDescent="0.2">
      <c r="E667" s="4" t="s">
        <v>17</v>
      </c>
      <c r="K667" t="str">
        <v>I</v>
      </c>
      <c r="L667" s="4" t="str">
        <f t="shared" si="10"/>
        <v>I</v>
      </c>
      <c r="N667" s="4" cm="1">
        <f t="array" ref="N667">SUM(--(_xlfn.TEXTSPLIT($J$423,, " ") = M667))</f>
        <v>1</v>
      </c>
      <c r="O667">
        <v>1</v>
      </c>
      <c r="P667">
        <v>1</v>
      </c>
      <c r="Q667">
        <v>1</v>
      </c>
      <c r="S667" s="4"/>
      <c r="T667" s="10"/>
    </row>
    <row r="668" spans="5:20" x14ac:dyDescent="0.2">
      <c r="E668" s="4" t="s">
        <v>17</v>
      </c>
      <c r="K668" t="str">
        <v>could</v>
      </c>
      <c r="L668" s="4" t="str">
        <f t="shared" si="10"/>
        <v>could</v>
      </c>
      <c r="N668" s="4" cm="1">
        <f t="array" ref="N668">SUM(--(_xlfn.TEXTSPLIT($J$423,, " ") = M668))</f>
        <v>1</v>
      </c>
      <c r="O668">
        <v>1</v>
      </c>
      <c r="P668">
        <v>1</v>
      </c>
      <c r="Q668">
        <v>1</v>
      </c>
      <c r="S668" s="4"/>
      <c r="T668" s="10"/>
    </row>
    <row r="669" spans="5:20" x14ac:dyDescent="0.2">
      <c r="E669" s="4" t="s">
        <v>17</v>
      </c>
      <c r="K669" t="str">
        <v>build</v>
      </c>
      <c r="L669" s="4" t="str">
        <f t="shared" si="10"/>
        <v>build</v>
      </c>
      <c r="N669" s="4" cm="1">
        <f t="array" ref="N669">SUM(--(_xlfn.TEXTSPLIT($J$423,, " ") = M669))</f>
        <v>1</v>
      </c>
      <c r="O669">
        <v>1</v>
      </c>
      <c r="P669">
        <v>1</v>
      </c>
      <c r="Q669">
        <v>1</v>
      </c>
      <c r="S669" s="4"/>
      <c r="T669" s="10"/>
    </row>
    <row r="670" spans="5:20" x14ac:dyDescent="0.2">
      <c r="E670" s="4" t="s">
        <v>17</v>
      </c>
      <c r="K670" t="str">
        <v>a</v>
      </c>
      <c r="L670" s="4" t="str">
        <f t="shared" si="10"/>
        <v>a</v>
      </c>
      <c r="N670" s="4" cm="1">
        <f t="array" ref="N670">SUM(--(_xlfn.TEXTSPLIT($J$423,, " ") = M670))</f>
        <v>1</v>
      </c>
      <c r="O670">
        <v>1</v>
      </c>
      <c r="P670">
        <v>1</v>
      </c>
      <c r="Q670">
        <v>1</v>
      </c>
      <c r="S670" s="4"/>
      <c r="T670" s="10"/>
    </row>
    <row r="671" spans="5:20" x14ac:dyDescent="0.2">
      <c r="E671" s="4" t="s">
        <v>17</v>
      </c>
      <c r="K671" t="str">
        <v>tower</v>
      </c>
      <c r="L671" s="4" t="str">
        <f t="shared" si="10"/>
        <v>tower</v>
      </c>
      <c r="N671" s="4" cm="1">
        <f t="array" ref="N671">SUM(--(_xlfn.TEXTSPLIT($J$423,, " ") = M671))</f>
        <v>1</v>
      </c>
      <c r="O671">
        <v>1</v>
      </c>
      <c r="P671">
        <v>1</v>
      </c>
      <c r="Q671">
        <v>1</v>
      </c>
      <c r="S671" s="4"/>
      <c r="T671" s="10"/>
    </row>
    <row r="672" spans="5:20" x14ac:dyDescent="0.2">
      <c r="E672" s="4" t="s">
        <v>17</v>
      </c>
      <c r="K672" t="str">
        <v>with</v>
      </c>
      <c r="L672" s="4" t="str">
        <f t="shared" si="10"/>
        <v>with</v>
      </c>
      <c r="N672" s="4" cm="1">
        <f t="array" ref="N672">SUM(--(_xlfn.TEXTSPLIT($J$423,, " ") = M672))</f>
        <v>1</v>
      </c>
      <c r="O672">
        <v>1</v>
      </c>
      <c r="P672">
        <v>1</v>
      </c>
      <c r="Q672">
        <v>1</v>
      </c>
      <c r="S672" s="4"/>
      <c r="T672" s="10"/>
    </row>
    <row r="673" spans="5:20" x14ac:dyDescent="0.2">
      <c r="E673" s="4" t="s">
        <v>17</v>
      </c>
      <c r="K673" t="str">
        <v>the</v>
      </c>
      <c r="L673" s="4" t="str">
        <f t="shared" si="10"/>
        <v>the</v>
      </c>
      <c r="N673" s="4" cm="1">
        <f t="array" ref="N673">SUM(--(_xlfn.TEXTSPLIT($J$423,, " ") = M673))</f>
        <v>1</v>
      </c>
      <c r="O673">
        <v>1</v>
      </c>
      <c r="P673">
        <v>1</v>
      </c>
      <c r="Q673">
        <v>1</v>
      </c>
      <c r="S673" s="4"/>
      <c r="T673" s="10"/>
    </row>
    <row r="674" spans="5:20" x14ac:dyDescent="0.2">
      <c r="E674" s="4" t="s">
        <v>17</v>
      </c>
      <c r="K674" t="str">
        <v>times</v>
      </c>
      <c r="L674" s="4" t="str">
        <f t="shared" si="10"/>
        <v>times</v>
      </c>
      <c r="N674" s="4" cm="1">
        <f t="array" ref="N674">SUM(--(_xlfn.TEXTSPLIT($J$423,, " ") = M674))</f>
        <v>1</v>
      </c>
      <c r="O674">
        <v>1</v>
      </c>
      <c r="P674">
        <v>1</v>
      </c>
      <c r="Q674">
        <v>1</v>
      </c>
      <c r="S674" s="4"/>
      <c r="T674" s="10"/>
    </row>
    <row r="675" spans="5:20" x14ac:dyDescent="0.2">
      <c r="E675" s="4" t="s">
        <v>17</v>
      </c>
      <c r="K675" t="str">
        <v>I</v>
      </c>
      <c r="L675" s="4" t="str">
        <f t="shared" si="10"/>
        <v>I</v>
      </c>
      <c r="N675" s="4" cm="1">
        <f t="array" ref="N675">SUM(--(_xlfn.TEXTSPLIT($J$423,, " ") = M675))</f>
        <v>1</v>
      </c>
      <c r="O675">
        <v>1</v>
      </c>
      <c r="P675">
        <v>1</v>
      </c>
      <c r="Q675">
        <v>1</v>
      </c>
      <c r="S675" s="4"/>
      <c r="T675" s="10"/>
    </row>
    <row r="676" spans="5:20" x14ac:dyDescent="0.2">
      <c r="E676" s="4" t="s">
        <v>17</v>
      </c>
      <c r="K676" t="str">
        <v>was</v>
      </c>
      <c r="L676" s="4" t="str">
        <f t="shared" si="10"/>
        <v>was</v>
      </c>
      <c r="N676" s="4" cm="1">
        <f t="array" ref="N676">SUM(--(_xlfn.TEXTSPLIT($J$423,, " ") = M676))</f>
        <v>1</v>
      </c>
      <c r="O676">
        <v>1</v>
      </c>
      <c r="P676">
        <v>1</v>
      </c>
      <c r="Q676">
        <v>1</v>
      </c>
      <c r="S676" s="4"/>
      <c r="T676" s="10"/>
    </row>
    <row r="677" spans="5:20" x14ac:dyDescent="0.2">
      <c r="E677" s="4" t="s">
        <v>17</v>
      </c>
      <c r="K677" t="str">
        <v>pretending</v>
      </c>
      <c r="L677" s="4" t="str">
        <f t="shared" si="10"/>
        <v>pretending</v>
      </c>
      <c r="N677" s="4" cm="1">
        <f t="array" ref="N677">SUM(--(_xlfn.TEXTSPLIT($J$423,, " ") = M677))</f>
        <v>1</v>
      </c>
      <c r="O677">
        <v>1</v>
      </c>
      <c r="P677">
        <v>1</v>
      </c>
      <c r="Q677">
        <v>1</v>
      </c>
      <c r="S677" s="4"/>
      <c r="T677" s="10"/>
    </row>
    <row r="678" spans="5:20" x14ac:dyDescent="0.2">
      <c r="E678" s="4" t="s">
        <v>17</v>
      </c>
      <c r="K678" t="str">
        <v>(Never</v>
      </c>
      <c r="L678" s="4" t="str">
        <f t="shared" si="10"/>
        <v xml:space="preserve"> Never</v>
      </c>
      <c r="N678" s="4" cm="1">
        <f t="array" ref="N678">SUM(--(_xlfn.TEXTSPLIT($J$423,, " ") = M678))</f>
        <v>1</v>
      </c>
      <c r="O678">
        <v>1</v>
      </c>
      <c r="P678">
        <v>1</v>
      </c>
      <c r="Q678">
        <v>1</v>
      </c>
      <c r="S678" s="4"/>
      <c r="T678" s="10"/>
    </row>
    <row r="679" spans="5:20" x14ac:dyDescent="0.2">
      <c r="E679" s="4" t="s">
        <v>17</v>
      </c>
      <c r="K679" t="str">
        <v>slowing</v>
      </c>
      <c r="L679" s="4" t="str">
        <f t="shared" si="10"/>
        <v>slowing</v>
      </c>
      <c r="N679" s="4" cm="1">
        <f t="array" ref="N679">SUM(--(_xlfn.TEXTSPLIT($J$423,, " ") = M679))</f>
        <v>1</v>
      </c>
      <c r="O679">
        <v>1</v>
      </c>
      <c r="P679">
        <v>1</v>
      </c>
      <c r="Q679">
        <v>1</v>
      </c>
      <c r="S679" s="4"/>
      <c r="T679" s="10"/>
    </row>
    <row r="680" spans="5:20" x14ac:dyDescent="0.2">
      <c r="E680" s="4" t="s">
        <v>17</v>
      </c>
      <c r="K680" t="str">
        <v xml:space="preserve">down)
</v>
      </c>
      <c r="L680" s="4" t="str">
        <f t="shared" si="10"/>
        <v xml:space="preserve">down  </v>
      </c>
      <c r="N680" s="4" cm="1">
        <f t="array" ref="N680">SUM(--(_xlfn.TEXTSPLIT($J$423,, " ") = M680))</f>
        <v>1</v>
      </c>
      <c r="O680">
        <v>1</v>
      </c>
      <c r="P680">
        <v>1</v>
      </c>
      <c r="Q680">
        <v>1</v>
      </c>
      <c r="S680" s="4"/>
      <c r="T680" s="10"/>
    </row>
    <row r="681" spans="5:20" x14ac:dyDescent="0.2">
      <c r="E681" s="4" t="s">
        <v>17</v>
      </c>
      <c r="K681" t="str">
        <v>Try</v>
      </c>
      <c r="L681" s="4" t="str">
        <f t="shared" si="10"/>
        <v>Try</v>
      </c>
      <c r="N681" s="4" cm="1">
        <f t="array" ref="N681">SUM(--(_xlfn.TEXTSPLIT($J$423,, " ") = M681))</f>
        <v>1</v>
      </c>
      <c r="O681">
        <v>1</v>
      </c>
      <c r="P681">
        <v>1</v>
      </c>
      <c r="Q681">
        <v>1</v>
      </c>
      <c r="S681" s="4"/>
      <c r="T681" s="10"/>
    </row>
    <row r="682" spans="5:20" x14ac:dyDescent="0.2">
      <c r="E682" s="4" t="s">
        <v>17</v>
      </c>
      <c r="K682" t="str">
        <v>to</v>
      </c>
      <c r="L682" s="4" t="str">
        <f t="shared" si="10"/>
        <v>to</v>
      </c>
      <c r="N682" s="4" cm="1">
        <f t="array" ref="N682">SUM(--(_xlfn.TEXTSPLIT($J$423,, " ") = M682))</f>
        <v>1</v>
      </c>
      <c r="O682">
        <v>1</v>
      </c>
      <c r="P682">
        <v>1</v>
      </c>
      <c r="Q682">
        <v>1</v>
      </c>
      <c r="S682" s="4"/>
      <c r="T682" s="10"/>
    </row>
    <row r="683" spans="5:20" x14ac:dyDescent="0.2">
      <c r="E683" s="4" t="s">
        <v>17</v>
      </c>
      <c r="K683" t="str">
        <v>micro-dose</v>
      </c>
      <c r="L683" s="4" t="str">
        <f t="shared" si="10"/>
        <v>micro dose</v>
      </c>
      <c r="N683" s="4" cm="1">
        <f t="array" ref="N683">SUM(--(_xlfn.TEXTSPLIT($J$423,, " ") = M683))</f>
        <v>1</v>
      </c>
      <c r="O683">
        <v>1</v>
      </c>
      <c r="P683">
        <v>1</v>
      </c>
      <c r="Q683">
        <v>1</v>
      </c>
      <c r="S683" s="4"/>
      <c r="T683" s="10"/>
    </row>
    <row r="684" spans="5:20" x14ac:dyDescent="0.2">
      <c r="E684" s="4" t="s">
        <v>17</v>
      </c>
      <c r="K684" t="str">
        <v>to</v>
      </c>
      <c r="L684" s="4" t="str">
        <f t="shared" si="10"/>
        <v>to</v>
      </c>
      <c r="N684" s="4" cm="1">
        <f t="array" ref="N684">SUM(--(_xlfn.TEXTSPLIT($J$423,, " ") = M684))</f>
        <v>1</v>
      </c>
      <c r="O684">
        <v>1</v>
      </c>
      <c r="P684">
        <v>1</v>
      </c>
      <c r="Q684">
        <v>1</v>
      </c>
      <c r="S684" s="4"/>
      <c r="T684" s="10"/>
    </row>
    <row r="685" spans="5:20" x14ac:dyDescent="0.2">
      <c r="E685" s="4" t="s">
        <v>17</v>
      </c>
      <c r="K685" t="str">
        <v>immunity</v>
      </c>
      <c r="L685" s="4" t="str">
        <f t="shared" si="10"/>
        <v>immunity</v>
      </c>
      <c r="N685" s="4" cm="1">
        <f t="array" ref="N685">SUM(--(_xlfn.TEXTSPLIT($J$423,, " ") = M685))</f>
        <v>1</v>
      </c>
      <c r="O685">
        <v>1</v>
      </c>
      <c r="P685">
        <v>1</v>
      </c>
      <c r="Q685">
        <v>1</v>
      </c>
      <c r="S685" s="4"/>
      <c r="T685" s="10"/>
    </row>
    <row r="686" spans="5:20" x14ac:dyDescent="0.2">
      <c r="E686" s="4" t="s">
        <v>17</v>
      </c>
      <c r="K686" t="str">
        <v>but</v>
      </c>
      <c r="L686" s="4" t="str">
        <f t="shared" si="10"/>
        <v>but</v>
      </c>
      <c r="N686" s="4" cm="1">
        <f t="array" ref="N686">SUM(--(_xlfn.TEXTSPLIT($J$423,, " ") = M686))</f>
        <v>1</v>
      </c>
      <c r="O686">
        <v>1</v>
      </c>
      <c r="P686">
        <v>1</v>
      </c>
      <c r="Q686">
        <v>1</v>
      </c>
      <c r="S686" s="4"/>
      <c r="T686" s="10"/>
    </row>
    <row r="687" spans="5:20" x14ac:dyDescent="0.2">
      <c r="E687" s="4" t="s">
        <v>17</v>
      </c>
      <c r="K687" t="str">
        <v>I'll</v>
      </c>
      <c r="L687" s="4" t="str">
        <f t="shared" si="10"/>
        <v>I ll</v>
      </c>
      <c r="N687" s="4" cm="1">
        <f t="array" ref="N687">SUM(--(_xlfn.TEXTSPLIT($J$423,, " ") = M687))</f>
        <v>1</v>
      </c>
      <c r="O687">
        <v>1</v>
      </c>
      <c r="P687">
        <v>1</v>
      </c>
      <c r="Q687">
        <v>1</v>
      </c>
      <c r="S687" s="4"/>
      <c r="T687" s="10"/>
    </row>
    <row r="688" spans="5:20" x14ac:dyDescent="0.2">
      <c r="E688" s="4" t="s">
        <v>17</v>
      </c>
      <c r="K688" t="str">
        <v>never</v>
      </c>
      <c r="L688" s="4" t="str">
        <f t="shared" si="10"/>
        <v>never</v>
      </c>
      <c r="N688" s="4" cm="1">
        <f t="array" ref="N688">SUM(--(_xlfn.TEXTSPLIT($J$423,, " ") = M688))</f>
        <v>1</v>
      </c>
      <c r="O688">
        <v>1</v>
      </c>
      <c r="P688">
        <v>1</v>
      </c>
      <c r="Q688">
        <v>1</v>
      </c>
      <c r="S688" s="4"/>
      <c r="T688" s="10"/>
    </row>
    <row r="689" spans="5:20" x14ac:dyDescent="0.2">
      <c r="E689" s="4" t="s">
        <v>17</v>
      </c>
      <c r="K689" t="str">
        <v>see</v>
      </c>
      <c r="L689" s="4" t="str">
        <f t="shared" si="10"/>
        <v>see</v>
      </c>
      <c r="N689" s="4" cm="1">
        <f t="array" ref="N689">SUM(--(_xlfn.TEXTSPLIT($J$423,, " ") = M689))</f>
        <v>1</v>
      </c>
      <c r="O689">
        <v>1</v>
      </c>
      <c r="P689">
        <v>1</v>
      </c>
      <c r="Q689">
        <v>1</v>
      </c>
      <c r="S689" s="4"/>
      <c r="T689" s="10"/>
    </row>
    <row r="690" spans="5:20" x14ac:dyDescent="0.2">
      <c r="E690" s="4" t="s">
        <v>17</v>
      </c>
      <c r="K690" t="str">
        <v>the</v>
      </c>
      <c r="L690" s="4" t="str">
        <f t="shared" si="10"/>
        <v>the</v>
      </c>
      <c r="N690" s="4" cm="1">
        <f t="array" ref="N690">SUM(--(_xlfn.TEXTSPLIT($J$423,, " ") = M690))</f>
        <v>1</v>
      </c>
      <c r="O690">
        <v>1</v>
      </c>
      <c r="P690">
        <v>1</v>
      </c>
      <c r="Q690">
        <v>1</v>
      </c>
      <c r="S690" s="4"/>
      <c r="T690" s="10"/>
    </row>
    <row r="691" spans="5:20" x14ac:dyDescent="0.2">
      <c r="E691" s="4" t="s">
        <v>17</v>
      </c>
      <c r="K691" t="str">
        <v>ending</v>
      </c>
      <c r="L691" s="4" t="str">
        <f t="shared" si="10"/>
        <v>ending</v>
      </c>
      <c r="N691" s="4" cm="1">
        <f t="array" ref="N691">SUM(--(_xlfn.TEXTSPLIT($J$423,, " ") = M691))</f>
        <v>1</v>
      </c>
      <c r="O691">
        <v>1</v>
      </c>
      <c r="P691">
        <v>1</v>
      </c>
      <c r="Q691">
        <v>1</v>
      </c>
      <c r="S691" s="4"/>
      <c r="T691" s="10"/>
    </row>
    <row r="692" spans="5:20" x14ac:dyDescent="0.2">
      <c r="E692" s="4" t="s">
        <v>17</v>
      </c>
      <c r="K692" t="str">
        <v>(Never</v>
      </c>
      <c r="L692" s="4" t="str">
        <f t="shared" si="10"/>
        <v xml:space="preserve"> Never</v>
      </c>
      <c r="N692" s="4" cm="1">
        <f t="array" ref="N692">SUM(--(_xlfn.TEXTSPLIT($J$423,, " ") = M692))</f>
        <v>1</v>
      </c>
      <c r="O692">
        <v>1</v>
      </c>
      <c r="P692">
        <v>1</v>
      </c>
      <c r="Q692">
        <v>1</v>
      </c>
      <c r="S692" s="4"/>
      <c r="T692" s="10"/>
    </row>
    <row r="693" spans="5:20" x14ac:dyDescent="0.2">
      <c r="E693" s="4" t="s">
        <v>17</v>
      </c>
      <c r="K693" t="str">
        <v>slowing</v>
      </c>
      <c r="L693" s="4" t="str">
        <f t="shared" si="10"/>
        <v>slowing</v>
      </c>
      <c r="N693" s="4" cm="1">
        <f t="array" ref="N693">SUM(--(_xlfn.TEXTSPLIT($J$423,, " ") = M693))</f>
        <v>1</v>
      </c>
      <c r="O693">
        <v>1</v>
      </c>
      <c r="P693">
        <v>1</v>
      </c>
      <c r="Q693">
        <v>1</v>
      </c>
      <c r="S693" s="4"/>
      <c r="T693" s="10"/>
    </row>
    <row r="694" spans="5:20" x14ac:dyDescent="0.2">
      <c r="E694" s="4" t="s">
        <v>17</v>
      </c>
      <c r="K694" t="str">
        <v xml:space="preserve">down)
</v>
      </c>
      <c r="L694" s="4" t="str">
        <f t="shared" si="10"/>
        <v xml:space="preserve">down  </v>
      </c>
      <c r="N694" s="4" cm="1">
        <f t="array" ref="N694">SUM(--(_xlfn.TEXTSPLIT($J$423,, " ") = M694))</f>
        <v>1</v>
      </c>
      <c r="O694">
        <v>1</v>
      </c>
      <c r="P694">
        <v>1</v>
      </c>
      <c r="Q694">
        <v>1</v>
      </c>
      <c r="S694" s="4"/>
      <c r="T694" s="10"/>
    </row>
    <row r="695" spans="5:20" x14ac:dyDescent="0.2">
      <c r="E695" s="4" t="s">
        <v>17</v>
      </c>
      <c r="K695" t="str">
        <v>And</v>
      </c>
      <c r="L695" s="4" t="str">
        <f t="shared" si="10"/>
        <v>And</v>
      </c>
      <c r="N695" s="4" cm="1">
        <f t="array" ref="N695">SUM(--(_xlfn.TEXTSPLIT($J$423,, " ") = M695))</f>
        <v>1</v>
      </c>
      <c r="O695">
        <v>1</v>
      </c>
      <c r="P695">
        <v>1</v>
      </c>
      <c r="Q695">
        <v>1</v>
      </c>
      <c r="S695" s="4"/>
      <c r="T695" s="10"/>
    </row>
    <row r="696" spans="5:20" x14ac:dyDescent="0.2">
      <c r="E696" s="4" t="s">
        <v>17</v>
      </c>
      <c r="K696" t="str">
        <v>I</v>
      </c>
      <c r="L696" s="4" t="str">
        <f t="shared" si="10"/>
        <v>I</v>
      </c>
      <c r="N696" s="4" cm="1">
        <f t="array" ref="N696">SUM(--(_xlfn.TEXTSPLIT($J$423,, " ") = M696))</f>
        <v>1</v>
      </c>
      <c r="O696">
        <v>1</v>
      </c>
      <c r="P696">
        <v>1</v>
      </c>
      <c r="Q696">
        <v>1</v>
      </c>
      <c r="S696" s="4"/>
      <c r="T696" s="10"/>
    </row>
    <row r="697" spans="5:20" x14ac:dyDescent="0.2">
      <c r="E697" s="4" t="s">
        <v>17</v>
      </c>
      <c r="K697" t="str">
        <v>go,</v>
      </c>
      <c r="L697" s="4" t="str">
        <f t="shared" si="10"/>
        <v xml:space="preserve">go </v>
      </c>
      <c r="N697" s="4" cm="1">
        <f t="array" ref="N697">SUM(--(_xlfn.TEXTSPLIT($J$423,, " ") = M697))</f>
        <v>1</v>
      </c>
      <c r="O697">
        <v>1</v>
      </c>
      <c r="P697">
        <v>1</v>
      </c>
      <c r="Q697">
        <v>1</v>
      </c>
      <c r="S697" s="4"/>
      <c r="T697" s="10"/>
    </row>
    <row r="698" spans="5:20" x14ac:dyDescent="0.2">
      <c r="E698" s="4" t="s">
        <v>17</v>
      </c>
      <c r="K698" t="str">
        <v>ah,</v>
      </c>
      <c r="L698" s="4" t="str">
        <f t="shared" si="10"/>
        <v xml:space="preserve">ah </v>
      </c>
      <c r="N698" s="4" cm="1">
        <f t="array" ref="N698">SUM(--(_xlfn.TEXTSPLIT($J$423,, " ") = M698))</f>
        <v>1</v>
      </c>
      <c r="O698">
        <v>1</v>
      </c>
      <c r="P698">
        <v>1</v>
      </c>
      <c r="Q698">
        <v>1</v>
      </c>
      <c r="S698" s="4"/>
      <c r="T698" s="10"/>
    </row>
    <row r="699" spans="5:20" x14ac:dyDescent="0.2">
      <c r="E699" s="4" t="s">
        <v>17</v>
      </c>
      <c r="K699" t="str">
        <v>ah,</v>
      </c>
      <c r="L699" s="4" t="str">
        <f t="shared" si="10"/>
        <v xml:space="preserve">ah </v>
      </c>
      <c r="N699" s="4" cm="1">
        <f t="array" ref="N699">SUM(--(_xlfn.TEXTSPLIT($J$423,, " ") = M699))</f>
        <v>1</v>
      </c>
      <c r="O699">
        <v>1</v>
      </c>
      <c r="P699">
        <v>1</v>
      </c>
      <c r="Q699">
        <v>1</v>
      </c>
      <c r="S699" s="4"/>
      <c r="T699" s="10"/>
    </row>
    <row r="700" spans="5:20" x14ac:dyDescent="0.2">
      <c r="E700" s="4" t="s">
        <v>17</v>
      </c>
      <c r="K700" t="str">
        <v>ah</v>
      </c>
      <c r="L700" s="4" t="str">
        <f t="shared" si="10"/>
        <v>ah</v>
      </c>
      <c r="N700" s="4" cm="1">
        <f t="array" ref="N700">SUM(--(_xlfn.TEXTSPLIT($J$423,, " ") = M700))</f>
        <v>1</v>
      </c>
      <c r="O700">
        <v>1</v>
      </c>
      <c r="P700">
        <v>1</v>
      </c>
      <c r="Q700">
        <v>1</v>
      </c>
      <c r="S700" s="4"/>
      <c r="T700" s="10"/>
    </row>
    <row r="701" spans="5:20" x14ac:dyDescent="0.2">
      <c r="E701" s="4" t="s">
        <v>17</v>
      </c>
      <c r="K701" t="str">
        <v>(Never</v>
      </c>
      <c r="L701" s="4" t="str">
        <f t="shared" si="10"/>
        <v xml:space="preserve"> Never</v>
      </c>
      <c r="N701" s="4" cm="1">
        <f t="array" ref="N701">SUM(--(_xlfn.TEXTSPLIT($J$423,, " ") = M701))</f>
        <v>1</v>
      </c>
      <c r="O701">
        <v>1</v>
      </c>
      <c r="P701">
        <v>1</v>
      </c>
      <c r="Q701">
        <v>1</v>
      </c>
      <c r="S701" s="4"/>
      <c r="T701" s="10"/>
    </row>
    <row r="702" spans="5:20" x14ac:dyDescent="0.2">
      <c r="E702" s="4" t="s">
        <v>17</v>
      </c>
      <c r="K702" t="str">
        <v>slowing</v>
      </c>
      <c r="L702" s="4" t="str">
        <f t="shared" si="10"/>
        <v>slowing</v>
      </c>
      <c r="N702" s="4" cm="1">
        <f t="array" ref="N702">SUM(--(_xlfn.TEXTSPLIT($J$423,, " ") = M702))</f>
        <v>1</v>
      </c>
      <c r="O702">
        <v>1</v>
      </c>
      <c r="P702">
        <v>1</v>
      </c>
      <c r="Q702">
        <v>1</v>
      </c>
      <c r="S702" s="4"/>
      <c r="T702" s="10"/>
    </row>
    <row r="703" spans="5:20" x14ac:dyDescent="0.2">
      <c r="E703" s="4" t="s">
        <v>17</v>
      </c>
      <c r="K703" t="str">
        <v xml:space="preserve">down)
</v>
      </c>
      <c r="L703" s="4" t="str">
        <f t="shared" si="10"/>
        <v xml:space="preserve">down  </v>
      </c>
      <c r="N703" s="4" cm="1">
        <f t="array" ref="N703">SUM(--(_xlfn.TEXTSPLIT($J$423,, " ") = M703))</f>
        <v>1</v>
      </c>
      <c r="O703">
        <v>1</v>
      </c>
      <c r="P703">
        <v>1</v>
      </c>
      <c r="Q703">
        <v>1</v>
      </c>
      <c r="S703" s="4"/>
      <c r="T703" s="10"/>
    </row>
    <row r="704" spans="5:20" x14ac:dyDescent="0.2">
      <c r="E704" s="4" t="s">
        <v>17</v>
      </c>
      <c r="K704" t="str">
        <v/>
      </c>
      <c r="L704" s="4" t="str">
        <f t="shared" si="10"/>
        <v/>
      </c>
      <c r="N704" s="4" cm="1">
        <f t="array" ref="N704">SUM(--(_xlfn.TEXTSPLIT($J$423,, " ") = M704))</f>
        <v>1</v>
      </c>
      <c r="O704">
        <v>1</v>
      </c>
      <c r="P704">
        <v>1</v>
      </c>
      <c r="Q704">
        <v>1</v>
      </c>
      <c r="S704" s="4"/>
      <c r="T704" s="10"/>
    </row>
    <row r="705" spans="5:20" x14ac:dyDescent="0.2">
      <c r="E705" s="4" t="s">
        <v>17</v>
      </c>
      <c r="K705" t="str">
        <v>What's</v>
      </c>
      <c r="L705" s="4" t="str">
        <f t="shared" si="10"/>
        <v>What s</v>
      </c>
      <c r="N705" s="4" cm="1">
        <f t="array" ref="N705">SUM(--(_xlfn.TEXTSPLIT($J$423,, " ") = M705))</f>
        <v>1</v>
      </c>
      <c r="O705">
        <v>1</v>
      </c>
      <c r="P705">
        <v>1</v>
      </c>
      <c r="Q705">
        <v>1</v>
      </c>
      <c r="S705" s="4"/>
      <c r="T705" s="10"/>
    </row>
    <row r="706" spans="5:20" x14ac:dyDescent="0.2">
      <c r="E706" s="4" t="s">
        <v>17</v>
      </c>
      <c r="K706" t="str">
        <v>the</v>
      </c>
      <c r="L706" s="4" t="str">
        <f t="shared" si="10"/>
        <v>the</v>
      </c>
      <c r="N706" s="4" cm="1">
        <f t="array" ref="N706">SUM(--(_xlfn.TEXTSPLIT($J$423,, " ") = M706))</f>
        <v>1</v>
      </c>
      <c r="O706">
        <v>1</v>
      </c>
      <c r="P706">
        <v>1</v>
      </c>
      <c r="Q706">
        <v>1</v>
      </c>
      <c r="S706" s="4"/>
      <c r="T706" s="10"/>
    </row>
    <row r="707" spans="5:20" x14ac:dyDescent="0.2">
      <c r="E707" s="4" t="s">
        <v>17</v>
      </c>
      <c r="K707" t="str">
        <v>matter?</v>
      </c>
      <c r="L707" s="4" t="str">
        <f t="shared" si="10"/>
        <v xml:space="preserve">matter </v>
      </c>
      <c r="N707" s="4" cm="1">
        <f t="array" ref="N707">SUM(--(_xlfn.TEXTSPLIT($J$423,, " ") = M707))</f>
        <v>1</v>
      </c>
      <c r="O707">
        <v>1</v>
      </c>
      <c r="P707">
        <v>1</v>
      </c>
      <c r="Q707">
        <v>1</v>
      </c>
      <c r="S707" s="4"/>
      <c r="T707" s="10"/>
    </row>
    <row r="708" spans="5:20" x14ac:dyDescent="0.2">
      <c r="E708" s="4" t="s">
        <v>17</v>
      </c>
      <c r="K708" t="str">
        <v>isn't</v>
      </c>
      <c r="L708" s="4" t="str">
        <f t="shared" ref="L708:L771" si="11">_xlfn.REGEXREPLACE(K708, "[^A-Za-z ]", " ")</f>
        <v>isn t</v>
      </c>
      <c r="N708" s="4" cm="1">
        <f t="array" ref="N708">SUM(--(_xlfn.TEXTSPLIT($J$423,, " ") = M708))</f>
        <v>1</v>
      </c>
      <c r="O708">
        <v>1</v>
      </c>
      <c r="P708">
        <v>1</v>
      </c>
      <c r="Q708">
        <v>1</v>
      </c>
      <c r="S708" s="4"/>
      <c r="T708" s="10"/>
    </row>
    <row r="709" spans="5:20" x14ac:dyDescent="0.2">
      <c r="E709" s="4" t="s">
        <v>17</v>
      </c>
      <c r="K709" t="str">
        <v>helping</v>
      </c>
      <c r="L709" s="4" t="str">
        <f t="shared" si="11"/>
        <v>helping</v>
      </c>
      <c r="N709" s="4" cm="1">
        <f t="array" ref="N709">SUM(--(_xlfn.TEXTSPLIT($J$423,, " ") = M709))</f>
        <v>1</v>
      </c>
      <c r="O709">
        <v>1</v>
      </c>
      <c r="P709">
        <v>1</v>
      </c>
      <c r="Q709">
        <v>1</v>
      </c>
      <c r="S709" s="4"/>
      <c r="T709" s="10"/>
    </row>
    <row r="710" spans="5:20" x14ac:dyDescent="0.2">
      <c r="E710" s="4" t="s">
        <v>17</v>
      </c>
      <c r="K710" t="str">
        <v>(Never</v>
      </c>
      <c r="L710" s="4" t="str">
        <f t="shared" si="11"/>
        <v xml:space="preserve"> Never</v>
      </c>
      <c r="N710" s="4" cm="1">
        <f t="array" ref="N710">SUM(--(_xlfn.TEXTSPLIT($J$423,, " ") = M710))</f>
        <v>1</v>
      </c>
      <c r="O710">
        <v>1</v>
      </c>
      <c r="P710">
        <v>1</v>
      </c>
      <c r="Q710">
        <v>1</v>
      </c>
      <c r="S710" s="4"/>
      <c r="T710" s="10"/>
    </row>
    <row r="711" spans="5:20" x14ac:dyDescent="0.2">
      <c r="E711" s="4" t="s">
        <v>17</v>
      </c>
      <c r="K711" t="str">
        <v>slowing</v>
      </c>
      <c r="L711" s="4" t="str">
        <f t="shared" si="11"/>
        <v>slowing</v>
      </c>
      <c r="N711" s="4" cm="1">
        <f t="array" ref="N711">SUM(--(_xlfn.TEXTSPLIT($J$423,, " ") = M711))</f>
        <v>1</v>
      </c>
      <c r="O711">
        <v>1</v>
      </c>
      <c r="P711">
        <v>1</v>
      </c>
      <c r="Q711">
        <v>1</v>
      </c>
      <c r="S711" s="4"/>
      <c r="T711" s="10"/>
    </row>
    <row r="712" spans="5:20" x14ac:dyDescent="0.2">
      <c r="E712" s="4" t="s">
        <v>17</v>
      </c>
      <c r="K712" t="str">
        <v xml:space="preserve">down)
</v>
      </c>
      <c r="L712" s="4" t="str">
        <f t="shared" si="11"/>
        <v xml:space="preserve">down  </v>
      </c>
      <c r="N712" s="4" cm="1">
        <f t="array" ref="N712">SUM(--(_xlfn.TEXTSPLIT($J$423,, " ") = M712))</f>
        <v>1</v>
      </c>
      <c r="O712">
        <v>1</v>
      </c>
      <c r="P712">
        <v>1</v>
      </c>
      <c r="Q712">
        <v>1</v>
      </c>
      <c r="S712" s="4"/>
      <c r="T712" s="10"/>
    </row>
    <row r="713" spans="5:20" x14ac:dyDescent="0.2">
      <c r="E713" s="4" t="s">
        <v>17</v>
      </c>
      <c r="K713" t="str">
        <v>You</v>
      </c>
      <c r="L713" s="4" t="str">
        <f t="shared" si="11"/>
        <v>You</v>
      </c>
      <c r="N713" s="4" cm="1">
        <f t="array" ref="N713">SUM(--(_xlfn.TEXTSPLIT($J$423,, " ") = M713))</f>
        <v>1</v>
      </c>
      <c r="O713">
        <v>1</v>
      </c>
      <c r="P713">
        <v>1</v>
      </c>
      <c r="Q713">
        <v>1</v>
      </c>
      <c r="S713" s="4"/>
      <c r="T713" s="10"/>
    </row>
    <row r="714" spans="5:20" x14ac:dyDescent="0.2">
      <c r="E714" s="4" t="s">
        <v>17</v>
      </c>
      <c r="K714" t="str">
        <v>go,</v>
      </c>
      <c r="L714" s="4" t="str">
        <f t="shared" si="11"/>
        <v xml:space="preserve">go </v>
      </c>
      <c r="N714" s="4" cm="1">
        <f t="array" ref="N714">SUM(--(_xlfn.TEXTSPLIT($J$423,, " ") = M714))</f>
        <v>1</v>
      </c>
      <c r="O714">
        <v>1</v>
      </c>
      <c r="P714">
        <v>1</v>
      </c>
      <c r="Q714">
        <v>1</v>
      </c>
      <c r="S714" s="4"/>
      <c r="T714" s="10"/>
    </row>
    <row r="715" spans="5:20" x14ac:dyDescent="0.2">
      <c r="E715" s="4" t="s">
        <v>17</v>
      </c>
      <c r="K715" t="str">
        <v>ooh,</v>
      </c>
      <c r="L715" s="4" t="str">
        <f t="shared" si="11"/>
        <v xml:space="preserve">ooh </v>
      </c>
      <c r="N715" s="4" cm="1">
        <f t="array" ref="N715">SUM(--(_xlfn.TEXTSPLIT($J$423,, " ") = M715))</f>
        <v>1</v>
      </c>
      <c r="O715">
        <v>1</v>
      </c>
      <c r="P715">
        <v>1</v>
      </c>
      <c r="Q715">
        <v>1</v>
      </c>
      <c r="S715" s="4"/>
      <c r="T715" s="10"/>
    </row>
    <row r="716" spans="5:20" x14ac:dyDescent="0.2">
      <c r="E716" s="4" t="s">
        <v>17</v>
      </c>
      <c r="K716" t="str">
        <v>ooh,</v>
      </c>
      <c r="L716" s="4" t="str">
        <f t="shared" si="11"/>
        <v xml:space="preserve">ooh </v>
      </c>
      <c r="N716" s="4" cm="1">
        <f t="array" ref="N716">SUM(--(_xlfn.TEXTSPLIT($J$423,, " ") = M716))</f>
        <v>1</v>
      </c>
      <c r="O716">
        <v>1</v>
      </c>
      <c r="P716">
        <v>1</v>
      </c>
      <c r="Q716">
        <v>1</v>
      </c>
      <c r="S716" s="4"/>
      <c r="T716" s="10"/>
    </row>
    <row r="717" spans="5:20" x14ac:dyDescent="0.2">
      <c r="E717" s="4" t="s">
        <v>17</v>
      </c>
      <c r="K717" t="str">
        <v>ooh</v>
      </c>
      <c r="L717" s="4" t="str">
        <f t="shared" si="11"/>
        <v>ooh</v>
      </c>
      <c r="N717" s="4" cm="1">
        <f t="array" ref="N717">SUM(--(_xlfn.TEXTSPLIT($J$423,, " ") = M717))</f>
        <v>1</v>
      </c>
      <c r="O717">
        <v>1</v>
      </c>
      <c r="P717">
        <v>1</v>
      </c>
      <c r="Q717">
        <v>1</v>
      </c>
      <c r="S717" s="4"/>
      <c r="T717" s="10"/>
    </row>
    <row r="718" spans="5:20" x14ac:dyDescent="0.2">
      <c r="E718" s="4" t="s">
        <v>17</v>
      </c>
      <c r="K718" t="str">
        <v>(Never</v>
      </c>
      <c r="L718" s="4" t="str">
        <f t="shared" si="11"/>
        <v xml:space="preserve"> Never</v>
      </c>
      <c r="N718" s="4" cm="1">
        <f t="array" ref="N718">SUM(--(_xlfn.TEXTSPLIT($J$423,, " ") = M718))</f>
        <v>1</v>
      </c>
      <c r="O718">
        <v>1</v>
      </c>
      <c r="P718">
        <v>1</v>
      </c>
      <c r="Q718">
        <v>1</v>
      </c>
      <c r="S718" s="4"/>
      <c r="T718" s="10"/>
    </row>
    <row r="719" spans="5:20" x14ac:dyDescent="0.2">
      <c r="E719" s="4" t="s">
        <v>17</v>
      </c>
      <c r="K719" t="str">
        <v>slowing</v>
      </c>
      <c r="L719" s="4" t="str">
        <f t="shared" si="11"/>
        <v>slowing</v>
      </c>
      <c r="N719" s="4" cm="1">
        <f t="array" ref="N719">SUM(--(_xlfn.TEXTSPLIT($J$423,, " ") = M719))</f>
        <v>1</v>
      </c>
      <c r="O719">
        <v>1</v>
      </c>
      <c r="P719">
        <v>1</v>
      </c>
      <c r="Q719">
        <v>1</v>
      </c>
      <c r="S719" s="4"/>
      <c r="T719" s="10"/>
    </row>
    <row r="720" spans="5:20" x14ac:dyDescent="0.2">
      <c r="E720" s="4" t="s">
        <v>17</v>
      </c>
      <c r="K720" t="str">
        <v xml:space="preserve">down)
</v>
      </c>
      <c r="L720" s="4" t="str">
        <f t="shared" si="11"/>
        <v xml:space="preserve">down  </v>
      </c>
      <c r="N720" s="4" cm="1">
        <f t="array" ref="N720">SUM(--(_xlfn.TEXTSPLIT($J$423,, " ") = M720))</f>
        <v>1</v>
      </c>
      <c r="O720">
        <v>1</v>
      </c>
      <c r="P720">
        <v>1</v>
      </c>
      <c r="Q720">
        <v>1</v>
      </c>
      <c r="S720" s="4"/>
      <c r="T720" s="10"/>
    </row>
    <row r="721" spans="5:20" x14ac:dyDescent="0.2">
      <c r="E721" s="4" t="s">
        <v>17</v>
      </c>
      <c r="K721" t="str">
        <v>I</v>
      </c>
      <c r="L721" s="4" t="str">
        <f t="shared" si="11"/>
        <v>I</v>
      </c>
      <c r="N721" s="4" cm="1">
        <f t="array" ref="N721">SUM(--(_xlfn.TEXTSPLIT($J$423,, " ") = M721))</f>
        <v>1</v>
      </c>
      <c r="O721">
        <v>1</v>
      </c>
      <c r="P721">
        <v>1</v>
      </c>
      <c r="Q721">
        <v>1</v>
      </c>
      <c r="S721" s="4"/>
      <c r="T721" s="10"/>
    </row>
    <row r="722" spans="5:20" x14ac:dyDescent="0.2">
      <c r="E722" s="4" t="s">
        <v>17</v>
      </c>
      <c r="K722" t="str">
        <v>wish</v>
      </c>
      <c r="L722" s="4" t="str">
        <f t="shared" si="11"/>
        <v>wish</v>
      </c>
      <c r="N722" s="4" cm="1">
        <f t="array" ref="N722">SUM(--(_xlfn.TEXTSPLIT($J$423,, " ") = M722))</f>
        <v>1</v>
      </c>
      <c r="O722">
        <v>1</v>
      </c>
      <c r="P722">
        <v>1</v>
      </c>
      <c r="Q722">
        <v>1</v>
      </c>
      <c r="S722" s="4"/>
      <c r="T722" s="10"/>
    </row>
    <row r="723" spans="5:20" x14ac:dyDescent="0.2">
      <c r="E723" s="4" t="s">
        <v>17</v>
      </c>
      <c r="K723" t="str">
        <v>her</v>
      </c>
      <c r="L723" s="4" t="str">
        <f t="shared" si="11"/>
        <v>her</v>
      </c>
      <c r="N723" s="4" cm="1">
        <f t="array" ref="N723">SUM(--(_xlfn.TEXTSPLIT($J$423,, " ") = M723))</f>
        <v>1</v>
      </c>
      <c r="O723">
        <v>1</v>
      </c>
      <c r="P723">
        <v>1</v>
      </c>
      <c r="Q723">
        <v>1</v>
      </c>
      <c r="S723" s="4"/>
      <c r="T723" s="10"/>
    </row>
    <row r="724" spans="5:20" x14ac:dyDescent="0.2">
      <c r="E724" s="4" t="s">
        <v>17</v>
      </c>
      <c r="K724" t="str">
        <v>parents</v>
      </c>
      <c r="L724" s="4" t="str">
        <f t="shared" si="11"/>
        <v>parents</v>
      </c>
      <c r="N724" s="4" cm="1">
        <f t="array" ref="N724">SUM(--(_xlfn.TEXTSPLIT($J$423,, " ") = M724))</f>
        <v>1</v>
      </c>
      <c r="O724">
        <v>1</v>
      </c>
      <c r="P724">
        <v>1</v>
      </c>
      <c r="Q724">
        <v>1</v>
      </c>
      <c r="S724" s="4"/>
      <c r="T724" s="10"/>
    </row>
    <row r="725" spans="5:20" x14ac:dyDescent="0.2">
      <c r="E725" s="4" t="s">
        <v>17</v>
      </c>
      <c r="K725" t="str">
        <v>would</v>
      </c>
      <c r="L725" s="4" t="str">
        <f t="shared" si="11"/>
        <v>would</v>
      </c>
      <c r="N725" s="4" cm="1">
        <f t="array" ref="N725">SUM(--(_xlfn.TEXTSPLIT($J$423,, " ") = M725))</f>
        <v>1</v>
      </c>
      <c r="O725">
        <v>1</v>
      </c>
      <c r="P725">
        <v>1</v>
      </c>
      <c r="Q725">
        <v>1</v>
      </c>
      <c r="S725" s="4"/>
      <c r="T725" s="10"/>
    </row>
    <row r="726" spans="5:20" x14ac:dyDescent="0.2">
      <c r="E726" s="4" t="s">
        <v>17</v>
      </c>
      <c r="K726" t="str">
        <v>stop</v>
      </c>
      <c r="L726" s="4" t="str">
        <f t="shared" si="11"/>
        <v>stop</v>
      </c>
      <c r="N726" s="4" cm="1">
        <f t="array" ref="N726">SUM(--(_xlfn.TEXTSPLIT($J$423,, " ") = M726))</f>
        <v>1</v>
      </c>
      <c r="O726">
        <v>1</v>
      </c>
      <c r="P726">
        <v>1</v>
      </c>
      <c r="Q726">
        <v>1</v>
      </c>
      <c r="S726" s="4"/>
      <c r="T726" s="10"/>
    </row>
    <row r="727" spans="5:20" x14ac:dyDescent="0.2">
      <c r="E727" s="4" t="s">
        <v>17</v>
      </c>
      <c r="K727" t="str">
        <v xml:space="preserve">yelling
</v>
      </c>
      <c r="L727" s="4" t="str">
        <f t="shared" si="11"/>
        <v xml:space="preserve">yelling </v>
      </c>
      <c r="N727" s="4" cm="1">
        <f t="array" ref="N727">SUM(--(_xlfn.TEXTSPLIT($J$423,, " ") = M727))</f>
        <v>1</v>
      </c>
      <c r="O727">
        <v>1</v>
      </c>
      <c r="P727">
        <v>1</v>
      </c>
      <c r="Q727">
        <v>1</v>
      </c>
      <c r="S727" s="4"/>
      <c r="T727" s="10"/>
    </row>
    <row r="728" spans="5:20" x14ac:dyDescent="0.2">
      <c r="E728" s="4" t="s">
        <v>17</v>
      </c>
      <c r="K728" t="str">
        <v>You</v>
      </c>
      <c r="L728" s="4" t="str">
        <f t="shared" si="11"/>
        <v>You</v>
      </c>
      <c r="N728" s="4" cm="1">
        <f t="array" ref="N728">SUM(--(_xlfn.TEXTSPLIT($J$423,, " ") = M728))</f>
        <v>1</v>
      </c>
      <c r="O728">
        <v>1</v>
      </c>
      <c r="P728">
        <v>1</v>
      </c>
      <c r="Q728">
        <v>1</v>
      </c>
      <c r="S728" s="4"/>
      <c r="T728" s="10"/>
    </row>
    <row r="729" spans="5:20" x14ac:dyDescent="0.2">
      <c r="E729" s="4" t="s">
        <v>17</v>
      </c>
      <c r="K729" t="str">
        <v>know</v>
      </c>
      <c r="L729" s="4" t="str">
        <f t="shared" si="11"/>
        <v>know</v>
      </c>
      <c r="N729" s="4" cm="1">
        <f t="array" ref="N729">SUM(--(_xlfn.TEXTSPLIT($J$423,, " ") = M729))</f>
        <v>1</v>
      </c>
      <c r="O729">
        <v>1</v>
      </c>
      <c r="P729">
        <v>1</v>
      </c>
      <c r="Q729">
        <v>1</v>
      </c>
      <c r="S729" s="4"/>
      <c r="T729" s="10"/>
    </row>
    <row r="730" spans="5:20" x14ac:dyDescent="0.2">
      <c r="E730" s="4" t="s">
        <v>17</v>
      </c>
      <c r="K730" t="str">
        <v>what</v>
      </c>
      <c r="L730" s="4" t="str">
        <f t="shared" si="11"/>
        <v>what</v>
      </c>
      <c r="N730" s="4" cm="1">
        <f t="array" ref="N730">SUM(--(_xlfn.TEXTSPLIT($J$423,, " ") = M730))</f>
        <v>1</v>
      </c>
      <c r="O730">
        <v>1</v>
      </c>
      <c r="P730">
        <v>1</v>
      </c>
      <c r="Q730">
        <v>1</v>
      </c>
      <c r="S730" s="4"/>
      <c r="T730" s="10"/>
    </row>
    <row r="731" spans="5:20" x14ac:dyDescent="0.2">
      <c r="E731" s="4" t="s">
        <v>17</v>
      </c>
      <c r="K731" t="str">
        <v>scares</v>
      </c>
      <c r="L731" s="4" t="str">
        <f t="shared" si="11"/>
        <v>scares</v>
      </c>
      <c r="N731" s="4" cm="1">
        <f t="array" ref="N731">SUM(--(_xlfn.TEXTSPLIT($J$423,, " ") = M731))</f>
        <v>1</v>
      </c>
      <c r="O731">
        <v>1</v>
      </c>
      <c r="P731">
        <v>1</v>
      </c>
      <c r="Q731">
        <v>1</v>
      </c>
      <c r="S731" s="4"/>
      <c r="T731" s="10"/>
    </row>
    <row r="732" spans="5:20" x14ac:dyDescent="0.2">
      <c r="E732" s="4" t="s">
        <v>17</v>
      </c>
      <c r="K732" t="str">
        <v>me?</v>
      </c>
      <c r="L732" s="4" t="str">
        <f t="shared" si="11"/>
        <v xml:space="preserve">me </v>
      </c>
      <c r="N732" s="4" cm="1">
        <f t="array" ref="N732">SUM(--(_xlfn.TEXTSPLIT($J$423,, " ") = M732))</f>
        <v>1</v>
      </c>
      <c r="O732">
        <v>1</v>
      </c>
      <c r="P732">
        <v>1</v>
      </c>
      <c r="Q732">
        <v>1</v>
      </c>
      <c r="S732" s="4"/>
      <c r="T732" s="10"/>
    </row>
    <row r="733" spans="5:20" x14ac:dyDescent="0.2">
      <c r="E733" s="4" t="s">
        <v>17</v>
      </c>
      <c r="K733" t="str">
        <v>(Ah,</v>
      </c>
      <c r="L733" s="4" t="str">
        <f t="shared" si="11"/>
        <v xml:space="preserve"> Ah </v>
      </c>
      <c r="N733" s="4" cm="1">
        <f t="array" ref="N733">SUM(--(_xlfn.TEXTSPLIT($J$423,, " ") = M733))</f>
        <v>1</v>
      </c>
      <c r="O733">
        <v>1</v>
      </c>
      <c r="P733">
        <v>1</v>
      </c>
      <c r="Q733">
        <v>1</v>
      </c>
      <c r="S733" s="4"/>
      <c r="T733" s="10"/>
    </row>
    <row r="734" spans="5:20" x14ac:dyDescent="0.2">
      <c r="E734" s="4" t="s">
        <v>17</v>
      </c>
      <c r="K734" t="str">
        <v>ah,</v>
      </c>
      <c r="L734" s="4" t="str">
        <f t="shared" si="11"/>
        <v xml:space="preserve">ah </v>
      </c>
      <c r="N734" s="4" cm="1">
        <f t="array" ref="N734">SUM(--(_xlfn.TEXTSPLIT($J$423,, " ") = M734))</f>
        <v>1</v>
      </c>
      <c r="O734">
        <v>1</v>
      </c>
      <c r="P734">
        <v>1</v>
      </c>
      <c r="Q734">
        <v>1</v>
      </c>
      <c r="S734" s="4"/>
      <c r="T734" s="10"/>
    </row>
    <row r="735" spans="5:20" x14ac:dyDescent="0.2">
      <c r="E735" s="4" t="s">
        <v>17</v>
      </c>
      <c r="K735" t="str">
        <v xml:space="preserve">ah)
</v>
      </c>
      <c r="L735" s="4" t="str">
        <f t="shared" si="11"/>
        <v xml:space="preserve">ah  </v>
      </c>
      <c r="N735" s="4" cm="1">
        <f t="array" ref="N735">SUM(--(_xlfn.TEXTSPLIT($J$423,, " ") = M735))</f>
        <v>1</v>
      </c>
      <c r="O735">
        <v>1</v>
      </c>
      <c r="P735">
        <v>1</v>
      </c>
      <c r="Q735">
        <v>1</v>
      </c>
      <c r="S735" s="4"/>
      <c r="T735" s="10"/>
    </row>
    <row r="736" spans="5:20" x14ac:dyDescent="0.2">
      <c r="E736" s="4" t="s">
        <v>17</v>
      </c>
      <c r="K736" t="str">
        <v>Nah,</v>
      </c>
      <c r="L736" s="4" t="str">
        <f t="shared" si="11"/>
        <v xml:space="preserve">Nah </v>
      </c>
      <c r="N736" s="4" cm="1">
        <f t="array" ref="N736">SUM(--(_xlfn.TEXTSPLIT($J$423,, " ") = M736))</f>
        <v>1</v>
      </c>
      <c r="O736">
        <v>1</v>
      </c>
      <c r="P736">
        <v>1</v>
      </c>
      <c r="Q736">
        <v>1</v>
      </c>
      <c r="S736" s="4"/>
      <c r="T736" s="10"/>
    </row>
    <row r="737" spans="5:20" x14ac:dyDescent="0.2">
      <c r="E737" s="4" t="s">
        <v>17</v>
      </c>
      <c r="K737" t="str">
        <v>it's</v>
      </c>
      <c r="L737" s="4" t="str">
        <f t="shared" si="11"/>
        <v>it s</v>
      </c>
      <c r="N737" s="4" cm="1">
        <f t="array" ref="N737">SUM(--(_xlfn.TEXTSPLIT($J$423,, " ") = M737))</f>
        <v>1</v>
      </c>
      <c r="O737">
        <v>1</v>
      </c>
      <c r="P737">
        <v>1</v>
      </c>
      <c r="Q737">
        <v>1</v>
      </c>
      <c r="S737" s="4"/>
      <c r="T737" s="10"/>
    </row>
    <row r="738" spans="5:20" x14ac:dyDescent="0.2">
      <c r="E738" s="4" t="s">
        <v>17</v>
      </c>
      <c r="K738" t="str">
        <v xml:space="preserve">stupid
</v>
      </c>
      <c r="L738" s="4" t="str">
        <f t="shared" si="11"/>
        <v xml:space="preserve">stupid </v>
      </c>
      <c r="N738" s="4" cm="1">
        <f t="array" ref="N738">SUM(--(_xlfn.TEXTSPLIT($J$423,, " ") = M738))</f>
        <v>1</v>
      </c>
      <c r="O738">
        <v>1</v>
      </c>
      <c r="P738">
        <v>1</v>
      </c>
      <c r="Q738">
        <v>1</v>
      </c>
      <c r="S738" s="4"/>
      <c r="T738" s="10"/>
    </row>
    <row r="739" spans="5:20" x14ac:dyDescent="0.2">
      <c r="E739" s="4" t="s">
        <v>17</v>
      </c>
      <c r="K739" t="str">
        <v>And</v>
      </c>
      <c r="L739" s="4" t="str">
        <f t="shared" si="11"/>
        <v>And</v>
      </c>
      <c r="N739" s="4" cm="1">
        <f t="array" ref="N739">SUM(--(_xlfn.TEXTSPLIT($J$423,, " ") = M739))</f>
        <v>1</v>
      </c>
      <c r="O739">
        <v>1</v>
      </c>
      <c r="P739">
        <v>1</v>
      </c>
      <c r="Q739">
        <v>1</v>
      </c>
      <c r="S739" s="4"/>
      <c r="T739" s="10"/>
    </row>
    <row r="740" spans="5:20" x14ac:dyDescent="0.2">
      <c r="E740" s="4" t="s">
        <v>17</v>
      </c>
      <c r="K740" t="str">
        <v>you</v>
      </c>
      <c r="L740" s="4" t="str">
        <f t="shared" si="11"/>
        <v>you</v>
      </c>
      <c r="N740" s="4" cm="1">
        <f t="array" ref="N740">SUM(--(_xlfn.TEXTSPLIT($J$423,, " ") = M740))</f>
        <v>1</v>
      </c>
      <c r="O740">
        <v>1</v>
      </c>
      <c r="P740">
        <v>1</v>
      </c>
      <c r="Q740">
        <v>1</v>
      </c>
      <c r="S740" s="4"/>
      <c r="T740" s="10"/>
    </row>
    <row r="741" spans="5:20" x14ac:dyDescent="0.2">
      <c r="E741" s="4" t="s">
        <v>17</v>
      </c>
      <c r="K741" t="str">
        <v>go,</v>
      </c>
      <c r="L741" s="4" t="str">
        <f t="shared" si="11"/>
        <v xml:space="preserve">go </v>
      </c>
      <c r="N741" s="4" cm="1">
        <f t="array" ref="N741">SUM(--(_xlfn.TEXTSPLIT($J$423,, " ") = M741))</f>
        <v>1</v>
      </c>
      <c r="O741">
        <v>1</v>
      </c>
      <c r="P741">
        <v>1</v>
      </c>
      <c r="Q741">
        <v>1</v>
      </c>
      <c r="S741" s="4"/>
      <c r="T741" s="10"/>
    </row>
    <row r="742" spans="5:20" x14ac:dyDescent="0.2">
      <c r="E742" s="4" t="s">
        <v>17</v>
      </c>
      <c r="K742" t="str">
        <v>ooh,</v>
      </c>
      <c r="L742" s="4" t="str">
        <f t="shared" si="11"/>
        <v xml:space="preserve">ooh </v>
      </c>
      <c r="N742" s="4" cm="1">
        <f t="array" ref="N742">SUM(--(_xlfn.TEXTSPLIT($J$423,, " ") = M742))</f>
        <v>1</v>
      </c>
      <c r="O742">
        <v>1</v>
      </c>
      <c r="P742">
        <v>1</v>
      </c>
      <c r="Q742">
        <v>1</v>
      </c>
      <c r="S742" s="4"/>
      <c r="T742" s="10"/>
    </row>
    <row r="743" spans="5:20" x14ac:dyDescent="0.2">
      <c r="E743" s="4" t="s">
        <v>17</v>
      </c>
      <c r="K743" t="str">
        <v>ooh,</v>
      </c>
      <c r="L743" s="4" t="str">
        <f t="shared" si="11"/>
        <v xml:space="preserve">ooh </v>
      </c>
      <c r="N743" s="4" cm="1">
        <f t="array" ref="N743">SUM(--(_xlfn.TEXTSPLIT($J$423,, " ") = M743))</f>
        <v>1</v>
      </c>
      <c r="O743">
        <v>1</v>
      </c>
      <c r="P743">
        <v>1</v>
      </c>
      <c r="Q743">
        <v>1</v>
      </c>
      <c r="S743" s="4"/>
      <c r="T743" s="10"/>
    </row>
    <row r="744" spans="5:20" x14ac:dyDescent="0.2">
      <c r="E744" s="4" t="s">
        <v>17</v>
      </c>
      <c r="K744" t="str">
        <v xml:space="preserve">ooh
</v>
      </c>
      <c r="L744" s="4" t="str">
        <f t="shared" si="11"/>
        <v xml:space="preserve">ooh </v>
      </c>
      <c r="N744" s="4" cm="1">
        <f t="array" ref="N744">SUM(--(_xlfn.TEXTSPLIT($J$423,, " ") = M744))</f>
        <v>1</v>
      </c>
      <c r="O744">
        <v>1</v>
      </c>
      <c r="P744">
        <v>1</v>
      </c>
      <c r="Q744">
        <v>1</v>
      </c>
      <c r="S744" s="4"/>
      <c r="T744" s="10"/>
    </row>
    <row r="745" spans="5:20" x14ac:dyDescent="0.2">
      <c r="E745" s="4" t="s">
        <v>17</v>
      </c>
      <c r="K745" t="str">
        <v>Wait,</v>
      </c>
      <c r="L745" s="4" t="str">
        <f t="shared" si="11"/>
        <v xml:space="preserve">Wait </v>
      </c>
      <c r="N745" s="4" cm="1">
        <f t="array" ref="N745">SUM(--(_xlfn.TEXTSPLIT($J$423,, " ") = M745))</f>
        <v>1</v>
      </c>
      <c r="O745">
        <v>1</v>
      </c>
      <c r="P745">
        <v>1</v>
      </c>
      <c r="Q745">
        <v>1</v>
      </c>
      <c r="S745" s="4"/>
      <c r="T745" s="10"/>
    </row>
    <row r="746" spans="5:20" x14ac:dyDescent="0.2">
      <c r="E746" s="4" t="s">
        <v>17</v>
      </c>
      <c r="K746" t="str">
        <v>who's</v>
      </c>
      <c r="L746" s="4" t="str">
        <f t="shared" si="11"/>
        <v>who s</v>
      </c>
      <c r="N746" s="4" cm="1">
        <f t="array" ref="N746">SUM(--(_xlfn.TEXTSPLIT($J$423,, " ") = M746))</f>
        <v>1</v>
      </c>
      <c r="O746">
        <v>1</v>
      </c>
      <c r="P746">
        <v>1</v>
      </c>
      <c r="Q746">
        <v>1</v>
      </c>
      <c r="S746" s="4"/>
      <c r="T746" s="10"/>
    </row>
    <row r="747" spans="5:20" x14ac:dyDescent="0.2">
      <c r="E747" s="4" t="s">
        <v>17</v>
      </c>
      <c r="K747" t="str">
        <v>the</v>
      </c>
      <c r="L747" s="4" t="str">
        <f t="shared" si="11"/>
        <v>the</v>
      </c>
      <c r="N747" s="4" cm="1">
        <f t="array" ref="N747">SUM(--(_xlfn.TEXTSPLIT($J$423,, " ") = M747))</f>
        <v>1</v>
      </c>
      <c r="O747">
        <v>1</v>
      </c>
      <c r="P747">
        <v>1</v>
      </c>
      <c r="Q747">
        <v>1</v>
      </c>
      <c r="S747" s="4"/>
      <c r="T747" s="10"/>
    </row>
    <row r="748" spans="5:20" x14ac:dyDescent="0.2">
      <c r="E748" s="4" t="s">
        <v>17</v>
      </c>
      <c r="K748" t="str">
        <v>new</v>
      </c>
      <c r="L748" s="4" t="str">
        <f t="shared" si="11"/>
        <v>new</v>
      </c>
      <c r="N748" s="4" cm="1">
        <f t="array" ref="N748">SUM(--(_xlfn.TEXTSPLIT($J$423,, " ") = M748))</f>
        <v>1</v>
      </c>
      <c r="O748">
        <v>1</v>
      </c>
      <c r="P748">
        <v>1</v>
      </c>
      <c r="Q748">
        <v>1</v>
      </c>
      <c r="S748" s="4"/>
      <c r="T748" s="10"/>
    </row>
    <row r="749" spans="5:20" x14ac:dyDescent="0.2">
      <c r="E749" s="4" t="s">
        <v>17</v>
      </c>
      <c r="K749" t="str">
        <v>kid?</v>
      </c>
      <c r="L749" s="4" t="str">
        <f t="shared" si="11"/>
        <v xml:space="preserve">kid </v>
      </c>
      <c r="N749" s="4" cm="1">
        <f t="array" ref="N749">SUM(--(_xlfn.TEXTSPLIT($J$423,, " ") = M749))</f>
        <v>1</v>
      </c>
      <c r="O749">
        <v>1</v>
      </c>
      <c r="P749">
        <v>1</v>
      </c>
      <c r="Q749">
        <v>1</v>
      </c>
      <c r="S749" s="4"/>
      <c r="T749" s="10"/>
    </row>
    <row r="750" spans="5:20" x14ac:dyDescent="0.2">
      <c r="E750" s="4" t="s">
        <v>17</v>
      </c>
      <c r="K750" t="str">
        <v>(Never</v>
      </c>
      <c r="L750" s="4" t="str">
        <f t="shared" si="11"/>
        <v xml:space="preserve"> Never</v>
      </c>
      <c r="N750" s="4" cm="1">
        <f t="array" ref="N750">SUM(--(_xlfn.TEXTSPLIT($J$423,, " ") = M750))</f>
        <v>1</v>
      </c>
      <c r="O750">
        <v>1</v>
      </c>
      <c r="P750">
        <v>1</v>
      </c>
      <c r="Q750">
        <v>1</v>
      </c>
      <c r="S750" s="4"/>
      <c r="T750" s="10"/>
    </row>
    <row r="751" spans="5:20" x14ac:dyDescent="0.2">
      <c r="E751" s="4" t="s">
        <v>17</v>
      </c>
      <c r="K751" t="str">
        <v>slowing</v>
      </c>
      <c r="L751" s="4" t="str">
        <f t="shared" si="11"/>
        <v>slowing</v>
      </c>
      <c r="N751" s="4" cm="1">
        <f t="array" ref="N751">SUM(--(_xlfn.TEXTSPLIT($J$423,, " ") = M751))</f>
        <v>1</v>
      </c>
      <c r="O751">
        <v>1</v>
      </c>
      <c r="P751">
        <v>1</v>
      </c>
      <c r="Q751">
        <v>1</v>
      </c>
      <c r="S751" s="4"/>
      <c r="T751" s="10"/>
    </row>
    <row r="752" spans="5:20" x14ac:dyDescent="0.2">
      <c r="E752" s="4" t="s">
        <v>17</v>
      </c>
      <c r="K752" t="str">
        <v xml:space="preserve">down)
</v>
      </c>
      <c r="L752" s="4" t="str">
        <f t="shared" si="11"/>
        <v xml:space="preserve">down  </v>
      </c>
      <c r="N752" s="4" cm="1">
        <f t="array" ref="N752">SUM(--(_xlfn.TEXTSPLIT($J$423,, " ") = M752))</f>
        <v>1</v>
      </c>
      <c r="O752">
        <v>1</v>
      </c>
      <c r="P752">
        <v>1</v>
      </c>
      <c r="Q752">
        <v>1</v>
      </c>
      <c r="S752" s="4"/>
      <c r="T752" s="10"/>
    </row>
    <row r="753" spans="5:20" x14ac:dyDescent="0.2">
      <c r="E753" s="4" t="s">
        <v>17</v>
      </c>
      <c r="K753" t="str">
        <v>And</v>
      </c>
      <c r="L753" s="4" t="str">
        <f t="shared" si="11"/>
        <v>And</v>
      </c>
      <c r="N753" s="4" cm="1">
        <f t="array" ref="N753">SUM(--(_xlfn.TEXTSPLIT($J$423,, " ") = M753))</f>
        <v>1</v>
      </c>
      <c r="O753">
        <v>1</v>
      </c>
      <c r="P753">
        <v>1</v>
      </c>
      <c r="Q753">
        <v>1</v>
      </c>
      <c r="S753" s="4"/>
      <c r="T753" s="10"/>
    </row>
    <row r="754" spans="5:20" x14ac:dyDescent="0.2">
      <c r="E754" s="4" t="s">
        <v>17</v>
      </c>
      <c r="K754" t="str">
        <v>you</v>
      </c>
      <c r="L754" s="4" t="str">
        <f t="shared" si="11"/>
        <v>you</v>
      </c>
      <c r="N754" s="4" cm="1">
        <f t="array" ref="N754">SUM(--(_xlfn.TEXTSPLIT($J$423,, " ") = M754))</f>
        <v>1</v>
      </c>
      <c r="O754">
        <v>1</v>
      </c>
      <c r="P754">
        <v>1</v>
      </c>
      <c r="Q754">
        <v>1</v>
      </c>
      <c r="S754" s="4"/>
      <c r="T754" s="10"/>
    </row>
    <row r="755" spans="5:20" x14ac:dyDescent="0.2">
      <c r="E755" s="4" t="s">
        <v>17</v>
      </c>
      <c r="K755" t="str">
        <v>go,</v>
      </c>
      <c r="L755" s="4" t="str">
        <f t="shared" si="11"/>
        <v xml:space="preserve">go </v>
      </c>
      <c r="N755" s="4" cm="1">
        <f t="array" ref="N755">SUM(--(_xlfn.TEXTSPLIT($J$423,, " ") = M755))</f>
        <v>1</v>
      </c>
      <c r="O755">
        <v>1</v>
      </c>
      <c r="P755">
        <v>1</v>
      </c>
      <c r="Q755">
        <v>1</v>
      </c>
      <c r="S755" s="4"/>
      <c r="T755" s="10"/>
    </row>
    <row r="756" spans="5:20" x14ac:dyDescent="0.2">
      <c r="E756" s="4" t="s">
        <v>17</v>
      </c>
      <c r="K756" t="str">
        <v>ah,</v>
      </c>
      <c r="L756" s="4" t="str">
        <f t="shared" si="11"/>
        <v xml:space="preserve">ah </v>
      </c>
      <c r="N756" s="4" cm="1">
        <f t="array" ref="N756">SUM(--(_xlfn.TEXTSPLIT($J$423,, " ") = M756))</f>
        <v>1</v>
      </c>
      <c r="O756">
        <v>1</v>
      </c>
      <c r="P756">
        <v>1</v>
      </c>
      <c r="Q756">
        <v>1</v>
      </c>
      <c r="S756" s="4"/>
      <c r="T756" s="10"/>
    </row>
    <row r="757" spans="5:20" x14ac:dyDescent="0.2">
      <c r="E757" s="4" t="s">
        <v>17</v>
      </c>
      <c r="K757" t="str">
        <v>ah,</v>
      </c>
      <c r="L757" s="4" t="str">
        <f t="shared" si="11"/>
        <v xml:space="preserve">ah </v>
      </c>
      <c r="N757" s="4" cm="1">
        <f t="array" ref="N757">SUM(--(_xlfn.TEXTSPLIT($J$423,, " ") = M757))</f>
        <v>1</v>
      </c>
      <c r="O757">
        <v>1</v>
      </c>
      <c r="P757">
        <v>1</v>
      </c>
      <c r="Q757">
        <v>1</v>
      </c>
      <c r="S757" s="4"/>
      <c r="T757" s="10"/>
    </row>
    <row r="758" spans="5:20" x14ac:dyDescent="0.2">
      <c r="E758" s="4" t="s">
        <v>17</v>
      </c>
      <c r="K758" t="str">
        <v xml:space="preserve">ah
</v>
      </c>
      <c r="L758" s="4" t="str">
        <f t="shared" si="11"/>
        <v xml:space="preserve">ah </v>
      </c>
      <c r="N758" s="4" cm="1">
        <f t="array" ref="N758">SUM(--(_xlfn.TEXTSPLIT($J$423,, " ") = M758))</f>
        <v>1</v>
      </c>
      <c r="O758">
        <v>1</v>
      </c>
      <c r="P758">
        <v>1</v>
      </c>
      <c r="Q758">
        <v>1</v>
      </c>
      <c r="S758" s="4"/>
      <c r="T758" s="10"/>
    </row>
    <row r="759" spans="5:20" x14ac:dyDescent="0.2">
      <c r="E759" s="4" t="s">
        <v>17</v>
      </c>
      <c r="K759" t="str">
        <v>Not</v>
      </c>
      <c r="L759" s="4" t="str">
        <f t="shared" si="11"/>
        <v>Not</v>
      </c>
      <c r="N759" s="4" cm="1">
        <f t="array" ref="N759">SUM(--(_xlfn.TEXTSPLIT($J$423,, " ") = M759))</f>
        <v>1</v>
      </c>
      <c r="O759">
        <v>1</v>
      </c>
      <c r="P759">
        <v>1</v>
      </c>
      <c r="Q759">
        <v>1</v>
      </c>
      <c r="S759" s="4"/>
      <c r="T759" s="10"/>
    </row>
    <row r="760" spans="5:20" x14ac:dyDescent="0.2">
      <c r="E760" s="4" t="s">
        <v>17</v>
      </c>
      <c r="K760" t="str">
        <v>getting</v>
      </c>
      <c r="L760" s="4" t="str">
        <f t="shared" si="11"/>
        <v>getting</v>
      </c>
      <c r="N760" s="4" cm="1">
        <f t="array" ref="N760">SUM(--(_xlfn.TEXTSPLIT($J$423,, " ") = M760))</f>
        <v>1</v>
      </c>
      <c r="O760">
        <v>1</v>
      </c>
      <c r="P760">
        <v>1</v>
      </c>
      <c r="Q760">
        <v>1</v>
      </c>
      <c r="S760" s="4"/>
      <c r="T760" s="10"/>
    </row>
    <row r="761" spans="5:20" x14ac:dyDescent="0.2">
      <c r="E761" s="4" t="s">
        <v>17</v>
      </c>
      <c r="K761" t="str">
        <v xml:space="preserve">stronger
</v>
      </c>
      <c r="L761" s="4" t="str">
        <f t="shared" si="11"/>
        <v xml:space="preserve">stronger </v>
      </c>
      <c r="N761" s="4" cm="1">
        <f t="array" ref="N761">SUM(--(_xlfn.TEXTSPLIT($J$423,, " ") = M761))</f>
        <v>1</v>
      </c>
      <c r="O761">
        <v>1</v>
      </c>
      <c r="P761">
        <v>1</v>
      </c>
      <c r="Q761">
        <v>1</v>
      </c>
      <c r="S761" s="4"/>
      <c r="T761" s="10"/>
    </row>
    <row r="762" spans="5:20" x14ac:dyDescent="0.2">
      <c r="E762" s="4" t="s">
        <v>17</v>
      </c>
      <c r="K762" t="str">
        <v>And</v>
      </c>
      <c r="L762" s="4" t="str">
        <f t="shared" si="11"/>
        <v>And</v>
      </c>
      <c r="N762" s="4" cm="1">
        <f t="array" ref="N762">SUM(--(_xlfn.TEXTSPLIT($J$423,, " ") = M762))</f>
        <v>1</v>
      </c>
      <c r="O762">
        <v>1</v>
      </c>
      <c r="P762">
        <v>1</v>
      </c>
      <c r="Q762">
        <v>1</v>
      </c>
      <c r="S762" s="4"/>
      <c r="T762" s="10"/>
    </row>
    <row r="763" spans="5:20" x14ac:dyDescent="0.2">
      <c r="E763" s="4" t="s">
        <v>17</v>
      </c>
      <c r="K763" t="str">
        <v>now</v>
      </c>
      <c r="L763" s="4" t="str">
        <f t="shared" si="11"/>
        <v>now</v>
      </c>
      <c r="N763" s="4" cm="1">
        <f t="array" ref="N763">SUM(--(_xlfn.TEXTSPLIT($J$423,, " ") = M763))</f>
        <v>1</v>
      </c>
      <c r="O763">
        <v>1</v>
      </c>
      <c r="P763">
        <v>1</v>
      </c>
      <c r="Q763">
        <v>1</v>
      </c>
      <c r="S763" s="4"/>
      <c r="T763" s="10"/>
    </row>
    <row r="764" spans="5:20" x14ac:dyDescent="0.2">
      <c r="E764" s="4" t="s">
        <v>17</v>
      </c>
      <c r="K764" t="str">
        <v>I</v>
      </c>
      <c r="L764" s="4" t="str">
        <f t="shared" si="11"/>
        <v>I</v>
      </c>
      <c r="N764" s="4" cm="1">
        <f t="array" ref="N764">SUM(--(_xlfn.TEXTSPLIT($J$423,, " ") = M764))</f>
        <v>1</v>
      </c>
      <c r="O764">
        <v>1</v>
      </c>
      <c r="P764">
        <v>1</v>
      </c>
      <c r="Q764">
        <v>1</v>
      </c>
      <c r="S764" s="4"/>
      <c r="T764" s="10"/>
    </row>
    <row r="765" spans="5:20" x14ac:dyDescent="0.2">
      <c r="E765" s="4" t="s">
        <v>17</v>
      </c>
      <c r="K765" t="str">
        <v>can't</v>
      </c>
      <c r="L765" s="4" t="str">
        <f t="shared" si="11"/>
        <v>can t</v>
      </c>
      <c r="N765" s="4" cm="1">
        <f t="array" ref="N765">SUM(--(_xlfn.TEXTSPLIT($J$423,, " ") = M765))</f>
        <v>1</v>
      </c>
      <c r="O765">
        <v>1</v>
      </c>
      <c r="P765">
        <v>1</v>
      </c>
      <c r="Q765">
        <v>1</v>
      </c>
      <c r="S765" s="4"/>
      <c r="T765" s="10"/>
    </row>
    <row r="766" spans="5:20" x14ac:dyDescent="0.2">
      <c r="E766" s="4" t="s">
        <v>17</v>
      </c>
      <c r="K766" t="str">
        <v>seem</v>
      </c>
      <c r="L766" s="4" t="str">
        <f t="shared" si="11"/>
        <v>seem</v>
      </c>
      <c r="N766" s="4" cm="1">
        <f t="array" ref="N766">SUM(--(_xlfn.TEXTSPLIT($J$423,, " ") = M766))</f>
        <v>1</v>
      </c>
      <c r="O766">
        <v>1</v>
      </c>
      <c r="P766">
        <v>1</v>
      </c>
      <c r="Q766">
        <v>1</v>
      </c>
      <c r="S766" s="4"/>
      <c r="T766" s="10"/>
    </row>
    <row r="767" spans="5:20" x14ac:dyDescent="0.2">
      <c r="E767" s="4" t="s">
        <v>17</v>
      </c>
      <c r="K767" t="str">
        <v>to</v>
      </c>
      <c r="L767" s="4" t="str">
        <f t="shared" si="11"/>
        <v>to</v>
      </c>
      <c r="N767" s="4" cm="1">
        <f t="array" ref="N767">SUM(--(_xlfn.TEXTSPLIT($J$423,, " ") = M767))</f>
        <v>1</v>
      </c>
      <c r="O767">
        <v>1</v>
      </c>
      <c r="P767">
        <v>1</v>
      </c>
      <c r="Q767">
        <v>1</v>
      </c>
      <c r="S767" s="4"/>
      <c r="T767" s="10"/>
    </row>
    <row r="768" spans="5:20" x14ac:dyDescent="0.2">
      <c r="E768" s="4" t="s">
        <v>17</v>
      </c>
      <c r="K768" t="str">
        <v>sit</v>
      </c>
      <c r="L768" s="4" t="str">
        <f t="shared" si="11"/>
        <v>sit</v>
      </c>
      <c r="N768" s="4" cm="1">
        <f t="array" ref="N768">SUM(--(_xlfn.TEXTSPLIT($J$423,, " ") = M768))</f>
        <v>1</v>
      </c>
      <c r="O768">
        <v>1</v>
      </c>
      <c r="P768">
        <v>1</v>
      </c>
      <c r="Q768">
        <v>1</v>
      </c>
      <c r="S768" s="4"/>
      <c r="T768" s="10"/>
    </row>
    <row r="769" spans="5:20" x14ac:dyDescent="0.2">
      <c r="E769" s="4" t="s">
        <v>17</v>
      </c>
      <c r="K769" t="str">
        <v>still</v>
      </c>
      <c r="L769" s="4" t="str">
        <f t="shared" si="11"/>
        <v>still</v>
      </c>
      <c r="N769" s="4" cm="1">
        <f t="array" ref="N769">SUM(--(_xlfn.TEXTSPLIT($J$423,, " ") = M769))</f>
        <v>1</v>
      </c>
      <c r="O769">
        <v>1</v>
      </c>
      <c r="P769">
        <v>1</v>
      </c>
      <c r="Q769">
        <v>1</v>
      </c>
      <c r="S769" s="4"/>
      <c r="T769" s="10"/>
    </row>
    <row r="770" spans="5:20" x14ac:dyDescent="0.2">
      <c r="E770" s="4" t="s">
        <v>17</v>
      </c>
      <c r="K770" t="str">
        <v>any</v>
      </c>
      <c r="L770" s="4" t="str">
        <f t="shared" si="11"/>
        <v>any</v>
      </c>
      <c r="N770" s="4" cm="1">
        <f t="array" ref="N770">SUM(--(_xlfn.TEXTSPLIT($J$423,, " ") = M770))</f>
        <v>1</v>
      </c>
      <c r="O770">
        <v>1</v>
      </c>
      <c r="P770">
        <v>1</v>
      </c>
      <c r="Q770">
        <v>1</v>
      </c>
      <c r="S770" s="4"/>
      <c r="T770" s="10"/>
    </row>
    <row r="771" spans="5:20" x14ac:dyDescent="0.2">
      <c r="E771" s="4" t="s">
        <v>17</v>
      </c>
      <c r="K771" t="str">
        <v xml:space="preserve">longer
</v>
      </c>
      <c r="L771" s="4" t="str">
        <f t="shared" si="11"/>
        <v xml:space="preserve">longer  </v>
      </c>
      <c r="N771" s="4" cm="1">
        <f t="array" ref="N771">SUM(--(_xlfn.TEXTSPLIT($J$423,, " ") = M771))</f>
        <v>1</v>
      </c>
      <c r="O771">
        <v>1</v>
      </c>
      <c r="P771">
        <v>1</v>
      </c>
      <c r="Q771">
        <v>1</v>
      </c>
      <c r="S771" s="4"/>
      <c r="T771" s="10"/>
    </row>
    <row r="772" spans="5:20" x14ac:dyDescent="0.2">
      <c r="E772" s="4" t="s">
        <v>17</v>
      </c>
      <c r="K772" t="str">
        <v>Raw</v>
      </c>
      <c r="L772" s="4" t="str">
        <f t="shared" ref="L772:L835" si="12">_xlfn.REGEXREPLACE(K772, "[^A-Za-z ]", " ")</f>
        <v>Raw</v>
      </c>
      <c r="N772" s="4" cm="1">
        <f t="array" ref="N772">SUM(--(_xlfn.TEXTSPLIT($J$423,, " ") = M772))</f>
        <v>1</v>
      </c>
      <c r="O772">
        <v>1</v>
      </c>
      <c r="P772">
        <v>1</v>
      </c>
      <c r="Q772">
        <v>1</v>
      </c>
      <c r="S772" s="4"/>
      <c r="T772" s="10"/>
    </row>
    <row r="773" spans="5:20" x14ac:dyDescent="0.2">
      <c r="E773" s="4" t="s">
        <v>17</v>
      </c>
      <c r="K773" t="str">
        <v>fear</v>
      </c>
      <c r="L773" s="4" t="str">
        <f t="shared" si="12"/>
        <v>fear</v>
      </c>
      <c r="N773" s="4" cm="1">
        <f t="array" ref="N773">SUM(--(_xlfn.TEXTSPLIT($J$423,, " ") = M773))</f>
        <v>1</v>
      </c>
      <c r="O773">
        <v>1</v>
      </c>
      <c r="P773">
        <v>1</v>
      </c>
      <c r="Q773">
        <v>1</v>
      </c>
      <c r="S773" s="4"/>
      <c r="T773" s="10"/>
    </row>
    <row r="774" spans="5:20" x14ac:dyDescent="0.2">
      <c r="E774" s="4" t="s">
        <v>17</v>
      </c>
      <c r="K774" t="str">
        <v>moves</v>
      </c>
      <c r="L774" s="4" t="str">
        <f t="shared" si="12"/>
        <v>moves</v>
      </c>
      <c r="N774" s="4" cm="1">
        <f t="array" ref="N774">SUM(--(_xlfn.TEXTSPLIT($J$423,, " ") = M774))</f>
        <v>1</v>
      </c>
      <c r="O774">
        <v>1</v>
      </c>
      <c r="P774">
        <v>1</v>
      </c>
      <c r="Q774">
        <v>1</v>
      </c>
      <c r="S774" s="4"/>
      <c r="T774" s="10"/>
    </row>
    <row r="775" spans="5:20" x14ac:dyDescent="0.2">
      <c r="E775" s="4" t="s">
        <v>17</v>
      </c>
      <c r="K775" t="str">
        <v>me,</v>
      </c>
      <c r="L775" s="4" t="str">
        <f t="shared" si="12"/>
        <v xml:space="preserve">me </v>
      </c>
      <c r="N775" s="4" cm="1">
        <f t="array" ref="N775">SUM(--(_xlfn.TEXTSPLIT($J$423,, " ") = M775))</f>
        <v>1</v>
      </c>
      <c r="O775">
        <v>1</v>
      </c>
      <c r="P775">
        <v>1</v>
      </c>
      <c r="Q775">
        <v>1</v>
      </c>
      <c r="S775" s="4"/>
      <c r="T775" s="10"/>
    </row>
    <row r="776" spans="5:20" x14ac:dyDescent="0.2">
      <c r="E776" s="4" t="s">
        <v>17</v>
      </c>
      <c r="K776" t="str">
        <v>sounds</v>
      </c>
      <c r="L776" s="4" t="str">
        <f t="shared" si="12"/>
        <v>sounds</v>
      </c>
      <c r="N776" s="4" cm="1">
        <f t="array" ref="N776">SUM(--(_xlfn.TEXTSPLIT($J$423,, " ") = M776))</f>
        <v>1</v>
      </c>
      <c r="O776">
        <v>1</v>
      </c>
      <c r="P776">
        <v>1</v>
      </c>
      <c r="Q776">
        <v>1</v>
      </c>
      <c r="S776" s="4"/>
      <c r="T776" s="10"/>
    </row>
    <row r="777" spans="5:20" x14ac:dyDescent="0.2">
      <c r="E777" s="4" t="s">
        <v>17</v>
      </c>
      <c r="K777" t="str">
        <v>of</v>
      </c>
      <c r="L777" s="4" t="str">
        <f t="shared" si="12"/>
        <v>of</v>
      </c>
      <c r="N777" s="4" cm="1">
        <f t="array" ref="N777">SUM(--(_xlfn.TEXTSPLIT($J$423,, " ") = M777))</f>
        <v>1</v>
      </c>
      <c r="O777">
        <v>1</v>
      </c>
      <c r="P777">
        <v>1</v>
      </c>
      <c r="Q777">
        <v>1</v>
      </c>
      <c r="S777" s="4"/>
      <c r="T777" s="10"/>
    </row>
    <row r="778" spans="5:20" x14ac:dyDescent="0.2">
      <c r="E778" s="4" t="s">
        <v>17</v>
      </c>
      <c r="K778" t="str">
        <v>empty</v>
      </c>
      <c r="L778" s="4" t="str">
        <f t="shared" si="12"/>
        <v>empty</v>
      </c>
      <c r="N778" s="4" cm="1">
        <f t="array" ref="N778">SUM(--(_xlfn.TEXTSPLIT($J$423,, " ") = M778))</f>
        <v>1</v>
      </c>
      <c r="O778">
        <v>1</v>
      </c>
      <c r="P778">
        <v>1</v>
      </c>
      <c r="Q778">
        <v>1</v>
      </c>
      <c r="S778" s="4"/>
      <c r="T778" s="10"/>
    </row>
    <row r="779" spans="5:20" x14ac:dyDescent="0.2">
      <c r="E779" s="4" t="s">
        <v>17</v>
      </c>
      <c r="K779" t="str">
        <v>Uzis</v>
      </c>
      <c r="L779" s="4" t="str">
        <f t="shared" si="12"/>
        <v>Uzis</v>
      </c>
      <c r="N779" s="4" cm="1">
        <f t="array" ref="N779">SUM(--(_xlfn.TEXTSPLIT($J$423,, " ") = M779))</f>
        <v>1</v>
      </c>
      <c r="O779">
        <v>1</v>
      </c>
      <c r="P779">
        <v>1</v>
      </c>
      <c r="Q779">
        <v>1</v>
      </c>
      <c r="S779" s="4"/>
      <c r="T779" s="10"/>
    </row>
    <row r="780" spans="5:20" x14ac:dyDescent="0.2">
      <c r="E780" s="4" t="s">
        <v>17</v>
      </c>
      <c r="K780" t="str">
        <v>(Ah,</v>
      </c>
      <c r="L780" s="4" t="str">
        <f t="shared" si="12"/>
        <v xml:space="preserve"> Ah </v>
      </c>
      <c r="N780" s="4" cm="1">
        <f t="array" ref="N780">SUM(--(_xlfn.TEXTSPLIT($J$423,, " ") = M780))</f>
        <v>1</v>
      </c>
      <c r="O780">
        <v>1</v>
      </c>
      <c r="P780">
        <v>1</v>
      </c>
      <c r="Q780">
        <v>1</v>
      </c>
      <c r="S780" s="4"/>
      <c r="T780" s="10"/>
    </row>
    <row r="781" spans="5:20" x14ac:dyDescent="0.2">
      <c r="E781" s="4" t="s">
        <v>17</v>
      </c>
      <c r="K781" t="str">
        <v>ah,</v>
      </c>
      <c r="L781" s="4" t="str">
        <f t="shared" si="12"/>
        <v xml:space="preserve">ah </v>
      </c>
      <c r="N781" s="4" cm="1">
        <f t="array" ref="N781">SUM(--(_xlfn.TEXTSPLIT($J$423,, " ") = M781))</f>
        <v>1</v>
      </c>
      <c r="O781">
        <v>1</v>
      </c>
      <c r="P781">
        <v>1</v>
      </c>
      <c r="Q781">
        <v>1</v>
      </c>
      <c r="S781" s="4"/>
      <c r="T781" s="10"/>
    </row>
    <row r="782" spans="5:20" x14ac:dyDescent="0.2">
      <c r="E782" s="4" t="s">
        <v>17</v>
      </c>
      <c r="K782" t="str">
        <v xml:space="preserve">ah)
</v>
      </c>
      <c r="L782" s="4" t="str">
        <f t="shared" si="12"/>
        <v xml:space="preserve">ah  </v>
      </c>
      <c r="N782" s="4" cm="1">
        <f t="array" ref="N782">SUM(--(_xlfn.TEXTSPLIT($J$423,, " ") = M782))</f>
        <v>1</v>
      </c>
      <c r="O782">
        <v>1</v>
      </c>
      <c r="P782">
        <v>1</v>
      </c>
      <c r="Q782">
        <v>1</v>
      </c>
      <c r="S782" s="4"/>
      <c r="T782" s="10"/>
    </row>
    <row r="783" spans="5:20" x14ac:dyDescent="0.2">
      <c r="E783" s="4" t="s">
        <v>17</v>
      </c>
      <c r="K783" t="str">
        <v>Life</v>
      </c>
      <c r="L783" s="4" t="str">
        <f t="shared" si="12"/>
        <v>Life</v>
      </c>
      <c r="N783" s="4" cm="1">
        <f t="array" ref="N783">SUM(--(_xlfn.TEXTSPLIT($J$423,, " ") = M783))</f>
        <v>1</v>
      </c>
      <c r="O783">
        <v>1</v>
      </c>
      <c r="P783">
        <v>1</v>
      </c>
      <c r="Q783">
        <v>1</v>
      </c>
      <c r="S783" s="4"/>
      <c r="T783" s="10"/>
    </row>
    <row r="784" spans="5:20" x14ac:dyDescent="0.2">
      <c r="E784" s="4" t="s">
        <v>17</v>
      </c>
      <c r="K784" t="str">
        <v>is</v>
      </c>
      <c r="L784" s="4" t="str">
        <f t="shared" si="12"/>
        <v>is</v>
      </c>
      <c r="N784" s="4" cm="1">
        <f t="array" ref="N784">SUM(--(_xlfn.TEXTSPLIT($J$423,, " ") = M784))</f>
        <v>1</v>
      </c>
      <c r="O784">
        <v>1</v>
      </c>
      <c r="P784">
        <v>1</v>
      </c>
      <c r="Q784">
        <v>1</v>
      </c>
      <c r="S784" s="4"/>
      <c r="T784" s="10"/>
    </row>
    <row r="785" spans="5:20" x14ac:dyDescent="0.2">
      <c r="E785" s="4" t="s">
        <v>17</v>
      </c>
      <c r="K785" t="str">
        <v>just</v>
      </c>
      <c r="L785" s="4" t="str">
        <f t="shared" si="12"/>
        <v>just</v>
      </c>
      <c r="N785" s="4" cm="1">
        <f t="array" ref="N785">SUM(--(_xlfn.TEXTSPLIT($J$423,, " ") = M785))</f>
        <v>1</v>
      </c>
      <c r="O785">
        <v>1</v>
      </c>
      <c r="P785">
        <v>1</v>
      </c>
      <c r="Q785">
        <v>1</v>
      </c>
      <c r="S785" s="4"/>
      <c r="T785" s="10"/>
    </row>
    <row r="786" spans="5:20" x14ac:dyDescent="0.2">
      <c r="E786" s="4" t="s">
        <v>17</v>
      </c>
      <c r="K786" t="str">
        <v>forever</v>
      </c>
      <c r="L786" s="4" t="str">
        <f t="shared" si="12"/>
        <v>forever</v>
      </c>
      <c r="N786" s="4" cm="1">
        <f t="array" ref="N786">SUM(--(_xlfn.TEXTSPLIT($J$423,, " ") = M786))</f>
        <v>1</v>
      </c>
      <c r="O786">
        <v>1</v>
      </c>
      <c r="P786">
        <v>1</v>
      </c>
      <c r="Q786">
        <v>1</v>
      </c>
      <c r="S786" s="4"/>
      <c r="T786" s="10"/>
    </row>
    <row r="787" spans="5:20" x14ac:dyDescent="0.2">
      <c r="E787" s="4" t="s">
        <v>17</v>
      </c>
      <c r="K787" t="str">
        <v>nipping</v>
      </c>
      <c r="L787" s="4" t="str">
        <f t="shared" si="12"/>
        <v>nipping</v>
      </c>
      <c r="N787" s="4" cm="1">
        <f t="array" ref="N787">SUM(--(_xlfn.TEXTSPLIT($J$423,, " ") = M787))</f>
        <v>1</v>
      </c>
      <c r="O787">
        <v>1</v>
      </c>
      <c r="P787">
        <v>1</v>
      </c>
      <c r="Q787">
        <v>1</v>
      </c>
      <c r="S787" s="4"/>
      <c r="T787" s="10"/>
    </row>
    <row r="788" spans="5:20" x14ac:dyDescent="0.2">
      <c r="E788" s="4" t="s">
        <v>17</v>
      </c>
      <c r="K788" t="str">
        <v>heels,</v>
      </c>
      <c r="L788" s="4" t="str">
        <f t="shared" si="12"/>
        <v xml:space="preserve">heels </v>
      </c>
      <c r="N788" s="4" cm="1">
        <f t="array" ref="N788">SUM(--(_xlfn.TEXTSPLIT($J$423,, " ") = M788))</f>
        <v>1</v>
      </c>
      <c r="O788">
        <v>1</v>
      </c>
      <c r="P788">
        <v>1</v>
      </c>
      <c r="Q788">
        <v>1</v>
      </c>
      <c r="S788" s="4"/>
      <c r="T788" s="10"/>
    </row>
    <row r="789" spans="5:20" x14ac:dyDescent="0.2">
      <c r="E789" s="4" t="s">
        <v>17</v>
      </c>
      <c r="K789" t="str">
        <v>never</v>
      </c>
      <c r="L789" s="4" t="str">
        <f t="shared" si="12"/>
        <v>never</v>
      </c>
      <c r="N789" s="4" cm="1">
        <f t="array" ref="N789">SUM(--(_xlfn.TEXTSPLIT($J$423,, " ") = M789))</f>
        <v>1</v>
      </c>
      <c r="O789">
        <v>1</v>
      </c>
      <c r="P789">
        <v>1</v>
      </c>
      <c r="Q789">
        <v>1</v>
      </c>
      <c r="S789" s="4"/>
      <c r="T789" s="10"/>
    </row>
    <row r="790" spans="5:20" x14ac:dyDescent="0.2">
      <c r="E790" s="4" t="s">
        <v>17</v>
      </c>
      <c r="K790" t="str">
        <v>slowing</v>
      </c>
      <c r="L790" s="4" t="str">
        <f t="shared" si="12"/>
        <v>slowing</v>
      </c>
      <c r="N790" s="4" cm="1">
        <f t="array" ref="N790">SUM(--(_xlfn.TEXTSPLIT($J$423,, " ") = M790))</f>
        <v>1</v>
      </c>
      <c r="O790">
        <v>1</v>
      </c>
      <c r="P790">
        <v>1</v>
      </c>
      <c r="Q790">
        <v>1</v>
      </c>
      <c r="S790" s="4"/>
      <c r="T790" s="10"/>
    </row>
    <row r="791" spans="5:20" x14ac:dyDescent="0.2">
      <c r="E791" s="4" t="s">
        <v>17</v>
      </c>
      <c r="K791" t="str">
        <v xml:space="preserve">down
</v>
      </c>
      <c r="L791" s="4" t="str">
        <f t="shared" si="12"/>
        <v xml:space="preserve">down </v>
      </c>
      <c r="N791" s="4" cm="1">
        <f t="array" ref="N791">SUM(--(_xlfn.TEXTSPLIT($J$423,, " ") = M791))</f>
        <v>1</v>
      </c>
      <c r="O791">
        <v>1</v>
      </c>
      <c r="P791">
        <v>1</v>
      </c>
      <c r="Q791">
        <v>1</v>
      </c>
      <c r="S791" s="4"/>
      <c r="T791" s="10"/>
    </row>
    <row r="792" spans="5:20" x14ac:dyDescent="0.2">
      <c r="E792" s="4" t="s">
        <v>17</v>
      </c>
      <c r="K792" t="str">
        <v>Raw</v>
      </c>
      <c r="L792" s="4" t="str">
        <f t="shared" si="12"/>
        <v>Raw</v>
      </c>
      <c r="N792" s="4" cm="1">
        <f t="array" ref="N792">SUM(--(_xlfn.TEXTSPLIT($J$423,, " ") = M792))</f>
        <v>1</v>
      </c>
      <c r="O792">
        <v>1</v>
      </c>
      <c r="P792">
        <v>1</v>
      </c>
      <c r="Q792">
        <v>1</v>
      </c>
      <c r="S792" s="4"/>
      <c r="T792" s="10"/>
    </row>
    <row r="793" spans="5:20" x14ac:dyDescent="0.2">
      <c r="E793" s="4" t="s">
        <v>17</v>
      </c>
      <c r="K793" t="str">
        <v>fear</v>
      </c>
      <c r="L793" s="4" t="str">
        <f t="shared" si="12"/>
        <v>fear</v>
      </c>
      <c r="N793" s="4" cm="1">
        <f t="array" ref="N793">SUM(--(_xlfn.TEXTSPLIT($J$423,, " ") = M793))</f>
        <v>1</v>
      </c>
      <c r="O793">
        <v>1</v>
      </c>
      <c r="P793">
        <v>1</v>
      </c>
      <c r="Q793">
        <v>1</v>
      </c>
      <c r="S793" s="4"/>
      <c r="T793" s="10"/>
    </row>
    <row r="794" spans="5:20" x14ac:dyDescent="0.2">
      <c r="E794" s="4" t="s">
        <v>17</v>
      </c>
      <c r="K794" t="str">
        <v>moves</v>
      </c>
      <c r="L794" s="4" t="str">
        <f t="shared" si="12"/>
        <v>moves</v>
      </c>
      <c r="N794" s="4" cm="1">
        <f t="array" ref="N794">SUM(--(_xlfn.TEXTSPLIT($J$423,, " ") = M794))</f>
        <v>1</v>
      </c>
      <c r="O794">
        <v>1</v>
      </c>
      <c r="P794">
        <v>1</v>
      </c>
      <c r="Q794">
        <v>1</v>
      </c>
      <c r="S794" s="4"/>
      <c r="T794" s="10"/>
    </row>
    <row r="795" spans="5:20" x14ac:dyDescent="0.2">
      <c r="E795" s="4" t="s">
        <v>17</v>
      </c>
      <c r="K795" t="str">
        <v>me,</v>
      </c>
      <c r="L795" s="4" t="str">
        <f t="shared" si="12"/>
        <v xml:space="preserve">me </v>
      </c>
      <c r="N795" s="4" cm="1">
        <f t="array" ref="N795">SUM(--(_xlfn.TEXTSPLIT($J$423,, " ") = M795))</f>
        <v>1</v>
      </c>
      <c r="O795">
        <v>1</v>
      </c>
      <c r="P795">
        <v>1</v>
      </c>
      <c r="Q795">
        <v>1</v>
      </c>
      <c r="S795" s="4"/>
      <c r="T795" s="10"/>
    </row>
    <row r="796" spans="5:20" x14ac:dyDescent="0.2">
      <c r="E796" s="4" t="s">
        <v>17</v>
      </c>
      <c r="K796" t="str">
        <v>sounds</v>
      </c>
      <c r="L796" s="4" t="str">
        <f t="shared" si="12"/>
        <v>sounds</v>
      </c>
      <c r="N796" s="4" cm="1">
        <f t="array" ref="N796">SUM(--(_xlfn.TEXTSPLIT($J$423,, " ") = M796))</f>
        <v>1</v>
      </c>
      <c r="O796">
        <v>1</v>
      </c>
      <c r="P796">
        <v>1</v>
      </c>
      <c r="Q796">
        <v>1</v>
      </c>
      <c r="S796" s="4"/>
      <c r="T796" s="10"/>
    </row>
    <row r="797" spans="5:20" x14ac:dyDescent="0.2">
      <c r="E797" s="4" t="s">
        <v>17</v>
      </c>
      <c r="K797" t="str">
        <v>of</v>
      </c>
      <c r="L797" s="4" t="str">
        <f t="shared" si="12"/>
        <v>of</v>
      </c>
      <c r="N797" s="4" cm="1">
        <f t="array" ref="N797">SUM(--(_xlfn.TEXTSPLIT($J$423,, " ") = M797))</f>
        <v>1</v>
      </c>
      <c r="O797">
        <v>1</v>
      </c>
      <c r="P797">
        <v>1</v>
      </c>
      <c r="Q797">
        <v>1</v>
      </c>
      <c r="S797" s="4"/>
      <c r="T797" s="10"/>
    </row>
    <row r="798" spans="5:20" x14ac:dyDescent="0.2">
      <c r="E798" s="4" t="s">
        <v>17</v>
      </c>
      <c r="K798" t="str">
        <v>empty</v>
      </c>
      <c r="L798" s="4" t="str">
        <f t="shared" si="12"/>
        <v>empty</v>
      </c>
      <c r="N798" s="4" cm="1">
        <f t="array" ref="N798">SUM(--(_xlfn.TEXTSPLIT($J$423,, " ") = M798))</f>
        <v>1</v>
      </c>
      <c r="O798">
        <v>1</v>
      </c>
      <c r="P798">
        <v>1</v>
      </c>
      <c r="Q798">
        <v>1</v>
      </c>
      <c r="S798" s="4"/>
      <c r="T798" s="10"/>
    </row>
    <row r="799" spans="5:20" x14ac:dyDescent="0.2">
      <c r="E799" s="4" t="s">
        <v>17</v>
      </c>
      <c r="K799" t="str">
        <v>Uzis</v>
      </c>
      <c r="L799" s="4" t="str">
        <f t="shared" si="12"/>
        <v>Uzis</v>
      </c>
      <c r="N799" s="4" cm="1">
        <f t="array" ref="N799">SUM(--(_xlfn.TEXTSPLIT($J$423,, " ") = M799))</f>
        <v>1</v>
      </c>
      <c r="O799">
        <v>1</v>
      </c>
      <c r="P799">
        <v>1</v>
      </c>
      <c r="Q799">
        <v>1</v>
      </c>
      <c r="S799" s="4"/>
      <c r="T799" s="10"/>
    </row>
    <row r="800" spans="5:20" x14ac:dyDescent="0.2">
      <c r="E800" s="4" t="s">
        <v>17</v>
      </c>
      <c r="K800" t="str">
        <v>(Ah,</v>
      </c>
      <c r="L800" s="4" t="str">
        <f t="shared" si="12"/>
        <v xml:space="preserve"> Ah </v>
      </c>
      <c r="N800" s="4" cm="1">
        <f t="array" ref="N800">SUM(--(_xlfn.TEXTSPLIT($J$423,, " ") = M800))</f>
        <v>1</v>
      </c>
      <c r="O800">
        <v>1</v>
      </c>
      <c r="P800">
        <v>1</v>
      </c>
      <c r="Q800">
        <v>1</v>
      </c>
      <c r="S800" s="4"/>
      <c r="T800" s="10"/>
    </row>
    <row r="801" spans="5:20" x14ac:dyDescent="0.2">
      <c r="E801" s="4" t="s">
        <v>17</v>
      </c>
      <c r="K801" t="str">
        <v>ah,</v>
      </c>
      <c r="L801" s="4" t="str">
        <f t="shared" si="12"/>
        <v xml:space="preserve">ah </v>
      </c>
      <c r="N801" s="4" cm="1">
        <f t="array" ref="N801">SUM(--(_xlfn.TEXTSPLIT($J$423,, " ") = M801))</f>
        <v>1</v>
      </c>
      <c r="O801">
        <v>1</v>
      </c>
      <c r="P801">
        <v>1</v>
      </c>
      <c r="Q801">
        <v>1</v>
      </c>
      <c r="S801" s="4"/>
      <c r="T801" s="10"/>
    </row>
    <row r="802" spans="5:20" x14ac:dyDescent="0.2">
      <c r="E802" s="4" t="s">
        <v>17</v>
      </c>
      <c r="K802" t="str">
        <v xml:space="preserve">ah)
</v>
      </c>
      <c r="L802" s="4" t="str">
        <f t="shared" si="12"/>
        <v xml:space="preserve">ah  </v>
      </c>
      <c r="N802" s="4" cm="1">
        <f t="array" ref="N802">SUM(--(_xlfn.TEXTSPLIT($J$423,, " ") = M802))</f>
        <v>1</v>
      </c>
      <c r="O802">
        <v>1</v>
      </c>
      <c r="P802">
        <v>1</v>
      </c>
      <c r="Q802">
        <v>1</v>
      </c>
      <c r="S802" s="4"/>
      <c r="T802" s="10"/>
    </row>
    <row r="803" spans="5:20" x14ac:dyDescent="0.2">
      <c r="E803" s="4" t="s">
        <v>17</v>
      </c>
      <c r="K803" t="str">
        <v>Life</v>
      </c>
      <c r="L803" s="4" t="str">
        <f t="shared" si="12"/>
        <v>Life</v>
      </c>
      <c r="N803" s="4" cm="1">
        <f t="array" ref="N803">SUM(--(_xlfn.TEXTSPLIT($J$423,, " ") = M803))</f>
        <v>1</v>
      </c>
      <c r="O803">
        <v>1</v>
      </c>
      <c r="P803">
        <v>1</v>
      </c>
      <c r="Q803">
        <v>1</v>
      </c>
      <c r="S803" s="4"/>
      <c r="T803" s="10"/>
    </row>
    <row r="804" spans="5:20" x14ac:dyDescent="0.2">
      <c r="E804" s="4" t="s">
        <v>17</v>
      </c>
      <c r="K804" t="str">
        <v>is</v>
      </c>
      <c r="L804" s="4" t="str">
        <f t="shared" si="12"/>
        <v>is</v>
      </c>
      <c r="N804" s="4" cm="1">
        <f t="array" ref="N804">SUM(--(_xlfn.TEXTSPLIT($J$423,, " ") = M804))</f>
        <v>1</v>
      </c>
      <c r="O804">
        <v>1</v>
      </c>
      <c r="P804">
        <v>1</v>
      </c>
      <c r="Q804">
        <v>1</v>
      </c>
      <c r="S804" s="4"/>
      <c r="T804" s="10"/>
    </row>
    <row r="805" spans="5:20" x14ac:dyDescent="0.2">
      <c r="E805" s="4" t="s">
        <v>17</v>
      </c>
      <c r="K805" t="str">
        <v>just</v>
      </c>
      <c r="L805" s="4" t="str">
        <f t="shared" si="12"/>
        <v>just</v>
      </c>
      <c r="N805" s="4" cm="1">
        <f t="array" ref="N805">SUM(--(_xlfn.TEXTSPLIT($J$423,, " ") = M805))</f>
        <v>1</v>
      </c>
      <c r="O805">
        <v>1</v>
      </c>
      <c r="P805">
        <v>1</v>
      </c>
      <c r="Q805">
        <v>1</v>
      </c>
      <c r="S805" s="4"/>
      <c r="T805" s="10"/>
    </row>
    <row r="806" spans="5:20" x14ac:dyDescent="0.2">
      <c r="E806" s="4" t="s">
        <v>17</v>
      </c>
      <c r="K806" t="str">
        <v>forever</v>
      </c>
      <c r="L806" s="4" t="str">
        <f t="shared" si="12"/>
        <v>forever</v>
      </c>
      <c r="N806" s="4" cm="1">
        <f t="array" ref="N806">SUM(--(_xlfn.TEXTSPLIT($J$423,, " ") = M806))</f>
        <v>1</v>
      </c>
      <c r="O806">
        <v>1</v>
      </c>
      <c r="P806">
        <v>1</v>
      </c>
      <c r="Q806">
        <v>1</v>
      </c>
      <c r="S806" s="4"/>
      <c r="T806" s="10"/>
    </row>
    <row r="807" spans="5:20" x14ac:dyDescent="0.2">
      <c r="E807" s="4" t="s">
        <v>17</v>
      </c>
      <c r="K807" t="str">
        <v>gripping</v>
      </c>
      <c r="L807" s="4" t="str">
        <f t="shared" si="12"/>
        <v>gripping</v>
      </c>
      <c r="N807" s="4" cm="1">
        <f t="array" ref="N807">SUM(--(_xlfn.TEXTSPLIT($J$423,, " ") = M807))</f>
        <v>1</v>
      </c>
      <c r="O807">
        <v>1</v>
      </c>
      <c r="P807">
        <v>1</v>
      </c>
      <c r="Q807">
        <v>1</v>
      </c>
      <c r="S807" s="4"/>
      <c r="T807" s="10"/>
    </row>
    <row r="808" spans="5:20" x14ac:dyDescent="0.2">
      <c r="E808" s="4" t="s">
        <v>17</v>
      </c>
      <c r="K808" t="str">
        <v>feels,</v>
      </c>
      <c r="L808" s="4" t="str">
        <f t="shared" si="12"/>
        <v xml:space="preserve">feels </v>
      </c>
      <c r="N808" s="4" cm="1">
        <f t="array" ref="N808">SUM(--(_xlfn.TEXTSPLIT($J$423,, " ") = M808))</f>
        <v>1</v>
      </c>
      <c r="O808">
        <v>1</v>
      </c>
      <c r="P808">
        <v>1</v>
      </c>
      <c r="Q808">
        <v>1</v>
      </c>
      <c r="S808" s="4"/>
      <c r="T808" s="10"/>
    </row>
    <row r="809" spans="5:20" x14ac:dyDescent="0.2">
      <c r="E809" s="4" t="s">
        <v>17</v>
      </c>
      <c r="K809" t="str">
        <v>never</v>
      </c>
      <c r="L809" s="4" t="str">
        <f t="shared" si="12"/>
        <v>never</v>
      </c>
      <c r="N809" s="4" cm="1">
        <f t="array" ref="N809">SUM(--(_xlfn.TEXTSPLIT($J$423,, " ") = M809))</f>
        <v>1</v>
      </c>
      <c r="O809">
        <v>1</v>
      </c>
      <c r="P809">
        <v>1</v>
      </c>
      <c r="Q809">
        <v>1</v>
      </c>
      <c r="S809" s="4"/>
      <c r="T809" s="10"/>
    </row>
    <row r="810" spans="5:20" x14ac:dyDescent="0.2">
      <c r="E810" s="4" t="s">
        <v>17</v>
      </c>
      <c r="K810" t="str">
        <v>slowing</v>
      </c>
      <c r="L810" s="4" t="str">
        <f t="shared" si="12"/>
        <v>slowing</v>
      </c>
      <c r="N810" s="4" cm="1">
        <f t="array" ref="N810">SUM(--(_xlfn.TEXTSPLIT($J$423,, " ") = M810))</f>
        <v>1</v>
      </c>
      <c r="O810">
        <v>1</v>
      </c>
      <c r="P810">
        <v>1</v>
      </c>
      <c r="Q810">
        <v>1</v>
      </c>
      <c r="S810" s="4"/>
      <c r="T810" s="10"/>
    </row>
    <row r="811" spans="5:20" x14ac:dyDescent="0.2">
      <c r="E811" s="4" t="s">
        <v>17</v>
      </c>
      <c r="K811" t="str">
        <v xml:space="preserve">down
</v>
      </c>
      <c r="L811" s="4" t="str">
        <f t="shared" si="12"/>
        <v xml:space="preserve">down </v>
      </c>
      <c r="N811" s="4" cm="1">
        <f t="array" ref="N811">SUM(--(_xlfn.TEXTSPLIT($J$423,, " ") = M811))</f>
        <v>1</v>
      </c>
      <c r="O811">
        <v>1</v>
      </c>
      <c r="P811">
        <v>1</v>
      </c>
      <c r="Q811">
        <v>1</v>
      </c>
      <c r="S811" s="4"/>
      <c r="T811" s="10"/>
    </row>
    <row r="812" spans="5:20" x14ac:dyDescent="0.2">
      <c r="E812" s="4" t="s">
        <v>17</v>
      </c>
      <c r="K812" t="str">
        <v>Raw</v>
      </c>
      <c r="L812" s="4" t="str">
        <f t="shared" si="12"/>
        <v>Raw</v>
      </c>
      <c r="N812" s="4" cm="1">
        <f t="array" ref="N812">SUM(--(_xlfn.TEXTSPLIT($J$423,, " ") = M812))</f>
        <v>1</v>
      </c>
      <c r="O812">
        <v>1</v>
      </c>
      <c r="P812">
        <v>1</v>
      </c>
      <c r="Q812">
        <v>1</v>
      </c>
      <c r="S812" s="4"/>
      <c r="T812" s="10"/>
    </row>
    <row r="813" spans="5:20" x14ac:dyDescent="0.2">
      <c r="E813" s="4" t="s">
        <v>17</v>
      </c>
      <c r="K813" t="str">
        <v>fear</v>
      </c>
      <c r="L813" s="4" t="str">
        <f t="shared" si="12"/>
        <v>fear</v>
      </c>
      <c r="N813" s="4" cm="1">
        <f t="array" ref="N813">SUM(--(_xlfn.TEXTSPLIT($J$423,, " ") = M813))</f>
        <v>1</v>
      </c>
      <c r="O813">
        <v>1</v>
      </c>
      <c r="P813">
        <v>1</v>
      </c>
      <c r="Q813">
        <v>1</v>
      </c>
      <c r="S813" s="4"/>
      <c r="T813" s="10"/>
    </row>
    <row r="814" spans="5:20" x14ac:dyDescent="0.2">
      <c r="E814" s="4" t="s">
        <v>17</v>
      </c>
      <c r="K814" t="str">
        <v>moves</v>
      </c>
      <c r="L814" s="4" t="str">
        <f t="shared" si="12"/>
        <v>moves</v>
      </c>
      <c r="N814" s="4" cm="1">
        <f t="array" ref="N814">SUM(--(_xlfn.TEXTSPLIT($J$423,, " ") = M814))</f>
        <v>1</v>
      </c>
      <c r="O814">
        <v>1</v>
      </c>
      <c r="P814">
        <v>1</v>
      </c>
      <c r="Q814">
        <v>1</v>
      </c>
      <c r="S814" s="4"/>
      <c r="T814" s="10"/>
    </row>
    <row r="815" spans="5:20" x14ac:dyDescent="0.2">
      <c r="E815" s="4" t="s">
        <v>17</v>
      </c>
      <c r="K815" t="str">
        <v>me,</v>
      </c>
      <c r="L815" s="4" t="str">
        <f t="shared" si="12"/>
        <v xml:space="preserve">me </v>
      </c>
      <c r="N815" s="4" cm="1">
        <f t="array" ref="N815">SUM(--(_xlfn.TEXTSPLIT($J$423,, " ") = M815))</f>
        <v>1</v>
      </c>
      <c r="O815">
        <v>1</v>
      </c>
      <c r="P815">
        <v>1</v>
      </c>
      <c r="Q815">
        <v>1</v>
      </c>
      <c r="S815" s="4"/>
      <c r="T815" s="10"/>
    </row>
    <row r="816" spans="5:20" x14ac:dyDescent="0.2">
      <c r="E816" s="4" t="s">
        <v>17</v>
      </c>
      <c r="K816" t="str">
        <v>sounds</v>
      </c>
      <c r="L816" s="4" t="str">
        <f t="shared" si="12"/>
        <v>sounds</v>
      </c>
      <c r="N816" s="4" cm="1">
        <f t="array" ref="N816">SUM(--(_xlfn.TEXTSPLIT($J$423,, " ") = M816))</f>
        <v>1</v>
      </c>
      <c r="O816">
        <v>1</v>
      </c>
      <c r="P816">
        <v>1</v>
      </c>
      <c r="Q816">
        <v>1</v>
      </c>
      <c r="S816" s="4"/>
      <c r="T816" s="10"/>
    </row>
    <row r="817" spans="5:20" x14ac:dyDescent="0.2">
      <c r="E817" s="4" t="s">
        <v>17</v>
      </c>
      <c r="K817" t="str">
        <v>of</v>
      </c>
      <c r="L817" s="4" t="str">
        <f t="shared" si="12"/>
        <v>of</v>
      </c>
      <c r="N817" s="4" cm="1">
        <f t="array" ref="N817">SUM(--(_xlfn.TEXTSPLIT($J$423,, " ") = M817))</f>
        <v>1</v>
      </c>
      <c r="O817">
        <v>1</v>
      </c>
      <c r="P817">
        <v>1</v>
      </c>
      <c r="Q817">
        <v>1</v>
      </c>
      <c r="S817" s="4"/>
      <c r="T817" s="10"/>
    </row>
    <row r="818" spans="5:20" x14ac:dyDescent="0.2">
      <c r="E818" s="4" t="s">
        <v>17</v>
      </c>
      <c r="K818" t="str">
        <v>empty</v>
      </c>
      <c r="L818" s="4" t="str">
        <f t="shared" si="12"/>
        <v>empty</v>
      </c>
      <c r="N818" s="4" cm="1">
        <f t="array" ref="N818">SUM(--(_xlfn.TEXTSPLIT($J$423,, " ") = M818))</f>
        <v>1</v>
      </c>
      <c r="O818">
        <v>1</v>
      </c>
      <c r="P818">
        <v>1</v>
      </c>
      <c r="Q818">
        <v>1</v>
      </c>
      <c r="S818" s="4"/>
      <c r="T818" s="10"/>
    </row>
    <row r="819" spans="5:20" x14ac:dyDescent="0.2">
      <c r="E819" s="4" t="s">
        <v>17</v>
      </c>
      <c r="K819" t="str">
        <v>Uzis</v>
      </c>
      <c r="L819" s="4" t="str">
        <f t="shared" si="12"/>
        <v>Uzis</v>
      </c>
      <c r="N819" s="4" cm="1">
        <f t="array" ref="N819">SUM(--(_xlfn.TEXTSPLIT($J$423,, " ") = M819))</f>
        <v>1</v>
      </c>
      <c r="O819">
        <v>1</v>
      </c>
      <c r="P819">
        <v>1</v>
      </c>
      <c r="Q819">
        <v>1</v>
      </c>
      <c r="S819" s="4"/>
      <c r="T819" s="10"/>
    </row>
    <row r="820" spans="5:20" x14ac:dyDescent="0.2">
      <c r="E820" s="4" t="s">
        <v>17</v>
      </c>
      <c r="K820" t="str">
        <v>(Ah,</v>
      </c>
      <c r="L820" s="4" t="str">
        <f t="shared" si="12"/>
        <v xml:space="preserve"> Ah </v>
      </c>
      <c r="N820" s="4" cm="1">
        <f t="array" ref="N820">SUM(--(_xlfn.TEXTSPLIT($J$423,, " ") = M820))</f>
        <v>1</v>
      </c>
      <c r="O820">
        <v>1</v>
      </c>
      <c r="P820">
        <v>1</v>
      </c>
      <c r="Q820">
        <v>1</v>
      </c>
      <c r="S820" s="4"/>
      <c r="T820" s="10"/>
    </row>
    <row r="821" spans="5:20" x14ac:dyDescent="0.2">
      <c r="E821" s="4" t="s">
        <v>17</v>
      </c>
      <c r="K821" t="str">
        <v>ah,</v>
      </c>
      <c r="L821" s="4" t="str">
        <f t="shared" si="12"/>
        <v xml:space="preserve">ah </v>
      </c>
      <c r="N821" s="4" cm="1">
        <f t="array" ref="N821">SUM(--(_xlfn.TEXTSPLIT($J$423,, " ") = M821))</f>
        <v>1</v>
      </c>
      <c r="O821">
        <v>1</v>
      </c>
      <c r="P821">
        <v>1</v>
      </c>
      <c r="Q821">
        <v>1</v>
      </c>
      <c r="S821" s="4"/>
      <c r="T821" s="10"/>
    </row>
    <row r="822" spans="5:20" x14ac:dyDescent="0.2">
      <c r="E822" s="4" t="s">
        <v>17</v>
      </c>
      <c r="K822" t="str">
        <v xml:space="preserve">ah)
</v>
      </c>
      <c r="L822" s="4" t="str">
        <f t="shared" si="12"/>
        <v xml:space="preserve">ah  </v>
      </c>
      <c r="N822" s="4" cm="1">
        <f t="array" ref="N822">SUM(--(_xlfn.TEXTSPLIT($J$423,, " ") = M822))</f>
        <v>1</v>
      </c>
      <c r="O822">
        <v>1</v>
      </c>
      <c r="P822">
        <v>1</v>
      </c>
      <c r="Q822">
        <v>1</v>
      </c>
      <c r="S822" s="4"/>
      <c r="T822" s="10"/>
    </row>
    <row r="823" spans="5:20" x14ac:dyDescent="0.2">
      <c r="E823" s="4" t="s">
        <v>17</v>
      </c>
      <c r="K823" t="str">
        <v>Life</v>
      </c>
      <c r="L823" s="4" t="str">
        <f t="shared" si="12"/>
        <v>Life</v>
      </c>
      <c r="N823" s="4" cm="1">
        <f t="array" ref="N823">SUM(--(_xlfn.TEXTSPLIT($J$423,, " ") = M823))</f>
        <v>1</v>
      </c>
      <c r="O823">
        <v>1</v>
      </c>
      <c r="P823">
        <v>1</v>
      </c>
      <c r="Q823">
        <v>1</v>
      </c>
      <c r="S823" s="4"/>
      <c r="T823" s="10"/>
    </row>
    <row r="824" spans="5:20" x14ac:dyDescent="0.2">
      <c r="E824" s="4" t="s">
        <v>17</v>
      </c>
      <c r="K824" t="str">
        <v>is</v>
      </c>
      <c r="L824" s="4" t="str">
        <f t="shared" si="12"/>
        <v>is</v>
      </c>
      <c r="N824" s="4" cm="1">
        <f t="array" ref="N824">SUM(--(_xlfn.TEXTSPLIT($J$423,, " ") = M824))</f>
        <v>1</v>
      </c>
      <c r="O824">
        <v>1</v>
      </c>
      <c r="P824">
        <v>1</v>
      </c>
      <c r="Q824">
        <v>1</v>
      </c>
      <c r="S824" s="4"/>
      <c r="T824" s="10"/>
    </row>
    <row r="825" spans="5:20" x14ac:dyDescent="0.2">
      <c r="E825" s="4" t="s">
        <v>17</v>
      </c>
      <c r="K825" t="str">
        <v>just</v>
      </c>
      <c r="L825" s="4" t="str">
        <f t="shared" si="12"/>
        <v>just</v>
      </c>
      <c r="N825" s="4" cm="1">
        <f t="array" ref="N825">SUM(--(_xlfn.TEXTSPLIT($J$423,, " ") = M825))</f>
        <v>1</v>
      </c>
      <c r="O825">
        <v>1</v>
      </c>
      <c r="P825">
        <v>1</v>
      </c>
      <c r="Q825">
        <v>1</v>
      </c>
      <c r="S825" s="4"/>
      <c r="T825" s="10"/>
    </row>
    <row r="826" spans="5:20" x14ac:dyDescent="0.2">
      <c r="E826" s="4" t="s">
        <v>17</v>
      </c>
      <c r="K826" t="str">
        <v>forever</v>
      </c>
      <c r="L826" s="4" t="str">
        <f t="shared" si="12"/>
        <v>forever</v>
      </c>
      <c r="N826" s="4" cm="1">
        <f t="array" ref="N826">SUM(--(_xlfn.TEXTSPLIT($J$423,, " ") = M826))</f>
        <v>1</v>
      </c>
      <c r="O826">
        <v>1</v>
      </c>
      <c r="P826">
        <v>1</v>
      </c>
      <c r="Q826">
        <v>1</v>
      </c>
      <c r="S826" s="4"/>
      <c r="T826" s="10"/>
    </row>
    <row r="827" spans="5:20" x14ac:dyDescent="0.2">
      <c r="E827" s="4" t="s">
        <v>17</v>
      </c>
      <c r="K827" t="str">
        <v>nipping</v>
      </c>
      <c r="L827" s="4" t="str">
        <f t="shared" si="12"/>
        <v>nipping</v>
      </c>
      <c r="N827" s="4" cm="1">
        <f t="array" ref="N827">SUM(--(_xlfn.TEXTSPLIT($J$423,, " ") = M827))</f>
        <v>1</v>
      </c>
      <c r="O827">
        <v>1</v>
      </c>
      <c r="P827">
        <v>1</v>
      </c>
      <c r="Q827">
        <v>1</v>
      </c>
      <c r="S827" s="4"/>
      <c r="T827" s="10"/>
    </row>
    <row r="828" spans="5:20" x14ac:dyDescent="0.2">
      <c r="E828" s="4" t="s">
        <v>17</v>
      </c>
      <c r="K828" t="str">
        <v>heels,</v>
      </c>
      <c r="L828" s="4" t="str">
        <f t="shared" si="12"/>
        <v xml:space="preserve">heels </v>
      </c>
      <c r="N828" s="4" cm="1">
        <f t="array" ref="N828">SUM(--(_xlfn.TEXTSPLIT($J$423,, " ") = M828))</f>
        <v>1</v>
      </c>
      <c r="O828">
        <v>1</v>
      </c>
      <c r="P828">
        <v>1</v>
      </c>
      <c r="Q828">
        <v>1</v>
      </c>
      <c r="S828" s="4"/>
      <c r="T828" s="10"/>
    </row>
    <row r="829" spans="5:20" x14ac:dyDescent="0.2">
      <c r="E829" s="4" t="s">
        <v>17</v>
      </c>
      <c r="K829" t="str">
        <v>never</v>
      </c>
      <c r="L829" s="4" t="str">
        <f t="shared" si="12"/>
        <v>never</v>
      </c>
      <c r="N829" s="4" cm="1">
        <f t="array" ref="N829">SUM(--(_xlfn.TEXTSPLIT($J$423,, " ") = M829))</f>
        <v>1</v>
      </c>
      <c r="O829">
        <v>1</v>
      </c>
      <c r="P829">
        <v>1</v>
      </c>
      <c r="Q829">
        <v>1</v>
      </c>
      <c r="S829" s="4"/>
      <c r="T829" s="10"/>
    </row>
    <row r="830" spans="5:20" x14ac:dyDescent="0.2">
      <c r="E830" s="4" t="s">
        <v>17</v>
      </c>
      <c r="K830" t="str">
        <v>slowing</v>
      </c>
      <c r="L830" s="4" t="str">
        <f t="shared" si="12"/>
        <v>slowing</v>
      </c>
      <c r="N830" s="4" cm="1">
        <f t="array" ref="N830">SUM(--(_xlfn.TEXTSPLIT($J$423,, " ") = M830))</f>
        <v>1</v>
      </c>
      <c r="O830">
        <v>1</v>
      </c>
      <c r="P830">
        <v>1</v>
      </c>
      <c r="Q830">
        <v>1</v>
      </c>
      <c r="S830" s="4"/>
      <c r="T830" s="10"/>
    </row>
    <row r="831" spans="5:20" x14ac:dyDescent="0.2">
      <c r="E831" s="4" t="s">
        <v>17</v>
      </c>
      <c r="K831" t="str">
        <v xml:space="preserve">down
</v>
      </c>
      <c r="L831" s="4" t="str">
        <f t="shared" si="12"/>
        <v xml:space="preserve">down </v>
      </c>
      <c r="N831" s="4" cm="1">
        <f t="array" ref="N831">SUM(--(_xlfn.TEXTSPLIT($J$423,, " ") = M831))</f>
        <v>1</v>
      </c>
      <c r="O831">
        <v>1</v>
      </c>
      <c r="P831">
        <v>1</v>
      </c>
      <c r="Q831">
        <v>1</v>
      </c>
      <c r="S831" s="4"/>
      <c r="T831" s="10"/>
    </row>
    <row r="832" spans="5:20" x14ac:dyDescent="0.2">
      <c r="E832" s="4" t="s">
        <v>17</v>
      </c>
      <c r="K832" t="str">
        <v>Raw</v>
      </c>
      <c r="L832" s="4" t="str">
        <f t="shared" si="12"/>
        <v>Raw</v>
      </c>
      <c r="N832" s="4" cm="1">
        <f t="array" ref="N832">SUM(--(_xlfn.TEXTSPLIT($J$423,, " ") = M832))</f>
        <v>1</v>
      </c>
      <c r="O832">
        <v>1</v>
      </c>
      <c r="P832">
        <v>1</v>
      </c>
      <c r="Q832">
        <v>1</v>
      </c>
      <c r="S832" s="4"/>
      <c r="T832" s="10"/>
    </row>
    <row r="833" spans="5:20" x14ac:dyDescent="0.2">
      <c r="E833" s="4" t="s">
        <v>17</v>
      </c>
      <c r="K833" t="str">
        <v>fear</v>
      </c>
      <c r="L833" s="4" t="str">
        <f t="shared" si="12"/>
        <v>fear</v>
      </c>
      <c r="N833" s="4" cm="1">
        <f t="array" ref="N833">SUM(--(_xlfn.TEXTSPLIT($J$423,, " ") = M833))</f>
        <v>1</v>
      </c>
      <c r="O833">
        <v>1</v>
      </c>
      <c r="P833">
        <v>1</v>
      </c>
      <c r="Q833">
        <v>1</v>
      </c>
      <c r="S833" s="4"/>
      <c r="T833" s="10"/>
    </row>
    <row r="834" spans="5:20" x14ac:dyDescent="0.2">
      <c r="E834" s="4" t="s">
        <v>17</v>
      </c>
      <c r="K834" t="str">
        <v>moves</v>
      </c>
      <c r="L834" s="4" t="str">
        <f t="shared" si="12"/>
        <v>moves</v>
      </c>
      <c r="N834" s="4" cm="1">
        <f t="array" ref="N834">SUM(--(_xlfn.TEXTSPLIT($J$423,, " ") = M834))</f>
        <v>1</v>
      </c>
      <c r="O834">
        <v>1</v>
      </c>
      <c r="P834">
        <v>1</v>
      </c>
      <c r="Q834">
        <v>1</v>
      </c>
      <c r="S834" s="4"/>
      <c r="T834" s="10"/>
    </row>
    <row r="835" spans="5:20" x14ac:dyDescent="0.2">
      <c r="E835" s="4" t="s">
        <v>17</v>
      </c>
      <c r="K835" t="str">
        <v>me,</v>
      </c>
      <c r="L835" s="4" t="str">
        <f t="shared" si="12"/>
        <v xml:space="preserve">me </v>
      </c>
      <c r="N835" s="4" cm="1">
        <f t="array" ref="N835">SUM(--(_xlfn.TEXTSPLIT($J$423,, " ") = M835))</f>
        <v>1</v>
      </c>
      <c r="O835">
        <v>1</v>
      </c>
      <c r="P835">
        <v>1</v>
      </c>
      <c r="Q835">
        <v>1</v>
      </c>
      <c r="S835" s="4"/>
      <c r="T835" s="10"/>
    </row>
    <row r="836" spans="5:20" x14ac:dyDescent="0.2">
      <c r="E836" s="4" t="s">
        <v>17</v>
      </c>
      <c r="K836" t="str">
        <v>sounds</v>
      </c>
      <c r="L836" s="4" t="str">
        <f t="shared" ref="L836:L899" si="13">_xlfn.REGEXREPLACE(K836, "[^A-Za-z ]", " ")</f>
        <v>sounds</v>
      </c>
      <c r="N836" s="4" cm="1">
        <f t="array" ref="N836">SUM(--(_xlfn.TEXTSPLIT($J$423,, " ") = M836))</f>
        <v>1</v>
      </c>
      <c r="O836">
        <v>1</v>
      </c>
      <c r="P836">
        <v>1</v>
      </c>
      <c r="Q836">
        <v>1</v>
      </c>
      <c r="S836" s="4"/>
      <c r="T836" s="10"/>
    </row>
    <row r="837" spans="5:20" x14ac:dyDescent="0.2">
      <c r="E837" s="4" t="s">
        <v>17</v>
      </c>
      <c r="K837" t="str">
        <v>of</v>
      </c>
      <c r="L837" s="4" t="str">
        <f t="shared" si="13"/>
        <v>of</v>
      </c>
      <c r="N837" s="4" cm="1">
        <f t="array" ref="N837">SUM(--(_xlfn.TEXTSPLIT($J$423,, " ") = M837))</f>
        <v>1</v>
      </c>
      <c r="O837">
        <v>1</v>
      </c>
      <c r="P837">
        <v>1</v>
      </c>
      <c r="Q837">
        <v>1</v>
      </c>
      <c r="S837" s="4"/>
      <c r="T837" s="10"/>
    </row>
    <row r="838" spans="5:20" x14ac:dyDescent="0.2">
      <c r="E838" s="4" t="s">
        <v>17</v>
      </c>
      <c r="K838" t="str">
        <v>empty</v>
      </c>
      <c r="L838" s="4" t="str">
        <f t="shared" si="13"/>
        <v>empty</v>
      </c>
      <c r="N838" s="4" cm="1">
        <f t="array" ref="N838">SUM(--(_xlfn.TEXTSPLIT($J$423,, " ") = M838))</f>
        <v>1</v>
      </c>
      <c r="O838">
        <v>1</v>
      </c>
      <c r="P838">
        <v>1</v>
      </c>
      <c r="Q838">
        <v>1</v>
      </c>
      <c r="S838" s="4"/>
      <c r="T838" s="10"/>
    </row>
    <row r="839" spans="5:20" x14ac:dyDescent="0.2">
      <c r="E839" s="4" t="s">
        <v>17</v>
      </c>
      <c r="K839" t="str">
        <v>Uzis</v>
      </c>
      <c r="L839" s="4" t="str">
        <f t="shared" si="13"/>
        <v>Uzis</v>
      </c>
      <c r="N839" s="4" cm="1">
        <f t="array" ref="N839">SUM(--(_xlfn.TEXTSPLIT($J$423,, " ") = M839))</f>
        <v>1</v>
      </c>
      <c r="O839">
        <v>1</v>
      </c>
      <c r="P839">
        <v>1</v>
      </c>
      <c r="Q839">
        <v>1</v>
      </c>
      <c r="S839" s="4"/>
      <c r="T839" s="10"/>
    </row>
    <row r="840" spans="5:20" x14ac:dyDescent="0.2">
      <c r="E840" s="4" t="s">
        <v>17</v>
      </c>
      <c r="K840" t="str">
        <v>(Ah,</v>
      </c>
      <c r="L840" s="4" t="str">
        <f t="shared" si="13"/>
        <v xml:space="preserve"> Ah </v>
      </c>
      <c r="N840" s="4" cm="1">
        <f t="array" ref="N840">SUM(--(_xlfn.TEXTSPLIT($J$423,, " ") = M840))</f>
        <v>1</v>
      </c>
      <c r="O840">
        <v>1</v>
      </c>
      <c r="P840">
        <v>1</v>
      </c>
      <c r="Q840">
        <v>1</v>
      </c>
      <c r="S840" s="4"/>
      <c r="T840" s="10"/>
    </row>
    <row r="841" spans="5:20" x14ac:dyDescent="0.2">
      <c r="E841" s="4" t="s">
        <v>17</v>
      </c>
      <c r="K841" t="str">
        <v>ah,</v>
      </c>
      <c r="L841" s="4" t="str">
        <f t="shared" si="13"/>
        <v xml:space="preserve">ah </v>
      </c>
      <c r="N841" s="4" cm="1">
        <f t="array" ref="N841">SUM(--(_xlfn.TEXTSPLIT($J$423,, " ") = M841))</f>
        <v>1</v>
      </c>
      <c r="O841">
        <v>1</v>
      </c>
      <c r="P841">
        <v>1</v>
      </c>
      <c r="Q841">
        <v>1</v>
      </c>
      <c r="S841" s="4"/>
      <c r="T841" s="10"/>
    </row>
    <row r="842" spans="5:20" x14ac:dyDescent="0.2">
      <c r="E842" s="4" t="s">
        <v>17</v>
      </c>
      <c r="K842" t="str">
        <v xml:space="preserve">ah)
</v>
      </c>
      <c r="L842" s="4" t="str">
        <f t="shared" si="13"/>
        <v xml:space="preserve">ah  </v>
      </c>
      <c r="N842" s="4" cm="1">
        <f t="array" ref="N842">SUM(--(_xlfn.TEXTSPLIT($J$423,, " ") = M842))</f>
        <v>1</v>
      </c>
      <c r="O842">
        <v>1</v>
      </c>
      <c r="P842">
        <v>1</v>
      </c>
      <c r="Q842">
        <v>1</v>
      </c>
      <c r="S842" s="4"/>
      <c r="T842" s="10"/>
    </row>
    <row r="843" spans="5:20" x14ac:dyDescent="0.2">
      <c r="E843" s="4" t="s">
        <v>17</v>
      </c>
      <c r="K843" t="str">
        <v>Life</v>
      </c>
      <c r="L843" s="4" t="str">
        <f t="shared" si="13"/>
        <v>Life</v>
      </c>
      <c r="N843" s="4" cm="1">
        <f t="array" ref="N843">SUM(--(_xlfn.TEXTSPLIT($J$423,, " ") = M843))</f>
        <v>1</v>
      </c>
      <c r="O843">
        <v>1</v>
      </c>
      <c r="P843">
        <v>1</v>
      </c>
      <c r="Q843">
        <v>1</v>
      </c>
      <c r="S843" s="4"/>
      <c r="T843" s="10"/>
    </row>
    <row r="844" spans="5:20" x14ac:dyDescent="0.2">
      <c r="E844" s="4" t="s">
        <v>17</v>
      </c>
      <c r="K844" t="str">
        <v>is</v>
      </c>
      <c r="L844" s="4" t="str">
        <f t="shared" si="13"/>
        <v>is</v>
      </c>
      <c r="N844" s="4" cm="1">
        <f t="array" ref="N844">SUM(--(_xlfn.TEXTSPLIT($J$423,, " ") = M844))</f>
        <v>1</v>
      </c>
      <c r="O844">
        <v>1</v>
      </c>
      <c r="P844">
        <v>1</v>
      </c>
      <c r="Q844">
        <v>1</v>
      </c>
      <c r="S844" s="4"/>
      <c r="T844" s="10"/>
    </row>
    <row r="845" spans="5:20" x14ac:dyDescent="0.2">
      <c r="E845" s="4" t="s">
        <v>17</v>
      </c>
      <c r="K845" t="str">
        <v>just</v>
      </c>
      <c r="L845" s="4" t="str">
        <f t="shared" si="13"/>
        <v>just</v>
      </c>
      <c r="N845" s="4" cm="1">
        <f t="array" ref="N845">SUM(--(_xlfn.TEXTSPLIT($J$423,, " ") = M845))</f>
        <v>1</v>
      </c>
      <c r="O845">
        <v>1</v>
      </c>
      <c r="P845">
        <v>1</v>
      </c>
      <c r="Q845">
        <v>1</v>
      </c>
      <c r="S845" s="4"/>
      <c r="T845" s="10"/>
    </row>
    <row r="846" spans="5:20" x14ac:dyDescent="0.2">
      <c r="E846" s="4" t="s">
        <v>17</v>
      </c>
      <c r="K846" t="str">
        <v>forever</v>
      </c>
      <c r="L846" s="4" t="str">
        <f t="shared" si="13"/>
        <v>forever</v>
      </c>
      <c r="N846" s="4" cm="1">
        <f t="array" ref="N846">SUM(--(_xlfn.TEXTSPLIT($J$423,, " ") = M846))</f>
        <v>1</v>
      </c>
      <c r="O846">
        <v>1</v>
      </c>
      <c r="P846">
        <v>1</v>
      </c>
      <c r="Q846">
        <v>1</v>
      </c>
      <c r="S846" s="4"/>
      <c r="T846" s="10"/>
    </row>
    <row r="847" spans="5:20" x14ac:dyDescent="0.2">
      <c r="E847" s="4" t="s">
        <v>17</v>
      </c>
      <c r="K847" t="str">
        <v>gripping</v>
      </c>
      <c r="L847" s="4" t="str">
        <f t="shared" si="13"/>
        <v>gripping</v>
      </c>
      <c r="N847" s="4" cm="1">
        <f t="array" ref="N847">SUM(--(_xlfn.TEXTSPLIT($J$423,, " ") = M847))</f>
        <v>1</v>
      </c>
      <c r="O847">
        <v>1</v>
      </c>
      <c r="P847">
        <v>1</v>
      </c>
      <c r="Q847">
        <v>1</v>
      </c>
      <c r="S847" s="4"/>
      <c r="T847" s="10"/>
    </row>
    <row r="848" spans="5:20" x14ac:dyDescent="0.2">
      <c r="E848" s="4" t="s">
        <v>17</v>
      </c>
      <c r="K848" t="str">
        <v>feels,</v>
      </c>
      <c r="L848" s="4" t="str">
        <f t="shared" si="13"/>
        <v xml:space="preserve">feels </v>
      </c>
      <c r="N848" s="4" cm="1">
        <f t="array" ref="N848">SUM(--(_xlfn.TEXTSPLIT($J$423,, " ") = M848))</f>
        <v>1</v>
      </c>
      <c r="O848">
        <v>1</v>
      </c>
      <c r="P848">
        <v>1</v>
      </c>
      <c r="Q848">
        <v>1</v>
      </c>
      <c r="S848" s="4"/>
      <c r="T848" s="10"/>
    </row>
    <row r="849" spans="1:23" x14ac:dyDescent="0.2">
      <c r="E849" s="4" t="s">
        <v>17</v>
      </c>
      <c r="K849" t="str">
        <v>never</v>
      </c>
      <c r="L849" s="4" t="str">
        <f t="shared" si="13"/>
        <v>never</v>
      </c>
      <c r="N849" s="4" cm="1">
        <f t="array" ref="N849">SUM(--(_xlfn.TEXTSPLIT($J$423,, " ") = M849))</f>
        <v>1</v>
      </c>
      <c r="O849">
        <v>1</v>
      </c>
      <c r="P849">
        <v>1</v>
      </c>
      <c r="Q849">
        <v>1</v>
      </c>
      <c r="S849" s="4"/>
      <c r="T849" s="10"/>
    </row>
    <row r="850" spans="1:23" x14ac:dyDescent="0.2">
      <c r="E850" s="4" t="s">
        <v>17</v>
      </c>
      <c r="K850" t="str">
        <v>slowing</v>
      </c>
      <c r="L850" s="4" t="str">
        <f t="shared" si="13"/>
        <v>slowing</v>
      </c>
      <c r="N850" s="4" cm="1">
        <f t="array" ref="N850">SUM(--(_xlfn.TEXTSPLIT($J$423,, " ") = M850))</f>
        <v>1</v>
      </c>
      <c r="O850">
        <v>1</v>
      </c>
      <c r="P850">
        <v>1</v>
      </c>
      <c r="Q850">
        <v>1</v>
      </c>
      <c r="S850" s="4"/>
      <c r="T850" s="10"/>
    </row>
    <row r="851" spans="1:23" x14ac:dyDescent="0.2">
      <c r="E851" s="4" t="s">
        <v>17</v>
      </c>
      <c r="K851" t="str">
        <v>down</v>
      </c>
      <c r="L851" s="4" t="str">
        <f t="shared" si="13"/>
        <v>down</v>
      </c>
      <c r="N851" s="4" cm="1">
        <f t="array" ref="N851">SUM(--(_xlfn.TEXTSPLIT($J$423,, " ") = M851))</f>
        <v>1</v>
      </c>
      <c r="O851">
        <v>1</v>
      </c>
      <c r="P851">
        <v>1</v>
      </c>
      <c r="Q851">
        <v>1</v>
      </c>
      <c r="S851" s="4"/>
      <c r="T851" s="10"/>
    </row>
    <row r="852" spans="1:23" s="4" customFormat="1" x14ac:dyDescent="0.2">
      <c r="A852" s="4">
        <v>3</v>
      </c>
      <c r="B852" s="5">
        <v>45912</v>
      </c>
      <c r="C852" s="6">
        <v>0.14097222222222222</v>
      </c>
      <c r="D852" s="7">
        <v>203</v>
      </c>
      <c r="E852" s="4" t="s">
        <v>17</v>
      </c>
      <c r="F852" s="4">
        <v>3</v>
      </c>
      <c r="G852" s="8" t="s">
        <v>15</v>
      </c>
      <c r="H852" s="9" t="s">
        <v>19</v>
      </c>
      <c r="I852" s="4">
        <v>1</v>
      </c>
      <c r="J852" s="4" t="str">
        <f>_xlfn.TEXTJOIN(" ", TRUE, H852:H865)</f>
        <v xml:space="preserve"> Puttin' on a drum show
 Ooh-ooh
 Completed checklist for today
 Now they have to let you out of your cage
 Feelin' stuck between a rock and a home
 Two places you do not want to go
 So, so
 He's puttin' on a drum show
 Even now, even now, even now
 He'll take the longer way home
 Even now, even now, even now
 He'll never ever say so
 He drives fast just to feel it, feel it (Feel it)
 He drives slow if his song's not over (Feel it)
 Drown it out, drown it out
 Show
 Ooh-ooh
 He'd rather feel something than nothing at all
 So he swerves all around as his head starts to fall, turns it up
 Stuck between a rock and a home
 Two places he does not want to go
 So, so
 He's puttin' on a drum show
 Even now, even now, even now
 He'll take the longer way home (I've been this way)
 Even now, even now, even now
 He'll never ever say so (I want to change)
 He drives fast just to feel it, feel it (Feel it)
 He drives slow if his song's not over (Feel it)
 Drown it out, drown it out
 I've been this way
 I want to change
 I've been this way
 I want to change
 He's puttin' on a drum show
 Even now, even now, even now
 He'll take the longer way home (I've been this way)
 Even now, well even now, well even now
 He'll never ever say so (I want to change)
 He drives fast just to feel it, feel it (Feel it)
 He drives slow if his song's not over (I've been this way) (Feel it)
 Drown it out, drown it out (I want to change)
 I've been this way (Feel it, feel it)
 I want to change (Feel it, feel it)
  I've been this way (Feel it, feel it)
 I want to</v>
      </c>
      <c r="K852" s="4" t="str" cm="1">
        <f t="array" ref="K852:K1169">_xlfn.TEXTSPLIT(J852, ," ")</f>
        <v/>
      </c>
      <c r="L852" s="4" t="str">
        <f t="shared" si="13"/>
        <v/>
      </c>
      <c r="M852" s="4" t="str" cm="1">
        <f t="array" ref="M852:M950">_xlfn.UNIQUE(_xlfn.TEXTSPLIT(J852, , " "))</f>
        <v/>
      </c>
      <c r="N852" s="4" cm="1">
        <f t="array" ref="N852">SUM(--(_xlfn.TEXTSPLIT($J$852,, " ") = M852))</f>
        <v>2</v>
      </c>
      <c r="O852" cm="1">
        <f t="array" ref="O852:O1169">_xlfn._xlws.SORT(N852:N1169,, -1)</f>
        <v>18</v>
      </c>
      <c r="P852" s="4" cm="1">
        <f t="array" ref="P852:Q1169">_xlfn.SORTBY(N852:O1169, O852:O1169, -1)</f>
        <v>2</v>
      </c>
      <c r="Q852" s="4">
        <v>18</v>
      </c>
      <c r="T852" s="10"/>
      <c r="U852"/>
      <c r="V852"/>
      <c r="W852"/>
    </row>
    <row r="853" spans="1:23" x14ac:dyDescent="0.2">
      <c r="E853" s="4" t="s">
        <v>17</v>
      </c>
      <c r="K853" t="str">
        <v>Puttin'</v>
      </c>
      <c r="L853" s="4" t="str">
        <f t="shared" si="13"/>
        <v xml:space="preserve">Puttin </v>
      </c>
      <c r="M853" t="str">
        <v>Puttin'</v>
      </c>
      <c r="N853" s="4" cm="1">
        <f t="array" ref="N853">SUM(--(_xlfn.TEXTSPLIT($J$852,, " ") = M853))</f>
        <v>4</v>
      </c>
      <c r="O853">
        <v>14</v>
      </c>
      <c r="P853">
        <v>4</v>
      </c>
      <c r="Q853">
        <v>14</v>
      </c>
      <c r="S853" s="4"/>
      <c r="T853" s="10"/>
    </row>
    <row r="854" spans="1:23" x14ac:dyDescent="0.2">
      <c r="E854" s="4" t="s">
        <v>17</v>
      </c>
      <c r="K854" t="str">
        <v>on</v>
      </c>
      <c r="L854" s="4" t="str">
        <f t="shared" si="13"/>
        <v>on</v>
      </c>
      <c r="M854" t="str">
        <v>on</v>
      </c>
      <c r="N854" s="4" cm="1">
        <f t="array" ref="N854">SUM(--(_xlfn.TEXTSPLIT($J$852,, " ") = M854))</f>
        <v>4</v>
      </c>
      <c r="O854">
        <v>12</v>
      </c>
      <c r="P854">
        <v>4</v>
      </c>
      <c r="Q854">
        <v>12</v>
      </c>
      <c r="S854" s="4"/>
      <c r="T854" s="10"/>
    </row>
    <row r="855" spans="1:23" x14ac:dyDescent="0.2">
      <c r="E855" s="4" t="s">
        <v>17</v>
      </c>
      <c r="K855" t="str">
        <v>a</v>
      </c>
      <c r="L855" s="4" t="str">
        <f t="shared" si="13"/>
        <v>a</v>
      </c>
      <c r="M855" t="str">
        <v>a</v>
      </c>
      <c r="N855" s="4" cm="1">
        <f t="array" ref="N855">SUM(--(_xlfn.TEXTSPLIT($J$852,, " ") = M855))</f>
        <v>8</v>
      </c>
      <c r="O855">
        <v>10</v>
      </c>
      <c r="P855">
        <v>8</v>
      </c>
      <c r="Q855">
        <v>10</v>
      </c>
      <c r="S855" s="4"/>
      <c r="T855" s="10"/>
    </row>
    <row r="856" spans="1:23" x14ac:dyDescent="0.2">
      <c r="E856" s="4" t="s">
        <v>17</v>
      </c>
      <c r="K856" t="str">
        <v>drum</v>
      </c>
      <c r="L856" s="4" t="str">
        <f t="shared" si="13"/>
        <v>drum</v>
      </c>
      <c r="M856" t="str">
        <v>drum</v>
      </c>
      <c r="N856" s="4" cm="1">
        <f t="array" ref="N856">SUM(--(_xlfn.TEXTSPLIT($J$852,, " ") = M856))</f>
        <v>4</v>
      </c>
      <c r="O856">
        <v>10</v>
      </c>
      <c r="P856">
        <v>4</v>
      </c>
      <c r="Q856">
        <v>10</v>
      </c>
      <c r="S856" s="4"/>
      <c r="T856" s="10"/>
    </row>
    <row r="857" spans="1:23" x14ac:dyDescent="0.2">
      <c r="E857" s="4" t="s">
        <v>17</v>
      </c>
      <c r="K857" t="str">
        <v xml:space="preserve">show
</v>
      </c>
      <c r="L857" s="4" t="str">
        <f t="shared" si="13"/>
        <v xml:space="preserve">show </v>
      </c>
      <c r="M857" t="str">
        <v xml:space="preserve">show
</v>
      </c>
      <c r="N857" s="4" cm="1">
        <f t="array" ref="N857">SUM(--(_xlfn.TEXTSPLIT($J$852,, " ") = M857))</f>
        <v>2</v>
      </c>
      <c r="O857">
        <v>9</v>
      </c>
      <c r="P857">
        <v>2</v>
      </c>
      <c r="Q857">
        <v>9</v>
      </c>
      <c r="S857" s="4"/>
      <c r="T857" s="10"/>
    </row>
    <row r="858" spans="1:23" x14ac:dyDescent="0.2">
      <c r="E858" s="4" t="s">
        <v>17</v>
      </c>
      <c r="K858" t="str">
        <v xml:space="preserve">Ooh-ooh
</v>
      </c>
      <c r="L858" s="4" t="str">
        <f t="shared" si="13"/>
        <v xml:space="preserve">Ooh ooh  </v>
      </c>
      <c r="M858" t="str">
        <v xml:space="preserve">Ooh-ooh
</v>
      </c>
      <c r="N858" s="4" cm="1">
        <f t="array" ref="N858">SUM(--(_xlfn.TEXTSPLIT($J$852,, " ") = M858))</f>
        <v>2</v>
      </c>
      <c r="O858">
        <v>9</v>
      </c>
      <c r="P858">
        <v>2</v>
      </c>
      <c r="Q858">
        <v>9</v>
      </c>
      <c r="S858" s="4"/>
      <c r="T858" s="10"/>
    </row>
    <row r="859" spans="1:23" x14ac:dyDescent="0.2">
      <c r="E859" s="4" t="s">
        <v>17</v>
      </c>
      <c r="K859" t="str">
        <v>Completed</v>
      </c>
      <c r="L859" s="4" t="str">
        <f t="shared" si="13"/>
        <v>Completed</v>
      </c>
      <c r="M859" t="str">
        <v>Completed</v>
      </c>
      <c r="N859" s="4" cm="1">
        <f t="array" ref="N859">SUM(--(_xlfn.TEXTSPLIT($J$852,, " ") = M859))</f>
        <v>1</v>
      </c>
      <c r="O859">
        <v>9</v>
      </c>
      <c r="P859">
        <v>1</v>
      </c>
      <c r="Q859">
        <v>9</v>
      </c>
      <c r="S859" s="4"/>
      <c r="T859" s="10"/>
    </row>
    <row r="860" spans="1:23" x14ac:dyDescent="0.2">
      <c r="E860" s="4" t="s">
        <v>17</v>
      </c>
      <c r="K860" t="str">
        <v>checklist</v>
      </c>
      <c r="L860" s="4" t="str">
        <f t="shared" si="13"/>
        <v>checklist</v>
      </c>
      <c r="M860" t="str">
        <v>checklist</v>
      </c>
      <c r="N860" s="4" cm="1">
        <f t="array" ref="N860">SUM(--(_xlfn.TEXTSPLIT($J$852,, " ") = M860))</f>
        <v>1</v>
      </c>
      <c r="O860">
        <v>8</v>
      </c>
      <c r="P860">
        <v>1</v>
      </c>
      <c r="Q860">
        <v>8</v>
      </c>
      <c r="S860" s="4"/>
      <c r="T860" s="10"/>
    </row>
    <row r="861" spans="1:23" x14ac:dyDescent="0.2">
      <c r="E861" s="4" t="s">
        <v>17</v>
      </c>
      <c r="K861" t="str">
        <v>for</v>
      </c>
      <c r="L861" s="4" t="str">
        <f t="shared" si="13"/>
        <v>for</v>
      </c>
      <c r="M861" t="str">
        <v>for</v>
      </c>
      <c r="N861" s="4" cm="1">
        <f t="array" ref="N861">SUM(--(_xlfn.TEXTSPLIT($J$852,, " ") = M861))</f>
        <v>1</v>
      </c>
      <c r="O861">
        <v>8</v>
      </c>
      <c r="P861">
        <v>1</v>
      </c>
      <c r="Q861">
        <v>8</v>
      </c>
      <c r="S861" s="4"/>
      <c r="T861" s="10"/>
    </row>
    <row r="862" spans="1:23" x14ac:dyDescent="0.2">
      <c r="E862" s="4" t="s">
        <v>17</v>
      </c>
      <c r="K862" t="str">
        <v xml:space="preserve">today
</v>
      </c>
      <c r="L862" s="4" t="str">
        <f t="shared" si="13"/>
        <v xml:space="preserve">today </v>
      </c>
      <c r="M862" t="str">
        <v xml:space="preserve">today
</v>
      </c>
      <c r="N862" s="4" cm="1">
        <f t="array" ref="N862">SUM(--(_xlfn.TEXTSPLIT($J$852,, " ") = M862))</f>
        <v>1</v>
      </c>
      <c r="O862">
        <v>7</v>
      </c>
      <c r="P862">
        <v>1</v>
      </c>
      <c r="Q862">
        <v>7</v>
      </c>
      <c r="S862" s="4"/>
      <c r="T862" s="10"/>
    </row>
    <row r="863" spans="1:23" x14ac:dyDescent="0.2">
      <c r="E863" s="4" t="s">
        <v>17</v>
      </c>
      <c r="K863" t="str">
        <v>Now</v>
      </c>
      <c r="L863" s="4" t="str">
        <f t="shared" si="13"/>
        <v>Now</v>
      </c>
      <c r="M863" t="str">
        <v>Now</v>
      </c>
      <c r="N863" s="4" cm="1">
        <f t="array" ref="N863">SUM(--(_xlfn.TEXTSPLIT($J$852,, " ") = M863))</f>
        <v>1</v>
      </c>
      <c r="O863">
        <v>7</v>
      </c>
      <c r="P863">
        <v>1</v>
      </c>
      <c r="Q863">
        <v>7</v>
      </c>
      <c r="S863" s="4"/>
      <c r="T863" s="10"/>
    </row>
    <row r="864" spans="1:23" x14ac:dyDescent="0.2">
      <c r="E864" s="4" t="s">
        <v>17</v>
      </c>
      <c r="K864" t="str">
        <v>they</v>
      </c>
      <c r="L864" s="4" t="str">
        <f t="shared" si="13"/>
        <v>they</v>
      </c>
      <c r="M864" t="str">
        <v>they</v>
      </c>
      <c r="N864" s="4" cm="1">
        <f t="array" ref="N864">SUM(--(_xlfn.TEXTSPLIT($J$852,, " ") = M864))</f>
        <v>1</v>
      </c>
      <c r="O864">
        <v>6</v>
      </c>
      <c r="P864">
        <v>1</v>
      </c>
      <c r="Q864">
        <v>6</v>
      </c>
      <c r="S864" s="4"/>
      <c r="T864" s="10"/>
    </row>
    <row r="865" spans="5:20" x14ac:dyDescent="0.2">
      <c r="E865" s="4" t="s">
        <v>17</v>
      </c>
      <c r="K865" t="str">
        <v>have</v>
      </c>
      <c r="L865" s="4" t="str">
        <f t="shared" si="13"/>
        <v>have</v>
      </c>
      <c r="M865" t="str">
        <v>have</v>
      </c>
      <c r="N865" s="4" cm="1">
        <f t="array" ref="N865">SUM(--(_xlfn.TEXTSPLIT($J$852,, " ") = M865))</f>
        <v>1</v>
      </c>
      <c r="O865">
        <v>6</v>
      </c>
      <c r="P865">
        <v>1</v>
      </c>
      <c r="Q865">
        <v>6</v>
      </c>
      <c r="S865" s="4"/>
      <c r="T865" s="10"/>
    </row>
    <row r="866" spans="5:20" x14ac:dyDescent="0.2">
      <c r="E866" s="4" t="s">
        <v>17</v>
      </c>
      <c r="K866" t="str">
        <v>to</v>
      </c>
      <c r="L866" s="4" t="str">
        <f t="shared" si="13"/>
        <v>to</v>
      </c>
      <c r="M866" t="str">
        <v>to</v>
      </c>
      <c r="N866" s="4" cm="1">
        <f t="array" ref="N866">SUM(--(_xlfn.TEXTSPLIT($J$852,, " ") = M866))</f>
        <v>14</v>
      </c>
      <c r="O866">
        <v>6</v>
      </c>
      <c r="P866">
        <v>14</v>
      </c>
      <c r="Q866">
        <v>6</v>
      </c>
      <c r="S866" s="4"/>
      <c r="T866" s="10"/>
    </row>
    <row r="867" spans="5:20" x14ac:dyDescent="0.2">
      <c r="E867" s="4" t="s">
        <v>17</v>
      </c>
      <c r="K867" t="str">
        <v>let</v>
      </c>
      <c r="L867" s="4" t="str">
        <f t="shared" si="13"/>
        <v>let</v>
      </c>
      <c r="M867" t="str">
        <v>let</v>
      </c>
      <c r="N867" s="4" cm="1">
        <f t="array" ref="N867">SUM(--(_xlfn.TEXTSPLIT($J$852,, " ") = M867))</f>
        <v>1</v>
      </c>
      <c r="O867">
        <v>6</v>
      </c>
      <c r="P867">
        <v>1</v>
      </c>
      <c r="Q867">
        <v>6</v>
      </c>
      <c r="S867" s="4"/>
      <c r="T867" s="10"/>
    </row>
    <row r="868" spans="5:20" x14ac:dyDescent="0.2">
      <c r="E868" s="4" t="s">
        <v>17</v>
      </c>
      <c r="K868" t="str">
        <v>you</v>
      </c>
      <c r="L868" s="4" t="str">
        <f t="shared" si="13"/>
        <v>you</v>
      </c>
      <c r="M868" t="str">
        <v>you</v>
      </c>
      <c r="N868" s="4" cm="1">
        <f t="array" ref="N868">SUM(--(_xlfn.TEXTSPLIT($J$852,, " ") = M868))</f>
        <v>2</v>
      </c>
      <c r="O868">
        <v>6</v>
      </c>
      <c r="P868">
        <v>2</v>
      </c>
      <c r="Q868">
        <v>6</v>
      </c>
      <c r="S868" s="4"/>
      <c r="T868" s="10"/>
    </row>
    <row r="869" spans="5:20" x14ac:dyDescent="0.2">
      <c r="E869" s="4" t="s">
        <v>17</v>
      </c>
      <c r="K869" t="str">
        <v>out</v>
      </c>
      <c r="L869" s="4" t="str">
        <f t="shared" si="13"/>
        <v>out</v>
      </c>
      <c r="M869" t="str">
        <v>out</v>
      </c>
      <c r="N869" s="4" cm="1">
        <f t="array" ref="N869">SUM(--(_xlfn.TEXTSPLIT($J$852,, " ") = M869))</f>
        <v>2</v>
      </c>
      <c r="O869">
        <v>5</v>
      </c>
      <c r="P869">
        <v>2</v>
      </c>
      <c r="Q869">
        <v>5</v>
      </c>
      <c r="S869" s="4"/>
      <c r="T869" s="10"/>
    </row>
    <row r="870" spans="5:20" x14ac:dyDescent="0.2">
      <c r="E870" s="4" t="s">
        <v>17</v>
      </c>
      <c r="K870" t="str">
        <v>of</v>
      </c>
      <c r="L870" s="4" t="str">
        <f t="shared" si="13"/>
        <v>of</v>
      </c>
      <c r="M870" t="str">
        <v>of</v>
      </c>
      <c r="N870" s="4" cm="1">
        <f t="array" ref="N870">SUM(--(_xlfn.TEXTSPLIT($J$852,, " ") = M870))</f>
        <v>1</v>
      </c>
      <c r="O870">
        <v>5</v>
      </c>
      <c r="P870">
        <v>1</v>
      </c>
      <c r="Q870">
        <v>5</v>
      </c>
      <c r="S870" s="4"/>
      <c r="T870" s="10"/>
    </row>
    <row r="871" spans="5:20" x14ac:dyDescent="0.2">
      <c r="E871" s="4" t="s">
        <v>17</v>
      </c>
      <c r="K871" t="str">
        <v>your</v>
      </c>
      <c r="L871" s="4" t="str">
        <f t="shared" si="13"/>
        <v>your</v>
      </c>
      <c r="M871" t="str">
        <v>your</v>
      </c>
      <c r="N871" s="4" cm="1">
        <f t="array" ref="N871">SUM(--(_xlfn.TEXTSPLIT($J$852,, " ") = M871))</f>
        <v>1</v>
      </c>
      <c r="O871">
        <v>4</v>
      </c>
      <c r="P871">
        <v>1</v>
      </c>
      <c r="Q871">
        <v>4</v>
      </c>
      <c r="S871" s="4"/>
      <c r="T871" s="10"/>
    </row>
    <row r="872" spans="5:20" x14ac:dyDescent="0.2">
      <c r="E872" s="4" t="s">
        <v>17</v>
      </c>
      <c r="K872" t="str">
        <v xml:space="preserve">cage
</v>
      </c>
      <c r="L872" s="4" t="str">
        <f t="shared" si="13"/>
        <v xml:space="preserve">cage </v>
      </c>
      <c r="M872" t="str">
        <v xml:space="preserve">cage
</v>
      </c>
      <c r="N872" s="4" cm="1">
        <f t="array" ref="N872">SUM(--(_xlfn.TEXTSPLIT($J$852,, " ") = M872))</f>
        <v>1</v>
      </c>
      <c r="O872">
        <v>4</v>
      </c>
      <c r="P872">
        <v>1</v>
      </c>
      <c r="Q872">
        <v>4</v>
      </c>
      <c r="S872" s="4"/>
      <c r="T872" s="10"/>
    </row>
    <row r="873" spans="5:20" x14ac:dyDescent="0.2">
      <c r="E873" s="4" t="s">
        <v>17</v>
      </c>
      <c r="K873" t="str">
        <v>Feelin'</v>
      </c>
      <c r="L873" s="4" t="str">
        <f t="shared" si="13"/>
        <v xml:space="preserve">Feelin </v>
      </c>
      <c r="M873" t="str">
        <v>Feelin'</v>
      </c>
      <c r="N873" s="4" cm="1">
        <f t="array" ref="N873">SUM(--(_xlfn.TEXTSPLIT($J$852,, " ") = M873))</f>
        <v>1</v>
      </c>
      <c r="O873">
        <v>4</v>
      </c>
      <c r="P873">
        <v>1</v>
      </c>
      <c r="Q873">
        <v>4</v>
      </c>
      <c r="S873" s="4"/>
      <c r="T873" s="10"/>
    </row>
    <row r="874" spans="5:20" x14ac:dyDescent="0.2">
      <c r="E874" s="4" t="s">
        <v>17</v>
      </c>
      <c r="K874" t="str">
        <v>stuck</v>
      </c>
      <c r="L874" s="4" t="str">
        <f t="shared" si="13"/>
        <v>stuck</v>
      </c>
      <c r="M874" t="str">
        <v>stuck</v>
      </c>
      <c r="N874" s="4" cm="1">
        <f t="array" ref="N874">SUM(--(_xlfn.TEXTSPLIT($J$852,, " ") = M874))</f>
        <v>2</v>
      </c>
      <c r="O874">
        <v>4</v>
      </c>
      <c r="P874">
        <v>2</v>
      </c>
      <c r="Q874">
        <v>4</v>
      </c>
      <c r="S874" s="4"/>
      <c r="T874" s="10"/>
    </row>
    <row r="875" spans="5:20" x14ac:dyDescent="0.2">
      <c r="E875" s="4" t="s">
        <v>17</v>
      </c>
      <c r="K875" t="str">
        <v>between</v>
      </c>
      <c r="L875" s="4" t="str">
        <f t="shared" si="13"/>
        <v>between</v>
      </c>
      <c r="M875" t="str">
        <v>between</v>
      </c>
      <c r="N875" s="4" cm="1">
        <f t="array" ref="N875">SUM(--(_xlfn.TEXTSPLIT($J$852,, " ") = M875))</f>
        <v>2</v>
      </c>
      <c r="O875">
        <v>4</v>
      </c>
      <c r="P875">
        <v>2</v>
      </c>
      <c r="Q875">
        <v>4</v>
      </c>
      <c r="S875" s="4"/>
      <c r="T875" s="10"/>
    </row>
    <row r="876" spans="5:20" x14ac:dyDescent="0.2">
      <c r="E876" s="4" t="s">
        <v>17</v>
      </c>
      <c r="K876" t="str">
        <v>a</v>
      </c>
      <c r="L876" s="4" t="str">
        <f t="shared" si="13"/>
        <v>a</v>
      </c>
      <c r="M876" t="str">
        <v>rock</v>
      </c>
      <c r="N876" s="4" cm="1">
        <f t="array" ref="N876">SUM(--(_xlfn.TEXTSPLIT($J$852,, " ") = M876))</f>
        <v>2</v>
      </c>
      <c r="O876">
        <v>4</v>
      </c>
      <c r="P876">
        <v>2</v>
      </c>
      <c r="Q876">
        <v>4</v>
      </c>
      <c r="S876" s="4"/>
      <c r="T876" s="10"/>
    </row>
    <row r="877" spans="5:20" x14ac:dyDescent="0.2">
      <c r="E877" s="4" t="s">
        <v>17</v>
      </c>
      <c r="K877" t="str">
        <v>rock</v>
      </c>
      <c r="L877" s="4" t="str">
        <f t="shared" si="13"/>
        <v>rock</v>
      </c>
      <c r="M877" t="str">
        <v>and</v>
      </c>
      <c r="N877" s="4" cm="1">
        <f t="array" ref="N877">SUM(--(_xlfn.TEXTSPLIT($J$852,, " ") = M877))</f>
        <v>2</v>
      </c>
      <c r="O877">
        <v>3</v>
      </c>
      <c r="P877">
        <v>2</v>
      </c>
      <c r="Q877">
        <v>3</v>
      </c>
      <c r="S877" s="4"/>
      <c r="T877" s="10"/>
    </row>
    <row r="878" spans="5:20" x14ac:dyDescent="0.2">
      <c r="E878" s="4" t="s">
        <v>17</v>
      </c>
      <c r="K878" t="str">
        <v>and</v>
      </c>
      <c r="L878" s="4" t="str">
        <f t="shared" si="13"/>
        <v>and</v>
      </c>
      <c r="M878" t="str">
        <v xml:space="preserve">home
</v>
      </c>
      <c r="N878" s="4" cm="1">
        <f t="array" ref="N878">SUM(--(_xlfn.TEXTSPLIT($J$852,, " ") = M878))</f>
        <v>3</v>
      </c>
      <c r="O878">
        <v>3</v>
      </c>
      <c r="P878">
        <v>3</v>
      </c>
      <c r="Q878">
        <v>3</v>
      </c>
      <c r="S878" s="4"/>
      <c r="T878" s="10"/>
    </row>
    <row r="879" spans="5:20" x14ac:dyDescent="0.2">
      <c r="E879" s="4" t="s">
        <v>17</v>
      </c>
      <c r="K879" t="str">
        <v>a</v>
      </c>
      <c r="L879" s="4" t="str">
        <f t="shared" si="13"/>
        <v>a</v>
      </c>
      <c r="M879" t="str">
        <v>Two</v>
      </c>
      <c r="N879" s="4" cm="1">
        <f t="array" ref="N879">SUM(--(_xlfn.TEXTSPLIT($J$852,, " ") = M879))</f>
        <v>2</v>
      </c>
      <c r="O879">
        <v>3</v>
      </c>
      <c r="P879">
        <v>2</v>
      </c>
      <c r="Q879">
        <v>3</v>
      </c>
      <c r="S879" s="4"/>
      <c r="T879" s="10"/>
    </row>
    <row r="880" spans="5:20" x14ac:dyDescent="0.2">
      <c r="E880" s="4" t="s">
        <v>17</v>
      </c>
      <c r="K880" t="str">
        <v xml:space="preserve">home
</v>
      </c>
      <c r="L880" s="4" t="str">
        <f t="shared" si="13"/>
        <v xml:space="preserve">home </v>
      </c>
      <c r="M880" t="str">
        <v>places</v>
      </c>
      <c r="N880" s="4" cm="1">
        <f t="array" ref="N880">SUM(--(_xlfn.TEXTSPLIT($J$852,, " ") = M880))</f>
        <v>2</v>
      </c>
      <c r="O880">
        <v>3</v>
      </c>
      <c r="P880">
        <v>2</v>
      </c>
      <c r="Q880">
        <v>3</v>
      </c>
      <c r="S880" s="4"/>
      <c r="T880" s="10"/>
    </row>
    <row r="881" spans="5:20" x14ac:dyDescent="0.2">
      <c r="E881" s="4" t="s">
        <v>17</v>
      </c>
      <c r="K881" t="str">
        <v>Two</v>
      </c>
      <c r="L881" s="4" t="str">
        <f t="shared" si="13"/>
        <v>Two</v>
      </c>
      <c r="M881" t="str">
        <v>do</v>
      </c>
      <c r="N881" s="4" cm="1">
        <f t="array" ref="N881">SUM(--(_xlfn.TEXTSPLIT($J$852,, " ") = M881))</f>
        <v>1</v>
      </c>
      <c r="O881">
        <v>3</v>
      </c>
      <c r="P881">
        <v>1</v>
      </c>
      <c r="Q881">
        <v>3</v>
      </c>
      <c r="S881" s="4"/>
      <c r="T881" s="10"/>
    </row>
    <row r="882" spans="5:20" x14ac:dyDescent="0.2">
      <c r="E882" s="4" t="s">
        <v>17</v>
      </c>
      <c r="K882" t="str">
        <v>places</v>
      </c>
      <c r="L882" s="4" t="str">
        <f t="shared" si="13"/>
        <v>places</v>
      </c>
      <c r="M882" t="str">
        <v>not</v>
      </c>
      <c r="N882" s="4" cm="1">
        <f t="array" ref="N882">SUM(--(_xlfn.TEXTSPLIT($J$852,, " ") = M882))</f>
        <v>5</v>
      </c>
      <c r="O882">
        <v>3</v>
      </c>
      <c r="P882">
        <v>5</v>
      </c>
      <c r="Q882">
        <v>3</v>
      </c>
      <c r="S882" s="4"/>
      <c r="T882" s="10"/>
    </row>
    <row r="883" spans="5:20" x14ac:dyDescent="0.2">
      <c r="E883" s="4" t="s">
        <v>17</v>
      </c>
      <c r="K883" t="str">
        <v>you</v>
      </c>
      <c r="L883" s="4" t="str">
        <f t="shared" si="13"/>
        <v>you</v>
      </c>
      <c r="M883" t="str">
        <v>want</v>
      </c>
      <c r="N883" s="4" cm="1">
        <f t="array" ref="N883">SUM(--(_xlfn.TEXTSPLIT($J$852,, " ") = M883))</f>
        <v>9</v>
      </c>
      <c r="O883">
        <v>3</v>
      </c>
      <c r="P883">
        <v>9</v>
      </c>
      <c r="Q883">
        <v>3</v>
      </c>
      <c r="S883" s="4"/>
      <c r="T883" s="10"/>
    </row>
    <row r="884" spans="5:20" x14ac:dyDescent="0.2">
      <c r="E884" s="4" t="s">
        <v>17</v>
      </c>
      <c r="K884" t="str">
        <v>do</v>
      </c>
      <c r="L884" s="4" t="str">
        <f t="shared" si="13"/>
        <v>do</v>
      </c>
      <c r="M884" t="str">
        <v xml:space="preserve">go
</v>
      </c>
      <c r="N884" s="4" cm="1">
        <f t="array" ref="N884">SUM(--(_xlfn.TEXTSPLIT($J$852,, " ") = M884))</f>
        <v>2</v>
      </c>
      <c r="O884">
        <v>3</v>
      </c>
      <c r="P884">
        <v>2</v>
      </c>
      <c r="Q884">
        <v>3</v>
      </c>
      <c r="S884" s="4"/>
      <c r="T884" s="10"/>
    </row>
    <row r="885" spans="5:20" x14ac:dyDescent="0.2">
      <c r="E885" s="4" t="s">
        <v>17</v>
      </c>
      <c r="K885" t="str">
        <v>not</v>
      </c>
      <c r="L885" s="4" t="str">
        <f t="shared" si="13"/>
        <v>not</v>
      </c>
      <c r="M885" t="str">
        <v>So,</v>
      </c>
      <c r="N885" s="4" cm="1">
        <f t="array" ref="N885">SUM(--(_xlfn.TEXTSPLIT($J$852,, " ") = M885))</f>
        <v>2</v>
      </c>
      <c r="O885">
        <v>3</v>
      </c>
      <c r="P885">
        <v>2</v>
      </c>
      <c r="Q885">
        <v>3</v>
      </c>
      <c r="S885" s="4"/>
      <c r="T885" s="10"/>
    </row>
    <row r="886" spans="5:20" x14ac:dyDescent="0.2">
      <c r="E886" s="4" t="s">
        <v>17</v>
      </c>
      <c r="K886" t="str">
        <v>want</v>
      </c>
      <c r="L886" s="4" t="str">
        <f t="shared" si="13"/>
        <v>want</v>
      </c>
      <c r="M886" t="str">
        <v xml:space="preserve">so
</v>
      </c>
      <c r="N886" s="4" cm="1">
        <f t="array" ref="N886">SUM(--(_xlfn.TEXTSPLIT($J$852,, " ") = M886))</f>
        <v>3</v>
      </c>
      <c r="O886">
        <v>3</v>
      </c>
      <c r="P886">
        <v>3</v>
      </c>
      <c r="Q886">
        <v>3</v>
      </c>
      <c r="S886" s="4"/>
      <c r="T886" s="10"/>
    </row>
    <row r="887" spans="5:20" x14ac:dyDescent="0.2">
      <c r="E887" s="4" t="s">
        <v>17</v>
      </c>
      <c r="K887" t="str">
        <v>to</v>
      </c>
      <c r="L887" s="4" t="str">
        <f t="shared" si="13"/>
        <v>to</v>
      </c>
      <c r="M887" t="str">
        <v>He's</v>
      </c>
      <c r="N887" s="4" cm="1">
        <f t="array" ref="N887">SUM(--(_xlfn.TEXTSPLIT($J$852,, " ") = M887))</f>
        <v>3</v>
      </c>
      <c r="O887">
        <v>3</v>
      </c>
      <c r="P887">
        <v>3</v>
      </c>
      <c r="Q887">
        <v>3</v>
      </c>
      <c r="S887" s="4"/>
      <c r="T887" s="10"/>
    </row>
    <row r="888" spans="5:20" x14ac:dyDescent="0.2">
      <c r="E888" s="4" t="s">
        <v>17</v>
      </c>
      <c r="K888" t="str">
        <v xml:space="preserve">go
</v>
      </c>
      <c r="L888" s="4" t="str">
        <f t="shared" si="13"/>
        <v xml:space="preserve">go  </v>
      </c>
      <c r="M888" t="str">
        <v xml:space="preserve">show
</v>
      </c>
      <c r="N888" s="4" cm="1">
        <f t="array" ref="N888">SUM(--(_xlfn.TEXTSPLIT($J$852,, " ") = M888))</f>
        <v>3</v>
      </c>
      <c r="O888">
        <v>3</v>
      </c>
      <c r="P888">
        <v>3</v>
      </c>
      <c r="Q888">
        <v>3</v>
      </c>
      <c r="S888" s="4"/>
      <c r="T888" s="10"/>
    </row>
    <row r="889" spans="5:20" x14ac:dyDescent="0.2">
      <c r="E889" s="4" t="s">
        <v>17</v>
      </c>
      <c r="K889" t="str">
        <v>So,</v>
      </c>
      <c r="L889" s="4" t="str">
        <f t="shared" si="13"/>
        <v xml:space="preserve">So </v>
      </c>
      <c r="M889" t="str">
        <v>Even</v>
      </c>
      <c r="N889" s="4" cm="1">
        <f t="array" ref="N889">SUM(--(_xlfn.TEXTSPLIT($J$852,, " ") = M889))</f>
        <v>18</v>
      </c>
      <c r="O889">
        <v>3</v>
      </c>
      <c r="P889">
        <v>18</v>
      </c>
      <c r="Q889">
        <v>3</v>
      </c>
      <c r="S889" s="4"/>
      <c r="T889" s="10"/>
    </row>
    <row r="890" spans="5:20" x14ac:dyDescent="0.2">
      <c r="E890" s="4" t="s">
        <v>17</v>
      </c>
      <c r="K890" t="str">
        <v xml:space="preserve">so
</v>
      </c>
      <c r="L890" s="4" t="str">
        <f t="shared" si="13"/>
        <v xml:space="preserve">so </v>
      </c>
      <c r="M890" t="str">
        <v>now,</v>
      </c>
      <c r="N890" s="4" cm="1">
        <f t="array" ref="N890">SUM(--(_xlfn.TEXTSPLIT($J$852,, " ") = M890))</f>
        <v>12</v>
      </c>
      <c r="O890">
        <v>3</v>
      </c>
      <c r="P890">
        <v>12</v>
      </c>
      <c r="Q890">
        <v>3</v>
      </c>
      <c r="S890" s="4"/>
      <c r="T890" s="10"/>
    </row>
    <row r="891" spans="5:20" x14ac:dyDescent="0.2">
      <c r="E891" s="4" t="s">
        <v>17</v>
      </c>
      <c r="K891" t="str">
        <v>He's</v>
      </c>
      <c r="L891" s="4" t="str">
        <f t="shared" si="13"/>
        <v>He s</v>
      </c>
      <c r="M891" t="str">
        <v xml:space="preserve">now
</v>
      </c>
      <c r="N891" s="4" cm="1">
        <f t="array" ref="N891">SUM(--(_xlfn.TEXTSPLIT($J$852,, " ") = M891))</f>
        <v>6</v>
      </c>
      <c r="O891">
        <v>3</v>
      </c>
      <c r="P891">
        <v>6</v>
      </c>
      <c r="Q891">
        <v>3</v>
      </c>
      <c r="S891" s="4"/>
      <c r="T891" s="10"/>
    </row>
    <row r="892" spans="5:20" x14ac:dyDescent="0.2">
      <c r="E892" s="4" t="s">
        <v>17</v>
      </c>
      <c r="K892" t="str">
        <v>puttin'</v>
      </c>
      <c r="L892" s="4" t="str">
        <f t="shared" si="13"/>
        <v xml:space="preserve">puttin </v>
      </c>
      <c r="M892" t="str">
        <v>He'll</v>
      </c>
      <c r="N892" s="4" cm="1">
        <f t="array" ref="N892">SUM(--(_xlfn.TEXTSPLIT($J$852,, " ") = M892))</f>
        <v>6</v>
      </c>
      <c r="O892">
        <v>3</v>
      </c>
      <c r="P892">
        <v>6</v>
      </c>
      <c r="Q892">
        <v>3</v>
      </c>
      <c r="S892" s="4"/>
      <c r="T892" s="10"/>
    </row>
    <row r="893" spans="5:20" x14ac:dyDescent="0.2">
      <c r="E893" s="4" t="s">
        <v>17</v>
      </c>
      <c r="K893" t="str">
        <v>on</v>
      </c>
      <c r="L893" s="4" t="str">
        <f t="shared" si="13"/>
        <v>on</v>
      </c>
      <c r="M893" t="str">
        <v>take</v>
      </c>
      <c r="N893" s="4" cm="1">
        <f t="array" ref="N893">SUM(--(_xlfn.TEXTSPLIT($J$852,, " ") = M893))</f>
        <v>3</v>
      </c>
      <c r="O893">
        <v>3</v>
      </c>
      <c r="P893">
        <v>3</v>
      </c>
      <c r="Q893">
        <v>3</v>
      </c>
      <c r="S893" s="4"/>
      <c r="T893" s="10"/>
    </row>
    <row r="894" spans="5:20" x14ac:dyDescent="0.2">
      <c r="E894" s="4" t="s">
        <v>17</v>
      </c>
      <c r="K894" t="str">
        <v>a</v>
      </c>
      <c r="L894" s="4" t="str">
        <f t="shared" si="13"/>
        <v>a</v>
      </c>
      <c r="M894" t="str">
        <v>the</v>
      </c>
      <c r="N894" s="4" cm="1">
        <f t="array" ref="N894">SUM(--(_xlfn.TEXTSPLIT($J$852,, " ") = M894))</f>
        <v>3</v>
      </c>
      <c r="O894">
        <v>3</v>
      </c>
      <c r="P894">
        <v>3</v>
      </c>
      <c r="Q894">
        <v>3</v>
      </c>
      <c r="S894" s="4"/>
      <c r="T894" s="10"/>
    </row>
    <row r="895" spans="5:20" x14ac:dyDescent="0.2">
      <c r="E895" s="4" t="s">
        <v>17</v>
      </c>
      <c r="K895" t="str">
        <v>drum</v>
      </c>
      <c r="L895" s="4" t="str">
        <f t="shared" si="13"/>
        <v>drum</v>
      </c>
      <c r="M895" t="str">
        <v>longer</v>
      </c>
      <c r="N895" s="4" cm="1">
        <f t="array" ref="N895">SUM(--(_xlfn.TEXTSPLIT($J$852,, " ") = M895))</f>
        <v>3</v>
      </c>
      <c r="O895">
        <v>3</v>
      </c>
      <c r="P895">
        <v>3</v>
      </c>
      <c r="Q895">
        <v>3</v>
      </c>
      <c r="S895" s="4"/>
      <c r="T895" s="10"/>
    </row>
    <row r="896" spans="5:20" x14ac:dyDescent="0.2">
      <c r="E896" s="4" t="s">
        <v>17</v>
      </c>
      <c r="K896" t="str">
        <v xml:space="preserve">show
</v>
      </c>
      <c r="L896" s="4" t="str">
        <f t="shared" si="13"/>
        <v xml:space="preserve">show  </v>
      </c>
      <c r="M896" t="str">
        <v>way</v>
      </c>
      <c r="N896" s="4" cm="1">
        <f t="array" ref="N896">SUM(--(_xlfn.TEXTSPLIT($J$852,, " ") = M896))</f>
        <v>5</v>
      </c>
      <c r="O896">
        <v>3</v>
      </c>
      <c r="P896">
        <v>5</v>
      </c>
      <c r="Q896">
        <v>3</v>
      </c>
      <c r="S896" s="4"/>
      <c r="T896" s="10"/>
    </row>
    <row r="897" spans="5:20" x14ac:dyDescent="0.2">
      <c r="E897" s="4" t="s">
        <v>17</v>
      </c>
      <c r="K897" t="str">
        <v>Even</v>
      </c>
      <c r="L897" s="4" t="str">
        <f t="shared" si="13"/>
        <v>Even</v>
      </c>
      <c r="M897" t="str">
        <v>never</v>
      </c>
      <c r="N897" s="4" cm="1">
        <f t="array" ref="N897">SUM(--(_xlfn.TEXTSPLIT($J$852,, " ") = M897))</f>
        <v>3</v>
      </c>
      <c r="O897">
        <v>2</v>
      </c>
      <c r="P897">
        <v>3</v>
      </c>
      <c r="Q897">
        <v>2</v>
      </c>
      <c r="S897" s="4"/>
      <c r="T897" s="10"/>
    </row>
    <row r="898" spans="5:20" x14ac:dyDescent="0.2">
      <c r="E898" s="4" t="s">
        <v>17</v>
      </c>
      <c r="K898" t="str">
        <v>now,</v>
      </c>
      <c r="L898" s="4" t="str">
        <f t="shared" si="13"/>
        <v xml:space="preserve">now </v>
      </c>
      <c r="M898" t="str">
        <v>ever</v>
      </c>
      <c r="N898" s="4" cm="1">
        <f t="array" ref="N898">SUM(--(_xlfn.TEXTSPLIT($J$852,, " ") = M898))</f>
        <v>3</v>
      </c>
      <c r="O898">
        <v>2</v>
      </c>
      <c r="P898">
        <v>3</v>
      </c>
      <c r="Q898">
        <v>2</v>
      </c>
      <c r="S898" s="4"/>
      <c r="T898" s="10"/>
    </row>
    <row r="899" spans="5:20" x14ac:dyDescent="0.2">
      <c r="E899" s="4" t="s">
        <v>17</v>
      </c>
      <c r="K899" t="str">
        <v>even</v>
      </c>
      <c r="L899" s="4" t="str">
        <f t="shared" si="13"/>
        <v>even</v>
      </c>
      <c r="M899" t="str">
        <v>say</v>
      </c>
      <c r="N899" s="4" cm="1">
        <f t="array" ref="N899">SUM(--(_xlfn.TEXTSPLIT($J$852,, " ") = M899))</f>
        <v>3</v>
      </c>
      <c r="O899">
        <v>2</v>
      </c>
      <c r="P899">
        <v>3</v>
      </c>
      <c r="Q899">
        <v>2</v>
      </c>
      <c r="S899" s="4"/>
      <c r="T899" s="10"/>
    </row>
    <row r="900" spans="5:20" x14ac:dyDescent="0.2">
      <c r="E900" s="4" t="s">
        <v>17</v>
      </c>
      <c r="K900" t="str">
        <v>now,</v>
      </c>
      <c r="L900" s="4" t="str">
        <f t="shared" ref="L900:L963" si="14">_xlfn.REGEXREPLACE(K900, "[^A-Za-z ]", " ")</f>
        <v xml:space="preserve">now </v>
      </c>
      <c r="M900" t="str">
        <v>He</v>
      </c>
      <c r="N900" s="4" cm="1">
        <f t="array" ref="N900">SUM(--(_xlfn.TEXTSPLIT($J$852,, " ") = M900))</f>
        <v>8</v>
      </c>
      <c r="O900">
        <v>2</v>
      </c>
      <c r="P900">
        <v>8</v>
      </c>
      <c r="Q900">
        <v>2</v>
      </c>
      <c r="S900" s="4"/>
      <c r="T900" s="10"/>
    </row>
    <row r="901" spans="5:20" x14ac:dyDescent="0.2">
      <c r="E901" s="4" t="s">
        <v>17</v>
      </c>
      <c r="K901" t="str">
        <v>even</v>
      </c>
      <c r="L901" s="4" t="str">
        <f t="shared" si="14"/>
        <v>even</v>
      </c>
      <c r="M901" t="str">
        <v>drives</v>
      </c>
      <c r="N901" s="4" cm="1">
        <f t="array" ref="N901">SUM(--(_xlfn.TEXTSPLIT($J$852,, " ") = M901))</f>
        <v>6</v>
      </c>
      <c r="O901">
        <v>2</v>
      </c>
      <c r="P901">
        <v>6</v>
      </c>
      <c r="Q901">
        <v>2</v>
      </c>
      <c r="S901" s="4"/>
      <c r="T901" s="10"/>
    </row>
    <row r="902" spans="5:20" x14ac:dyDescent="0.2">
      <c r="E902" s="4" t="s">
        <v>17</v>
      </c>
      <c r="K902" t="str">
        <v xml:space="preserve">now
</v>
      </c>
      <c r="L902" s="4" t="str">
        <f t="shared" si="14"/>
        <v xml:space="preserve">now </v>
      </c>
      <c r="M902" t="str">
        <v>fast</v>
      </c>
      <c r="N902" s="4" cm="1">
        <f t="array" ref="N902">SUM(--(_xlfn.TEXTSPLIT($J$852,, " ") = M902))</f>
        <v>3</v>
      </c>
      <c r="O902">
        <v>2</v>
      </c>
      <c r="P902">
        <v>3</v>
      </c>
      <c r="Q902">
        <v>2</v>
      </c>
      <c r="S902" s="4"/>
      <c r="T902" s="10"/>
    </row>
    <row r="903" spans="5:20" x14ac:dyDescent="0.2">
      <c r="E903" s="4" t="s">
        <v>17</v>
      </c>
      <c r="K903" t="str">
        <v>He'll</v>
      </c>
      <c r="L903" s="4" t="str">
        <f t="shared" si="14"/>
        <v>He ll</v>
      </c>
      <c r="M903" t="str">
        <v>just</v>
      </c>
      <c r="N903" s="4" cm="1">
        <f t="array" ref="N903">SUM(--(_xlfn.TEXTSPLIT($J$852,, " ") = M903))</f>
        <v>3</v>
      </c>
      <c r="O903">
        <v>2</v>
      </c>
      <c r="P903">
        <v>3</v>
      </c>
      <c r="Q903">
        <v>2</v>
      </c>
      <c r="S903" s="4"/>
      <c r="T903" s="10"/>
    </row>
    <row r="904" spans="5:20" x14ac:dyDescent="0.2">
      <c r="E904" s="4" t="s">
        <v>17</v>
      </c>
      <c r="K904" t="str">
        <v>take</v>
      </c>
      <c r="L904" s="4" t="str">
        <f t="shared" si="14"/>
        <v>take</v>
      </c>
      <c r="M904" t="str">
        <v>feel</v>
      </c>
      <c r="N904" s="4" cm="1">
        <f t="array" ref="N904">SUM(--(_xlfn.TEXTSPLIT($J$852,, " ") = M904))</f>
        <v>10</v>
      </c>
      <c r="O904">
        <v>2</v>
      </c>
      <c r="P904">
        <v>10</v>
      </c>
      <c r="Q904">
        <v>2</v>
      </c>
      <c r="S904" s="4"/>
      <c r="T904" s="10"/>
    </row>
    <row r="905" spans="5:20" x14ac:dyDescent="0.2">
      <c r="E905" s="4" t="s">
        <v>17</v>
      </c>
      <c r="K905" t="str">
        <v>the</v>
      </c>
      <c r="L905" s="4" t="str">
        <f t="shared" si="14"/>
        <v>the</v>
      </c>
      <c r="M905" t="str">
        <v>it,</v>
      </c>
      <c r="N905" s="4" cm="1">
        <f t="array" ref="N905">SUM(--(_xlfn.TEXTSPLIT($J$852,, " ") = M905))</f>
        <v>6</v>
      </c>
      <c r="O905">
        <v>2</v>
      </c>
      <c r="P905">
        <v>6</v>
      </c>
      <c r="Q905">
        <v>2</v>
      </c>
      <c r="S905" s="4"/>
      <c r="T905" s="10"/>
    </row>
    <row r="906" spans="5:20" x14ac:dyDescent="0.2">
      <c r="E906" s="4" t="s">
        <v>17</v>
      </c>
      <c r="K906" t="str">
        <v>longer</v>
      </c>
      <c r="L906" s="4" t="str">
        <f t="shared" si="14"/>
        <v>longer</v>
      </c>
      <c r="M906" t="str">
        <v>it</v>
      </c>
      <c r="N906" s="4" cm="1">
        <f t="array" ref="N906">SUM(--(_xlfn.TEXTSPLIT($J$852,, " ") = M906))</f>
        <v>10</v>
      </c>
      <c r="O906">
        <v>2</v>
      </c>
      <c r="P906">
        <v>10</v>
      </c>
      <c r="Q906">
        <v>2</v>
      </c>
      <c r="S906" s="4"/>
      <c r="T906" s="10"/>
    </row>
    <row r="907" spans="5:20" x14ac:dyDescent="0.2">
      <c r="E907" s="4" t="s">
        <v>17</v>
      </c>
      <c r="K907" t="str">
        <v>way</v>
      </c>
      <c r="L907" s="4" t="str">
        <f t="shared" si="14"/>
        <v>way</v>
      </c>
      <c r="M907" t="str">
        <v>(Feel</v>
      </c>
      <c r="N907" s="4" cm="1">
        <f t="array" ref="N907">SUM(--(_xlfn.TEXTSPLIT($J$852,, " ") = M907))</f>
        <v>9</v>
      </c>
      <c r="O907">
        <v>2</v>
      </c>
      <c r="P907">
        <v>9</v>
      </c>
      <c r="Q907">
        <v>2</v>
      </c>
      <c r="S907" s="4"/>
      <c r="T907" s="10"/>
    </row>
    <row r="908" spans="5:20" x14ac:dyDescent="0.2">
      <c r="E908" s="4" t="s">
        <v>17</v>
      </c>
      <c r="K908" t="str">
        <v xml:space="preserve">home
</v>
      </c>
      <c r="L908" s="4" t="str">
        <f t="shared" si="14"/>
        <v xml:space="preserve">home </v>
      </c>
      <c r="M908" t="str">
        <v xml:space="preserve">it)
</v>
      </c>
      <c r="N908" s="4" cm="1">
        <f t="array" ref="N908">SUM(--(_xlfn.TEXTSPLIT($J$852,, " ") = M908))</f>
        <v>9</v>
      </c>
      <c r="O908">
        <v>2</v>
      </c>
      <c r="P908">
        <v>9</v>
      </c>
      <c r="Q908">
        <v>2</v>
      </c>
      <c r="S908" s="4"/>
      <c r="T908" s="10"/>
    </row>
    <row r="909" spans="5:20" x14ac:dyDescent="0.2">
      <c r="E909" s="4" t="s">
        <v>17</v>
      </c>
      <c r="K909" t="str">
        <v>Even</v>
      </c>
      <c r="L909" s="4" t="str">
        <f t="shared" si="14"/>
        <v>Even</v>
      </c>
      <c r="M909" t="str">
        <v>slow</v>
      </c>
      <c r="N909" s="4" cm="1">
        <f t="array" ref="N909">SUM(--(_xlfn.TEXTSPLIT($J$852,, " ") = M909))</f>
        <v>3</v>
      </c>
      <c r="O909">
        <v>2</v>
      </c>
      <c r="P909">
        <v>3</v>
      </c>
      <c r="Q909">
        <v>2</v>
      </c>
      <c r="S909" s="4"/>
      <c r="T909" s="10"/>
    </row>
    <row r="910" spans="5:20" x14ac:dyDescent="0.2">
      <c r="E910" s="4" t="s">
        <v>17</v>
      </c>
      <c r="K910" t="str">
        <v>now,</v>
      </c>
      <c r="L910" s="4" t="str">
        <f t="shared" si="14"/>
        <v xml:space="preserve">now </v>
      </c>
      <c r="M910" t="str">
        <v>if</v>
      </c>
      <c r="N910" s="4" cm="1">
        <f t="array" ref="N910">SUM(--(_xlfn.TEXTSPLIT($J$852,, " ") = M910))</f>
        <v>3</v>
      </c>
      <c r="O910">
        <v>2</v>
      </c>
      <c r="P910">
        <v>3</v>
      </c>
      <c r="Q910">
        <v>2</v>
      </c>
      <c r="S910" s="4"/>
      <c r="T910" s="10"/>
    </row>
    <row r="911" spans="5:20" x14ac:dyDescent="0.2">
      <c r="E911" s="4" t="s">
        <v>17</v>
      </c>
      <c r="K911" t="str">
        <v>even</v>
      </c>
      <c r="L911" s="4" t="str">
        <f t="shared" si="14"/>
        <v>even</v>
      </c>
      <c r="M911" t="str">
        <v>his</v>
      </c>
      <c r="N911" s="4" cm="1">
        <f t="array" ref="N911">SUM(--(_xlfn.TEXTSPLIT($J$852,, " ") = M911))</f>
        <v>4</v>
      </c>
      <c r="O911">
        <v>2</v>
      </c>
      <c r="P911">
        <v>4</v>
      </c>
      <c r="Q911">
        <v>2</v>
      </c>
      <c r="S911" s="4"/>
      <c r="T911" s="10"/>
    </row>
    <row r="912" spans="5:20" x14ac:dyDescent="0.2">
      <c r="E912" s="4" t="s">
        <v>17</v>
      </c>
      <c r="K912" t="str">
        <v>now,</v>
      </c>
      <c r="L912" s="4" t="str">
        <f t="shared" si="14"/>
        <v xml:space="preserve">now </v>
      </c>
      <c r="M912" t="str">
        <v>song's</v>
      </c>
      <c r="N912" s="4" cm="1">
        <f t="array" ref="N912">SUM(--(_xlfn.TEXTSPLIT($J$852,, " ") = M912))</f>
        <v>3</v>
      </c>
      <c r="O912">
        <v>2</v>
      </c>
      <c r="P912">
        <v>3</v>
      </c>
      <c r="Q912">
        <v>2</v>
      </c>
      <c r="S912" s="4"/>
      <c r="T912" s="10"/>
    </row>
    <row r="913" spans="5:20" x14ac:dyDescent="0.2">
      <c r="E913" s="4" t="s">
        <v>17</v>
      </c>
      <c r="K913" t="str">
        <v>even</v>
      </c>
      <c r="L913" s="4" t="str">
        <f t="shared" si="14"/>
        <v>even</v>
      </c>
      <c r="M913" t="str">
        <v>over</v>
      </c>
      <c r="N913" s="4" cm="1">
        <f t="array" ref="N913">SUM(--(_xlfn.TEXTSPLIT($J$852,, " ") = M913))</f>
        <v>3</v>
      </c>
      <c r="O913">
        <v>2</v>
      </c>
      <c r="P913">
        <v>3</v>
      </c>
      <c r="Q913">
        <v>2</v>
      </c>
      <c r="S913" s="4"/>
      <c r="T913" s="10"/>
    </row>
    <row r="914" spans="5:20" x14ac:dyDescent="0.2">
      <c r="E914" s="4" t="s">
        <v>17</v>
      </c>
      <c r="K914" t="str">
        <v xml:space="preserve">now
</v>
      </c>
      <c r="L914" s="4" t="str">
        <f t="shared" si="14"/>
        <v xml:space="preserve">now </v>
      </c>
      <c r="M914" t="str">
        <v>Drown</v>
      </c>
      <c r="N914" s="4" cm="1">
        <f t="array" ref="N914">SUM(--(_xlfn.TEXTSPLIT($J$852,, " ") = M914))</f>
        <v>6</v>
      </c>
      <c r="O914">
        <v>2</v>
      </c>
      <c r="P914">
        <v>6</v>
      </c>
      <c r="Q914">
        <v>2</v>
      </c>
      <c r="S914" s="4"/>
      <c r="T914" s="10"/>
    </row>
    <row r="915" spans="5:20" x14ac:dyDescent="0.2">
      <c r="E915" s="4" t="s">
        <v>17</v>
      </c>
      <c r="K915" t="str">
        <v>He'll</v>
      </c>
      <c r="L915" s="4" t="str">
        <f t="shared" si="14"/>
        <v>He ll</v>
      </c>
      <c r="M915" t="str">
        <v>out,</v>
      </c>
      <c r="N915" s="4" cm="1">
        <f t="array" ref="N915">SUM(--(_xlfn.TEXTSPLIT($J$852,, " ") = M915))</f>
        <v>3</v>
      </c>
      <c r="O915">
        <v>2</v>
      </c>
      <c r="P915">
        <v>3</v>
      </c>
      <c r="Q915">
        <v>2</v>
      </c>
      <c r="S915" s="4"/>
      <c r="T915" s="10"/>
    </row>
    <row r="916" spans="5:20" x14ac:dyDescent="0.2">
      <c r="E916" s="4" t="s">
        <v>17</v>
      </c>
      <c r="K916" t="str">
        <v>never</v>
      </c>
      <c r="L916" s="4" t="str">
        <f t="shared" si="14"/>
        <v>never</v>
      </c>
      <c r="M916" t="str">
        <v xml:space="preserve">out
</v>
      </c>
      <c r="N916" s="4" cm="1">
        <f t="array" ref="N916">SUM(--(_xlfn.TEXTSPLIT($J$852,, " ") = M916))</f>
        <v>2</v>
      </c>
      <c r="O916">
        <v>2</v>
      </c>
      <c r="P916">
        <v>2</v>
      </c>
      <c r="Q916">
        <v>2</v>
      </c>
      <c r="S916" s="4"/>
      <c r="T916" s="10"/>
    </row>
    <row r="917" spans="5:20" x14ac:dyDescent="0.2">
      <c r="E917" s="4" t="s">
        <v>17</v>
      </c>
      <c r="K917" t="str">
        <v>ever</v>
      </c>
      <c r="L917" s="4" t="str">
        <f t="shared" si="14"/>
        <v>ever</v>
      </c>
      <c r="M917" t="str">
        <v>He'd</v>
      </c>
      <c r="N917" s="4" cm="1">
        <f t="array" ref="N917">SUM(--(_xlfn.TEXTSPLIT($J$852,, " ") = M917))</f>
        <v>1</v>
      </c>
      <c r="O917">
        <v>2</v>
      </c>
      <c r="P917">
        <v>1</v>
      </c>
      <c r="Q917">
        <v>2</v>
      </c>
      <c r="S917" s="4"/>
      <c r="T917" s="10"/>
    </row>
    <row r="918" spans="5:20" x14ac:dyDescent="0.2">
      <c r="E918" s="4" t="s">
        <v>17</v>
      </c>
      <c r="K918" t="str">
        <v>say</v>
      </c>
      <c r="L918" s="4" t="str">
        <f t="shared" si="14"/>
        <v>say</v>
      </c>
      <c r="M918" t="str">
        <v>rather</v>
      </c>
      <c r="N918" s="4" cm="1">
        <f t="array" ref="N918">SUM(--(_xlfn.TEXTSPLIT($J$852,, " ") = M918))</f>
        <v>1</v>
      </c>
      <c r="O918">
        <v>2</v>
      </c>
      <c r="P918">
        <v>1</v>
      </c>
      <c r="Q918">
        <v>2</v>
      </c>
      <c r="S918" s="4"/>
      <c r="T918" s="10"/>
    </row>
    <row r="919" spans="5:20" x14ac:dyDescent="0.2">
      <c r="E919" s="4" t="s">
        <v>17</v>
      </c>
      <c r="K919" t="str">
        <v xml:space="preserve">so
</v>
      </c>
      <c r="L919" s="4" t="str">
        <f t="shared" si="14"/>
        <v xml:space="preserve">so </v>
      </c>
      <c r="M919" t="str">
        <v>something</v>
      </c>
      <c r="N919" s="4" cm="1">
        <f t="array" ref="N919">SUM(--(_xlfn.TEXTSPLIT($J$852,, " ") = M919))</f>
        <v>1</v>
      </c>
      <c r="O919">
        <v>2</v>
      </c>
      <c r="P919">
        <v>1</v>
      </c>
      <c r="Q919">
        <v>2</v>
      </c>
      <c r="S919" s="4"/>
      <c r="T919" s="10"/>
    </row>
    <row r="920" spans="5:20" x14ac:dyDescent="0.2">
      <c r="E920" s="4" t="s">
        <v>17</v>
      </c>
      <c r="K920" t="str">
        <v>He</v>
      </c>
      <c r="L920" s="4" t="str">
        <f t="shared" si="14"/>
        <v>He</v>
      </c>
      <c r="M920" t="str">
        <v>than</v>
      </c>
      <c r="N920" s="4" cm="1">
        <f t="array" ref="N920">SUM(--(_xlfn.TEXTSPLIT($J$852,, " ") = M920))</f>
        <v>1</v>
      </c>
      <c r="O920">
        <v>2</v>
      </c>
      <c r="P920">
        <v>1</v>
      </c>
      <c r="Q920">
        <v>2</v>
      </c>
      <c r="S920" s="4"/>
      <c r="T920" s="10"/>
    </row>
    <row r="921" spans="5:20" x14ac:dyDescent="0.2">
      <c r="E921" s="4" t="s">
        <v>17</v>
      </c>
      <c r="K921" t="str">
        <v>drives</v>
      </c>
      <c r="L921" s="4" t="str">
        <f t="shared" si="14"/>
        <v>drives</v>
      </c>
      <c r="M921" t="str">
        <v>nothing</v>
      </c>
      <c r="N921" s="4" cm="1">
        <f t="array" ref="N921">SUM(--(_xlfn.TEXTSPLIT($J$852,, " ") = M921))</f>
        <v>1</v>
      </c>
      <c r="O921">
        <v>2</v>
      </c>
      <c r="P921">
        <v>1</v>
      </c>
      <c r="Q921">
        <v>2</v>
      </c>
      <c r="S921" s="4"/>
      <c r="T921" s="10"/>
    </row>
    <row r="922" spans="5:20" x14ac:dyDescent="0.2">
      <c r="E922" s="4" t="s">
        <v>17</v>
      </c>
      <c r="K922" t="str">
        <v>fast</v>
      </c>
      <c r="L922" s="4" t="str">
        <f t="shared" si="14"/>
        <v>fast</v>
      </c>
      <c r="M922" t="str">
        <v>at</v>
      </c>
      <c r="N922" s="4" cm="1">
        <f t="array" ref="N922">SUM(--(_xlfn.TEXTSPLIT($J$852,, " ") = M922))</f>
        <v>1</v>
      </c>
      <c r="O922">
        <v>2</v>
      </c>
      <c r="P922">
        <v>1</v>
      </c>
      <c r="Q922">
        <v>2</v>
      </c>
      <c r="S922" s="4"/>
      <c r="T922" s="10"/>
    </row>
    <row r="923" spans="5:20" x14ac:dyDescent="0.2">
      <c r="E923" s="4" t="s">
        <v>17</v>
      </c>
      <c r="K923" t="str">
        <v>just</v>
      </c>
      <c r="L923" s="4" t="str">
        <f t="shared" si="14"/>
        <v>just</v>
      </c>
      <c r="M923" t="str">
        <v xml:space="preserve">all
</v>
      </c>
      <c r="N923" s="4" cm="1">
        <f t="array" ref="N923">SUM(--(_xlfn.TEXTSPLIT($J$852,, " ") = M923))</f>
        <v>1</v>
      </c>
      <c r="O923">
        <v>2</v>
      </c>
      <c r="P923">
        <v>1</v>
      </c>
      <c r="Q923">
        <v>2</v>
      </c>
      <c r="S923" s="4"/>
      <c r="T923" s="10"/>
    </row>
    <row r="924" spans="5:20" x14ac:dyDescent="0.2">
      <c r="E924" s="4" t="s">
        <v>17</v>
      </c>
      <c r="K924" t="str">
        <v>to</v>
      </c>
      <c r="L924" s="4" t="str">
        <f t="shared" si="14"/>
        <v>to</v>
      </c>
      <c r="M924" t="str">
        <v>So</v>
      </c>
      <c r="N924" s="4" cm="1">
        <f t="array" ref="N924">SUM(--(_xlfn.TEXTSPLIT($J$852,, " ") = M924))</f>
        <v>3</v>
      </c>
      <c r="O924">
        <v>2</v>
      </c>
      <c r="P924">
        <v>3</v>
      </c>
      <c r="Q924">
        <v>2</v>
      </c>
      <c r="S924" s="4"/>
      <c r="T924" s="10"/>
    </row>
    <row r="925" spans="5:20" x14ac:dyDescent="0.2">
      <c r="E925" s="4" t="s">
        <v>17</v>
      </c>
      <c r="K925" t="str">
        <v>feel</v>
      </c>
      <c r="L925" s="4" t="str">
        <f t="shared" si="14"/>
        <v>feel</v>
      </c>
      <c r="M925" t="str">
        <v>swerves</v>
      </c>
      <c r="N925" s="4" cm="1">
        <f t="array" ref="N925">SUM(--(_xlfn.TEXTSPLIT($J$852,, " ") = M925))</f>
        <v>1</v>
      </c>
      <c r="O925">
        <v>2</v>
      </c>
      <c r="P925">
        <v>1</v>
      </c>
      <c r="Q925">
        <v>2</v>
      </c>
      <c r="S925" s="4"/>
      <c r="T925" s="10"/>
    </row>
    <row r="926" spans="5:20" x14ac:dyDescent="0.2">
      <c r="E926" s="4" t="s">
        <v>17</v>
      </c>
      <c r="K926" t="str">
        <v>it,</v>
      </c>
      <c r="L926" s="4" t="str">
        <f t="shared" si="14"/>
        <v xml:space="preserve">it </v>
      </c>
      <c r="M926" t="str">
        <v>all</v>
      </c>
      <c r="N926" s="4" cm="1">
        <f t="array" ref="N926">SUM(--(_xlfn.TEXTSPLIT($J$852,, " ") = M926))</f>
        <v>1</v>
      </c>
      <c r="O926">
        <v>2</v>
      </c>
      <c r="P926">
        <v>1</v>
      </c>
      <c r="Q926">
        <v>2</v>
      </c>
      <c r="S926" s="4"/>
      <c r="T926" s="10"/>
    </row>
    <row r="927" spans="5:20" x14ac:dyDescent="0.2">
      <c r="E927" s="4" t="s">
        <v>17</v>
      </c>
      <c r="K927" t="str">
        <v>feel</v>
      </c>
      <c r="L927" s="4" t="str">
        <f t="shared" si="14"/>
        <v>feel</v>
      </c>
      <c r="M927" t="str">
        <v>around</v>
      </c>
      <c r="N927" s="4" cm="1">
        <f t="array" ref="N927">SUM(--(_xlfn.TEXTSPLIT($J$852,, " ") = M927))</f>
        <v>1</v>
      </c>
      <c r="O927">
        <v>2</v>
      </c>
      <c r="P927">
        <v>1</v>
      </c>
      <c r="Q927">
        <v>2</v>
      </c>
      <c r="S927" s="4"/>
      <c r="T927" s="10"/>
    </row>
    <row r="928" spans="5:20" x14ac:dyDescent="0.2">
      <c r="E928" s="4" t="s">
        <v>17</v>
      </c>
      <c r="K928" t="str">
        <v>it</v>
      </c>
      <c r="L928" s="4" t="str">
        <f t="shared" si="14"/>
        <v>it</v>
      </c>
      <c r="M928" t="str">
        <v>as</v>
      </c>
      <c r="N928" s="4" cm="1">
        <f t="array" ref="N928">SUM(--(_xlfn.TEXTSPLIT($J$852,, " ") = M928))</f>
        <v>1</v>
      </c>
      <c r="O928">
        <v>2</v>
      </c>
      <c r="P928">
        <v>1</v>
      </c>
      <c r="Q928">
        <v>2</v>
      </c>
      <c r="S928" s="4"/>
      <c r="T928" s="10"/>
    </row>
    <row r="929" spans="5:20" x14ac:dyDescent="0.2">
      <c r="E929" s="4" t="s">
        <v>17</v>
      </c>
      <c r="K929" t="str">
        <v>(Feel</v>
      </c>
      <c r="L929" s="4" t="str">
        <f t="shared" si="14"/>
        <v xml:space="preserve"> Feel</v>
      </c>
      <c r="M929" t="str">
        <v>head</v>
      </c>
      <c r="N929" s="4" cm="1">
        <f t="array" ref="N929">SUM(--(_xlfn.TEXTSPLIT($J$852,, " ") = M929))</f>
        <v>1</v>
      </c>
      <c r="O929">
        <v>2</v>
      </c>
      <c r="P929">
        <v>1</v>
      </c>
      <c r="Q929">
        <v>2</v>
      </c>
      <c r="S929" s="4"/>
      <c r="T929" s="10"/>
    </row>
    <row r="930" spans="5:20" x14ac:dyDescent="0.2">
      <c r="E930" s="4" t="s">
        <v>17</v>
      </c>
      <c r="K930" t="str">
        <v xml:space="preserve">it)
</v>
      </c>
      <c r="L930" s="4" t="str">
        <f t="shared" si="14"/>
        <v xml:space="preserve">it  </v>
      </c>
      <c r="M930" t="str">
        <v>starts</v>
      </c>
      <c r="N930" s="4" cm="1">
        <f t="array" ref="N930">SUM(--(_xlfn.TEXTSPLIT($J$852,, " ") = M930))</f>
        <v>1</v>
      </c>
      <c r="O930">
        <v>2</v>
      </c>
      <c r="P930">
        <v>1</v>
      </c>
      <c r="Q930">
        <v>2</v>
      </c>
      <c r="S930" s="4"/>
      <c r="T930" s="10"/>
    </row>
    <row r="931" spans="5:20" x14ac:dyDescent="0.2">
      <c r="E931" s="4" t="s">
        <v>17</v>
      </c>
      <c r="K931" t="str">
        <v>He</v>
      </c>
      <c r="L931" s="4" t="str">
        <f t="shared" si="14"/>
        <v>He</v>
      </c>
      <c r="M931" t="str">
        <v>fall,</v>
      </c>
      <c r="N931" s="4" cm="1">
        <f t="array" ref="N931">SUM(--(_xlfn.TEXTSPLIT($J$852,, " ") = M931))</f>
        <v>1</v>
      </c>
      <c r="O931">
        <v>2</v>
      </c>
      <c r="P931">
        <v>1</v>
      </c>
      <c r="Q931">
        <v>2</v>
      </c>
      <c r="S931" s="4"/>
      <c r="T931" s="10"/>
    </row>
    <row r="932" spans="5:20" x14ac:dyDescent="0.2">
      <c r="E932" s="4" t="s">
        <v>17</v>
      </c>
      <c r="K932" t="str">
        <v>drives</v>
      </c>
      <c r="L932" s="4" t="str">
        <f t="shared" si="14"/>
        <v>drives</v>
      </c>
      <c r="M932" t="str">
        <v>turns</v>
      </c>
      <c r="N932" s="4" cm="1">
        <f t="array" ref="N932">SUM(--(_xlfn.TEXTSPLIT($J$852,, " ") = M932))</f>
        <v>1</v>
      </c>
      <c r="O932">
        <v>2</v>
      </c>
      <c r="P932">
        <v>1</v>
      </c>
      <c r="Q932">
        <v>2</v>
      </c>
      <c r="S932" s="4"/>
      <c r="T932" s="10"/>
    </row>
    <row r="933" spans="5:20" x14ac:dyDescent="0.2">
      <c r="E933" s="4" t="s">
        <v>17</v>
      </c>
      <c r="K933" t="str">
        <v>slow</v>
      </c>
      <c r="L933" s="4" t="str">
        <f t="shared" si="14"/>
        <v>slow</v>
      </c>
      <c r="M933" t="str">
        <v xml:space="preserve">up
</v>
      </c>
      <c r="N933" s="4" cm="1">
        <f t="array" ref="N933">SUM(--(_xlfn.TEXTSPLIT($J$852,, " ") = M933))</f>
        <v>1</v>
      </c>
      <c r="O933">
        <v>2</v>
      </c>
      <c r="P933">
        <v>1</v>
      </c>
      <c r="Q933">
        <v>2</v>
      </c>
      <c r="S933" s="4"/>
      <c r="T933" s="10"/>
    </row>
    <row r="934" spans="5:20" x14ac:dyDescent="0.2">
      <c r="E934" s="4" t="s">
        <v>17</v>
      </c>
      <c r="K934" t="str">
        <v>if</v>
      </c>
      <c r="L934" s="4" t="str">
        <f t="shared" si="14"/>
        <v>if</v>
      </c>
      <c r="M934" t="str">
        <v>does</v>
      </c>
      <c r="N934" s="4" cm="1">
        <f t="array" ref="N934">SUM(--(_xlfn.TEXTSPLIT($J$852,, " ") = M934))</f>
        <v>1</v>
      </c>
      <c r="O934">
        <v>2</v>
      </c>
      <c r="P934">
        <v>1</v>
      </c>
      <c r="Q934">
        <v>2</v>
      </c>
      <c r="S934" s="4"/>
      <c r="T934" s="10"/>
    </row>
    <row r="935" spans="5:20" x14ac:dyDescent="0.2">
      <c r="E935" s="4" t="s">
        <v>17</v>
      </c>
      <c r="K935" t="str">
        <v>his</v>
      </c>
      <c r="L935" s="4" t="str">
        <f t="shared" si="14"/>
        <v>his</v>
      </c>
      <c r="M935" t="str">
        <v>home</v>
      </c>
      <c r="N935" s="4" cm="1">
        <f t="array" ref="N935">SUM(--(_xlfn.TEXTSPLIT($J$852,, " ") = M935))</f>
        <v>2</v>
      </c>
      <c r="O935">
        <v>2</v>
      </c>
      <c r="P935">
        <v>2</v>
      </c>
      <c r="Q935">
        <v>2</v>
      </c>
      <c r="S935" s="4"/>
      <c r="T935" s="10"/>
    </row>
    <row r="936" spans="5:20" x14ac:dyDescent="0.2">
      <c r="E936" s="4" t="s">
        <v>17</v>
      </c>
      <c r="K936" t="str">
        <v>song's</v>
      </c>
      <c r="L936" s="4" t="str">
        <f t="shared" si="14"/>
        <v>song s</v>
      </c>
      <c r="M936" t="str">
        <v>(I've</v>
      </c>
      <c r="N936" s="4" cm="1">
        <f t="array" ref="N936">SUM(--(_xlfn.TEXTSPLIT($J$852,, " ") = M936))</f>
        <v>3</v>
      </c>
      <c r="O936">
        <v>2</v>
      </c>
      <c r="P936">
        <v>3</v>
      </c>
      <c r="Q936">
        <v>2</v>
      </c>
      <c r="S936" s="4"/>
      <c r="T936" s="10"/>
    </row>
    <row r="937" spans="5:20" x14ac:dyDescent="0.2">
      <c r="E937" s="4" t="s">
        <v>17</v>
      </c>
      <c r="K937" t="str">
        <v>not</v>
      </c>
      <c r="L937" s="4" t="str">
        <f t="shared" si="14"/>
        <v>not</v>
      </c>
      <c r="M937" t="str">
        <v>been</v>
      </c>
      <c r="N937" s="4" cm="1">
        <f t="array" ref="N937">SUM(--(_xlfn.TEXTSPLIT($J$852,, " ") = M937))</f>
        <v>7</v>
      </c>
      <c r="O937">
        <v>2</v>
      </c>
      <c r="P937">
        <v>7</v>
      </c>
      <c r="Q937">
        <v>2</v>
      </c>
      <c r="S937" s="4"/>
      <c r="T937" s="10"/>
    </row>
    <row r="938" spans="5:20" x14ac:dyDescent="0.2">
      <c r="E938" s="4" t="s">
        <v>17</v>
      </c>
      <c r="K938" t="str">
        <v>over</v>
      </c>
      <c r="L938" s="4" t="str">
        <f t="shared" si="14"/>
        <v>over</v>
      </c>
      <c r="M938" t="str">
        <v>this</v>
      </c>
      <c r="N938" s="4" cm="1">
        <f t="array" ref="N938">SUM(--(_xlfn.TEXTSPLIT($J$852,, " ") = M938))</f>
        <v>7</v>
      </c>
      <c r="O938">
        <v>2</v>
      </c>
      <c r="P938">
        <v>7</v>
      </c>
      <c r="Q938">
        <v>2</v>
      </c>
      <c r="S938" s="4"/>
      <c r="T938" s="10"/>
    </row>
    <row r="939" spans="5:20" x14ac:dyDescent="0.2">
      <c r="E939" s="4" t="s">
        <v>17</v>
      </c>
      <c r="K939" t="str">
        <v>(Feel</v>
      </c>
      <c r="L939" s="4" t="str">
        <f t="shared" si="14"/>
        <v xml:space="preserve"> Feel</v>
      </c>
      <c r="M939" t="str">
        <v xml:space="preserve">way)
</v>
      </c>
      <c r="N939" s="4" cm="1">
        <f t="array" ref="N939">SUM(--(_xlfn.TEXTSPLIT($J$852,, " ") = M939))</f>
        <v>2</v>
      </c>
      <c r="O939">
        <v>2</v>
      </c>
      <c r="P939">
        <v>2</v>
      </c>
      <c r="Q939">
        <v>2</v>
      </c>
      <c r="S939" s="4"/>
      <c r="T939" s="10"/>
    </row>
    <row r="940" spans="5:20" x14ac:dyDescent="0.2">
      <c r="E940" s="4" t="s">
        <v>17</v>
      </c>
      <c r="K940" t="str">
        <v xml:space="preserve">it)
</v>
      </c>
      <c r="L940" s="4" t="str">
        <f t="shared" si="14"/>
        <v xml:space="preserve">it  </v>
      </c>
      <c r="M940" t="str">
        <v>(I</v>
      </c>
      <c r="N940" s="4" cm="1">
        <f t="array" ref="N940">SUM(--(_xlfn.TEXTSPLIT($J$852,, " ") = M940))</f>
        <v>3</v>
      </c>
      <c r="O940">
        <v>2</v>
      </c>
      <c r="P940">
        <v>3</v>
      </c>
      <c r="Q940">
        <v>2</v>
      </c>
      <c r="S940" s="4"/>
      <c r="T940" s="10"/>
    </row>
    <row r="941" spans="5:20" x14ac:dyDescent="0.2">
      <c r="E941" s="4" t="s">
        <v>17</v>
      </c>
      <c r="K941" t="str">
        <v>Drown</v>
      </c>
      <c r="L941" s="4" t="str">
        <f t="shared" si="14"/>
        <v>Drown</v>
      </c>
      <c r="M941" t="str">
        <v xml:space="preserve">change)
</v>
      </c>
      <c r="N941" s="4" cm="1">
        <f t="array" ref="N941">SUM(--(_xlfn.TEXTSPLIT($J$852,, " ") = M941))</f>
        <v>2</v>
      </c>
      <c r="O941">
        <v>2</v>
      </c>
      <c r="P941">
        <v>2</v>
      </c>
      <c r="Q941">
        <v>2</v>
      </c>
      <c r="S941" s="4"/>
      <c r="T941" s="10"/>
    </row>
    <row r="942" spans="5:20" x14ac:dyDescent="0.2">
      <c r="E942" s="4" t="s">
        <v>17</v>
      </c>
      <c r="K942" t="str">
        <v>it</v>
      </c>
      <c r="L942" s="4" t="str">
        <f t="shared" si="14"/>
        <v>it</v>
      </c>
      <c r="M942" t="str">
        <v>I've</v>
      </c>
      <c r="N942" s="4" cm="1">
        <f t="array" ref="N942">SUM(--(_xlfn.TEXTSPLIT($J$852,, " ") = M942))</f>
        <v>4</v>
      </c>
      <c r="O942">
        <v>2</v>
      </c>
      <c r="P942">
        <v>4</v>
      </c>
      <c r="Q942">
        <v>2</v>
      </c>
      <c r="S942" s="4"/>
      <c r="T942" s="10"/>
    </row>
    <row r="943" spans="5:20" x14ac:dyDescent="0.2">
      <c r="E943" s="4" t="s">
        <v>17</v>
      </c>
      <c r="K943" t="str">
        <v>out,</v>
      </c>
      <c r="L943" s="4" t="str">
        <f t="shared" si="14"/>
        <v xml:space="preserve">out </v>
      </c>
      <c r="M943" t="str">
        <v xml:space="preserve">way
</v>
      </c>
      <c r="N943" s="4" cm="1">
        <f t="array" ref="N943">SUM(--(_xlfn.TEXTSPLIT($J$852,, " ") = M943))</f>
        <v>2</v>
      </c>
      <c r="O943">
        <v>2</v>
      </c>
      <c r="P943">
        <v>2</v>
      </c>
      <c r="Q943">
        <v>2</v>
      </c>
      <c r="S943" s="4"/>
      <c r="T943" s="10"/>
    </row>
    <row r="944" spans="5:20" x14ac:dyDescent="0.2">
      <c r="E944" s="4" t="s">
        <v>17</v>
      </c>
      <c r="K944" t="str">
        <v>drown</v>
      </c>
      <c r="L944" s="4" t="str">
        <f t="shared" si="14"/>
        <v>drown</v>
      </c>
      <c r="M944" t="str">
        <v>I</v>
      </c>
      <c r="N944" s="4" cm="1">
        <f t="array" ref="N944">SUM(--(_xlfn.TEXTSPLIT($J$852,, " ") = M944))</f>
        <v>4</v>
      </c>
      <c r="O944">
        <v>2</v>
      </c>
      <c r="P944">
        <v>4</v>
      </c>
      <c r="Q944">
        <v>2</v>
      </c>
      <c r="S944" s="4"/>
      <c r="T944" s="10"/>
    </row>
    <row r="945" spans="5:20" x14ac:dyDescent="0.2">
      <c r="E945" s="4" t="s">
        <v>17</v>
      </c>
      <c r="K945" t="str">
        <v>it</v>
      </c>
      <c r="L945" s="4" t="str">
        <f t="shared" si="14"/>
        <v>it</v>
      </c>
      <c r="M945" t="str">
        <v xml:space="preserve">change
</v>
      </c>
      <c r="N945" s="4" cm="1">
        <f t="array" ref="N945">SUM(--(_xlfn.TEXTSPLIT($J$852,, " ") = M945))</f>
        <v>1</v>
      </c>
      <c r="O945">
        <v>2</v>
      </c>
      <c r="P945">
        <v>1</v>
      </c>
      <c r="Q945">
        <v>2</v>
      </c>
      <c r="S945" s="4"/>
      <c r="T945" s="10"/>
    </row>
    <row r="946" spans="5:20" x14ac:dyDescent="0.2">
      <c r="E946" s="4" t="s">
        <v>17</v>
      </c>
      <c r="K946" t="str">
        <v xml:space="preserve">out
</v>
      </c>
      <c r="L946" s="4" t="str">
        <f t="shared" si="14"/>
        <v xml:space="preserve">out  </v>
      </c>
      <c r="M946" t="str">
        <v xml:space="preserve">change
</v>
      </c>
      <c r="N946" s="4" cm="1">
        <f t="array" ref="N946">SUM(--(_xlfn.TEXTSPLIT($J$852,, " ") = M946))</f>
        <v>1</v>
      </c>
      <c r="O946">
        <v>2</v>
      </c>
      <c r="P946">
        <v>1</v>
      </c>
      <c r="Q946">
        <v>2</v>
      </c>
      <c r="S946" s="4"/>
      <c r="T946" s="10"/>
    </row>
    <row r="947" spans="5:20" x14ac:dyDescent="0.2">
      <c r="E947" s="4" t="s">
        <v>17</v>
      </c>
      <c r="K947" t="str">
        <v xml:space="preserve">Show
</v>
      </c>
      <c r="L947" s="4" t="str">
        <f t="shared" si="14"/>
        <v xml:space="preserve">Show </v>
      </c>
      <c r="M947" t="str">
        <v>well</v>
      </c>
      <c r="N947" s="4" cm="1">
        <f t="array" ref="N947">SUM(--(_xlfn.TEXTSPLIT($J$852,, " ") = M947))</f>
        <v>2</v>
      </c>
      <c r="O947">
        <v>2</v>
      </c>
      <c r="P947">
        <v>2</v>
      </c>
      <c r="Q947">
        <v>2</v>
      </c>
      <c r="S947" s="4"/>
      <c r="T947" s="10"/>
    </row>
    <row r="948" spans="5:20" x14ac:dyDescent="0.2">
      <c r="E948" s="4" t="s">
        <v>17</v>
      </c>
      <c r="K948" t="str">
        <v xml:space="preserve">Ooh-ooh
</v>
      </c>
      <c r="L948" s="4" t="str">
        <f t="shared" si="14"/>
        <v xml:space="preserve">Ooh ooh  </v>
      </c>
      <c r="M948" t="str">
        <v>way)</v>
      </c>
      <c r="N948" s="4" cm="1">
        <f t="array" ref="N948">SUM(--(_xlfn.TEXTSPLIT($J$852,, " ") = M948))</f>
        <v>1</v>
      </c>
      <c r="O948">
        <v>2</v>
      </c>
      <c r="P948">
        <v>1</v>
      </c>
      <c r="Q948">
        <v>2</v>
      </c>
      <c r="S948" s="4"/>
      <c r="T948" s="10"/>
    </row>
    <row r="949" spans="5:20" x14ac:dyDescent="0.2">
      <c r="E949" s="4" t="s">
        <v>17</v>
      </c>
      <c r="K949" t="str">
        <v>He'd</v>
      </c>
      <c r="L949" s="4" t="str">
        <f t="shared" si="14"/>
        <v>He d</v>
      </c>
      <c r="M949" t="str">
        <v xml:space="preserve">change)
</v>
      </c>
      <c r="N949" s="4" cm="1">
        <f t="array" ref="N949">SUM(--(_xlfn.TEXTSPLIT($J$852,, " ") = M949))</f>
        <v>1</v>
      </c>
      <c r="O949">
        <v>2</v>
      </c>
      <c r="P949">
        <v>1</v>
      </c>
      <c r="Q949">
        <v>2</v>
      </c>
      <c r="S949" s="4"/>
      <c r="T949" s="10"/>
    </row>
    <row r="950" spans="5:20" x14ac:dyDescent="0.2">
      <c r="E950" s="4" t="s">
        <v>17</v>
      </c>
      <c r="K950" t="str">
        <v>rather</v>
      </c>
      <c r="L950" s="4" t="str">
        <f t="shared" si="14"/>
        <v>rather</v>
      </c>
      <c r="M950" t="str">
        <v>change</v>
      </c>
      <c r="N950" s="4" cm="1">
        <f t="array" ref="N950">SUM(--(_xlfn.TEXTSPLIT($J$852,, " ") = M950))</f>
        <v>1</v>
      </c>
      <c r="O950">
        <v>2</v>
      </c>
      <c r="P950">
        <v>1</v>
      </c>
      <c r="Q950">
        <v>2</v>
      </c>
      <c r="S950" s="4"/>
      <c r="T950" s="10"/>
    </row>
    <row r="951" spans="5:20" x14ac:dyDescent="0.2">
      <c r="E951" s="4" t="s">
        <v>17</v>
      </c>
      <c r="K951" t="str">
        <v>feel</v>
      </c>
      <c r="L951" s="4" t="str">
        <f t="shared" si="14"/>
        <v>feel</v>
      </c>
      <c r="N951" s="4" cm="1">
        <f t="array" ref="N951">SUM(--(_xlfn.TEXTSPLIT($J$852,, " ") = M951))</f>
        <v>2</v>
      </c>
      <c r="O951">
        <v>2</v>
      </c>
      <c r="P951">
        <v>2</v>
      </c>
      <c r="Q951">
        <v>2</v>
      </c>
      <c r="S951" s="4"/>
      <c r="T951" s="10"/>
    </row>
    <row r="952" spans="5:20" x14ac:dyDescent="0.2">
      <c r="E952" s="4" t="s">
        <v>17</v>
      </c>
      <c r="K952" t="str">
        <v>something</v>
      </c>
      <c r="L952" s="4" t="str">
        <f t="shared" si="14"/>
        <v>something</v>
      </c>
      <c r="N952" s="4" cm="1">
        <f t="array" ref="N952">SUM(--(_xlfn.TEXTSPLIT($J$852,, " ") = M952))</f>
        <v>2</v>
      </c>
      <c r="O952">
        <v>2</v>
      </c>
      <c r="P952">
        <v>2</v>
      </c>
      <c r="Q952">
        <v>2</v>
      </c>
      <c r="S952" s="4"/>
      <c r="T952" s="10"/>
    </row>
    <row r="953" spans="5:20" x14ac:dyDescent="0.2">
      <c r="E953" s="4" t="s">
        <v>17</v>
      </c>
      <c r="K953" t="str">
        <v>than</v>
      </c>
      <c r="L953" s="4" t="str">
        <f t="shared" si="14"/>
        <v>than</v>
      </c>
      <c r="N953" s="4" cm="1">
        <f t="array" ref="N953">SUM(--(_xlfn.TEXTSPLIT($J$852,, " ") = M953))</f>
        <v>2</v>
      </c>
      <c r="O953">
        <v>2</v>
      </c>
      <c r="P953">
        <v>2</v>
      </c>
      <c r="Q953">
        <v>2</v>
      </c>
      <c r="S953" s="4"/>
      <c r="T953" s="10"/>
    </row>
    <row r="954" spans="5:20" x14ac:dyDescent="0.2">
      <c r="E954" s="4" t="s">
        <v>17</v>
      </c>
      <c r="K954" t="str">
        <v>nothing</v>
      </c>
      <c r="L954" s="4" t="str">
        <f t="shared" si="14"/>
        <v>nothing</v>
      </c>
      <c r="N954" s="4" cm="1">
        <f t="array" ref="N954">SUM(--(_xlfn.TEXTSPLIT($J$852,, " ") = M954))</f>
        <v>2</v>
      </c>
      <c r="O954">
        <v>2</v>
      </c>
      <c r="P954">
        <v>2</v>
      </c>
      <c r="Q954">
        <v>2</v>
      </c>
      <c r="S954" s="4"/>
      <c r="T954" s="10"/>
    </row>
    <row r="955" spans="5:20" x14ac:dyDescent="0.2">
      <c r="E955" s="4" t="s">
        <v>17</v>
      </c>
      <c r="K955" t="str">
        <v>at</v>
      </c>
      <c r="L955" s="4" t="str">
        <f t="shared" si="14"/>
        <v>at</v>
      </c>
      <c r="N955" s="4" cm="1">
        <f t="array" ref="N955">SUM(--(_xlfn.TEXTSPLIT($J$852,, " ") = M955))</f>
        <v>2</v>
      </c>
      <c r="O955">
        <v>2</v>
      </c>
      <c r="P955">
        <v>2</v>
      </c>
      <c r="Q955">
        <v>2</v>
      </c>
      <c r="S955" s="4"/>
      <c r="T955" s="10"/>
    </row>
    <row r="956" spans="5:20" x14ac:dyDescent="0.2">
      <c r="E956" s="4" t="s">
        <v>17</v>
      </c>
      <c r="K956" t="str">
        <v xml:space="preserve">all
</v>
      </c>
      <c r="L956" s="4" t="str">
        <f t="shared" si="14"/>
        <v xml:space="preserve">all </v>
      </c>
      <c r="N956" s="4" cm="1">
        <f t="array" ref="N956">SUM(--(_xlfn.TEXTSPLIT($J$852,, " ") = M956))</f>
        <v>2</v>
      </c>
      <c r="O956">
        <v>2</v>
      </c>
      <c r="P956">
        <v>2</v>
      </c>
      <c r="Q956">
        <v>2</v>
      </c>
      <c r="S956" s="4"/>
      <c r="T956" s="10"/>
    </row>
    <row r="957" spans="5:20" x14ac:dyDescent="0.2">
      <c r="E957" s="4" t="s">
        <v>17</v>
      </c>
      <c r="K957" t="str">
        <v>So</v>
      </c>
      <c r="L957" s="4" t="str">
        <f t="shared" si="14"/>
        <v>So</v>
      </c>
      <c r="N957" s="4" cm="1">
        <f t="array" ref="N957">SUM(--(_xlfn.TEXTSPLIT($J$852,, " ") = M957))</f>
        <v>2</v>
      </c>
      <c r="O957">
        <v>2</v>
      </c>
      <c r="P957">
        <v>2</v>
      </c>
      <c r="Q957">
        <v>2</v>
      </c>
      <c r="S957" s="4"/>
      <c r="T957" s="10"/>
    </row>
    <row r="958" spans="5:20" x14ac:dyDescent="0.2">
      <c r="E958" s="4" t="s">
        <v>17</v>
      </c>
      <c r="K958" t="str">
        <v>he</v>
      </c>
      <c r="L958" s="4" t="str">
        <f t="shared" si="14"/>
        <v>he</v>
      </c>
      <c r="N958" s="4" cm="1">
        <f t="array" ref="N958">SUM(--(_xlfn.TEXTSPLIT($J$852,, " ") = M958))</f>
        <v>2</v>
      </c>
      <c r="O958">
        <v>2</v>
      </c>
      <c r="P958">
        <v>2</v>
      </c>
      <c r="Q958">
        <v>2</v>
      </c>
      <c r="S958" s="4"/>
      <c r="T958" s="10"/>
    </row>
    <row r="959" spans="5:20" x14ac:dyDescent="0.2">
      <c r="E959" s="4" t="s">
        <v>17</v>
      </c>
      <c r="K959" t="str">
        <v>swerves</v>
      </c>
      <c r="L959" s="4" t="str">
        <f t="shared" si="14"/>
        <v>swerves</v>
      </c>
      <c r="N959" s="4" cm="1">
        <f t="array" ref="N959">SUM(--(_xlfn.TEXTSPLIT($J$852,, " ") = M959))</f>
        <v>2</v>
      </c>
      <c r="O959">
        <v>2</v>
      </c>
      <c r="P959">
        <v>2</v>
      </c>
      <c r="Q959">
        <v>2</v>
      </c>
      <c r="S959" s="4"/>
      <c r="T959" s="10"/>
    </row>
    <row r="960" spans="5:20" x14ac:dyDescent="0.2">
      <c r="E960" s="4" t="s">
        <v>17</v>
      </c>
      <c r="K960" t="str">
        <v>all</v>
      </c>
      <c r="L960" s="4" t="str">
        <f t="shared" si="14"/>
        <v>all</v>
      </c>
      <c r="N960" s="4" cm="1">
        <f t="array" ref="N960">SUM(--(_xlfn.TEXTSPLIT($J$852,, " ") = M960))</f>
        <v>2</v>
      </c>
      <c r="O960">
        <v>2</v>
      </c>
      <c r="P960">
        <v>2</v>
      </c>
      <c r="Q960">
        <v>2</v>
      </c>
      <c r="S960" s="4"/>
      <c r="T960" s="10"/>
    </row>
    <row r="961" spans="5:20" x14ac:dyDescent="0.2">
      <c r="E961" s="4" t="s">
        <v>17</v>
      </c>
      <c r="K961" t="str">
        <v>around</v>
      </c>
      <c r="L961" s="4" t="str">
        <f t="shared" si="14"/>
        <v>around</v>
      </c>
      <c r="N961" s="4" cm="1">
        <f t="array" ref="N961">SUM(--(_xlfn.TEXTSPLIT($J$852,, " ") = M961))</f>
        <v>2</v>
      </c>
      <c r="O961">
        <v>2</v>
      </c>
      <c r="P961">
        <v>2</v>
      </c>
      <c r="Q961">
        <v>2</v>
      </c>
      <c r="S961" s="4"/>
      <c r="T961" s="10"/>
    </row>
    <row r="962" spans="5:20" x14ac:dyDescent="0.2">
      <c r="E962" s="4" t="s">
        <v>17</v>
      </c>
      <c r="K962" t="str">
        <v>as</v>
      </c>
      <c r="L962" s="4" t="str">
        <f t="shared" si="14"/>
        <v>as</v>
      </c>
      <c r="N962" s="4" cm="1">
        <f t="array" ref="N962">SUM(--(_xlfn.TEXTSPLIT($J$852,, " ") = M962))</f>
        <v>2</v>
      </c>
      <c r="O962">
        <v>2</v>
      </c>
      <c r="P962">
        <v>2</v>
      </c>
      <c r="Q962">
        <v>2</v>
      </c>
      <c r="S962" s="4"/>
      <c r="T962" s="10"/>
    </row>
    <row r="963" spans="5:20" x14ac:dyDescent="0.2">
      <c r="E963" s="4" t="s">
        <v>17</v>
      </c>
      <c r="K963" t="str">
        <v>his</v>
      </c>
      <c r="L963" s="4" t="str">
        <f t="shared" si="14"/>
        <v>his</v>
      </c>
      <c r="N963" s="4" cm="1">
        <f t="array" ref="N963">SUM(--(_xlfn.TEXTSPLIT($J$852,, " ") = M963))</f>
        <v>2</v>
      </c>
      <c r="O963">
        <v>2</v>
      </c>
      <c r="P963">
        <v>2</v>
      </c>
      <c r="Q963">
        <v>2</v>
      </c>
      <c r="S963" s="4"/>
      <c r="T963" s="10"/>
    </row>
    <row r="964" spans="5:20" x14ac:dyDescent="0.2">
      <c r="E964" s="4" t="s">
        <v>17</v>
      </c>
      <c r="K964" t="str">
        <v>head</v>
      </c>
      <c r="L964" s="4" t="str">
        <f t="shared" ref="L964:L1027" si="15">_xlfn.REGEXREPLACE(K964, "[^A-Za-z ]", " ")</f>
        <v>head</v>
      </c>
      <c r="N964" s="4" cm="1">
        <f t="array" ref="N964">SUM(--(_xlfn.TEXTSPLIT($J$852,, " ") = M964))</f>
        <v>2</v>
      </c>
      <c r="O964">
        <v>2</v>
      </c>
      <c r="P964">
        <v>2</v>
      </c>
      <c r="Q964">
        <v>2</v>
      </c>
      <c r="S964" s="4"/>
      <c r="T964" s="10"/>
    </row>
    <row r="965" spans="5:20" x14ac:dyDescent="0.2">
      <c r="E965" s="4" t="s">
        <v>17</v>
      </c>
      <c r="K965" t="str">
        <v>starts</v>
      </c>
      <c r="L965" s="4" t="str">
        <f t="shared" si="15"/>
        <v>starts</v>
      </c>
      <c r="N965" s="4" cm="1">
        <f t="array" ref="N965">SUM(--(_xlfn.TEXTSPLIT($J$852,, " ") = M965))</f>
        <v>2</v>
      </c>
      <c r="O965">
        <v>2</v>
      </c>
      <c r="P965">
        <v>2</v>
      </c>
      <c r="Q965">
        <v>2</v>
      </c>
      <c r="S965" s="4"/>
      <c r="T965" s="10"/>
    </row>
    <row r="966" spans="5:20" x14ac:dyDescent="0.2">
      <c r="E966" s="4" t="s">
        <v>17</v>
      </c>
      <c r="K966" t="str">
        <v>to</v>
      </c>
      <c r="L966" s="4" t="str">
        <f t="shared" si="15"/>
        <v>to</v>
      </c>
      <c r="N966" s="4" cm="1">
        <f t="array" ref="N966">SUM(--(_xlfn.TEXTSPLIT($J$852,, " ") = M966))</f>
        <v>2</v>
      </c>
      <c r="O966">
        <v>2</v>
      </c>
      <c r="P966">
        <v>2</v>
      </c>
      <c r="Q966">
        <v>2</v>
      </c>
      <c r="S966" s="4"/>
      <c r="T966" s="10"/>
    </row>
    <row r="967" spans="5:20" x14ac:dyDescent="0.2">
      <c r="E967" s="4" t="s">
        <v>17</v>
      </c>
      <c r="K967" t="str">
        <v>fall,</v>
      </c>
      <c r="L967" s="4" t="str">
        <f t="shared" si="15"/>
        <v xml:space="preserve">fall </v>
      </c>
      <c r="N967" s="4" cm="1">
        <f t="array" ref="N967">SUM(--(_xlfn.TEXTSPLIT($J$852,, " ") = M967))</f>
        <v>2</v>
      </c>
      <c r="O967">
        <v>2</v>
      </c>
      <c r="P967">
        <v>2</v>
      </c>
      <c r="Q967">
        <v>2</v>
      </c>
      <c r="S967" s="4"/>
      <c r="T967" s="10"/>
    </row>
    <row r="968" spans="5:20" x14ac:dyDescent="0.2">
      <c r="E968" s="4" t="s">
        <v>17</v>
      </c>
      <c r="K968" t="str">
        <v>turns</v>
      </c>
      <c r="L968" s="4" t="str">
        <f t="shared" si="15"/>
        <v>turns</v>
      </c>
      <c r="N968" s="4" cm="1">
        <f t="array" ref="N968">SUM(--(_xlfn.TEXTSPLIT($J$852,, " ") = M968))</f>
        <v>2</v>
      </c>
      <c r="O968">
        <v>2</v>
      </c>
      <c r="P968">
        <v>2</v>
      </c>
      <c r="Q968">
        <v>2</v>
      </c>
      <c r="S968" s="4"/>
      <c r="T968" s="10"/>
    </row>
    <row r="969" spans="5:20" x14ac:dyDescent="0.2">
      <c r="E969" s="4" t="s">
        <v>17</v>
      </c>
      <c r="K969" t="str">
        <v>it</v>
      </c>
      <c r="L969" s="4" t="str">
        <f t="shared" si="15"/>
        <v>it</v>
      </c>
      <c r="N969" s="4" cm="1">
        <f t="array" ref="N969">SUM(--(_xlfn.TEXTSPLIT($J$852,, " ") = M969))</f>
        <v>2</v>
      </c>
      <c r="O969">
        <v>2</v>
      </c>
      <c r="P969">
        <v>2</v>
      </c>
      <c r="Q969">
        <v>2</v>
      </c>
      <c r="S969" s="4"/>
      <c r="T969" s="10"/>
    </row>
    <row r="970" spans="5:20" x14ac:dyDescent="0.2">
      <c r="E970" s="4" t="s">
        <v>17</v>
      </c>
      <c r="K970" t="str">
        <v xml:space="preserve">up
</v>
      </c>
      <c r="L970" s="4" t="str">
        <f t="shared" si="15"/>
        <v xml:space="preserve">up </v>
      </c>
      <c r="N970" s="4" cm="1">
        <f t="array" ref="N970">SUM(--(_xlfn.TEXTSPLIT($J$852,, " ") = M970))</f>
        <v>2</v>
      </c>
      <c r="O970">
        <v>2</v>
      </c>
      <c r="P970">
        <v>2</v>
      </c>
      <c r="Q970">
        <v>2</v>
      </c>
      <c r="S970" s="4"/>
      <c r="T970" s="10"/>
    </row>
    <row r="971" spans="5:20" x14ac:dyDescent="0.2">
      <c r="E971" s="4" t="s">
        <v>17</v>
      </c>
      <c r="K971" t="str">
        <v>Stuck</v>
      </c>
      <c r="L971" s="4" t="str">
        <f t="shared" si="15"/>
        <v>Stuck</v>
      </c>
      <c r="N971" s="4" cm="1">
        <f t="array" ref="N971">SUM(--(_xlfn.TEXTSPLIT($J$852,, " ") = M971))</f>
        <v>2</v>
      </c>
      <c r="O971">
        <v>2</v>
      </c>
      <c r="P971">
        <v>2</v>
      </c>
      <c r="Q971">
        <v>2</v>
      </c>
      <c r="S971" s="4"/>
      <c r="T971" s="10"/>
    </row>
    <row r="972" spans="5:20" x14ac:dyDescent="0.2">
      <c r="E972" s="4" t="s">
        <v>17</v>
      </c>
      <c r="K972" t="str">
        <v>between</v>
      </c>
      <c r="L972" s="4" t="str">
        <f t="shared" si="15"/>
        <v>between</v>
      </c>
      <c r="N972" s="4" cm="1">
        <f t="array" ref="N972">SUM(--(_xlfn.TEXTSPLIT($J$852,, " ") = M972))</f>
        <v>2</v>
      </c>
      <c r="O972">
        <v>2</v>
      </c>
      <c r="P972">
        <v>2</v>
      </c>
      <c r="Q972">
        <v>2</v>
      </c>
      <c r="S972" s="4"/>
      <c r="T972" s="10"/>
    </row>
    <row r="973" spans="5:20" x14ac:dyDescent="0.2">
      <c r="E973" s="4" t="s">
        <v>17</v>
      </c>
      <c r="K973" t="str">
        <v>a</v>
      </c>
      <c r="L973" s="4" t="str">
        <f t="shared" si="15"/>
        <v>a</v>
      </c>
      <c r="N973" s="4" cm="1">
        <f t="array" ref="N973">SUM(--(_xlfn.TEXTSPLIT($J$852,, " ") = M973))</f>
        <v>2</v>
      </c>
      <c r="O973">
        <v>2</v>
      </c>
      <c r="P973">
        <v>2</v>
      </c>
      <c r="Q973">
        <v>2</v>
      </c>
      <c r="S973" s="4"/>
      <c r="T973" s="10"/>
    </row>
    <row r="974" spans="5:20" x14ac:dyDescent="0.2">
      <c r="E974" s="4" t="s">
        <v>17</v>
      </c>
      <c r="K974" t="str">
        <v>rock</v>
      </c>
      <c r="L974" s="4" t="str">
        <f t="shared" si="15"/>
        <v>rock</v>
      </c>
      <c r="N974" s="4" cm="1">
        <f t="array" ref="N974">SUM(--(_xlfn.TEXTSPLIT($J$852,, " ") = M974))</f>
        <v>2</v>
      </c>
      <c r="O974">
        <v>2</v>
      </c>
      <c r="P974">
        <v>2</v>
      </c>
      <c r="Q974">
        <v>2</v>
      </c>
      <c r="S974" s="4"/>
      <c r="T974" s="10"/>
    </row>
    <row r="975" spans="5:20" x14ac:dyDescent="0.2">
      <c r="E975" s="4" t="s">
        <v>17</v>
      </c>
      <c r="K975" t="str">
        <v>and</v>
      </c>
      <c r="L975" s="4" t="str">
        <f t="shared" si="15"/>
        <v>and</v>
      </c>
      <c r="N975" s="4" cm="1">
        <f t="array" ref="N975">SUM(--(_xlfn.TEXTSPLIT($J$852,, " ") = M975))</f>
        <v>2</v>
      </c>
      <c r="O975">
        <v>2</v>
      </c>
      <c r="P975">
        <v>2</v>
      </c>
      <c r="Q975">
        <v>2</v>
      </c>
      <c r="S975" s="4"/>
      <c r="T975" s="10"/>
    </row>
    <row r="976" spans="5:20" x14ac:dyDescent="0.2">
      <c r="E976" s="4" t="s">
        <v>17</v>
      </c>
      <c r="K976" t="str">
        <v>a</v>
      </c>
      <c r="L976" s="4" t="str">
        <f t="shared" si="15"/>
        <v>a</v>
      </c>
      <c r="N976" s="4" cm="1">
        <f t="array" ref="N976">SUM(--(_xlfn.TEXTSPLIT($J$852,, " ") = M976))</f>
        <v>2</v>
      </c>
      <c r="O976">
        <v>2</v>
      </c>
      <c r="P976">
        <v>2</v>
      </c>
      <c r="Q976">
        <v>2</v>
      </c>
      <c r="S976" s="4"/>
      <c r="T976" s="10"/>
    </row>
    <row r="977" spans="5:20" x14ac:dyDescent="0.2">
      <c r="E977" s="4" t="s">
        <v>17</v>
      </c>
      <c r="K977" t="str">
        <v xml:space="preserve">home
</v>
      </c>
      <c r="L977" s="4" t="str">
        <f t="shared" si="15"/>
        <v xml:space="preserve">home </v>
      </c>
      <c r="N977" s="4" cm="1">
        <f t="array" ref="N977">SUM(--(_xlfn.TEXTSPLIT($J$852,, " ") = M977))</f>
        <v>2</v>
      </c>
      <c r="O977">
        <v>2</v>
      </c>
      <c r="P977">
        <v>2</v>
      </c>
      <c r="Q977">
        <v>2</v>
      </c>
      <c r="S977" s="4"/>
      <c r="T977" s="10"/>
    </row>
    <row r="978" spans="5:20" x14ac:dyDescent="0.2">
      <c r="E978" s="4" t="s">
        <v>17</v>
      </c>
      <c r="K978" t="str">
        <v>Two</v>
      </c>
      <c r="L978" s="4" t="str">
        <f t="shared" si="15"/>
        <v>Two</v>
      </c>
      <c r="N978" s="4" cm="1">
        <f t="array" ref="N978">SUM(--(_xlfn.TEXTSPLIT($J$852,, " ") = M978))</f>
        <v>2</v>
      </c>
      <c r="O978">
        <v>2</v>
      </c>
      <c r="P978">
        <v>2</v>
      </c>
      <c r="Q978">
        <v>2</v>
      </c>
      <c r="S978" s="4"/>
      <c r="T978" s="10"/>
    </row>
    <row r="979" spans="5:20" x14ac:dyDescent="0.2">
      <c r="E979" s="4" t="s">
        <v>17</v>
      </c>
      <c r="K979" t="str">
        <v>places</v>
      </c>
      <c r="L979" s="4" t="str">
        <f t="shared" si="15"/>
        <v>places</v>
      </c>
      <c r="N979" s="4" cm="1">
        <f t="array" ref="N979">SUM(--(_xlfn.TEXTSPLIT($J$852,, " ") = M979))</f>
        <v>2</v>
      </c>
      <c r="O979">
        <v>2</v>
      </c>
      <c r="P979">
        <v>2</v>
      </c>
      <c r="Q979">
        <v>2</v>
      </c>
      <c r="S979" s="4"/>
      <c r="T979" s="10"/>
    </row>
    <row r="980" spans="5:20" x14ac:dyDescent="0.2">
      <c r="E980" s="4" t="s">
        <v>17</v>
      </c>
      <c r="K980" t="str">
        <v>he</v>
      </c>
      <c r="L980" s="4" t="str">
        <f t="shared" si="15"/>
        <v>he</v>
      </c>
      <c r="N980" s="4" cm="1">
        <f t="array" ref="N980">SUM(--(_xlfn.TEXTSPLIT($J$852,, " ") = M980))</f>
        <v>2</v>
      </c>
      <c r="O980">
        <v>2</v>
      </c>
      <c r="P980">
        <v>2</v>
      </c>
      <c r="Q980">
        <v>2</v>
      </c>
      <c r="S980" s="4"/>
      <c r="T980" s="10"/>
    </row>
    <row r="981" spans="5:20" x14ac:dyDescent="0.2">
      <c r="E981" s="4" t="s">
        <v>17</v>
      </c>
      <c r="K981" t="str">
        <v>does</v>
      </c>
      <c r="L981" s="4" t="str">
        <f t="shared" si="15"/>
        <v>does</v>
      </c>
      <c r="N981" s="4" cm="1">
        <f t="array" ref="N981">SUM(--(_xlfn.TEXTSPLIT($J$852,, " ") = M981))</f>
        <v>2</v>
      </c>
      <c r="O981">
        <v>2</v>
      </c>
      <c r="P981">
        <v>2</v>
      </c>
      <c r="Q981">
        <v>2</v>
      </c>
      <c r="S981" s="4"/>
      <c r="T981" s="10"/>
    </row>
    <row r="982" spans="5:20" x14ac:dyDescent="0.2">
      <c r="E982" s="4" t="s">
        <v>17</v>
      </c>
      <c r="K982" t="str">
        <v>not</v>
      </c>
      <c r="L982" s="4" t="str">
        <f t="shared" si="15"/>
        <v>not</v>
      </c>
      <c r="N982" s="4" cm="1">
        <f t="array" ref="N982">SUM(--(_xlfn.TEXTSPLIT($J$852,, " ") = M982))</f>
        <v>2</v>
      </c>
      <c r="O982">
        <v>2</v>
      </c>
      <c r="P982">
        <v>2</v>
      </c>
      <c r="Q982">
        <v>2</v>
      </c>
      <c r="S982" s="4"/>
      <c r="T982" s="10"/>
    </row>
    <row r="983" spans="5:20" x14ac:dyDescent="0.2">
      <c r="E983" s="4" t="s">
        <v>17</v>
      </c>
      <c r="K983" t="str">
        <v>want</v>
      </c>
      <c r="L983" s="4" t="str">
        <f t="shared" si="15"/>
        <v>want</v>
      </c>
      <c r="N983" s="4" cm="1">
        <f t="array" ref="N983">SUM(--(_xlfn.TEXTSPLIT($J$852,, " ") = M983))</f>
        <v>2</v>
      </c>
      <c r="O983">
        <v>2</v>
      </c>
      <c r="P983">
        <v>2</v>
      </c>
      <c r="Q983">
        <v>2</v>
      </c>
      <c r="S983" s="4"/>
      <c r="T983" s="10"/>
    </row>
    <row r="984" spans="5:20" x14ac:dyDescent="0.2">
      <c r="E984" s="4" t="s">
        <v>17</v>
      </c>
      <c r="K984" t="str">
        <v>to</v>
      </c>
      <c r="L984" s="4" t="str">
        <f t="shared" si="15"/>
        <v>to</v>
      </c>
      <c r="N984" s="4" cm="1">
        <f t="array" ref="N984">SUM(--(_xlfn.TEXTSPLIT($J$852,, " ") = M984))</f>
        <v>2</v>
      </c>
      <c r="O984">
        <v>2</v>
      </c>
      <c r="P984">
        <v>2</v>
      </c>
      <c r="Q984">
        <v>2</v>
      </c>
      <c r="S984" s="4"/>
      <c r="T984" s="10"/>
    </row>
    <row r="985" spans="5:20" x14ac:dyDescent="0.2">
      <c r="E985" s="4" t="s">
        <v>17</v>
      </c>
      <c r="K985" t="str">
        <v xml:space="preserve">go
</v>
      </c>
      <c r="L985" s="4" t="str">
        <f t="shared" si="15"/>
        <v xml:space="preserve">go  </v>
      </c>
      <c r="N985" s="4" cm="1">
        <f t="array" ref="N985">SUM(--(_xlfn.TEXTSPLIT($J$852,, " ") = M985))</f>
        <v>2</v>
      </c>
      <c r="O985">
        <v>2</v>
      </c>
      <c r="P985">
        <v>2</v>
      </c>
      <c r="Q985">
        <v>2</v>
      </c>
      <c r="S985" s="4"/>
      <c r="T985" s="10"/>
    </row>
    <row r="986" spans="5:20" x14ac:dyDescent="0.2">
      <c r="E986" s="4" t="s">
        <v>17</v>
      </c>
      <c r="K986" t="str">
        <v>So,</v>
      </c>
      <c r="L986" s="4" t="str">
        <f t="shared" si="15"/>
        <v xml:space="preserve">So </v>
      </c>
      <c r="N986" s="4" cm="1">
        <f t="array" ref="N986">SUM(--(_xlfn.TEXTSPLIT($J$852,, " ") = M986))</f>
        <v>2</v>
      </c>
      <c r="O986">
        <v>2</v>
      </c>
      <c r="P986">
        <v>2</v>
      </c>
      <c r="Q986">
        <v>2</v>
      </c>
      <c r="S986" s="4"/>
      <c r="T986" s="10"/>
    </row>
    <row r="987" spans="5:20" x14ac:dyDescent="0.2">
      <c r="E987" s="4" t="s">
        <v>17</v>
      </c>
      <c r="K987" t="str">
        <v xml:space="preserve">so
</v>
      </c>
      <c r="L987" s="4" t="str">
        <f t="shared" si="15"/>
        <v xml:space="preserve">so </v>
      </c>
      <c r="N987" s="4" cm="1">
        <f t="array" ref="N987">SUM(--(_xlfn.TEXTSPLIT($J$852,, " ") = M987))</f>
        <v>2</v>
      </c>
      <c r="O987">
        <v>2</v>
      </c>
      <c r="P987">
        <v>2</v>
      </c>
      <c r="Q987">
        <v>2</v>
      </c>
      <c r="S987" s="4"/>
      <c r="T987" s="10"/>
    </row>
    <row r="988" spans="5:20" x14ac:dyDescent="0.2">
      <c r="E988" s="4" t="s">
        <v>17</v>
      </c>
      <c r="K988" t="str">
        <v>He's</v>
      </c>
      <c r="L988" s="4" t="str">
        <f t="shared" si="15"/>
        <v>He s</v>
      </c>
      <c r="N988" s="4" cm="1">
        <f t="array" ref="N988">SUM(--(_xlfn.TEXTSPLIT($J$852,, " ") = M988))</f>
        <v>2</v>
      </c>
      <c r="O988">
        <v>2</v>
      </c>
      <c r="P988">
        <v>2</v>
      </c>
      <c r="Q988">
        <v>2</v>
      </c>
      <c r="S988" s="4"/>
      <c r="T988" s="10"/>
    </row>
    <row r="989" spans="5:20" x14ac:dyDescent="0.2">
      <c r="E989" s="4" t="s">
        <v>17</v>
      </c>
      <c r="K989" t="str">
        <v>puttin'</v>
      </c>
      <c r="L989" s="4" t="str">
        <f t="shared" si="15"/>
        <v xml:space="preserve">puttin </v>
      </c>
      <c r="N989" s="4" cm="1">
        <f t="array" ref="N989">SUM(--(_xlfn.TEXTSPLIT($J$852,, " ") = M989))</f>
        <v>2</v>
      </c>
      <c r="O989">
        <v>2</v>
      </c>
      <c r="P989">
        <v>2</v>
      </c>
      <c r="Q989">
        <v>2</v>
      </c>
      <c r="S989" s="4"/>
      <c r="T989" s="10"/>
    </row>
    <row r="990" spans="5:20" x14ac:dyDescent="0.2">
      <c r="E990" s="4" t="s">
        <v>17</v>
      </c>
      <c r="K990" t="str">
        <v>on</v>
      </c>
      <c r="L990" s="4" t="str">
        <f t="shared" si="15"/>
        <v>on</v>
      </c>
      <c r="N990" s="4" cm="1">
        <f t="array" ref="N990">SUM(--(_xlfn.TEXTSPLIT($J$852,, " ") = M990))</f>
        <v>2</v>
      </c>
      <c r="O990">
        <v>2</v>
      </c>
      <c r="P990">
        <v>2</v>
      </c>
      <c r="Q990">
        <v>2</v>
      </c>
      <c r="S990" s="4"/>
      <c r="T990" s="10"/>
    </row>
    <row r="991" spans="5:20" x14ac:dyDescent="0.2">
      <c r="E991" s="4" t="s">
        <v>17</v>
      </c>
      <c r="K991" t="str">
        <v>a</v>
      </c>
      <c r="L991" s="4" t="str">
        <f t="shared" si="15"/>
        <v>a</v>
      </c>
      <c r="N991" s="4" cm="1">
        <f t="array" ref="N991">SUM(--(_xlfn.TEXTSPLIT($J$852,, " ") = M991))</f>
        <v>2</v>
      </c>
      <c r="O991">
        <v>2</v>
      </c>
      <c r="P991">
        <v>2</v>
      </c>
      <c r="Q991">
        <v>2</v>
      </c>
      <c r="S991" s="4"/>
      <c r="T991" s="10"/>
    </row>
    <row r="992" spans="5:20" x14ac:dyDescent="0.2">
      <c r="E992" s="4" t="s">
        <v>17</v>
      </c>
      <c r="K992" t="str">
        <v>drum</v>
      </c>
      <c r="L992" s="4" t="str">
        <f t="shared" si="15"/>
        <v>drum</v>
      </c>
      <c r="N992" s="4" cm="1">
        <f t="array" ref="N992">SUM(--(_xlfn.TEXTSPLIT($J$852,, " ") = M992))</f>
        <v>2</v>
      </c>
      <c r="O992">
        <v>2</v>
      </c>
      <c r="P992">
        <v>2</v>
      </c>
      <c r="Q992">
        <v>2</v>
      </c>
      <c r="S992" s="4"/>
      <c r="T992" s="10"/>
    </row>
    <row r="993" spans="5:20" x14ac:dyDescent="0.2">
      <c r="E993" s="4" t="s">
        <v>17</v>
      </c>
      <c r="K993" t="str">
        <v xml:space="preserve">show
</v>
      </c>
      <c r="L993" s="4" t="str">
        <f t="shared" si="15"/>
        <v xml:space="preserve">show  </v>
      </c>
      <c r="N993" s="4" cm="1">
        <f t="array" ref="N993">SUM(--(_xlfn.TEXTSPLIT($J$852,, " ") = M993))</f>
        <v>2</v>
      </c>
      <c r="O993">
        <v>2</v>
      </c>
      <c r="P993">
        <v>2</v>
      </c>
      <c r="Q993">
        <v>2</v>
      </c>
      <c r="S993" s="4"/>
      <c r="T993" s="10"/>
    </row>
    <row r="994" spans="5:20" x14ac:dyDescent="0.2">
      <c r="E994" s="4" t="s">
        <v>17</v>
      </c>
      <c r="K994" t="str">
        <v>Even</v>
      </c>
      <c r="L994" s="4" t="str">
        <f t="shared" si="15"/>
        <v>Even</v>
      </c>
      <c r="N994" s="4" cm="1">
        <f t="array" ref="N994">SUM(--(_xlfn.TEXTSPLIT($J$852,, " ") = M994))</f>
        <v>2</v>
      </c>
      <c r="O994">
        <v>2</v>
      </c>
      <c r="P994">
        <v>2</v>
      </c>
      <c r="Q994">
        <v>2</v>
      </c>
      <c r="S994" s="4"/>
      <c r="T994" s="10"/>
    </row>
    <row r="995" spans="5:20" x14ac:dyDescent="0.2">
      <c r="E995" s="4" t="s">
        <v>17</v>
      </c>
      <c r="K995" t="str">
        <v>now,</v>
      </c>
      <c r="L995" s="4" t="str">
        <f t="shared" si="15"/>
        <v xml:space="preserve">now </v>
      </c>
      <c r="N995" s="4" cm="1">
        <f t="array" ref="N995">SUM(--(_xlfn.TEXTSPLIT($J$852,, " ") = M995))</f>
        <v>2</v>
      </c>
      <c r="O995">
        <v>2</v>
      </c>
      <c r="P995">
        <v>2</v>
      </c>
      <c r="Q995">
        <v>2</v>
      </c>
      <c r="S995" s="4"/>
      <c r="T995" s="10"/>
    </row>
    <row r="996" spans="5:20" x14ac:dyDescent="0.2">
      <c r="E996" s="4" t="s">
        <v>17</v>
      </c>
      <c r="K996" t="str">
        <v>even</v>
      </c>
      <c r="L996" s="4" t="str">
        <f t="shared" si="15"/>
        <v>even</v>
      </c>
      <c r="N996" s="4" cm="1">
        <f t="array" ref="N996">SUM(--(_xlfn.TEXTSPLIT($J$852,, " ") = M996))</f>
        <v>2</v>
      </c>
      <c r="O996">
        <v>2</v>
      </c>
      <c r="P996">
        <v>2</v>
      </c>
      <c r="Q996">
        <v>2</v>
      </c>
      <c r="S996" s="4"/>
      <c r="T996" s="10"/>
    </row>
    <row r="997" spans="5:20" x14ac:dyDescent="0.2">
      <c r="E997" s="4" t="s">
        <v>17</v>
      </c>
      <c r="K997" t="str">
        <v>now,</v>
      </c>
      <c r="L997" s="4" t="str">
        <f t="shared" si="15"/>
        <v xml:space="preserve">now </v>
      </c>
      <c r="N997" s="4" cm="1">
        <f t="array" ref="N997">SUM(--(_xlfn.TEXTSPLIT($J$852,, " ") = M997))</f>
        <v>2</v>
      </c>
      <c r="O997">
        <v>2</v>
      </c>
      <c r="P997">
        <v>2</v>
      </c>
      <c r="Q997">
        <v>2</v>
      </c>
      <c r="S997" s="4"/>
      <c r="T997" s="10"/>
    </row>
    <row r="998" spans="5:20" x14ac:dyDescent="0.2">
      <c r="E998" s="4" t="s">
        <v>17</v>
      </c>
      <c r="K998" t="str">
        <v>even</v>
      </c>
      <c r="L998" s="4" t="str">
        <f t="shared" si="15"/>
        <v>even</v>
      </c>
      <c r="N998" s="4" cm="1">
        <f t="array" ref="N998">SUM(--(_xlfn.TEXTSPLIT($J$852,, " ") = M998))</f>
        <v>2</v>
      </c>
      <c r="O998">
        <v>2</v>
      </c>
      <c r="P998">
        <v>2</v>
      </c>
      <c r="Q998">
        <v>2</v>
      </c>
      <c r="S998" s="4"/>
      <c r="T998" s="10"/>
    </row>
    <row r="999" spans="5:20" x14ac:dyDescent="0.2">
      <c r="E999" s="4" t="s">
        <v>17</v>
      </c>
      <c r="K999" t="str">
        <v xml:space="preserve">now
</v>
      </c>
      <c r="L999" s="4" t="str">
        <f t="shared" si="15"/>
        <v xml:space="preserve">now </v>
      </c>
      <c r="N999" s="4" cm="1">
        <f t="array" ref="N999">SUM(--(_xlfn.TEXTSPLIT($J$852,, " ") = M999))</f>
        <v>2</v>
      </c>
      <c r="O999">
        <v>2</v>
      </c>
      <c r="P999">
        <v>2</v>
      </c>
      <c r="Q999">
        <v>2</v>
      </c>
      <c r="S999" s="4"/>
      <c r="T999" s="10"/>
    </row>
    <row r="1000" spans="5:20" x14ac:dyDescent="0.2">
      <c r="E1000" s="4" t="s">
        <v>17</v>
      </c>
      <c r="K1000" t="str">
        <v>He'll</v>
      </c>
      <c r="L1000" s="4" t="str">
        <f t="shared" si="15"/>
        <v>He ll</v>
      </c>
      <c r="N1000" s="4" cm="1">
        <f t="array" ref="N1000">SUM(--(_xlfn.TEXTSPLIT($J$852,, " ") = M1000))</f>
        <v>2</v>
      </c>
      <c r="O1000">
        <v>2</v>
      </c>
      <c r="P1000">
        <v>2</v>
      </c>
      <c r="Q1000">
        <v>2</v>
      </c>
      <c r="S1000" s="4"/>
      <c r="T1000" s="10"/>
    </row>
    <row r="1001" spans="5:20" x14ac:dyDescent="0.2">
      <c r="E1001" s="4" t="s">
        <v>17</v>
      </c>
      <c r="K1001" t="str">
        <v>take</v>
      </c>
      <c r="L1001" s="4" t="str">
        <f t="shared" si="15"/>
        <v>take</v>
      </c>
      <c r="N1001" s="4" cm="1">
        <f t="array" ref="N1001">SUM(--(_xlfn.TEXTSPLIT($J$852,, " ") = M1001))</f>
        <v>2</v>
      </c>
      <c r="O1001">
        <v>2</v>
      </c>
      <c r="P1001">
        <v>2</v>
      </c>
      <c r="Q1001">
        <v>2</v>
      </c>
      <c r="S1001" s="4"/>
      <c r="T1001" s="10"/>
    </row>
    <row r="1002" spans="5:20" x14ac:dyDescent="0.2">
      <c r="E1002" s="4" t="s">
        <v>17</v>
      </c>
      <c r="K1002" t="str">
        <v>the</v>
      </c>
      <c r="L1002" s="4" t="str">
        <f t="shared" si="15"/>
        <v>the</v>
      </c>
      <c r="N1002" s="4" cm="1">
        <f t="array" ref="N1002">SUM(--(_xlfn.TEXTSPLIT($J$852,, " ") = M1002))</f>
        <v>2</v>
      </c>
      <c r="O1002">
        <v>2</v>
      </c>
      <c r="P1002">
        <v>2</v>
      </c>
      <c r="Q1002">
        <v>2</v>
      </c>
      <c r="S1002" s="4"/>
      <c r="T1002" s="10"/>
    </row>
    <row r="1003" spans="5:20" x14ac:dyDescent="0.2">
      <c r="E1003" s="4" t="s">
        <v>17</v>
      </c>
      <c r="K1003" t="str">
        <v>longer</v>
      </c>
      <c r="L1003" s="4" t="str">
        <f t="shared" si="15"/>
        <v>longer</v>
      </c>
      <c r="N1003" s="4" cm="1">
        <f t="array" ref="N1003">SUM(--(_xlfn.TEXTSPLIT($J$852,, " ") = M1003))</f>
        <v>2</v>
      </c>
      <c r="O1003">
        <v>2</v>
      </c>
      <c r="P1003">
        <v>2</v>
      </c>
      <c r="Q1003">
        <v>2</v>
      </c>
      <c r="S1003" s="4"/>
      <c r="T1003" s="10"/>
    </row>
    <row r="1004" spans="5:20" x14ac:dyDescent="0.2">
      <c r="E1004" s="4" t="s">
        <v>17</v>
      </c>
      <c r="K1004" t="str">
        <v>way</v>
      </c>
      <c r="L1004" s="4" t="str">
        <f t="shared" si="15"/>
        <v>way</v>
      </c>
      <c r="N1004" s="4" cm="1">
        <f t="array" ref="N1004">SUM(--(_xlfn.TEXTSPLIT($J$852,, " ") = M1004))</f>
        <v>2</v>
      </c>
      <c r="O1004">
        <v>2</v>
      </c>
      <c r="P1004">
        <v>2</v>
      </c>
      <c r="Q1004">
        <v>2</v>
      </c>
      <c r="S1004" s="4"/>
      <c r="T1004" s="10"/>
    </row>
    <row r="1005" spans="5:20" x14ac:dyDescent="0.2">
      <c r="E1005" s="4" t="s">
        <v>17</v>
      </c>
      <c r="K1005" t="str">
        <v>home</v>
      </c>
      <c r="L1005" s="4" t="str">
        <f t="shared" si="15"/>
        <v>home</v>
      </c>
      <c r="N1005" s="4" cm="1">
        <f t="array" ref="N1005">SUM(--(_xlfn.TEXTSPLIT($J$852,, " ") = M1005))</f>
        <v>2</v>
      </c>
      <c r="O1005">
        <v>2</v>
      </c>
      <c r="P1005">
        <v>2</v>
      </c>
      <c r="Q1005">
        <v>2</v>
      </c>
      <c r="S1005" s="4"/>
      <c r="T1005" s="10"/>
    </row>
    <row r="1006" spans="5:20" x14ac:dyDescent="0.2">
      <c r="E1006" s="4" t="s">
        <v>17</v>
      </c>
      <c r="K1006" t="str">
        <v>(I've</v>
      </c>
      <c r="L1006" s="4" t="str">
        <f t="shared" si="15"/>
        <v xml:space="preserve"> I ve</v>
      </c>
      <c r="N1006" s="4" cm="1">
        <f t="array" ref="N1006">SUM(--(_xlfn.TEXTSPLIT($J$852,, " ") = M1006))</f>
        <v>2</v>
      </c>
      <c r="O1006">
        <v>2</v>
      </c>
      <c r="P1006">
        <v>2</v>
      </c>
      <c r="Q1006">
        <v>2</v>
      </c>
      <c r="S1006" s="4"/>
      <c r="T1006" s="10"/>
    </row>
    <row r="1007" spans="5:20" x14ac:dyDescent="0.2">
      <c r="E1007" s="4" t="s">
        <v>17</v>
      </c>
      <c r="K1007" t="str">
        <v>been</v>
      </c>
      <c r="L1007" s="4" t="str">
        <f t="shared" si="15"/>
        <v>been</v>
      </c>
      <c r="N1007" s="4" cm="1">
        <f t="array" ref="N1007">SUM(--(_xlfn.TEXTSPLIT($J$852,, " ") = M1007))</f>
        <v>2</v>
      </c>
      <c r="O1007">
        <v>2</v>
      </c>
      <c r="P1007">
        <v>2</v>
      </c>
      <c r="Q1007">
        <v>2</v>
      </c>
      <c r="S1007" s="4"/>
      <c r="T1007" s="10"/>
    </row>
    <row r="1008" spans="5:20" x14ac:dyDescent="0.2">
      <c r="E1008" s="4" t="s">
        <v>17</v>
      </c>
      <c r="K1008" t="str">
        <v>this</v>
      </c>
      <c r="L1008" s="4" t="str">
        <f t="shared" si="15"/>
        <v>this</v>
      </c>
      <c r="N1008" s="4" cm="1">
        <f t="array" ref="N1008">SUM(--(_xlfn.TEXTSPLIT($J$852,, " ") = M1008))</f>
        <v>2</v>
      </c>
      <c r="O1008">
        <v>2</v>
      </c>
      <c r="P1008">
        <v>2</v>
      </c>
      <c r="Q1008">
        <v>2</v>
      </c>
      <c r="S1008" s="4"/>
      <c r="T1008" s="10"/>
    </row>
    <row r="1009" spans="5:20" x14ac:dyDescent="0.2">
      <c r="E1009" s="4" t="s">
        <v>17</v>
      </c>
      <c r="K1009" t="str">
        <v xml:space="preserve">way)
</v>
      </c>
      <c r="L1009" s="4" t="str">
        <f t="shared" si="15"/>
        <v xml:space="preserve">way  </v>
      </c>
      <c r="N1009" s="4" cm="1">
        <f t="array" ref="N1009">SUM(--(_xlfn.TEXTSPLIT($J$852,, " ") = M1009))</f>
        <v>2</v>
      </c>
      <c r="O1009">
        <v>2</v>
      </c>
      <c r="P1009">
        <v>2</v>
      </c>
      <c r="Q1009">
        <v>2</v>
      </c>
      <c r="S1009" s="4"/>
      <c r="T1009" s="10"/>
    </row>
    <row r="1010" spans="5:20" x14ac:dyDescent="0.2">
      <c r="E1010" s="4" t="s">
        <v>17</v>
      </c>
      <c r="K1010" t="str">
        <v>Even</v>
      </c>
      <c r="L1010" s="4" t="str">
        <f t="shared" si="15"/>
        <v>Even</v>
      </c>
      <c r="N1010" s="4" cm="1">
        <f t="array" ref="N1010">SUM(--(_xlfn.TEXTSPLIT($J$852,, " ") = M1010))</f>
        <v>2</v>
      </c>
      <c r="O1010">
        <v>2</v>
      </c>
      <c r="P1010">
        <v>2</v>
      </c>
      <c r="Q1010">
        <v>2</v>
      </c>
      <c r="S1010" s="4"/>
      <c r="T1010" s="10"/>
    </row>
    <row r="1011" spans="5:20" x14ac:dyDescent="0.2">
      <c r="E1011" s="4" t="s">
        <v>17</v>
      </c>
      <c r="K1011" t="str">
        <v>now,</v>
      </c>
      <c r="L1011" s="4" t="str">
        <f t="shared" si="15"/>
        <v xml:space="preserve">now </v>
      </c>
      <c r="N1011" s="4" cm="1">
        <f t="array" ref="N1011">SUM(--(_xlfn.TEXTSPLIT($J$852,, " ") = M1011))</f>
        <v>2</v>
      </c>
      <c r="O1011">
        <v>2</v>
      </c>
      <c r="P1011">
        <v>2</v>
      </c>
      <c r="Q1011">
        <v>2</v>
      </c>
      <c r="S1011" s="4"/>
      <c r="T1011" s="10"/>
    </row>
    <row r="1012" spans="5:20" x14ac:dyDescent="0.2">
      <c r="E1012" s="4" t="s">
        <v>17</v>
      </c>
      <c r="K1012" t="str">
        <v>even</v>
      </c>
      <c r="L1012" s="4" t="str">
        <f t="shared" si="15"/>
        <v>even</v>
      </c>
      <c r="N1012" s="4" cm="1">
        <f t="array" ref="N1012">SUM(--(_xlfn.TEXTSPLIT($J$852,, " ") = M1012))</f>
        <v>2</v>
      </c>
      <c r="O1012">
        <v>2</v>
      </c>
      <c r="P1012">
        <v>2</v>
      </c>
      <c r="Q1012">
        <v>2</v>
      </c>
      <c r="S1012" s="4"/>
      <c r="T1012" s="10"/>
    </row>
    <row r="1013" spans="5:20" x14ac:dyDescent="0.2">
      <c r="E1013" s="4" t="s">
        <v>17</v>
      </c>
      <c r="K1013" t="str">
        <v>now,</v>
      </c>
      <c r="L1013" s="4" t="str">
        <f t="shared" si="15"/>
        <v xml:space="preserve">now </v>
      </c>
      <c r="N1013" s="4" cm="1">
        <f t="array" ref="N1013">SUM(--(_xlfn.TEXTSPLIT($J$852,, " ") = M1013))</f>
        <v>2</v>
      </c>
      <c r="O1013">
        <v>2</v>
      </c>
      <c r="P1013">
        <v>2</v>
      </c>
      <c r="Q1013">
        <v>2</v>
      </c>
      <c r="S1013" s="4"/>
      <c r="T1013" s="10"/>
    </row>
    <row r="1014" spans="5:20" x14ac:dyDescent="0.2">
      <c r="E1014" s="4" t="s">
        <v>17</v>
      </c>
      <c r="K1014" t="str">
        <v>even</v>
      </c>
      <c r="L1014" s="4" t="str">
        <f t="shared" si="15"/>
        <v>even</v>
      </c>
      <c r="N1014" s="4" cm="1">
        <f t="array" ref="N1014">SUM(--(_xlfn.TEXTSPLIT($J$852,, " ") = M1014))</f>
        <v>2</v>
      </c>
      <c r="O1014">
        <v>2</v>
      </c>
      <c r="P1014">
        <v>2</v>
      </c>
      <c r="Q1014">
        <v>2</v>
      </c>
      <c r="S1014" s="4"/>
      <c r="T1014" s="10"/>
    </row>
    <row r="1015" spans="5:20" x14ac:dyDescent="0.2">
      <c r="E1015" s="4" t="s">
        <v>17</v>
      </c>
      <c r="K1015" t="str">
        <v xml:space="preserve">now
</v>
      </c>
      <c r="L1015" s="4" t="str">
        <f t="shared" si="15"/>
        <v xml:space="preserve">now </v>
      </c>
      <c r="N1015" s="4" cm="1">
        <f t="array" ref="N1015">SUM(--(_xlfn.TEXTSPLIT($J$852,, " ") = M1015))</f>
        <v>2</v>
      </c>
      <c r="O1015">
        <v>2</v>
      </c>
      <c r="P1015">
        <v>2</v>
      </c>
      <c r="Q1015">
        <v>2</v>
      </c>
      <c r="S1015" s="4"/>
      <c r="T1015" s="10"/>
    </row>
    <row r="1016" spans="5:20" x14ac:dyDescent="0.2">
      <c r="E1016" s="4" t="s">
        <v>17</v>
      </c>
      <c r="K1016" t="str">
        <v>He'll</v>
      </c>
      <c r="L1016" s="4" t="str">
        <f t="shared" si="15"/>
        <v>He ll</v>
      </c>
      <c r="N1016" s="4" cm="1">
        <f t="array" ref="N1016">SUM(--(_xlfn.TEXTSPLIT($J$852,, " ") = M1016))</f>
        <v>2</v>
      </c>
      <c r="O1016">
        <v>2</v>
      </c>
      <c r="P1016">
        <v>2</v>
      </c>
      <c r="Q1016">
        <v>2</v>
      </c>
      <c r="S1016" s="4"/>
      <c r="T1016" s="10"/>
    </row>
    <row r="1017" spans="5:20" x14ac:dyDescent="0.2">
      <c r="E1017" s="4" t="s">
        <v>17</v>
      </c>
      <c r="K1017" t="str">
        <v>never</v>
      </c>
      <c r="L1017" s="4" t="str">
        <f t="shared" si="15"/>
        <v>never</v>
      </c>
      <c r="N1017" s="4" cm="1">
        <f t="array" ref="N1017">SUM(--(_xlfn.TEXTSPLIT($J$852,, " ") = M1017))</f>
        <v>2</v>
      </c>
      <c r="O1017">
        <v>2</v>
      </c>
      <c r="P1017">
        <v>2</v>
      </c>
      <c r="Q1017">
        <v>2</v>
      </c>
      <c r="S1017" s="4"/>
      <c r="T1017" s="10"/>
    </row>
    <row r="1018" spans="5:20" x14ac:dyDescent="0.2">
      <c r="E1018" s="4" t="s">
        <v>17</v>
      </c>
      <c r="K1018" t="str">
        <v>ever</v>
      </c>
      <c r="L1018" s="4" t="str">
        <f t="shared" si="15"/>
        <v>ever</v>
      </c>
      <c r="N1018" s="4" cm="1">
        <f t="array" ref="N1018">SUM(--(_xlfn.TEXTSPLIT($J$852,, " ") = M1018))</f>
        <v>2</v>
      </c>
      <c r="O1018">
        <v>2</v>
      </c>
      <c r="P1018">
        <v>2</v>
      </c>
      <c r="Q1018">
        <v>2</v>
      </c>
      <c r="S1018" s="4"/>
      <c r="T1018" s="10"/>
    </row>
    <row r="1019" spans="5:20" x14ac:dyDescent="0.2">
      <c r="E1019" s="4" t="s">
        <v>17</v>
      </c>
      <c r="K1019" t="str">
        <v>say</v>
      </c>
      <c r="L1019" s="4" t="str">
        <f t="shared" si="15"/>
        <v>say</v>
      </c>
      <c r="N1019" s="4" cm="1">
        <f t="array" ref="N1019">SUM(--(_xlfn.TEXTSPLIT($J$852,, " ") = M1019))</f>
        <v>2</v>
      </c>
      <c r="O1019">
        <v>2</v>
      </c>
      <c r="P1019">
        <v>2</v>
      </c>
      <c r="Q1019">
        <v>2</v>
      </c>
      <c r="S1019" s="4"/>
      <c r="T1019" s="10"/>
    </row>
    <row r="1020" spans="5:20" x14ac:dyDescent="0.2">
      <c r="E1020" s="4" t="s">
        <v>17</v>
      </c>
      <c r="K1020" t="str">
        <v>so</v>
      </c>
      <c r="L1020" s="4" t="str">
        <f t="shared" si="15"/>
        <v>so</v>
      </c>
      <c r="N1020" s="4" cm="1">
        <f t="array" ref="N1020">SUM(--(_xlfn.TEXTSPLIT($J$852,, " ") = M1020))</f>
        <v>2</v>
      </c>
      <c r="O1020">
        <v>2</v>
      </c>
      <c r="P1020">
        <v>2</v>
      </c>
      <c r="Q1020">
        <v>2</v>
      </c>
      <c r="S1020" s="4"/>
      <c r="T1020" s="10"/>
    </row>
    <row r="1021" spans="5:20" x14ac:dyDescent="0.2">
      <c r="E1021" s="4" t="s">
        <v>17</v>
      </c>
      <c r="K1021" t="str">
        <v>(I</v>
      </c>
      <c r="L1021" s="4" t="str">
        <f t="shared" si="15"/>
        <v xml:space="preserve"> I</v>
      </c>
      <c r="N1021" s="4" cm="1">
        <f t="array" ref="N1021">SUM(--(_xlfn.TEXTSPLIT($J$852,, " ") = M1021))</f>
        <v>2</v>
      </c>
      <c r="O1021">
        <v>2</v>
      </c>
      <c r="P1021">
        <v>2</v>
      </c>
      <c r="Q1021">
        <v>2</v>
      </c>
      <c r="S1021" s="4"/>
      <c r="T1021" s="10"/>
    </row>
    <row r="1022" spans="5:20" x14ac:dyDescent="0.2">
      <c r="E1022" s="4" t="s">
        <v>17</v>
      </c>
      <c r="K1022" t="str">
        <v>want</v>
      </c>
      <c r="L1022" s="4" t="str">
        <f t="shared" si="15"/>
        <v>want</v>
      </c>
      <c r="N1022" s="4" cm="1">
        <f t="array" ref="N1022">SUM(--(_xlfn.TEXTSPLIT($J$852,, " ") = M1022))</f>
        <v>2</v>
      </c>
      <c r="O1022">
        <v>2</v>
      </c>
      <c r="P1022">
        <v>2</v>
      </c>
      <c r="Q1022">
        <v>2</v>
      </c>
      <c r="S1022" s="4"/>
      <c r="T1022" s="10"/>
    </row>
    <row r="1023" spans="5:20" x14ac:dyDescent="0.2">
      <c r="E1023" s="4" t="s">
        <v>17</v>
      </c>
      <c r="K1023" t="str">
        <v>to</v>
      </c>
      <c r="L1023" s="4" t="str">
        <f t="shared" si="15"/>
        <v>to</v>
      </c>
      <c r="N1023" s="4" cm="1">
        <f t="array" ref="N1023">SUM(--(_xlfn.TEXTSPLIT($J$852,, " ") = M1023))</f>
        <v>2</v>
      </c>
      <c r="O1023">
        <v>2</v>
      </c>
      <c r="P1023">
        <v>2</v>
      </c>
      <c r="Q1023">
        <v>2</v>
      </c>
      <c r="S1023" s="4"/>
      <c r="T1023" s="10"/>
    </row>
    <row r="1024" spans="5:20" x14ac:dyDescent="0.2">
      <c r="E1024" s="4" t="s">
        <v>17</v>
      </c>
      <c r="K1024" t="str">
        <v xml:space="preserve">change)
</v>
      </c>
      <c r="L1024" s="4" t="str">
        <f t="shared" si="15"/>
        <v xml:space="preserve">change  </v>
      </c>
      <c r="N1024" s="4" cm="1">
        <f t="array" ref="N1024">SUM(--(_xlfn.TEXTSPLIT($J$852,, " ") = M1024))</f>
        <v>2</v>
      </c>
      <c r="O1024">
        <v>2</v>
      </c>
      <c r="P1024">
        <v>2</v>
      </c>
      <c r="Q1024">
        <v>2</v>
      </c>
      <c r="S1024" s="4"/>
      <c r="T1024" s="10"/>
    </row>
    <row r="1025" spans="5:20" x14ac:dyDescent="0.2">
      <c r="E1025" s="4" t="s">
        <v>17</v>
      </c>
      <c r="K1025" t="str">
        <v>He</v>
      </c>
      <c r="L1025" s="4" t="str">
        <f t="shared" si="15"/>
        <v>He</v>
      </c>
      <c r="N1025" s="4" cm="1">
        <f t="array" ref="N1025">SUM(--(_xlfn.TEXTSPLIT($J$852,, " ") = M1025))</f>
        <v>2</v>
      </c>
      <c r="O1025">
        <v>2</v>
      </c>
      <c r="P1025">
        <v>2</v>
      </c>
      <c r="Q1025">
        <v>2</v>
      </c>
      <c r="S1025" s="4"/>
      <c r="T1025" s="10"/>
    </row>
    <row r="1026" spans="5:20" x14ac:dyDescent="0.2">
      <c r="E1026" s="4" t="s">
        <v>17</v>
      </c>
      <c r="K1026" t="str">
        <v>drives</v>
      </c>
      <c r="L1026" s="4" t="str">
        <f t="shared" si="15"/>
        <v>drives</v>
      </c>
      <c r="N1026" s="4" cm="1">
        <f t="array" ref="N1026">SUM(--(_xlfn.TEXTSPLIT($J$852,, " ") = M1026))</f>
        <v>2</v>
      </c>
      <c r="O1026">
        <v>2</v>
      </c>
      <c r="P1026">
        <v>2</v>
      </c>
      <c r="Q1026">
        <v>2</v>
      </c>
      <c r="S1026" s="4"/>
      <c r="T1026" s="10"/>
    </row>
    <row r="1027" spans="5:20" x14ac:dyDescent="0.2">
      <c r="E1027" s="4" t="s">
        <v>17</v>
      </c>
      <c r="K1027" t="str">
        <v>fast</v>
      </c>
      <c r="L1027" s="4" t="str">
        <f t="shared" si="15"/>
        <v>fast</v>
      </c>
      <c r="N1027" s="4" cm="1">
        <f t="array" ref="N1027">SUM(--(_xlfn.TEXTSPLIT($J$852,, " ") = M1027))</f>
        <v>2</v>
      </c>
      <c r="O1027">
        <v>2</v>
      </c>
      <c r="P1027">
        <v>2</v>
      </c>
      <c r="Q1027">
        <v>2</v>
      </c>
      <c r="S1027" s="4"/>
      <c r="T1027" s="10"/>
    </row>
    <row r="1028" spans="5:20" x14ac:dyDescent="0.2">
      <c r="E1028" s="4" t="s">
        <v>17</v>
      </c>
      <c r="K1028" t="str">
        <v>just</v>
      </c>
      <c r="L1028" s="4" t="str">
        <f t="shared" ref="L1028:L1091" si="16">_xlfn.REGEXREPLACE(K1028, "[^A-Za-z ]", " ")</f>
        <v>just</v>
      </c>
      <c r="N1028" s="4" cm="1">
        <f t="array" ref="N1028">SUM(--(_xlfn.TEXTSPLIT($J$852,, " ") = M1028))</f>
        <v>2</v>
      </c>
      <c r="O1028">
        <v>2</v>
      </c>
      <c r="P1028">
        <v>2</v>
      </c>
      <c r="Q1028">
        <v>2</v>
      </c>
      <c r="S1028" s="4"/>
      <c r="T1028" s="10"/>
    </row>
    <row r="1029" spans="5:20" x14ac:dyDescent="0.2">
      <c r="E1029" s="4" t="s">
        <v>17</v>
      </c>
      <c r="K1029" t="str">
        <v>to</v>
      </c>
      <c r="L1029" s="4" t="str">
        <f t="shared" si="16"/>
        <v>to</v>
      </c>
      <c r="N1029" s="4" cm="1">
        <f t="array" ref="N1029">SUM(--(_xlfn.TEXTSPLIT($J$852,, " ") = M1029))</f>
        <v>2</v>
      </c>
      <c r="O1029">
        <v>2</v>
      </c>
      <c r="P1029">
        <v>2</v>
      </c>
      <c r="Q1029">
        <v>2</v>
      </c>
      <c r="S1029" s="4"/>
      <c r="T1029" s="10"/>
    </row>
    <row r="1030" spans="5:20" x14ac:dyDescent="0.2">
      <c r="E1030" s="4" t="s">
        <v>17</v>
      </c>
      <c r="K1030" t="str">
        <v>feel</v>
      </c>
      <c r="L1030" s="4" t="str">
        <f t="shared" si="16"/>
        <v>feel</v>
      </c>
      <c r="N1030" s="4" cm="1">
        <f t="array" ref="N1030">SUM(--(_xlfn.TEXTSPLIT($J$852,, " ") = M1030))</f>
        <v>2</v>
      </c>
      <c r="O1030">
        <v>2</v>
      </c>
      <c r="P1030">
        <v>2</v>
      </c>
      <c r="Q1030">
        <v>2</v>
      </c>
      <c r="S1030" s="4"/>
      <c r="T1030" s="10"/>
    </row>
    <row r="1031" spans="5:20" x14ac:dyDescent="0.2">
      <c r="E1031" s="4" t="s">
        <v>17</v>
      </c>
      <c r="K1031" t="str">
        <v>it,</v>
      </c>
      <c r="L1031" s="4" t="str">
        <f t="shared" si="16"/>
        <v xml:space="preserve">it </v>
      </c>
      <c r="N1031" s="4" cm="1">
        <f t="array" ref="N1031">SUM(--(_xlfn.TEXTSPLIT($J$852,, " ") = M1031))</f>
        <v>2</v>
      </c>
      <c r="O1031">
        <v>2</v>
      </c>
      <c r="P1031">
        <v>2</v>
      </c>
      <c r="Q1031">
        <v>2</v>
      </c>
      <c r="S1031" s="4"/>
      <c r="T1031" s="10"/>
    </row>
    <row r="1032" spans="5:20" x14ac:dyDescent="0.2">
      <c r="E1032" s="4" t="s">
        <v>17</v>
      </c>
      <c r="K1032" t="str">
        <v>feel</v>
      </c>
      <c r="L1032" s="4" t="str">
        <f t="shared" si="16"/>
        <v>feel</v>
      </c>
      <c r="N1032" s="4" cm="1">
        <f t="array" ref="N1032">SUM(--(_xlfn.TEXTSPLIT($J$852,, " ") = M1032))</f>
        <v>2</v>
      </c>
      <c r="O1032">
        <v>2</v>
      </c>
      <c r="P1032">
        <v>2</v>
      </c>
      <c r="Q1032">
        <v>2</v>
      </c>
      <c r="S1032" s="4"/>
      <c r="T1032" s="10"/>
    </row>
    <row r="1033" spans="5:20" x14ac:dyDescent="0.2">
      <c r="E1033" s="4" t="s">
        <v>17</v>
      </c>
      <c r="K1033" t="str">
        <v>it</v>
      </c>
      <c r="L1033" s="4" t="str">
        <f t="shared" si="16"/>
        <v>it</v>
      </c>
      <c r="N1033" s="4" cm="1">
        <f t="array" ref="N1033">SUM(--(_xlfn.TEXTSPLIT($J$852,, " ") = M1033))</f>
        <v>2</v>
      </c>
      <c r="O1033">
        <v>2</v>
      </c>
      <c r="P1033">
        <v>2</v>
      </c>
      <c r="Q1033">
        <v>2</v>
      </c>
      <c r="S1033" s="4"/>
      <c r="T1033" s="10"/>
    </row>
    <row r="1034" spans="5:20" x14ac:dyDescent="0.2">
      <c r="E1034" s="4" t="s">
        <v>17</v>
      </c>
      <c r="K1034" t="str">
        <v>(Feel</v>
      </c>
      <c r="L1034" s="4" t="str">
        <f t="shared" si="16"/>
        <v xml:space="preserve"> Feel</v>
      </c>
      <c r="N1034" s="4" cm="1">
        <f t="array" ref="N1034">SUM(--(_xlfn.TEXTSPLIT($J$852,, " ") = M1034))</f>
        <v>2</v>
      </c>
      <c r="O1034">
        <v>2</v>
      </c>
      <c r="P1034">
        <v>2</v>
      </c>
      <c r="Q1034">
        <v>2</v>
      </c>
      <c r="S1034" s="4"/>
      <c r="T1034" s="10"/>
    </row>
    <row r="1035" spans="5:20" x14ac:dyDescent="0.2">
      <c r="E1035" s="4" t="s">
        <v>17</v>
      </c>
      <c r="K1035" t="str">
        <v xml:space="preserve">it)
</v>
      </c>
      <c r="L1035" s="4" t="str">
        <f t="shared" si="16"/>
        <v xml:space="preserve">it  </v>
      </c>
      <c r="N1035" s="4" cm="1">
        <f t="array" ref="N1035">SUM(--(_xlfn.TEXTSPLIT($J$852,, " ") = M1035))</f>
        <v>2</v>
      </c>
      <c r="O1035">
        <v>2</v>
      </c>
      <c r="P1035">
        <v>2</v>
      </c>
      <c r="Q1035">
        <v>2</v>
      </c>
      <c r="S1035" s="4"/>
      <c r="T1035" s="10"/>
    </row>
    <row r="1036" spans="5:20" x14ac:dyDescent="0.2">
      <c r="E1036" s="4" t="s">
        <v>17</v>
      </c>
      <c r="K1036" t="str">
        <v>He</v>
      </c>
      <c r="L1036" s="4" t="str">
        <f t="shared" si="16"/>
        <v>He</v>
      </c>
      <c r="N1036" s="4" cm="1">
        <f t="array" ref="N1036">SUM(--(_xlfn.TEXTSPLIT($J$852,, " ") = M1036))</f>
        <v>2</v>
      </c>
      <c r="O1036">
        <v>2</v>
      </c>
      <c r="P1036">
        <v>2</v>
      </c>
      <c r="Q1036">
        <v>2</v>
      </c>
      <c r="S1036" s="4"/>
      <c r="T1036" s="10"/>
    </row>
    <row r="1037" spans="5:20" x14ac:dyDescent="0.2">
      <c r="E1037" s="4" t="s">
        <v>17</v>
      </c>
      <c r="K1037" t="str">
        <v>drives</v>
      </c>
      <c r="L1037" s="4" t="str">
        <f t="shared" si="16"/>
        <v>drives</v>
      </c>
      <c r="N1037" s="4" cm="1">
        <f t="array" ref="N1037">SUM(--(_xlfn.TEXTSPLIT($J$852,, " ") = M1037))</f>
        <v>2</v>
      </c>
      <c r="O1037">
        <v>2</v>
      </c>
      <c r="P1037">
        <v>2</v>
      </c>
      <c r="Q1037">
        <v>2</v>
      </c>
      <c r="S1037" s="4"/>
      <c r="T1037" s="10"/>
    </row>
    <row r="1038" spans="5:20" x14ac:dyDescent="0.2">
      <c r="E1038" s="4" t="s">
        <v>17</v>
      </c>
      <c r="K1038" t="str">
        <v>slow</v>
      </c>
      <c r="L1038" s="4" t="str">
        <f t="shared" si="16"/>
        <v>slow</v>
      </c>
      <c r="N1038" s="4" cm="1">
        <f t="array" ref="N1038">SUM(--(_xlfn.TEXTSPLIT($J$852,, " ") = M1038))</f>
        <v>2</v>
      </c>
      <c r="O1038">
        <v>2</v>
      </c>
      <c r="P1038">
        <v>2</v>
      </c>
      <c r="Q1038">
        <v>2</v>
      </c>
      <c r="S1038" s="4"/>
      <c r="T1038" s="10"/>
    </row>
    <row r="1039" spans="5:20" x14ac:dyDescent="0.2">
      <c r="E1039" s="4" t="s">
        <v>17</v>
      </c>
      <c r="K1039" t="str">
        <v>if</v>
      </c>
      <c r="L1039" s="4" t="str">
        <f t="shared" si="16"/>
        <v>if</v>
      </c>
      <c r="N1039" s="4" cm="1">
        <f t="array" ref="N1039">SUM(--(_xlfn.TEXTSPLIT($J$852,, " ") = M1039))</f>
        <v>2</v>
      </c>
      <c r="O1039">
        <v>2</v>
      </c>
      <c r="P1039">
        <v>2</v>
      </c>
      <c r="Q1039">
        <v>2</v>
      </c>
      <c r="S1039" s="4"/>
      <c r="T1039" s="10"/>
    </row>
    <row r="1040" spans="5:20" x14ac:dyDescent="0.2">
      <c r="E1040" s="4" t="s">
        <v>17</v>
      </c>
      <c r="K1040" t="str">
        <v>his</v>
      </c>
      <c r="L1040" s="4" t="str">
        <f t="shared" si="16"/>
        <v>his</v>
      </c>
      <c r="N1040" s="4" cm="1">
        <f t="array" ref="N1040">SUM(--(_xlfn.TEXTSPLIT($J$852,, " ") = M1040))</f>
        <v>2</v>
      </c>
      <c r="O1040">
        <v>2</v>
      </c>
      <c r="P1040">
        <v>2</v>
      </c>
      <c r="Q1040">
        <v>2</v>
      </c>
      <c r="S1040" s="4"/>
      <c r="T1040" s="10"/>
    </row>
    <row r="1041" spans="5:20" x14ac:dyDescent="0.2">
      <c r="E1041" s="4" t="s">
        <v>17</v>
      </c>
      <c r="K1041" t="str">
        <v>song's</v>
      </c>
      <c r="L1041" s="4" t="str">
        <f t="shared" si="16"/>
        <v>song s</v>
      </c>
      <c r="N1041" s="4" cm="1">
        <f t="array" ref="N1041">SUM(--(_xlfn.TEXTSPLIT($J$852,, " ") = M1041))</f>
        <v>2</v>
      </c>
      <c r="O1041">
        <v>2</v>
      </c>
      <c r="P1041">
        <v>2</v>
      </c>
      <c r="Q1041">
        <v>2</v>
      </c>
      <c r="S1041" s="4"/>
      <c r="T1041" s="10"/>
    </row>
    <row r="1042" spans="5:20" x14ac:dyDescent="0.2">
      <c r="E1042" s="4" t="s">
        <v>17</v>
      </c>
      <c r="K1042" t="str">
        <v>not</v>
      </c>
      <c r="L1042" s="4" t="str">
        <f t="shared" si="16"/>
        <v>not</v>
      </c>
      <c r="N1042" s="4" cm="1">
        <f t="array" ref="N1042">SUM(--(_xlfn.TEXTSPLIT($J$852,, " ") = M1042))</f>
        <v>2</v>
      </c>
      <c r="O1042">
        <v>2</v>
      </c>
      <c r="P1042">
        <v>2</v>
      </c>
      <c r="Q1042">
        <v>2</v>
      </c>
      <c r="S1042" s="4"/>
      <c r="T1042" s="10"/>
    </row>
    <row r="1043" spans="5:20" x14ac:dyDescent="0.2">
      <c r="E1043" s="4" t="s">
        <v>17</v>
      </c>
      <c r="K1043" t="str">
        <v>over</v>
      </c>
      <c r="L1043" s="4" t="str">
        <f t="shared" si="16"/>
        <v>over</v>
      </c>
      <c r="N1043" s="4" cm="1">
        <f t="array" ref="N1043">SUM(--(_xlfn.TEXTSPLIT($J$852,, " ") = M1043))</f>
        <v>2</v>
      </c>
      <c r="O1043">
        <v>2</v>
      </c>
      <c r="P1043">
        <v>2</v>
      </c>
      <c r="Q1043">
        <v>2</v>
      </c>
      <c r="S1043" s="4"/>
      <c r="T1043" s="10"/>
    </row>
    <row r="1044" spans="5:20" x14ac:dyDescent="0.2">
      <c r="E1044" s="4" t="s">
        <v>17</v>
      </c>
      <c r="K1044" t="str">
        <v>(Feel</v>
      </c>
      <c r="L1044" s="4" t="str">
        <f t="shared" si="16"/>
        <v xml:space="preserve"> Feel</v>
      </c>
      <c r="N1044" s="4" cm="1">
        <f t="array" ref="N1044">SUM(--(_xlfn.TEXTSPLIT($J$852,, " ") = M1044))</f>
        <v>2</v>
      </c>
      <c r="O1044">
        <v>2</v>
      </c>
      <c r="P1044">
        <v>2</v>
      </c>
      <c r="Q1044">
        <v>2</v>
      </c>
      <c r="S1044" s="4"/>
      <c r="T1044" s="10"/>
    </row>
    <row r="1045" spans="5:20" x14ac:dyDescent="0.2">
      <c r="E1045" s="4" t="s">
        <v>17</v>
      </c>
      <c r="K1045" t="str">
        <v xml:space="preserve">it)
</v>
      </c>
      <c r="L1045" s="4" t="str">
        <f t="shared" si="16"/>
        <v xml:space="preserve">it  </v>
      </c>
      <c r="N1045" s="4" cm="1">
        <f t="array" ref="N1045">SUM(--(_xlfn.TEXTSPLIT($J$852,, " ") = M1045))</f>
        <v>2</v>
      </c>
      <c r="O1045">
        <v>2</v>
      </c>
      <c r="P1045">
        <v>2</v>
      </c>
      <c r="Q1045">
        <v>2</v>
      </c>
      <c r="S1045" s="4"/>
      <c r="T1045" s="10"/>
    </row>
    <row r="1046" spans="5:20" x14ac:dyDescent="0.2">
      <c r="E1046" s="4" t="s">
        <v>17</v>
      </c>
      <c r="K1046" t="str">
        <v>Drown</v>
      </c>
      <c r="L1046" s="4" t="str">
        <f t="shared" si="16"/>
        <v>Drown</v>
      </c>
      <c r="N1046" s="4" cm="1">
        <f t="array" ref="N1046">SUM(--(_xlfn.TEXTSPLIT($J$852,, " ") = M1046))</f>
        <v>2</v>
      </c>
      <c r="O1046">
        <v>2</v>
      </c>
      <c r="P1046">
        <v>2</v>
      </c>
      <c r="Q1046">
        <v>2</v>
      </c>
      <c r="S1046" s="4"/>
      <c r="T1046" s="10"/>
    </row>
    <row r="1047" spans="5:20" x14ac:dyDescent="0.2">
      <c r="E1047" s="4" t="s">
        <v>17</v>
      </c>
      <c r="K1047" t="str">
        <v>it</v>
      </c>
      <c r="L1047" s="4" t="str">
        <f t="shared" si="16"/>
        <v>it</v>
      </c>
      <c r="N1047" s="4" cm="1">
        <f t="array" ref="N1047">SUM(--(_xlfn.TEXTSPLIT($J$852,, " ") = M1047))</f>
        <v>2</v>
      </c>
      <c r="O1047">
        <v>2</v>
      </c>
      <c r="P1047">
        <v>2</v>
      </c>
      <c r="Q1047">
        <v>2</v>
      </c>
      <c r="S1047" s="4"/>
      <c r="T1047" s="10"/>
    </row>
    <row r="1048" spans="5:20" x14ac:dyDescent="0.2">
      <c r="E1048" s="4" t="s">
        <v>17</v>
      </c>
      <c r="K1048" t="str">
        <v>out,</v>
      </c>
      <c r="L1048" s="4" t="str">
        <f t="shared" si="16"/>
        <v xml:space="preserve">out </v>
      </c>
      <c r="N1048" s="4" cm="1">
        <f t="array" ref="N1048">SUM(--(_xlfn.TEXTSPLIT($J$852,, " ") = M1048))</f>
        <v>2</v>
      </c>
      <c r="O1048">
        <v>2</v>
      </c>
      <c r="P1048">
        <v>2</v>
      </c>
      <c r="Q1048">
        <v>2</v>
      </c>
      <c r="S1048" s="4"/>
      <c r="T1048" s="10"/>
    </row>
    <row r="1049" spans="5:20" x14ac:dyDescent="0.2">
      <c r="E1049" s="4" t="s">
        <v>17</v>
      </c>
      <c r="K1049" t="str">
        <v>drown</v>
      </c>
      <c r="L1049" s="4" t="str">
        <f t="shared" si="16"/>
        <v>drown</v>
      </c>
      <c r="N1049" s="4" cm="1">
        <f t="array" ref="N1049">SUM(--(_xlfn.TEXTSPLIT($J$852,, " ") = M1049))</f>
        <v>2</v>
      </c>
      <c r="O1049">
        <v>2</v>
      </c>
      <c r="P1049">
        <v>2</v>
      </c>
      <c r="Q1049">
        <v>2</v>
      </c>
      <c r="S1049" s="4"/>
      <c r="T1049" s="10"/>
    </row>
    <row r="1050" spans="5:20" x14ac:dyDescent="0.2">
      <c r="E1050" s="4" t="s">
        <v>17</v>
      </c>
      <c r="K1050" t="str">
        <v>it</v>
      </c>
      <c r="L1050" s="4" t="str">
        <f t="shared" si="16"/>
        <v>it</v>
      </c>
      <c r="N1050" s="4" cm="1">
        <f t="array" ref="N1050">SUM(--(_xlfn.TEXTSPLIT($J$852,, " ") = M1050))</f>
        <v>2</v>
      </c>
      <c r="O1050">
        <v>2</v>
      </c>
      <c r="P1050">
        <v>2</v>
      </c>
      <c r="Q1050">
        <v>2</v>
      </c>
      <c r="S1050" s="4"/>
      <c r="T1050" s="10"/>
    </row>
    <row r="1051" spans="5:20" x14ac:dyDescent="0.2">
      <c r="E1051" s="4" t="s">
        <v>17</v>
      </c>
      <c r="K1051" t="str">
        <v xml:space="preserve">out
</v>
      </c>
      <c r="L1051" s="4" t="str">
        <f t="shared" si="16"/>
        <v xml:space="preserve">out  </v>
      </c>
      <c r="N1051" s="4" cm="1">
        <f t="array" ref="N1051">SUM(--(_xlfn.TEXTSPLIT($J$852,, " ") = M1051))</f>
        <v>2</v>
      </c>
      <c r="O1051">
        <v>2</v>
      </c>
      <c r="P1051">
        <v>2</v>
      </c>
      <c r="Q1051">
        <v>2</v>
      </c>
      <c r="S1051" s="4"/>
      <c r="T1051" s="10"/>
    </row>
    <row r="1052" spans="5:20" x14ac:dyDescent="0.2">
      <c r="E1052" s="4" t="s">
        <v>17</v>
      </c>
      <c r="K1052" t="str">
        <v>I've</v>
      </c>
      <c r="L1052" s="4" t="str">
        <f t="shared" si="16"/>
        <v>I ve</v>
      </c>
      <c r="N1052" s="4" cm="1">
        <f t="array" ref="N1052">SUM(--(_xlfn.TEXTSPLIT($J$852,, " ") = M1052))</f>
        <v>2</v>
      </c>
      <c r="O1052">
        <v>2</v>
      </c>
      <c r="P1052">
        <v>2</v>
      </c>
      <c r="Q1052">
        <v>2</v>
      </c>
      <c r="S1052" s="4"/>
      <c r="T1052" s="10"/>
    </row>
    <row r="1053" spans="5:20" x14ac:dyDescent="0.2">
      <c r="E1053" s="4" t="s">
        <v>17</v>
      </c>
      <c r="K1053" t="str">
        <v>been</v>
      </c>
      <c r="L1053" s="4" t="str">
        <f t="shared" si="16"/>
        <v>been</v>
      </c>
      <c r="N1053" s="4" cm="1">
        <f t="array" ref="N1053">SUM(--(_xlfn.TEXTSPLIT($J$852,, " ") = M1053))</f>
        <v>2</v>
      </c>
      <c r="O1053">
        <v>2</v>
      </c>
      <c r="P1053">
        <v>2</v>
      </c>
      <c r="Q1053">
        <v>2</v>
      </c>
      <c r="S1053" s="4"/>
      <c r="T1053" s="10"/>
    </row>
    <row r="1054" spans="5:20" x14ac:dyDescent="0.2">
      <c r="E1054" s="4" t="s">
        <v>17</v>
      </c>
      <c r="K1054" t="str">
        <v>this</v>
      </c>
      <c r="L1054" s="4" t="str">
        <f t="shared" si="16"/>
        <v>this</v>
      </c>
      <c r="N1054" s="4" cm="1">
        <f t="array" ref="N1054">SUM(--(_xlfn.TEXTSPLIT($J$852,, " ") = M1054))</f>
        <v>2</v>
      </c>
      <c r="O1054">
        <v>2</v>
      </c>
      <c r="P1054">
        <v>2</v>
      </c>
      <c r="Q1054">
        <v>2</v>
      </c>
      <c r="S1054" s="4"/>
      <c r="T1054" s="10"/>
    </row>
    <row r="1055" spans="5:20" x14ac:dyDescent="0.2">
      <c r="E1055" s="4" t="s">
        <v>17</v>
      </c>
      <c r="K1055" t="str">
        <v xml:space="preserve">way
</v>
      </c>
      <c r="L1055" s="4" t="str">
        <f t="shared" si="16"/>
        <v xml:space="preserve">way </v>
      </c>
      <c r="N1055" s="4" cm="1">
        <f t="array" ref="N1055">SUM(--(_xlfn.TEXTSPLIT($J$852,, " ") = M1055))</f>
        <v>2</v>
      </c>
      <c r="O1055">
        <v>2</v>
      </c>
      <c r="P1055">
        <v>2</v>
      </c>
      <c r="Q1055">
        <v>2</v>
      </c>
      <c r="S1055" s="4"/>
      <c r="T1055" s="10"/>
    </row>
    <row r="1056" spans="5:20" x14ac:dyDescent="0.2">
      <c r="E1056" s="4" t="s">
        <v>17</v>
      </c>
      <c r="K1056" t="str">
        <v>I</v>
      </c>
      <c r="L1056" s="4" t="str">
        <f t="shared" si="16"/>
        <v>I</v>
      </c>
      <c r="N1056" s="4" cm="1">
        <f t="array" ref="N1056">SUM(--(_xlfn.TEXTSPLIT($J$852,, " ") = M1056))</f>
        <v>2</v>
      </c>
      <c r="O1056">
        <v>2</v>
      </c>
      <c r="P1056">
        <v>2</v>
      </c>
      <c r="Q1056">
        <v>2</v>
      </c>
      <c r="S1056" s="4"/>
      <c r="T1056" s="10"/>
    </row>
    <row r="1057" spans="5:20" x14ac:dyDescent="0.2">
      <c r="E1057" s="4" t="s">
        <v>17</v>
      </c>
      <c r="K1057" t="str">
        <v>want</v>
      </c>
      <c r="L1057" s="4" t="str">
        <f t="shared" si="16"/>
        <v>want</v>
      </c>
      <c r="N1057" s="4" cm="1">
        <f t="array" ref="N1057">SUM(--(_xlfn.TEXTSPLIT($J$852,, " ") = M1057))</f>
        <v>2</v>
      </c>
      <c r="O1057">
        <v>2</v>
      </c>
      <c r="P1057">
        <v>2</v>
      </c>
      <c r="Q1057">
        <v>2</v>
      </c>
      <c r="S1057" s="4"/>
      <c r="T1057" s="10"/>
    </row>
    <row r="1058" spans="5:20" x14ac:dyDescent="0.2">
      <c r="E1058" s="4" t="s">
        <v>17</v>
      </c>
      <c r="K1058" t="str">
        <v>to</v>
      </c>
      <c r="L1058" s="4" t="str">
        <f t="shared" si="16"/>
        <v>to</v>
      </c>
      <c r="N1058" s="4" cm="1">
        <f t="array" ref="N1058">SUM(--(_xlfn.TEXTSPLIT($J$852,, " ") = M1058))</f>
        <v>2</v>
      </c>
      <c r="O1058">
        <v>2</v>
      </c>
      <c r="P1058">
        <v>2</v>
      </c>
      <c r="Q1058">
        <v>2</v>
      </c>
      <c r="S1058" s="4"/>
      <c r="T1058" s="10"/>
    </row>
    <row r="1059" spans="5:20" x14ac:dyDescent="0.2">
      <c r="E1059" s="4" t="s">
        <v>17</v>
      </c>
      <c r="K1059" t="str">
        <v xml:space="preserve">change
</v>
      </c>
      <c r="L1059" s="4" t="str">
        <f t="shared" si="16"/>
        <v xml:space="preserve">change </v>
      </c>
      <c r="N1059" s="4" cm="1">
        <f t="array" ref="N1059">SUM(--(_xlfn.TEXTSPLIT($J$852,, " ") = M1059))</f>
        <v>2</v>
      </c>
      <c r="O1059">
        <v>2</v>
      </c>
      <c r="P1059">
        <v>2</v>
      </c>
      <c r="Q1059">
        <v>2</v>
      </c>
      <c r="S1059" s="4"/>
      <c r="T1059" s="10"/>
    </row>
    <row r="1060" spans="5:20" x14ac:dyDescent="0.2">
      <c r="E1060" s="4" t="s">
        <v>17</v>
      </c>
      <c r="K1060" t="str">
        <v>I've</v>
      </c>
      <c r="L1060" s="4" t="str">
        <f t="shared" si="16"/>
        <v>I ve</v>
      </c>
      <c r="N1060" s="4" cm="1">
        <f t="array" ref="N1060">SUM(--(_xlfn.TEXTSPLIT($J$852,, " ") = M1060))</f>
        <v>2</v>
      </c>
      <c r="O1060">
        <v>2</v>
      </c>
      <c r="P1060">
        <v>2</v>
      </c>
      <c r="Q1060">
        <v>2</v>
      </c>
      <c r="S1060" s="4"/>
      <c r="T1060" s="10"/>
    </row>
    <row r="1061" spans="5:20" x14ac:dyDescent="0.2">
      <c r="E1061" s="4" t="s">
        <v>17</v>
      </c>
      <c r="K1061" t="str">
        <v>been</v>
      </c>
      <c r="L1061" s="4" t="str">
        <f t="shared" si="16"/>
        <v>been</v>
      </c>
      <c r="N1061" s="4" cm="1">
        <f t="array" ref="N1061">SUM(--(_xlfn.TEXTSPLIT($J$852,, " ") = M1061))</f>
        <v>2</v>
      </c>
      <c r="O1061">
        <v>2</v>
      </c>
      <c r="P1061">
        <v>2</v>
      </c>
      <c r="Q1061">
        <v>2</v>
      </c>
      <c r="S1061" s="4"/>
      <c r="T1061" s="10"/>
    </row>
    <row r="1062" spans="5:20" x14ac:dyDescent="0.2">
      <c r="E1062" s="4" t="s">
        <v>17</v>
      </c>
      <c r="K1062" t="str">
        <v>this</v>
      </c>
      <c r="L1062" s="4" t="str">
        <f t="shared" si="16"/>
        <v>this</v>
      </c>
      <c r="N1062" s="4" cm="1">
        <f t="array" ref="N1062">SUM(--(_xlfn.TEXTSPLIT($J$852,, " ") = M1062))</f>
        <v>2</v>
      </c>
      <c r="O1062">
        <v>2</v>
      </c>
      <c r="P1062">
        <v>2</v>
      </c>
      <c r="Q1062">
        <v>2</v>
      </c>
      <c r="S1062" s="4"/>
      <c r="T1062" s="10"/>
    </row>
    <row r="1063" spans="5:20" x14ac:dyDescent="0.2">
      <c r="E1063" s="4" t="s">
        <v>17</v>
      </c>
      <c r="K1063" t="str">
        <v xml:space="preserve">way
</v>
      </c>
      <c r="L1063" s="4" t="str">
        <f t="shared" si="16"/>
        <v xml:space="preserve">way </v>
      </c>
      <c r="N1063" s="4" cm="1">
        <f t="array" ref="N1063">SUM(--(_xlfn.TEXTSPLIT($J$852,, " ") = M1063))</f>
        <v>2</v>
      </c>
      <c r="O1063">
        <v>2</v>
      </c>
      <c r="P1063">
        <v>2</v>
      </c>
      <c r="Q1063">
        <v>2</v>
      </c>
      <c r="S1063" s="4"/>
      <c r="T1063" s="10"/>
    </row>
    <row r="1064" spans="5:20" x14ac:dyDescent="0.2">
      <c r="E1064" s="4" t="s">
        <v>17</v>
      </c>
      <c r="K1064" t="str">
        <v>I</v>
      </c>
      <c r="L1064" s="4" t="str">
        <f t="shared" si="16"/>
        <v>I</v>
      </c>
      <c r="N1064" s="4" cm="1">
        <f t="array" ref="N1064">SUM(--(_xlfn.TEXTSPLIT($J$852,, " ") = M1064))</f>
        <v>2</v>
      </c>
      <c r="O1064">
        <v>2</v>
      </c>
      <c r="P1064">
        <v>2</v>
      </c>
      <c r="Q1064">
        <v>2</v>
      </c>
      <c r="S1064" s="4"/>
      <c r="T1064" s="10"/>
    </row>
    <row r="1065" spans="5:20" x14ac:dyDescent="0.2">
      <c r="E1065" s="4" t="s">
        <v>17</v>
      </c>
      <c r="K1065" t="str">
        <v>want</v>
      </c>
      <c r="L1065" s="4" t="str">
        <f t="shared" si="16"/>
        <v>want</v>
      </c>
      <c r="N1065" s="4" cm="1">
        <f t="array" ref="N1065">SUM(--(_xlfn.TEXTSPLIT($J$852,, " ") = M1065))</f>
        <v>2</v>
      </c>
      <c r="O1065">
        <v>2</v>
      </c>
      <c r="P1065">
        <v>2</v>
      </c>
      <c r="Q1065">
        <v>2</v>
      </c>
      <c r="S1065" s="4"/>
      <c r="T1065" s="10"/>
    </row>
    <row r="1066" spans="5:20" x14ac:dyDescent="0.2">
      <c r="E1066" s="4" t="s">
        <v>17</v>
      </c>
      <c r="K1066" t="str">
        <v>to</v>
      </c>
      <c r="L1066" s="4" t="str">
        <f t="shared" si="16"/>
        <v>to</v>
      </c>
      <c r="N1066" s="4" cm="1">
        <f t="array" ref="N1066">SUM(--(_xlfn.TEXTSPLIT($J$852,, " ") = M1066))</f>
        <v>2</v>
      </c>
      <c r="O1066">
        <v>2</v>
      </c>
      <c r="P1066">
        <v>2</v>
      </c>
      <c r="Q1066">
        <v>2</v>
      </c>
      <c r="S1066" s="4"/>
      <c r="T1066" s="10"/>
    </row>
    <row r="1067" spans="5:20" x14ac:dyDescent="0.2">
      <c r="E1067" s="4" t="s">
        <v>17</v>
      </c>
      <c r="K1067" t="str">
        <v xml:space="preserve">change
</v>
      </c>
      <c r="L1067" s="4" t="str">
        <f t="shared" si="16"/>
        <v xml:space="preserve">change  </v>
      </c>
      <c r="N1067" s="4" cm="1">
        <f t="array" ref="N1067">SUM(--(_xlfn.TEXTSPLIT($J$852,, " ") = M1067))</f>
        <v>2</v>
      </c>
      <c r="O1067">
        <v>2</v>
      </c>
      <c r="P1067">
        <v>2</v>
      </c>
      <c r="Q1067">
        <v>2</v>
      </c>
      <c r="S1067" s="4"/>
      <c r="T1067" s="10"/>
    </row>
    <row r="1068" spans="5:20" x14ac:dyDescent="0.2">
      <c r="E1068" s="4" t="s">
        <v>17</v>
      </c>
      <c r="K1068" t="str">
        <v>He's</v>
      </c>
      <c r="L1068" s="4" t="str">
        <f t="shared" si="16"/>
        <v>He s</v>
      </c>
      <c r="N1068" s="4" cm="1">
        <f t="array" ref="N1068">SUM(--(_xlfn.TEXTSPLIT($J$852,, " ") = M1068))</f>
        <v>2</v>
      </c>
      <c r="O1068">
        <v>2</v>
      </c>
      <c r="P1068">
        <v>2</v>
      </c>
      <c r="Q1068">
        <v>2</v>
      </c>
      <c r="S1068" s="4"/>
      <c r="T1068" s="10"/>
    </row>
    <row r="1069" spans="5:20" x14ac:dyDescent="0.2">
      <c r="E1069" s="4" t="s">
        <v>17</v>
      </c>
      <c r="K1069" t="str">
        <v>puttin'</v>
      </c>
      <c r="L1069" s="4" t="str">
        <f t="shared" si="16"/>
        <v xml:space="preserve">puttin </v>
      </c>
      <c r="N1069" s="4" cm="1">
        <f t="array" ref="N1069">SUM(--(_xlfn.TEXTSPLIT($J$852,, " ") = M1069))</f>
        <v>2</v>
      </c>
      <c r="O1069">
        <v>2</v>
      </c>
      <c r="P1069">
        <v>2</v>
      </c>
      <c r="Q1069">
        <v>2</v>
      </c>
      <c r="S1069" s="4"/>
      <c r="T1069" s="10"/>
    </row>
    <row r="1070" spans="5:20" x14ac:dyDescent="0.2">
      <c r="E1070" s="4" t="s">
        <v>17</v>
      </c>
      <c r="K1070" t="str">
        <v>on</v>
      </c>
      <c r="L1070" s="4" t="str">
        <f t="shared" si="16"/>
        <v>on</v>
      </c>
      <c r="N1070" s="4" cm="1">
        <f t="array" ref="N1070">SUM(--(_xlfn.TEXTSPLIT($J$852,, " ") = M1070))</f>
        <v>2</v>
      </c>
      <c r="O1070">
        <v>2</v>
      </c>
      <c r="P1070">
        <v>2</v>
      </c>
      <c r="Q1070">
        <v>2</v>
      </c>
      <c r="S1070" s="4"/>
      <c r="T1070" s="10"/>
    </row>
    <row r="1071" spans="5:20" x14ac:dyDescent="0.2">
      <c r="E1071" s="4" t="s">
        <v>17</v>
      </c>
      <c r="K1071" t="str">
        <v>a</v>
      </c>
      <c r="L1071" s="4" t="str">
        <f t="shared" si="16"/>
        <v>a</v>
      </c>
      <c r="N1071" s="4" cm="1">
        <f t="array" ref="N1071">SUM(--(_xlfn.TEXTSPLIT($J$852,, " ") = M1071))</f>
        <v>2</v>
      </c>
      <c r="O1071">
        <v>2</v>
      </c>
      <c r="P1071">
        <v>2</v>
      </c>
      <c r="Q1071">
        <v>2</v>
      </c>
      <c r="S1071" s="4"/>
      <c r="T1071" s="10"/>
    </row>
    <row r="1072" spans="5:20" x14ac:dyDescent="0.2">
      <c r="E1072" s="4" t="s">
        <v>17</v>
      </c>
      <c r="K1072" t="str">
        <v>drum</v>
      </c>
      <c r="L1072" s="4" t="str">
        <f t="shared" si="16"/>
        <v>drum</v>
      </c>
      <c r="N1072" s="4" cm="1">
        <f t="array" ref="N1072">SUM(--(_xlfn.TEXTSPLIT($J$852,, " ") = M1072))</f>
        <v>2</v>
      </c>
      <c r="O1072">
        <v>2</v>
      </c>
      <c r="P1072">
        <v>2</v>
      </c>
      <c r="Q1072">
        <v>2</v>
      </c>
      <c r="S1072" s="4"/>
      <c r="T1072" s="10"/>
    </row>
    <row r="1073" spans="5:20" x14ac:dyDescent="0.2">
      <c r="E1073" s="4" t="s">
        <v>17</v>
      </c>
      <c r="K1073" t="str">
        <v xml:space="preserve">show
</v>
      </c>
      <c r="L1073" s="4" t="str">
        <f t="shared" si="16"/>
        <v xml:space="preserve">show  </v>
      </c>
      <c r="N1073" s="4" cm="1">
        <f t="array" ref="N1073">SUM(--(_xlfn.TEXTSPLIT($J$852,, " ") = M1073))</f>
        <v>2</v>
      </c>
      <c r="O1073">
        <v>2</v>
      </c>
      <c r="P1073">
        <v>2</v>
      </c>
      <c r="Q1073">
        <v>2</v>
      </c>
      <c r="S1073" s="4"/>
      <c r="T1073" s="10"/>
    </row>
    <row r="1074" spans="5:20" x14ac:dyDescent="0.2">
      <c r="E1074" s="4" t="s">
        <v>17</v>
      </c>
      <c r="K1074" t="str">
        <v>Even</v>
      </c>
      <c r="L1074" s="4" t="str">
        <f t="shared" si="16"/>
        <v>Even</v>
      </c>
      <c r="N1074" s="4" cm="1">
        <f t="array" ref="N1074">SUM(--(_xlfn.TEXTSPLIT($J$852,, " ") = M1074))</f>
        <v>2</v>
      </c>
      <c r="O1074">
        <v>2</v>
      </c>
      <c r="P1074">
        <v>2</v>
      </c>
      <c r="Q1074">
        <v>2</v>
      </c>
      <c r="S1074" s="4"/>
      <c r="T1074" s="10"/>
    </row>
    <row r="1075" spans="5:20" x14ac:dyDescent="0.2">
      <c r="E1075" s="4" t="s">
        <v>17</v>
      </c>
      <c r="K1075" t="str">
        <v>now,</v>
      </c>
      <c r="L1075" s="4" t="str">
        <f t="shared" si="16"/>
        <v xml:space="preserve">now </v>
      </c>
      <c r="N1075" s="4" cm="1">
        <f t="array" ref="N1075">SUM(--(_xlfn.TEXTSPLIT($J$852,, " ") = M1075))</f>
        <v>2</v>
      </c>
      <c r="O1075">
        <v>2</v>
      </c>
      <c r="P1075">
        <v>2</v>
      </c>
      <c r="Q1075">
        <v>2</v>
      </c>
      <c r="S1075" s="4"/>
      <c r="T1075" s="10"/>
    </row>
    <row r="1076" spans="5:20" x14ac:dyDescent="0.2">
      <c r="E1076" s="4" t="s">
        <v>17</v>
      </c>
      <c r="K1076" t="str">
        <v>even</v>
      </c>
      <c r="L1076" s="4" t="str">
        <f t="shared" si="16"/>
        <v>even</v>
      </c>
      <c r="N1076" s="4" cm="1">
        <f t="array" ref="N1076">SUM(--(_xlfn.TEXTSPLIT($J$852,, " ") = M1076))</f>
        <v>2</v>
      </c>
      <c r="O1076">
        <v>2</v>
      </c>
      <c r="P1076">
        <v>2</v>
      </c>
      <c r="Q1076">
        <v>2</v>
      </c>
      <c r="S1076" s="4"/>
      <c r="T1076" s="10"/>
    </row>
    <row r="1077" spans="5:20" x14ac:dyDescent="0.2">
      <c r="E1077" s="4" t="s">
        <v>17</v>
      </c>
      <c r="K1077" t="str">
        <v>now,</v>
      </c>
      <c r="L1077" s="4" t="str">
        <f t="shared" si="16"/>
        <v xml:space="preserve">now </v>
      </c>
      <c r="N1077" s="4" cm="1">
        <f t="array" ref="N1077">SUM(--(_xlfn.TEXTSPLIT($J$852,, " ") = M1077))</f>
        <v>2</v>
      </c>
      <c r="O1077">
        <v>2</v>
      </c>
      <c r="P1077">
        <v>2</v>
      </c>
      <c r="Q1077">
        <v>2</v>
      </c>
      <c r="S1077" s="4"/>
      <c r="T1077" s="10"/>
    </row>
    <row r="1078" spans="5:20" x14ac:dyDescent="0.2">
      <c r="E1078" s="4" t="s">
        <v>17</v>
      </c>
      <c r="K1078" t="str">
        <v>even</v>
      </c>
      <c r="L1078" s="4" t="str">
        <f t="shared" si="16"/>
        <v>even</v>
      </c>
      <c r="N1078" s="4" cm="1">
        <f t="array" ref="N1078">SUM(--(_xlfn.TEXTSPLIT($J$852,, " ") = M1078))</f>
        <v>2</v>
      </c>
      <c r="O1078">
        <v>2</v>
      </c>
      <c r="P1078">
        <v>2</v>
      </c>
      <c r="Q1078">
        <v>2</v>
      </c>
      <c r="S1078" s="4"/>
      <c r="T1078" s="10"/>
    </row>
    <row r="1079" spans="5:20" x14ac:dyDescent="0.2">
      <c r="E1079" s="4" t="s">
        <v>17</v>
      </c>
      <c r="K1079" t="str">
        <v xml:space="preserve">now
</v>
      </c>
      <c r="L1079" s="4" t="str">
        <f t="shared" si="16"/>
        <v xml:space="preserve">now </v>
      </c>
      <c r="N1079" s="4" cm="1">
        <f t="array" ref="N1079">SUM(--(_xlfn.TEXTSPLIT($J$852,, " ") = M1079))</f>
        <v>2</v>
      </c>
      <c r="O1079">
        <v>2</v>
      </c>
      <c r="P1079">
        <v>2</v>
      </c>
      <c r="Q1079">
        <v>2</v>
      </c>
      <c r="S1079" s="4"/>
      <c r="T1079" s="10"/>
    </row>
    <row r="1080" spans="5:20" x14ac:dyDescent="0.2">
      <c r="E1080" s="4" t="s">
        <v>17</v>
      </c>
      <c r="K1080" t="str">
        <v>He'll</v>
      </c>
      <c r="L1080" s="4" t="str">
        <f t="shared" si="16"/>
        <v>He ll</v>
      </c>
      <c r="N1080" s="4" cm="1">
        <f t="array" ref="N1080">SUM(--(_xlfn.TEXTSPLIT($J$852,, " ") = M1080))</f>
        <v>2</v>
      </c>
      <c r="O1080">
        <v>2</v>
      </c>
      <c r="P1080">
        <v>2</v>
      </c>
      <c r="Q1080">
        <v>2</v>
      </c>
      <c r="S1080" s="4"/>
      <c r="T1080" s="10"/>
    </row>
    <row r="1081" spans="5:20" x14ac:dyDescent="0.2">
      <c r="E1081" s="4" t="s">
        <v>17</v>
      </c>
      <c r="K1081" t="str">
        <v>take</v>
      </c>
      <c r="L1081" s="4" t="str">
        <f t="shared" si="16"/>
        <v>take</v>
      </c>
      <c r="N1081" s="4" cm="1">
        <f t="array" ref="N1081">SUM(--(_xlfn.TEXTSPLIT($J$852,, " ") = M1081))</f>
        <v>2</v>
      </c>
      <c r="O1081">
        <v>2</v>
      </c>
      <c r="P1081">
        <v>2</v>
      </c>
      <c r="Q1081">
        <v>2</v>
      </c>
      <c r="S1081" s="4"/>
      <c r="T1081" s="10"/>
    </row>
    <row r="1082" spans="5:20" x14ac:dyDescent="0.2">
      <c r="E1082" s="4" t="s">
        <v>17</v>
      </c>
      <c r="K1082" t="str">
        <v>the</v>
      </c>
      <c r="L1082" s="4" t="str">
        <f t="shared" si="16"/>
        <v>the</v>
      </c>
      <c r="N1082" s="4" cm="1">
        <f t="array" ref="N1082">SUM(--(_xlfn.TEXTSPLIT($J$852,, " ") = M1082))</f>
        <v>2</v>
      </c>
      <c r="O1082">
        <v>2</v>
      </c>
      <c r="P1082">
        <v>2</v>
      </c>
      <c r="Q1082">
        <v>2</v>
      </c>
      <c r="S1082" s="4"/>
      <c r="T1082" s="10"/>
    </row>
    <row r="1083" spans="5:20" x14ac:dyDescent="0.2">
      <c r="E1083" s="4" t="s">
        <v>17</v>
      </c>
      <c r="K1083" t="str">
        <v>longer</v>
      </c>
      <c r="L1083" s="4" t="str">
        <f t="shared" si="16"/>
        <v>longer</v>
      </c>
      <c r="N1083" s="4" cm="1">
        <f t="array" ref="N1083">SUM(--(_xlfn.TEXTSPLIT($J$852,, " ") = M1083))</f>
        <v>2</v>
      </c>
      <c r="O1083">
        <v>2</v>
      </c>
      <c r="P1083">
        <v>2</v>
      </c>
      <c r="Q1083">
        <v>2</v>
      </c>
      <c r="S1083" s="4"/>
      <c r="T1083" s="10"/>
    </row>
    <row r="1084" spans="5:20" x14ac:dyDescent="0.2">
      <c r="E1084" s="4" t="s">
        <v>17</v>
      </c>
      <c r="K1084" t="str">
        <v>way</v>
      </c>
      <c r="L1084" s="4" t="str">
        <f t="shared" si="16"/>
        <v>way</v>
      </c>
      <c r="N1084" s="4" cm="1">
        <f t="array" ref="N1084">SUM(--(_xlfn.TEXTSPLIT($J$852,, " ") = M1084))</f>
        <v>2</v>
      </c>
      <c r="O1084">
        <v>2</v>
      </c>
      <c r="P1084">
        <v>2</v>
      </c>
      <c r="Q1084">
        <v>2</v>
      </c>
      <c r="S1084" s="4"/>
      <c r="T1084" s="10"/>
    </row>
    <row r="1085" spans="5:20" x14ac:dyDescent="0.2">
      <c r="E1085" s="4" t="s">
        <v>17</v>
      </c>
      <c r="K1085" t="str">
        <v>home</v>
      </c>
      <c r="L1085" s="4" t="str">
        <f t="shared" si="16"/>
        <v>home</v>
      </c>
      <c r="N1085" s="4" cm="1">
        <f t="array" ref="N1085">SUM(--(_xlfn.TEXTSPLIT($J$852,, " ") = M1085))</f>
        <v>2</v>
      </c>
      <c r="O1085">
        <v>2</v>
      </c>
      <c r="P1085">
        <v>2</v>
      </c>
      <c r="Q1085">
        <v>2</v>
      </c>
      <c r="S1085" s="4"/>
      <c r="T1085" s="10"/>
    </row>
    <row r="1086" spans="5:20" x14ac:dyDescent="0.2">
      <c r="E1086" s="4" t="s">
        <v>17</v>
      </c>
      <c r="K1086" t="str">
        <v>(I've</v>
      </c>
      <c r="L1086" s="4" t="str">
        <f t="shared" si="16"/>
        <v xml:space="preserve"> I ve</v>
      </c>
      <c r="N1086" s="4" cm="1">
        <f t="array" ref="N1086">SUM(--(_xlfn.TEXTSPLIT($J$852,, " ") = M1086))</f>
        <v>2</v>
      </c>
      <c r="O1086">
        <v>2</v>
      </c>
      <c r="P1086">
        <v>2</v>
      </c>
      <c r="Q1086">
        <v>2</v>
      </c>
      <c r="S1086" s="4"/>
      <c r="T1086" s="10"/>
    </row>
    <row r="1087" spans="5:20" x14ac:dyDescent="0.2">
      <c r="E1087" s="4" t="s">
        <v>17</v>
      </c>
      <c r="K1087" t="str">
        <v>been</v>
      </c>
      <c r="L1087" s="4" t="str">
        <f t="shared" si="16"/>
        <v>been</v>
      </c>
      <c r="N1087" s="4" cm="1">
        <f t="array" ref="N1087">SUM(--(_xlfn.TEXTSPLIT($J$852,, " ") = M1087))</f>
        <v>2</v>
      </c>
      <c r="O1087">
        <v>2</v>
      </c>
      <c r="P1087">
        <v>2</v>
      </c>
      <c r="Q1087">
        <v>2</v>
      </c>
      <c r="S1087" s="4"/>
      <c r="T1087" s="10"/>
    </row>
    <row r="1088" spans="5:20" x14ac:dyDescent="0.2">
      <c r="E1088" s="4" t="s">
        <v>17</v>
      </c>
      <c r="K1088" t="str">
        <v>this</v>
      </c>
      <c r="L1088" s="4" t="str">
        <f t="shared" si="16"/>
        <v>this</v>
      </c>
      <c r="N1088" s="4" cm="1">
        <f t="array" ref="N1088">SUM(--(_xlfn.TEXTSPLIT($J$852,, " ") = M1088))</f>
        <v>2</v>
      </c>
      <c r="O1088">
        <v>2</v>
      </c>
      <c r="P1088">
        <v>2</v>
      </c>
      <c r="Q1088">
        <v>2</v>
      </c>
      <c r="S1088" s="4"/>
      <c r="T1088" s="10"/>
    </row>
    <row r="1089" spans="5:20" x14ac:dyDescent="0.2">
      <c r="E1089" s="4" t="s">
        <v>17</v>
      </c>
      <c r="K1089" t="str">
        <v xml:space="preserve">way)
</v>
      </c>
      <c r="L1089" s="4" t="str">
        <f t="shared" si="16"/>
        <v xml:space="preserve">way  </v>
      </c>
      <c r="N1089" s="4" cm="1">
        <f t="array" ref="N1089">SUM(--(_xlfn.TEXTSPLIT($J$852,, " ") = M1089))</f>
        <v>2</v>
      </c>
      <c r="O1089">
        <v>2</v>
      </c>
      <c r="P1089">
        <v>2</v>
      </c>
      <c r="Q1089">
        <v>2</v>
      </c>
      <c r="S1089" s="4"/>
      <c r="T1089" s="10"/>
    </row>
    <row r="1090" spans="5:20" x14ac:dyDescent="0.2">
      <c r="E1090" s="4" t="s">
        <v>17</v>
      </c>
      <c r="K1090" t="str">
        <v>Even</v>
      </c>
      <c r="L1090" s="4" t="str">
        <f t="shared" si="16"/>
        <v>Even</v>
      </c>
      <c r="N1090" s="4" cm="1">
        <f t="array" ref="N1090">SUM(--(_xlfn.TEXTSPLIT($J$852,, " ") = M1090))</f>
        <v>2</v>
      </c>
      <c r="O1090">
        <v>2</v>
      </c>
      <c r="P1090">
        <v>2</v>
      </c>
      <c r="Q1090">
        <v>2</v>
      </c>
      <c r="S1090" s="4"/>
      <c r="T1090" s="10"/>
    </row>
    <row r="1091" spans="5:20" x14ac:dyDescent="0.2">
      <c r="E1091" s="4" t="s">
        <v>17</v>
      </c>
      <c r="K1091" t="str">
        <v>now,</v>
      </c>
      <c r="L1091" s="4" t="str">
        <f t="shared" si="16"/>
        <v xml:space="preserve">now </v>
      </c>
      <c r="N1091" s="4" cm="1">
        <f t="array" ref="N1091">SUM(--(_xlfn.TEXTSPLIT($J$852,, " ") = M1091))</f>
        <v>2</v>
      </c>
      <c r="O1091">
        <v>2</v>
      </c>
      <c r="P1091">
        <v>2</v>
      </c>
      <c r="Q1091">
        <v>2</v>
      </c>
      <c r="S1091" s="4"/>
      <c r="T1091" s="10"/>
    </row>
    <row r="1092" spans="5:20" x14ac:dyDescent="0.2">
      <c r="E1092" s="4" t="s">
        <v>17</v>
      </c>
      <c r="K1092" t="str">
        <v>well</v>
      </c>
      <c r="L1092" s="4" t="str">
        <f t="shared" ref="L1092:L1155" si="17">_xlfn.REGEXREPLACE(K1092, "[^A-Za-z ]", " ")</f>
        <v>well</v>
      </c>
      <c r="N1092" s="4" cm="1">
        <f t="array" ref="N1092">SUM(--(_xlfn.TEXTSPLIT($J$852,, " ") = M1092))</f>
        <v>2</v>
      </c>
      <c r="O1092">
        <v>2</v>
      </c>
      <c r="P1092">
        <v>2</v>
      </c>
      <c r="Q1092">
        <v>2</v>
      </c>
      <c r="S1092" s="4"/>
      <c r="T1092" s="10"/>
    </row>
    <row r="1093" spans="5:20" x14ac:dyDescent="0.2">
      <c r="E1093" s="4" t="s">
        <v>17</v>
      </c>
      <c r="K1093" t="str">
        <v>even</v>
      </c>
      <c r="L1093" s="4" t="str">
        <f t="shared" si="17"/>
        <v>even</v>
      </c>
      <c r="N1093" s="4" cm="1">
        <f t="array" ref="N1093">SUM(--(_xlfn.TEXTSPLIT($J$852,, " ") = M1093))</f>
        <v>2</v>
      </c>
      <c r="O1093">
        <v>2</v>
      </c>
      <c r="P1093">
        <v>2</v>
      </c>
      <c r="Q1093">
        <v>2</v>
      </c>
      <c r="S1093" s="4"/>
      <c r="T1093" s="10"/>
    </row>
    <row r="1094" spans="5:20" x14ac:dyDescent="0.2">
      <c r="E1094" s="4" t="s">
        <v>17</v>
      </c>
      <c r="K1094" t="str">
        <v>now,</v>
      </c>
      <c r="L1094" s="4" t="str">
        <f t="shared" si="17"/>
        <v xml:space="preserve">now </v>
      </c>
      <c r="N1094" s="4" cm="1">
        <f t="array" ref="N1094">SUM(--(_xlfn.TEXTSPLIT($J$852,, " ") = M1094))</f>
        <v>2</v>
      </c>
      <c r="O1094">
        <v>2</v>
      </c>
      <c r="P1094">
        <v>2</v>
      </c>
      <c r="Q1094">
        <v>2</v>
      </c>
      <c r="S1094" s="4"/>
      <c r="T1094" s="10"/>
    </row>
    <row r="1095" spans="5:20" x14ac:dyDescent="0.2">
      <c r="E1095" s="4" t="s">
        <v>17</v>
      </c>
      <c r="K1095" t="str">
        <v>well</v>
      </c>
      <c r="L1095" s="4" t="str">
        <f t="shared" si="17"/>
        <v>well</v>
      </c>
      <c r="N1095" s="4" cm="1">
        <f t="array" ref="N1095">SUM(--(_xlfn.TEXTSPLIT($J$852,, " ") = M1095))</f>
        <v>2</v>
      </c>
      <c r="O1095">
        <v>2</v>
      </c>
      <c r="P1095">
        <v>2</v>
      </c>
      <c r="Q1095">
        <v>2</v>
      </c>
      <c r="S1095" s="4"/>
      <c r="T1095" s="10"/>
    </row>
    <row r="1096" spans="5:20" x14ac:dyDescent="0.2">
      <c r="E1096" s="4" t="s">
        <v>17</v>
      </c>
      <c r="K1096" t="str">
        <v>even</v>
      </c>
      <c r="L1096" s="4" t="str">
        <f t="shared" si="17"/>
        <v>even</v>
      </c>
      <c r="N1096" s="4" cm="1">
        <f t="array" ref="N1096">SUM(--(_xlfn.TEXTSPLIT($J$852,, " ") = M1096))</f>
        <v>2</v>
      </c>
      <c r="O1096">
        <v>2</v>
      </c>
      <c r="P1096">
        <v>2</v>
      </c>
      <c r="Q1096">
        <v>2</v>
      </c>
      <c r="S1096" s="4"/>
      <c r="T1096" s="10"/>
    </row>
    <row r="1097" spans="5:20" x14ac:dyDescent="0.2">
      <c r="E1097" s="4" t="s">
        <v>17</v>
      </c>
      <c r="K1097" t="str">
        <v xml:space="preserve">now
</v>
      </c>
      <c r="L1097" s="4" t="str">
        <f t="shared" si="17"/>
        <v xml:space="preserve">now </v>
      </c>
      <c r="N1097" s="4" cm="1">
        <f t="array" ref="N1097">SUM(--(_xlfn.TEXTSPLIT($J$852,, " ") = M1097))</f>
        <v>2</v>
      </c>
      <c r="O1097">
        <v>2</v>
      </c>
      <c r="P1097">
        <v>2</v>
      </c>
      <c r="Q1097">
        <v>2</v>
      </c>
      <c r="S1097" s="4"/>
      <c r="T1097" s="10"/>
    </row>
    <row r="1098" spans="5:20" x14ac:dyDescent="0.2">
      <c r="E1098" s="4" t="s">
        <v>17</v>
      </c>
      <c r="K1098" t="str">
        <v>He'll</v>
      </c>
      <c r="L1098" s="4" t="str">
        <f t="shared" si="17"/>
        <v>He ll</v>
      </c>
      <c r="N1098" s="4" cm="1">
        <f t="array" ref="N1098">SUM(--(_xlfn.TEXTSPLIT($J$852,, " ") = M1098))</f>
        <v>2</v>
      </c>
      <c r="O1098">
        <v>2</v>
      </c>
      <c r="P1098">
        <v>2</v>
      </c>
      <c r="Q1098">
        <v>2</v>
      </c>
      <c r="S1098" s="4"/>
      <c r="T1098" s="10"/>
    </row>
    <row r="1099" spans="5:20" x14ac:dyDescent="0.2">
      <c r="E1099" s="4" t="s">
        <v>17</v>
      </c>
      <c r="K1099" t="str">
        <v>never</v>
      </c>
      <c r="L1099" s="4" t="str">
        <f t="shared" si="17"/>
        <v>never</v>
      </c>
      <c r="N1099" s="4" cm="1">
        <f t="array" ref="N1099">SUM(--(_xlfn.TEXTSPLIT($J$852,, " ") = M1099))</f>
        <v>2</v>
      </c>
      <c r="O1099">
        <v>2</v>
      </c>
      <c r="P1099">
        <v>2</v>
      </c>
      <c r="Q1099">
        <v>2</v>
      </c>
      <c r="S1099" s="4"/>
      <c r="T1099" s="10"/>
    </row>
    <row r="1100" spans="5:20" x14ac:dyDescent="0.2">
      <c r="E1100" s="4" t="s">
        <v>17</v>
      </c>
      <c r="K1100" t="str">
        <v>ever</v>
      </c>
      <c r="L1100" s="4" t="str">
        <f t="shared" si="17"/>
        <v>ever</v>
      </c>
      <c r="N1100" s="4" cm="1">
        <f t="array" ref="N1100">SUM(--(_xlfn.TEXTSPLIT($J$852,, " ") = M1100))</f>
        <v>2</v>
      </c>
      <c r="O1100">
        <v>2</v>
      </c>
      <c r="P1100">
        <v>2</v>
      </c>
      <c r="Q1100">
        <v>2</v>
      </c>
      <c r="S1100" s="4"/>
      <c r="T1100" s="10"/>
    </row>
    <row r="1101" spans="5:20" x14ac:dyDescent="0.2">
      <c r="E1101" s="4" t="s">
        <v>17</v>
      </c>
      <c r="K1101" t="str">
        <v>say</v>
      </c>
      <c r="L1101" s="4" t="str">
        <f t="shared" si="17"/>
        <v>say</v>
      </c>
      <c r="N1101" s="4" cm="1">
        <f t="array" ref="N1101">SUM(--(_xlfn.TEXTSPLIT($J$852,, " ") = M1101))</f>
        <v>2</v>
      </c>
      <c r="O1101">
        <v>2</v>
      </c>
      <c r="P1101">
        <v>2</v>
      </c>
      <c r="Q1101">
        <v>2</v>
      </c>
      <c r="S1101" s="4"/>
      <c r="T1101" s="10"/>
    </row>
    <row r="1102" spans="5:20" x14ac:dyDescent="0.2">
      <c r="E1102" s="4" t="s">
        <v>17</v>
      </c>
      <c r="K1102" t="str">
        <v>so</v>
      </c>
      <c r="L1102" s="4" t="str">
        <f t="shared" si="17"/>
        <v>so</v>
      </c>
      <c r="N1102" s="4" cm="1">
        <f t="array" ref="N1102">SUM(--(_xlfn.TEXTSPLIT($J$852,, " ") = M1102))</f>
        <v>2</v>
      </c>
      <c r="O1102">
        <v>2</v>
      </c>
      <c r="P1102">
        <v>2</v>
      </c>
      <c r="Q1102">
        <v>2</v>
      </c>
      <c r="S1102" s="4"/>
      <c r="T1102" s="10"/>
    </row>
    <row r="1103" spans="5:20" x14ac:dyDescent="0.2">
      <c r="E1103" s="4" t="s">
        <v>17</v>
      </c>
      <c r="K1103" t="str">
        <v>(I</v>
      </c>
      <c r="L1103" s="4" t="str">
        <f t="shared" si="17"/>
        <v xml:space="preserve"> I</v>
      </c>
      <c r="N1103" s="4" cm="1">
        <f t="array" ref="N1103">SUM(--(_xlfn.TEXTSPLIT($J$852,, " ") = M1103))</f>
        <v>2</v>
      </c>
      <c r="O1103">
        <v>2</v>
      </c>
      <c r="P1103">
        <v>2</v>
      </c>
      <c r="Q1103">
        <v>2</v>
      </c>
      <c r="S1103" s="4"/>
      <c r="T1103" s="10"/>
    </row>
    <row r="1104" spans="5:20" x14ac:dyDescent="0.2">
      <c r="E1104" s="4" t="s">
        <v>17</v>
      </c>
      <c r="K1104" t="str">
        <v>want</v>
      </c>
      <c r="L1104" s="4" t="str">
        <f t="shared" si="17"/>
        <v>want</v>
      </c>
      <c r="N1104" s="4" cm="1">
        <f t="array" ref="N1104">SUM(--(_xlfn.TEXTSPLIT($J$852,, " ") = M1104))</f>
        <v>2</v>
      </c>
      <c r="O1104">
        <v>2</v>
      </c>
      <c r="P1104">
        <v>2</v>
      </c>
      <c r="Q1104">
        <v>2</v>
      </c>
      <c r="S1104" s="4"/>
      <c r="T1104" s="10"/>
    </row>
    <row r="1105" spans="5:20" x14ac:dyDescent="0.2">
      <c r="E1105" s="4" t="s">
        <v>17</v>
      </c>
      <c r="K1105" t="str">
        <v>to</v>
      </c>
      <c r="L1105" s="4" t="str">
        <f t="shared" si="17"/>
        <v>to</v>
      </c>
      <c r="N1105" s="4" cm="1">
        <f t="array" ref="N1105">SUM(--(_xlfn.TEXTSPLIT($J$852,, " ") = M1105))</f>
        <v>2</v>
      </c>
      <c r="O1105">
        <v>2</v>
      </c>
      <c r="P1105">
        <v>2</v>
      </c>
      <c r="Q1105">
        <v>2</v>
      </c>
      <c r="S1105" s="4"/>
      <c r="T1105" s="10"/>
    </row>
    <row r="1106" spans="5:20" x14ac:dyDescent="0.2">
      <c r="E1106" s="4" t="s">
        <v>17</v>
      </c>
      <c r="K1106" t="str">
        <v xml:space="preserve">change)
</v>
      </c>
      <c r="L1106" s="4" t="str">
        <f t="shared" si="17"/>
        <v xml:space="preserve">change  </v>
      </c>
      <c r="N1106" s="4" cm="1">
        <f t="array" ref="N1106">SUM(--(_xlfn.TEXTSPLIT($J$852,, " ") = M1106))</f>
        <v>2</v>
      </c>
      <c r="O1106">
        <v>2</v>
      </c>
      <c r="P1106">
        <v>2</v>
      </c>
      <c r="Q1106">
        <v>2</v>
      </c>
      <c r="S1106" s="4"/>
      <c r="T1106" s="10"/>
    </row>
    <row r="1107" spans="5:20" x14ac:dyDescent="0.2">
      <c r="E1107" s="4" t="s">
        <v>17</v>
      </c>
      <c r="K1107" t="str">
        <v>He</v>
      </c>
      <c r="L1107" s="4" t="str">
        <f t="shared" si="17"/>
        <v>He</v>
      </c>
      <c r="N1107" s="4" cm="1">
        <f t="array" ref="N1107">SUM(--(_xlfn.TEXTSPLIT($J$852,, " ") = M1107))</f>
        <v>2</v>
      </c>
      <c r="O1107">
        <v>2</v>
      </c>
      <c r="P1107">
        <v>2</v>
      </c>
      <c r="Q1107">
        <v>2</v>
      </c>
      <c r="S1107" s="4"/>
      <c r="T1107" s="10"/>
    </row>
    <row r="1108" spans="5:20" x14ac:dyDescent="0.2">
      <c r="E1108" s="4" t="s">
        <v>17</v>
      </c>
      <c r="K1108" t="str">
        <v>drives</v>
      </c>
      <c r="L1108" s="4" t="str">
        <f t="shared" si="17"/>
        <v>drives</v>
      </c>
      <c r="N1108" s="4" cm="1">
        <f t="array" ref="N1108">SUM(--(_xlfn.TEXTSPLIT($J$852,, " ") = M1108))</f>
        <v>2</v>
      </c>
      <c r="O1108">
        <v>2</v>
      </c>
      <c r="P1108">
        <v>2</v>
      </c>
      <c r="Q1108">
        <v>2</v>
      </c>
      <c r="S1108" s="4"/>
      <c r="T1108" s="10"/>
    </row>
    <row r="1109" spans="5:20" x14ac:dyDescent="0.2">
      <c r="E1109" s="4" t="s">
        <v>17</v>
      </c>
      <c r="K1109" t="str">
        <v>fast</v>
      </c>
      <c r="L1109" s="4" t="str">
        <f t="shared" si="17"/>
        <v>fast</v>
      </c>
      <c r="N1109" s="4" cm="1">
        <f t="array" ref="N1109">SUM(--(_xlfn.TEXTSPLIT($J$852,, " ") = M1109))</f>
        <v>2</v>
      </c>
      <c r="O1109">
        <v>2</v>
      </c>
      <c r="P1109">
        <v>2</v>
      </c>
      <c r="Q1109">
        <v>2</v>
      </c>
      <c r="S1109" s="4"/>
      <c r="T1109" s="10"/>
    </row>
    <row r="1110" spans="5:20" x14ac:dyDescent="0.2">
      <c r="E1110" s="4" t="s">
        <v>17</v>
      </c>
      <c r="K1110" t="str">
        <v>just</v>
      </c>
      <c r="L1110" s="4" t="str">
        <f t="shared" si="17"/>
        <v>just</v>
      </c>
      <c r="N1110" s="4" cm="1">
        <f t="array" ref="N1110">SUM(--(_xlfn.TEXTSPLIT($J$852,, " ") = M1110))</f>
        <v>2</v>
      </c>
      <c r="O1110">
        <v>2</v>
      </c>
      <c r="P1110">
        <v>2</v>
      </c>
      <c r="Q1110">
        <v>2</v>
      </c>
      <c r="S1110" s="4"/>
      <c r="T1110" s="10"/>
    </row>
    <row r="1111" spans="5:20" x14ac:dyDescent="0.2">
      <c r="E1111" s="4" t="s">
        <v>17</v>
      </c>
      <c r="K1111" t="str">
        <v>to</v>
      </c>
      <c r="L1111" s="4" t="str">
        <f t="shared" si="17"/>
        <v>to</v>
      </c>
      <c r="N1111" s="4" cm="1">
        <f t="array" ref="N1111">SUM(--(_xlfn.TEXTSPLIT($J$852,, " ") = M1111))</f>
        <v>2</v>
      </c>
      <c r="O1111">
        <v>2</v>
      </c>
      <c r="P1111">
        <v>2</v>
      </c>
      <c r="Q1111">
        <v>2</v>
      </c>
      <c r="S1111" s="4"/>
      <c r="T1111" s="10"/>
    </row>
    <row r="1112" spans="5:20" x14ac:dyDescent="0.2">
      <c r="E1112" s="4" t="s">
        <v>17</v>
      </c>
      <c r="K1112" t="str">
        <v>feel</v>
      </c>
      <c r="L1112" s="4" t="str">
        <f t="shared" si="17"/>
        <v>feel</v>
      </c>
      <c r="N1112" s="4" cm="1">
        <f t="array" ref="N1112">SUM(--(_xlfn.TEXTSPLIT($J$852,, " ") = M1112))</f>
        <v>2</v>
      </c>
      <c r="O1112">
        <v>2</v>
      </c>
      <c r="P1112">
        <v>2</v>
      </c>
      <c r="Q1112">
        <v>2</v>
      </c>
      <c r="S1112" s="4"/>
      <c r="T1112" s="10"/>
    </row>
    <row r="1113" spans="5:20" x14ac:dyDescent="0.2">
      <c r="E1113" s="4" t="s">
        <v>17</v>
      </c>
      <c r="K1113" t="str">
        <v>it,</v>
      </c>
      <c r="L1113" s="4" t="str">
        <f t="shared" si="17"/>
        <v xml:space="preserve">it </v>
      </c>
      <c r="N1113" s="4" cm="1">
        <f t="array" ref="N1113">SUM(--(_xlfn.TEXTSPLIT($J$852,, " ") = M1113))</f>
        <v>2</v>
      </c>
      <c r="O1113">
        <v>2</v>
      </c>
      <c r="P1113">
        <v>2</v>
      </c>
      <c r="Q1113">
        <v>2</v>
      </c>
      <c r="S1113" s="4"/>
      <c r="T1113" s="10"/>
    </row>
    <row r="1114" spans="5:20" x14ac:dyDescent="0.2">
      <c r="E1114" s="4" t="s">
        <v>17</v>
      </c>
      <c r="K1114" t="str">
        <v>feel</v>
      </c>
      <c r="L1114" s="4" t="str">
        <f t="shared" si="17"/>
        <v>feel</v>
      </c>
      <c r="N1114" s="4" cm="1">
        <f t="array" ref="N1114">SUM(--(_xlfn.TEXTSPLIT($J$852,, " ") = M1114))</f>
        <v>2</v>
      </c>
      <c r="O1114">
        <v>2</v>
      </c>
      <c r="P1114">
        <v>2</v>
      </c>
      <c r="Q1114">
        <v>2</v>
      </c>
      <c r="S1114" s="4"/>
      <c r="T1114" s="10"/>
    </row>
    <row r="1115" spans="5:20" x14ac:dyDescent="0.2">
      <c r="E1115" s="4" t="s">
        <v>17</v>
      </c>
      <c r="K1115" t="str">
        <v>it</v>
      </c>
      <c r="L1115" s="4" t="str">
        <f t="shared" si="17"/>
        <v>it</v>
      </c>
      <c r="N1115" s="4" cm="1">
        <f t="array" ref="N1115">SUM(--(_xlfn.TEXTSPLIT($J$852,, " ") = M1115))</f>
        <v>2</v>
      </c>
      <c r="O1115">
        <v>2</v>
      </c>
      <c r="P1115">
        <v>2</v>
      </c>
      <c r="Q1115">
        <v>2</v>
      </c>
      <c r="S1115" s="4"/>
      <c r="T1115" s="10"/>
    </row>
    <row r="1116" spans="5:20" x14ac:dyDescent="0.2">
      <c r="E1116" s="4" t="s">
        <v>17</v>
      </c>
      <c r="K1116" t="str">
        <v>(Feel</v>
      </c>
      <c r="L1116" s="4" t="str">
        <f t="shared" si="17"/>
        <v xml:space="preserve"> Feel</v>
      </c>
      <c r="N1116" s="4" cm="1">
        <f t="array" ref="N1116">SUM(--(_xlfn.TEXTSPLIT($J$852,, " ") = M1116))</f>
        <v>2</v>
      </c>
      <c r="O1116">
        <v>2</v>
      </c>
      <c r="P1116">
        <v>2</v>
      </c>
      <c r="Q1116">
        <v>2</v>
      </c>
      <c r="S1116" s="4"/>
      <c r="T1116" s="10"/>
    </row>
    <row r="1117" spans="5:20" x14ac:dyDescent="0.2">
      <c r="E1117" s="4" t="s">
        <v>17</v>
      </c>
      <c r="K1117" t="str">
        <v xml:space="preserve">it)
</v>
      </c>
      <c r="L1117" s="4" t="str">
        <f t="shared" si="17"/>
        <v xml:space="preserve">it  </v>
      </c>
      <c r="N1117" s="4" cm="1">
        <f t="array" ref="N1117">SUM(--(_xlfn.TEXTSPLIT($J$852,, " ") = M1117))</f>
        <v>2</v>
      </c>
      <c r="O1117">
        <v>2</v>
      </c>
      <c r="P1117">
        <v>2</v>
      </c>
      <c r="Q1117">
        <v>2</v>
      </c>
      <c r="S1117" s="4"/>
      <c r="T1117" s="10"/>
    </row>
    <row r="1118" spans="5:20" x14ac:dyDescent="0.2">
      <c r="E1118" s="4" t="s">
        <v>17</v>
      </c>
      <c r="K1118" t="str">
        <v>He</v>
      </c>
      <c r="L1118" s="4" t="str">
        <f t="shared" si="17"/>
        <v>He</v>
      </c>
      <c r="N1118" s="4" cm="1">
        <f t="array" ref="N1118">SUM(--(_xlfn.TEXTSPLIT($J$852,, " ") = M1118))</f>
        <v>2</v>
      </c>
      <c r="O1118">
        <v>2</v>
      </c>
      <c r="P1118">
        <v>2</v>
      </c>
      <c r="Q1118">
        <v>2</v>
      </c>
      <c r="S1118" s="4"/>
      <c r="T1118" s="10"/>
    </row>
    <row r="1119" spans="5:20" x14ac:dyDescent="0.2">
      <c r="E1119" s="4" t="s">
        <v>17</v>
      </c>
      <c r="K1119" t="str">
        <v>drives</v>
      </c>
      <c r="L1119" s="4" t="str">
        <f t="shared" si="17"/>
        <v>drives</v>
      </c>
      <c r="N1119" s="4" cm="1">
        <f t="array" ref="N1119">SUM(--(_xlfn.TEXTSPLIT($J$852,, " ") = M1119))</f>
        <v>2</v>
      </c>
      <c r="O1119">
        <v>2</v>
      </c>
      <c r="P1119">
        <v>2</v>
      </c>
      <c r="Q1119">
        <v>2</v>
      </c>
      <c r="S1119" s="4"/>
      <c r="T1119" s="10"/>
    </row>
    <row r="1120" spans="5:20" x14ac:dyDescent="0.2">
      <c r="E1120" s="4" t="s">
        <v>17</v>
      </c>
      <c r="K1120" t="str">
        <v>slow</v>
      </c>
      <c r="L1120" s="4" t="str">
        <f t="shared" si="17"/>
        <v>slow</v>
      </c>
      <c r="N1120" s="4" cm="1">
        <f t="array" ref="N1120">SUM(--(_xlfn.TEXTSPLIT($J$852,, " ") = M1120))</f>
        <v>2</v>
      </c>
      <c r="O1120">
        <v>2</v>
      </c>
      <c r="P1120">
        <v>2</v>
      </c>
      <c r="Q1120">
        <v>2</v>
      </c>
      <c r="S1120" s="4"/>
      <c r="T1120" s="10"/>
    </row>
    <row r="1121" spans="5:20" x14ac:dyDescent="0.2">
      <c r="E1121" s="4" t="s">
        <v>17</v>
      </c>
      <c r="K1121" t="str">
        <v>if</v>
      </c>
      <c r="L1121" s="4" t="str">
        <f t="shared" si="17"/>
        <v>if</v>
      </c>
      <c r="N1121" s="4" cm="1">
        <f t="array" ref="N1121">SUM(--(_xlfn.TEXTSPLIT($J$852,, " ") = M1121))</f>
        <v>2</v>
      </c>
      <c r="O1121">
        <v>2</v>
      </c>
      <c r="P1121">
        <v>2</v>
      </c>
      <c r="Q1121">
        <v>2</v>
      </c>
      <c r="S1121" s="4"/>
      <c r="T1121" s="10"/>
    </row>
    <row r="1122" spans="5:20" x14ac:dyDescent="0.2">
      <c r="E1122" s="4" t="s">
        <v>17</v>
      </c>
      <c r="K1122" t="str">
        <v>his</v>
      </c>
      <c r="L1122" s="4" t="str">
        <f t="shared" si="17"/>
        <v>his</v>
      </c>
      <c r="N1122" s="4" cm="1">
        <f t="array" ref="N1122">SUM(--(_xlfn.TEXTSPLIT($J$852,, " ") = M1122))</f>
        <v>2</v>
      </c>
      <c r="O1122">
        <v>2</v>
      </c>
      <c r="P1122">
        <v>2</v>
      </c>
      <c r="Q1122">
        <v>2</v>
      </c>
      <c r="S1122" s="4"/>
      <c r="T1122" s="10"/>
    </row>
    <row r="1123" spans="5:20" x14ac:dyDescent="0.2">
      <c r="E1123" s="4" t="s">
        <v>17</v>
      </c>
      <c r="K1123" t="str">
        <v>song's</v>
      </c>
      <c r="L1123" s="4" t="str">
        <f t="shared" si="17"/>
        <v>song s</v>
      </c>
      <c r="N1123" s="4" cm="1">
        <f t="array" ref="N1123">SUM(--(_xlfn.TEXTSPLIT($J$852,, " ") = M1123))</f>
        <v>2</v>
      </c>
      <c r="O1123">
        <v>2</v>
      </c>
      <c r="P1123">
        <v>2</v>
      </c>
      <c r="Q1123">
        <v>2</v>
      </c>
      <c r="S1123" s="4"/>
      <c r="T1123" s="10"/>
    </row>
    <row r="1124" spans="5:20" x14ac:dyDescent="0.2">
      <c r="E1124" s="4" t="s">
        <v>17</v>
      </c>
      <c r="K1124" t="str">
        <v>not</v>
      </c>
      <c r="L1124" s="4" t="str">
        <f t="shared" si="17"/>
        <v>not</v>
      </c>
      <c r="N1124" s="4" cm="1">
        <f t="array" ref="N1124">SUM(--(_xlfn.TEXTSPLIT($J$852,, " ") = M1124))</f>
        <v>2</v>
      </c>
      <c r="O1124">
        <v>2</v>
      </c>
      <c r="P1124">
        <v>2</v>
      </c>
      <c r="Q1124">
        <v>2</v>
      </c>
      <c r="S1124" s="4"/>
      <c r="T1124" s="10"/>
    </row>
    <row r="1125" spans="5:20" x14ac:dyDescent="0.2">
      <c r="E1125" s="4" t="s">
        <v>17</v>
      </c>
      <c r="K1125" t="str">
        <v>over</v>
      </c>
      <c r="L1125" s="4" t="str">
        <f t="shared" si="17"/>
        <v>over</v>
      </c>
      <c r="N1125" s="4" cm="1">
        <f t="array" ref="N1125">SUM(--(_xlfn.TEXTSPLIT($J$852,, " ") = M1125))</f>
        <v>2</v>
      </c>
      <c r="O1125">
        <v>2</v>
      </c>
      <c r="P1125">
        <v>2</v>
      </c>
      <c r="Q1125">
        <v>2</v>
      </c>
      <c r="S1125" s="4"/>
      <c r="T1125" s="10"/>
    </row>
    <row r="1126" spans="5:20" x14ac:dyDescent="0.2">
      <c r="E1126" s="4" t="s">
        <v>17</v>
      </c>
      <c r="K1126" t="str">
        <v>(I've</v>
      </c>
      <c r="L1126" s="4" t="str">
        <f t="shared" si="17"/>
        <v xml:space="preserve"> I ve</v>
      </c>
      <c r="N1126" s="4" cm="1">
        <f t="array" ref="N1126">SUM(--(_xlfn.TEXTSPLIT($J$852,, " ") = M1126))</f>
        <v>2</v>
      </c>
      <c r="O1126">
        <v>2</v>
      </c>
      <c r="P1126">
        <v>2</v>
      </c>
      <c r="Q1126">
        <v>2</v>
      </c>
      <c r="S1126" s="4"/>
      <c r="T1126" s="10"/>
    </row>
    <row r="1127" spans="5:20" x14ac:dyDescent="0.2">
      <c r="E1127" s="4" t="s">
        <v>17</v>
      </c>
      <c r="K1127" t="str">
        <v>been</v>
      </c>
      <c r="L1127" s="4" t="str">
        <f t="shared" si="17"/>
        <v>been</v>
      </c>
      <c r="N1127" s="4" cm="1">
        <f t="array" ref="N1127">SUM(--(_xlfn.TEXTSPLIT($J$852,, " ") = M1127))</f>
        <v>2</v>
      </c>
      <c r="O1127">
        <v>2</v>
      </c>
      <c r="P1127">
        <v>2</v>
      </c>
      <c r="Q1127">
        <v>2</v>
      </c>
      <c r="S1127" s="4"/>
      <c r="T1127" s="10"/>
    </row>
    <row r="1128" spans="5:20" x14ac:dyDescent="0.2">
      <c r="E1128" s="4" t="s">
        <v>17</v>
      </c>
      <c r="K1128" t="str">
        <v>this</v>
      </c>
      <c r="L1128" s="4" t="str">
        <f t="shared" si="17"/>
        <v>this</v>
      </c>
      <c r="N1128" s="4" cm="1">
        <f t="array" ref="N1128">SUM(--(_xlfn.TEXTSPLIT($J$852,, " ") = M1128))</f>
        <v>2</v>
      </c>
      <c r="O1128">
        <v>2</v>
      </c>
      <c r="P1128">
        <v>2</v>
      </c>
      <c r="Q1128">
        <v>2</v>
      </c>
      <c r="S1128" s="4"/>
      <c r="T1128" s="10"/>
    </row>
    <row r="1129" spans="5:20" x14ac:dyDescent="0.2">
      <c r="E1129" s="4" t="s">
        <v>17</v>
      </c>
      <c r="K1129" t="str">
        <v>way)</v>
      </c>
      <c r="L1129" s="4" t="str">
        <f t="shared" si="17"/>
        <v xml:space="preserve">way </v>
      </c>
      <c r="N1129" s="4" cm="1">
        <f t="array" ref="N1129">SUM(--(_xlfn.TEXTSPLIT($J$852,, " ") = M1129))</f>
        <v>2</v>
      </c>
      <c r="O1129">
        <v>2</v>
      </c>
      <c r="P1129">
        <v>2</v>
      </c>
      <c r="Q1129">
        <v>2</v>
      </c>
      <c r="S1129" s="4"/>
      <c r="T1129" s="10"/>
    </row>
    <row r="1130" spans="5:20" x14ac:dyDescent="0.2">
      <c r="E1130" s="4" t="s">
        <v>17</v>
      </c>
      <c r="K1130" t="str">
        <v>(Feel</v>
      </c>
      <c r="L1130" s="4" t="str">
        <f t="shared" si="17"/>
        <v xml:space="preserve"> Feel</v>
      </c>
      <c r="N1130" s="4" cm="1">
        <f t="array" ref="N1130">SUM(--(_xlfn.TEXTSPLIT($J$852,, " ") = M1130))</f>
        <v>2</v>
      </c>
      <c r="O1130">
        <v>2</v>
      </c>
      <c r="P1130">
        <v>2</v>
      </c>
      <c r="Q1130">
        <v>2</v>
      </c>
      <c r="S1130" s="4"/>
      <c r="T1130" s="10"/>
    </row>
    <row r="1131" spans="5:20" x14ac:dyDescent="0.2">
      <c r="E1131" s="4" t="s">
        <v>17</v>
      </c>
      <c r="K1131" t="str">
        <v xml:space="preserve">it)
</v>
      </c>
      <c r="L1131" s="4" t="str">
        <f t="shared" si="17"/>
        <v xml:space="preserve">it  </v>
      </c>
      <c r="N1131" s="4" cm="1">
        <f t="array" ref="N1131">SUM(--(_xlfn.TEXTSPLIT($J$852,, " ") = M1131))</f>
        <v>2</v>
      </c>
      <c r="O1131">
        <v>2</v>
      </c>
      <c r="P1131">
        <v>2</v>
      </c>
      <c r="Q1131">
        <v>2</v>
      </c>
      <c r="S1131" s="4"/>
      <c r="T1131" s="10"/>
    </row>
    <row r="1132" spans="5:20" x14ac:dyDescent="0.2">
      <c r="E1132" s="4" t="s">
        <v>17</v>
      </c>
      <c r="K1132" t="str">
        <v>Drown</v>
      </c>
      <c r="L1132" s="4" t="str">
        <f t="shared" si="17"/>
        <v>Drown</v>
      </c>
      <c r="N1132" s="4" cm="1">
        <f t="array" ref="N1132">SUM(--(_xlfn.TEXTSPLIT($J$852,, " ") = M1132))</f>
        <v>2</v>
      </c>
      <c r="O1132">
        <v>2</v>
      </c>
      <c r="P1132">
        <v>2</v>
      </c>
      <c r="Q1132">
        <v>2</v>
      </c>
      <c r="S1132" s="4"/>
      <c r="T1132" s="10"/>
    </row>
    <row r="1133" spans="5:20" x14ac:dyDescent="0.2">
      <c r="E1133" s="4" t="s">
        <v>17</v>
      </c>
      <c r="K1133" t="str">
        <v>it</v>
      </c>
      <c r="L1133" s="4" t="str">
        <f t="shared" si="17"/>
        <v>it</v>
      </c>
      <c r="N1133" s="4" cm="1">
        <f t="array" ref="N1133">SUM(--(_xlfn.TEXTSPLIT($J$852,, " ") = M1133))</f>
        <v>2</v>
      </c>
      <c r="O1133">
        <v>2</v>
      </c>
      <c r="P1133">
        <v>2</v>
      </c>
      <c r="Q1133">
        <v>2</v>
      </c>
      <c r="S1133" s="4"/>
      <c r="T1133" s="10"/>
    </row>
    <row r="1134" spans="5:20" x14ac:dyDescent="0.2">
      <c r="E1134" s="4" t="s">
        <v>17</v>
      </c>
      <c r="K1134" t="str">
        <v>out,</v>
      </c>
      <c r="L1134" s="4" t="str">
        <f t="shared" si="17"/>
        <v xml:space="preserve">out </v>
      </c>
      <c r="N1134" s="4" cm="1">
        <f t="array" ref="N1134">SUM(--(_xlfn.TEXTSPLIT($J$852,, " ") = M1134))</f>
        <v>2</v>
      </c>
      <c r="O1134">
        <v>2</v>
      </c>
      <c r="P1134">
        <v>2</v>
      </c>
      <c r="Q1134">
        <v>2</v>
      </c>
      <c r="S1134" s="4"/>
      <c r="T1134" s="10"/>
    </row>
    <row r="1135" spans="5:20" x14ac:dyDescent="0.2">
      <c r="E1135" s="4" t="s">
        <v>17</v>
      </c>
      <c r="K1135" t="str">
        <v>drown</v>
      </c>
      <c r="L1135" s="4" t="str">
        <f t="shared" si="17"/>
        <v>drown</v>
      </c>
      <c r="N1135" s="4" cm="1">
        <f t="array" ref="N1135">SUM(--(_xlfn.TEXTSPLIT($J$852,, " ") = M1135))</f>
        <v>2</v>
      </c>
      <c r="O1135">
        <v>1</v>
      </c>
      <c r="P1135">
        <v>2</v>
      </c>
      <c r="Q1135">
        <v>1</v>
      </c>
      <c r="S1135" s="4"/>
      <c r="T1135" s="10"/>
    </row>
    <row r="1136" spans="5:20" x14ac:dyDescent="0.2">
      <c r="E1136" s="4" t="s">
        <v>17</v>
      </c>
      <c r="K1136" t="str">
        <v>it</v>
      </c>
      <c r="L1136" s="4" t="str">
        <f t="shared" si="17"/>
        <v>it</v>
      </c>
      <c r="N1136" s="4" cm="1">
        <f t="array" ref="N1136">SUM(--(_xlfn.TEXTSPLIT($J$852,, " ") = M1136))</f>
        <v>2</v>
      </c>
      <c r="O1136">
        <v>1</v>
      </c>
      <c r="P1136">
        <v>2</v>
      </c>
      <c r="Q1136">
        <v>1</v>
      </c>
      <c r="S1136" s="4"/>
      <c r="T1136" s="10"/>
    </row>
    <row r="1137" spans="5:20" x14ac:dyDescent="0.2">
      <c r="E1137" s="4" t="s">
        <v>17</v>
      </c>
      <c r="K1137" t="str">
        <v>out</v>
      </c>
      <c r="L1137" s="4" t="str">
        <f t="shared" si="17"/>
        <v>out</v>
      </c>
      <c r="N1137" s="4" cm="1">
        <f t="array" ref="N1137">SUM(--(_xlfn.TEXTSPLIT($J$852,, " ") = M1137))</f>
        <v>2</v>
      </c>
      <c r="O1137">
        <v>1</v>
      </c>
      <c r="P1137">
        <v>2</v>
      </c>
      <c r="Q1137">
        <v>1</v>
      </c>
      <c r="S1137" s="4"/>
      <c r="T1137" s="10"/>
    </row>
    <row r="1138" spans="5:20" x14ac:dyDescent="0.2">
      <c r="E1138" s="4" t="s">
        <v>17</v>
      </c>
      <c r="K1138" t="str">
        <v>(I</v>
      </c>
      <c r="L1138" s="4" t="str">
        <f t="shared" si="17"/>
        <v xml:space="preserve"> I</v>
      </c>
      <c r="N1138" s="4" cm="1">
        <f t="array" ref="N1138">SUM(--(_xlfn.TEXTSPLIT($J$852,, " ") = M1138))</f>
        <v>2</v>
      </c>
      <c r="O1138">
        <v>1</v>
      </c>
      <c r="P1138">
        <v>2</v>
      </c>
      <c r="Q1138">
        <v>1</v>
      </c>
      <c r="S1138" s="4"/>
      <c r="T1138" s="10"/>
    </row>
    <row r="1139" spans="5:20" x14ac:dyDescent="0.2">
      <c r="E1139" s="4" t="s">
        <v>17</v>
      </c>
      <c r="K1139" t="str">
        <v>want</v>
      </c>
      <c r="L1139" s="4" t="str">
        <f t="shared" si="17"/>
        <v>want</v>
      </c>
      <c r="N1139" s="4" cm="1">
        <f t="array" ref="N1139">SUM(--(_xlfn.TEXTSPLIT($J$852,, " ") = M1139))</f>
        <v>2</v>
      </c>
      <c r="O1139">
        <v>1</v>
      </c>
      <c r="P1139">
        <v>2</v>
      </c>
      <c r="Q1139">
        <v>1</v>
      </c>
      <c r="S1139" s="4"/>
      <c r="T1139" s="10"/>
    </row>
    <row r="1140" spans="5:20" x14ac:dyDescent="0.2">
      <c r="E1140" s="4" t="s">
        <v>17</v>
      </c>
      <c r="K1140" t="str">
        <v>to</v>
      </c>
      <c r="L1140" s="4" t="str">
        <f t="shared" si="17"/>
        <v>to</v>
      </c>
      <c r="N1140" s="4" cm="1">
        <f t="array" ref="N1140">SUM(--(_xlfn.TEXTSPLIT($J$852,, " ") = M1140))</f>
        <v>2</v>
      </c>
      <c r="O1140">
        <v>1</v>
      </c>
      <c r="P1140">
        <v>2</v>
      </c>
      <c r="Q1140">
        <v>1</v>
      </c>
      <c r="S1140" s="4"/>
      <c r="T1140" s="10"/>
    </row>
    <row r="1141" spans="5:20" x14ac:dyDescent="0.2">
      <c r="E1141" s="4" t="s">
        <v>17</v>
      </c>
      <c r="K1141" t="str">
        <v xml:space="preserve">change)
</v>
      </c>
      <c r="L1141" s="4" t="str">
        <f t="shared" si="17"/>
        <v xml:space="preserve">change   </v>
      </c>
      <c r="N1141" s="4" cm="1">
        <f t="array" ref="N1141">SUM(--(_xlfn.TEXTSPLIT($J$852,, " ") = M1141))</f>
        <v>2</v>
      </c>
      <c r="O1141">
        <v>1</v>
      </c>
      <c r="P1141">
        <v>2</v>
      </c>
      <c r="Q1141">
        <v>1</v>
      </c>
      <c r="S1141" s="4"/>
      <c r="T1141" s="10"/>
    </row>
    <row r="1142" spans="5:20" x14ac:dyDescent="0.2">
      <c r="E1142" s="4" t="s">
        <v>17</v>
      </c>
      <c r="K1142" t="str">
        <v>I've</v>
      </c>
      <c r="L1142" s="4" t="str">
        <f t="shared" si="17"/>
        <v>I ve</v>
      </c>
      <c r="N1142" s="4" cm="1">
        <f t="array" ref="N1142">SUM(--(_xlfn.TEXTSPLIT($J$852,, " ") = M1142))</f>
        <v>2</v>
      </c>
      <c r="O1142">
        <v>1</v>
      </c>
      <c r="P1142">
        <v>2</v>
      </c>
      <c r="Q1142">
        <v>1</v>
      </c>
      <c r="S1142" s="4"/>
      <c r="T1142" s="10"/>
    </row>
    <row r="1143" spans="5:20" x14ac:dyDescent="0.2">
      <c r="E1143" s="4" t="s">
        <v>17</v>
      </c>
      <c r="K1143" t="str">
        <v>been</v>
      </c>
      <c r="L1143" s="4" t="str">
        <f t="shared" si="17"/>
        <v>been</v>
      </c>
      <c r="N1143" s="4" cm="1">
        <f t="array" ref="N1143">SUM(--(_xlfn.TEXTSPLIT($J$852,, " ") = M1143))</f>
        <v>2</v>
      </c>
      <c r="O1143">
        <v>1</v>
      </c>
      <c r="P1143">
        <v>2</v>
      </c>
      <c r="Q1143">
        <v>1</v>
      </c>
      <c r="S1143" s="4"/>
      <c r="T1143" s="10"/>
    </row>
    <row r="1144" spans="5:20" x14ac:dyDescent="0.2">
      <c r="E1144" s="4" t="s">
        <v>17</v>
      </c>
      <c r="K1144" t="str">
        <v>this</v>
      </c>
      <c r="L1144" s="4" t="str">
        <f t="shared" si="17"/>
        <v>this</v>
      </c>
      <c r="N1144" s="4" cm="1">
        <f t="array" ref="N1144">SUM(--(_xlfn.TEXTSPLIT($J$852,, " ") = M1144))</f>
        <v>2</v>
      </c>
      <c r="O1144">
        <v>1</v>
      </c>
      <c r="P1144">
        <v>2</v>
      </c>
      <c r="Q1144">
        <v>1</v>
      </c>
      <c r="S1144" s="4"/>
      <c r="T1144" s="10"/>
    </row>
    <row r="1145" spans="5:20" x14ac:dyDescent="0.2">
      <c r="E1145" s="4" t="s">
        <v>17</v>
      </c>
      <c r="K1145" t="str">
        <v>way</v>
      </c>
      <c r="L1145" s="4" t="str">
        <f t="shared" si="17"/>
        <v>way</v>
      </c>
      <c r="N1145" s="4" cm="1">
        <f t="array" ref="N1145">SUM(--(_xlfn.TEXTSPLIT($J$852,, " ") = M1145))</f>
        <v>2</v>
      </c>
      <c r="O1145">
        <v>1</v>
      </c>
      <c r="P1145">
        <v>2</v>
      </c>
      <c r="Q1145">
        <v>1</v>
      </c>
      <c r="S1145" s="4"/>
      <c r="T1145" s="10"/>
    </row>
    <row r="1146" spans="5:20" x14ac:dyDescent="0.2">
      <c r="E1146" s="4" t="s">
        <v>17</v>
      </c>
      <c r="K1146" t="str">
        <v>(Feel</v>
      </c>
      <c r="L1146" s="4" t="str">
        <f t="shared" si="17"/>
        <v xml:space="preserve"> Feel</v>
      </c>
      <c r="N1146" s="4" cm="1">
        <f t="array" ref="N1146">SUM(--(_xlfn.TEXTSPLIT($J$852,, " ") = M1146))</f>
        <v>2</v>
      </c>
      <c r="O1146">
        <v>1</v>
      </c>
      <c r="P1146">
        <v>2</v>
      </c>
      <c r="Q1146">
        <v>1</v>
      </c>
      <c r="S1146" s="4"/>
      <c r="T1146" s="10"/>
    </row>
    <row r="1147" spans="5:20" x14ac:dyDescent="0.2">
      <c r="E1147" s="4" t="s">
        <v>17</v>
      </c>
      <c r="K1147" t="str">
        <v>it,</v>
      </c>
      <c r="L1147" s="4" t="str">
        <f t="shared" si="17"/>
        <v xml:space="preserve">it </v>
      </c>
      <c r="N1147" s="4" cm="1">
        <f t="array" ref="N1147">SUM(--(_xlfn.TEXTSPLIT($J$852,, " ") = M1147))</f>
        <v>2</v>
      </c>
      <c r="O1147">
        <v>1</v>
      </c>
      <c r="P1147">
        <v>2</v>
      </c>
      <c r="Q1147">
        <v>1</v>
      </c>
      <c r="S1147" s="4"/>
      <c r="T1147" s="10"/>
    </row>
    <row r="1148" spans="5:20" x14ac:dyDescent="0.2">
      <c r="E1148" s="4" t="s">
        <v>17</v>
      </c>
      <c r="K1148" t="str">
        <v>feel</v>
      </c>
      <c r="L1148" s="4" t="str">
        <f t="shared" si="17"/>
        <v>feel</v>
      </c>
      <c r="N1148" s="4" cm="1">
        <f t="array" ref="N1148">SUM(--(_xlfn.TEXTSPLIT($J$852,, " ") = M1148))</f>
        <v>2</v>
      </c>
      <c r="O1148">
        <v>1</v>
      </c>
      <c r="P1148">
        <v>2</v>
      </c>
      <c r="Q1148">
        <v>1</v>
      </c>
      <c r="S1148" s="4"/>
      <c r="T1148" s="10"/>
    </row>
    <row r="1149" spans="5:20" x14ac:dyDescent="0.2">
      <c r="E1149" s="4" t="s">
        <v>17</v>
      </c>
      <c r="K1149" t="str">
        <v xml:space="preserve">it)
</v>
      </c>
      <c r="L1149" s="4" t="str">
        <f t="shared" si="17"/>
        <v xml:space="preserve">it  </v>
      </c>
      <c r="N1149" s="4" cm="1">
        <f t="array" ref="N1149">SUM(--(_xlfn.TEXTSPLIT($J$852,, " ") = M1149))</f>
        <v>2</v>
      </c>
      <c r="O1149">
        <v>1</v>
      </c>
      <c r="P1149">
        <v>2</v>
      </c>
      <c r="Q1149">
        <v>1</v>
      </c>
      <c r="S1149" s="4"/>
      <c r="T1149" s="10"/>
    </row>
    <row r="1150" spans="5:20" x14ac:dyDescent="0.2">
      <c r="E1150" s="4" t="s">
        <v>17</v>
      </c>
      <c r="K1150" t="str">
        <v>I</v>
      </c>
      <c r="L1150" s="4" t="str">
        <f t="shared" si="17"/>
        <v>I</v>
      </c>
      <c r="N1150" s="4" cm="1">
        <f t="array" ref="N1150">SUM(--(_xlfn.TEXTSPLIT($J$852,, " ") = M1150))</f>
        <v>2</v>
      </c>
      <c r="O1150">
        <v>1</v>
      </c>
      <c r="P1150">
        <v>2</v>
      </c>
      <c r="Q1150">
        <v>1</v>
      </c>
      <c r="S1150" s="4"/>
      <c r="T1150" s="10"/>
    </row>
    <row r="1151" spans="5:20" x14ac:dyDescent="0.2">
      <c r="E1151" s="4" t="s">
        <v>17</v>
      </c>
      <c r="K1151" t="str">
        <v>want</v>
      </c>
      <c r="L1151" s="4" t="str">
        <f t="shared" si="17"/>
        <v>want</v>
      </c>
      <c r="N1151" s="4" cm="1">
        <f t="array" ref="N1151">SUM(--(_xlfn.TEXTSPLIT($J$852,, " ") = M1151))</f>
        <v>2</v>
      </c>
      <c r="O1151">
        <v>1</v>
      </c>
      <c r="P1151">
        <v>2</v>
      </c>
      <c r="Q1151">
        <v>1</v>
      </c>
      <c r="S1151" s="4"/>
      <c r="T1151" s="10"/>
    </row>
    <row r="1152" spans="5:20" x14ac:dyDescent="0.2">
      <c r="E1152" s="4" t="s">
        <v>17</v>
      </c>
      <c r="K1152" t="str">
        <v>to</v>
      </c>
      <c r="L1152" s="4" t="str">
        <f t="shared" si="17"/>
        <v>to</v>
      </c>
      <c r="N1152" s="4" cm="1">
        <f t="array" ref="N1152">SUM(--(_xlfn.TEXTSPLIT($J$852,, " ") = M1152))</f>
        <v>2</v>
      </c>
      <c r="O1152">
        <v>1</v>
      </c>
      <c r="P1152">
        <v>2</v>
      </c>
      <c r="Q1152">
        <v>1</v>
      </c>
      <c r="S1152" s="4"/>
      <c r="T1152" s="10"/>
    </row>
    <row r="1153" spans="5:20" x14ac:dyDescent="0.2">
      <c r="E1153" s="4" t="s">
        <v>17</v>
      </c>
      <c r="K1153" t="str">
        <v>change</v>
      </c>
      <c r="L1153" s="4" t="str">
        <f t="shared" si="17"/>
        <v>change</v>
      </c>
      <c r="N1153" s="4" cm="1">
        <f t="array" ref="N1153">SUM(--(_xlfn.TEXTSPLIT($J$852,, " ") = M1153))</f>
        <v>2</v>
      </c>
      <c r="O1153">
        <v>1</v>
      </c>
      <c r="P1153">
        <v>2</v>
      </c>
      <c r="Q1153">
        <v>1</v>
      </c>
      <c r="S1153" s="4"/>
      <c r="T1153" s="10"/>
    </row>
    <row r="1154" spans="5:20" x14ac:dyDescent="0.2">
      <c r="E1154" s="4" t="s">
        <v>17</v>
      </c>
      <c r="K1154" t="str">
        <v>(Feel</v>
      </c>
      <c r="L1154" s="4" t="str">
        <f t="shared" si="17"/>
        <v xml:space="preserve"> Feel</v>
      </c>
      <c r="N1154" s="4" cm="1">
        <f t="array" ref="N1154">SUM(--(_xlfn.TEXTSPLIT($J$852,, " ") = M1154))</f>
        <v>2</v>
      </c>
      <c r="O1154">
        <v>1</v>
      </c>
      <c r="P1154">
        <v>2</v>
      </c>
      <c r="Q1154">
        <v>1</v>
      </c>
      <c r="S1154" s="4"/>
      <c r="T1154" s="10"/>
    </row>
    <row r="1155" spans="5:20" x14ac:dyDescent="0.2">
      <c r="E1155" s="4" t="s">
        <v>17</v>
      </c>
      <c r="K1155" t="str">
        <v>it,</v>
      </c>
      <c r="L1155" s="4" t="str">
        <f t="shared" si="17"/>
        <v xml:space="preserve">it </v>
      </c>
      <c r="N1155" s="4" cm="1">
        <f t="array" ref="N1155">SUM(--(_xlfn.TEXTSPLIT($J$852,, " ") = M1155))</f>
        <v>2</v>
      </c>
      <c r="O1155">
        <v>1</v>
      </c>
      <c r="P1155">
        <v>2</v>
      </c>
      <c r="Q1155">
        <v>1</v>
      </c>
      <c r="S1155" s="4"/>
      <c r="T1155" s="10"/>
    </row>
    <row r="1156" spans="5:20" x14ac:dyDescent="0.2">
      <c r="E1156" s="4" t="s">
        <v>17</v>
      </c>
      <c r="K1156" t="str">
        <v>feel</v>
      </c>
      <c r="L1156" s="4" t="str">
        <f t="shared" ref="L1156:L1209" si="18">_xlfn.REGEXREPLACE(K1156, "[^A-Za-z ]", " ")</f>
        <v>feel</v>
      </c>
      <c r="N1156" s="4" cm="1">
        <f t="array" ref="N1156">SUM(--(_xlfn.TEXTSPLIT($J$852,, " ") = M1156))</f>
        <v>2</v>
      </c>
      <c r="O1156">
        <v>1</v>
      </c>
      <c r="P1156">
        <v>2</v>
      </c>
      <c r="Q1156">
        <v>1</v>
      </c>
      <c r="S1156" s="4"/>
      <c r="T1156" s="10"/>
    </row>
    <row r="1157" spans="5:20" x14ac:dyDescent="0.2">
      <c r="E1157" s="4" t="s">
        <v>17</v>
      </c>
      <c r="K1157" t="str">
        <v xml:space="preserve">it)
</v>
      </c>
      <c r="L1157" s="4" t="str">
        <f t="shared" si="18"/>
        <v xml:space="preserve">it  </v>
      </c>
      <c r="N1157" s="4" cm="1">
        <f t="array" ref="N1157">SUM(--(_xlfn.TEXTSPLIT($J$852,, " ") = M1157))</f>
        <v>2</v>
      </c>
      <c r="O1157">
        <v>1</v>
      </c>
      <c r="P1157">
        <v>2</v>
      </c>
      <c r="Q1157">
        <v>1</v>
      </c>
      <c r="S1157" s="4"/>
      <c r="T1157" s="10"/>
    </row>
    <row r="1158" spans="5:20" x14ac:dyDescent="0.2">
      <c r="E1158" s="4" t="s">
        <v>17</v>
      </c>
      <c r="K1158" t="str">
        <v/>
      </c>
      <c r="L1158" s="4" t="str">
        <f t="shared" si="18"/>
        <v/>
      </c>
      <c r="N1158" s="4" cm="1">
        <f t="array" ref="N1158">SUM(--(_xlfn.TEXTSPLIT($J$852,, " ") = M1158))</f>
        <v>2</v>
      </c>
      <c r="O1158">
        <v>1</v>
      </c>
      <c r="P1158">
        <v>2</v>
      </c>
      <c r="Q1158">
        <v>1</v>
      </c>
      <c r="S1158" s="4"/>
      <c r="T1158" s="10"/>
    </row>
    <row r="1159" spans="5:20" x14ac:dyDescent="0.2">
      <c r="E1159" s="4" t="s">
        <v>17</v>
      </c>
      <c r="K1159" t="str">
        <v>I've</v>
      </c>
      <c r="L1159" s="4" t="str">
        <f t="shared" si="18"/>
        <v>I ve</v>
      </c>
      <c r="N1159" s="4" cm="1">
        <f t="array" ref="N1159">SUM(--(_xlfn.TEXTSPLIT($J$852,, " ") = M1159))</f>
        <v>2</v>
      </c>
      <c r="O1159">
        <v>1</v>
      </c>
      <c r="P1159">
        <v>2</v>
      </c>
      <c r="Q1159">
        <v>1</v>
      </c>
      <c r="S1159" s="4"/>
      <c r="T1159" s="10"/>
    </row>
    <row r="1160" spans="5:20" x14ac:dyDescent="0.2">
      <c r="E1160" s="4" t="s">
        <v>17</v>
      </c>
      <c r="K1160" t="str">
        <v>been</v>
      </c>
      <c r="L1160" s="4" t="str">
        <f t="shared" si="18"/>
        <v>been</v>
      </c>
      <c r="N1160" s="4" cm="1">
        <f t="array" ref="N1160">SUM(--(_xlfn.TEXTSPLIT($J$852,, " ") = M1160))</f>
        <v>2</v>
      </c>
      <c r="O1160">
        <v>1</v>
      </c>
      <c r="P1160">
        <v>2</v>
      </c>
      <c r="Q1160">
        <v>1</v>
      </c>
      <c r="S1160" s="4"/>
      <c r="T1160" s="10"/>
    </row>
    <row r="1161" spans="5:20" x14ac:dyDescent="0.2">
      <c r="E1161" s="4" t="s">
        <v>17</v>
      </c>
      <c r="K1161" t="str">
        <v>this</v>
      </c>
      <c r="L1161" s="4" t="str">
        <f t="shared" si="18"/>
        <v>this</v>
      </c>
      <c r="N1161" s="4" cm="1">
        <f t="array" ref="N1161">SUM(--(_xlfn.TEXTSPLIT($J$852,, " ") = M1161))</f>
        <v>2</v>
      </c>
      <c r="O1161">
        <v>1</v>
      </c>
      <c r="P1161">
        <v>2</v>
      </c>
      <c r="Q1161">
        <v>1</v>
      </c>
      <c r="S1161" s="4"/>
      <c r="T1161" s="10"/>
    </row>
    <row r="1162" spans="5:20" x14ac:dyDescent="0.2">
      <c r="E1162" s="4" t="s">
        <v>17</v>
      </c>
      <c r="K1162" t="str">
        <v>way</v>
      </c>
      <c r="L1162" s="4" t="str">
        <f t="shared" si="18"/>
        <v>way</v>
      </c>
      <c r="N1162" s="4" cm="1">
        <f t="array" ref="N1162">SUM(--(_xlfn.TEXTSPLIT($J$852,, " ") = M1162))</f>
        <v>2</v>
      </c>
      <c r="O1162">
        <v>1</v>
      </c>
      <c r="P1162">
        <v>2</v>
      </c>
      <c r="Q1162">
        <v>1</v>
      </c>
      <c r="S1162" s="4"/>
      <c r="T1162" s="10"/>
    </row>
    <row r="1163" spans="5:20" x14ac:dyDescent="0.2">
      <c r="E1163" s="4" t="s">
        <v>17</v>
      </c>
      <c r="K1163" t="str">
        <v>(Feel</v>
      </c>
      <c r="L1163" s="4" t="str">
        <f t="shared" si="18"/>
        <v xml:space="preserve"> Feel</v>
      </c>
      <c r="N1163" s="4" cm="1">
        <f t="array" ref="N1163">SUM(--(_xlfn.TEXTSPLIT($J$852,, " ") = M1163))</f>
        <v>2</v>
      </c>
      <c r="O1163">
        <v>1</v>
      </c>
      <c r="P1163">
        <v>2</v>
      </c>
      <c r="Q1163">
        <v>1</v>
      </c>
      <c r="S1163" s="4"/>
      <c r="T1163" s="10"/>
    </row>
    <row r="1164" spans="5:20" x14ac:dyDescent="0.2">
      <c r="E1164" s="4" t="s">
        <v>17</v>
      </c>
      <c r="K1164" t="str">
        <v>it,</v>
      </c>
      <c r="L1164" s="4" t="str">
        <f t="shared" si="18"/>
        <v xml:space="preserve">it </v>
      </c>
      <c r="N1164" s="4" cm="1">
        <f t="array" ref="N1164">SUM(--(_xlfn.TEXTSPLIT($J$852,, " ") = M1164))</f>
        <v>2</v>
      </c>
      <c r="O1164">
        <v>1</v>
      </c>
      <c r="P1164">
        <v>2</v>
      </c>
      <c r="Q1164">
        <v>1</v>
      </c>
      <c r="S1164" s="4"/>
      <c r="T1164" s="10"/>
    </row>
    <row r="1165" spans="5:20" x14ac:dyDescent="0.2">
      <c r="E1165" s="4" t="s">
        <v>17</v>
      </c>
      <c r="K1165" t="str">
        <v>feel</v>
      </c>
      <c r="L1165" s="4" t="str">
        <f t="shared" si="18"/>
        <v>feel</v>
      </c>
      <c r="N1165" s="4" cm="1">
        <f t="array" ref="N1165">SUM(--(_xlfn.TEXTSPLIT($J$852,, " ") = M1165))</f>
        <v>2</v>
      </c>
      <c r="O1165">
        <v>1</v>
      </c>
      <c r="P1165">
        <v>2</v>
      </c>
      <c r="Q1165">
        <v>1</v>
      </c>
      <c r="S1165" s="4"/>
      <c r="T1165" s="10"/>
    </row>
    <row r="1166" spans="5:20" x14ac:dyDescent="0.2">
      <c r="E1166" s="4" t="s">
        <v>17</v>
      </c>
      <c r="K1166" t="str">
        <v xml:space="preserve">it)
</v>
      </c>
      <c r="L1166" s="4" t="str">
        <f t="shared" si="18"/>
        <v xml:space="preserve">it  </v>
      </c>
      <c r="N1166" s="4" cm="1">
        <f t="array" ref="N1166">SUM(--(_xlfn.TEXTSPLIT($J$852,, " ") = M1166))</f>
        <v>2</v>
      </c>
      <c r="O1166">
        <v>1</v>
      </c>
      <c r="P1166">
        <v>2</v>
      </c>
      <c r="Q1166">
        <v>1</v>
      </c>
      <c r="S1166" s="4"/>
      <c r="T1166" s="10"/>
    </row>
    <row r="1167" spans="5:20" x14ac:dyDescent="0.2">
      <c r="E1167" s="4" t="s">
        <v>17</v>
      </c>
      <c r="K1167" t="str">
        <v>I</v>
      </c>
      <c r="L1167" s="4" t="str">
        <f t="shared" si="18"/>
        <v>I</v>
      </c>
      <c r="N1167" s="4" cm="1">
        <f t="array" ref="N1167">SUM(--(_xlfn.TEXTSPLIT($J$852,, " ") = M1167))</f>
        <v>2</v>
      </c>
      <c r="O1167">
        <v>1</v>
      </c>
      <c r="P1167">
        <v>2</v>
      </c>
      <c r="Q1167">
        <v>1</v>
      </c>
      <c r="S1167" s="4"/>
      <c r="T1167" s="10"/>
    </row>
    <row r="1168" spans="5:20" x14ac:dyDescent="0.2">
      <c r="E1168" s="4" t="s">
        <v>17</v>
      </c>
      <c r="K1168" t="str">
        <v>want</v>
      </c>
      <c r="L1168" s="4" t="str">
        <f t="shared" si="18"/>
        <v>want</v>
      </c>
      <c r="N1168" s="4" cm="1">
        <f t="array" ref="N1168">SUM(--(_xlfn.TEXTSPLIT($J$852,, " ") = M1168))</f>
        <v>2</v>
      </c>
      <c r="O1168">
        <v>1</v>
      </c>
      <c r="P1168">
        <v>2</v>
      </c>
      <c r="Q1168">
        <v>1</v>
      </c>
      <c r="S1168" s="4"/>
      <c r="T1168" s="10"/>
    </row>
    <row r="1169" spans="1:23" x14ac:dyDescent="0.2">
      <c r="E1169" s="4" t="s">
        <v>17</v>
      </c>
      <c r="K1169" t="str">
        <v>to</v>
      </c>
      <c r="L1169" s="4" t="str">
        <f t="shared" si="18"/>
        <v>to</v>
      </c>
      <c r="N1169" s="4" cm="1">
        <f t="array" ref="N1169">SUM(--(_xlfn.TEXTSPLIT($J$852,, " ") = M1169))</f>
        <v>2</v>
      </c>
      <c r="O1169">
        <v>1</v>
      </c>
      <c r="P1169">
        <v>2</v>
      </c>
      <c r="Q1169">
        <v>1</v>
      </c>
      <c r="S1169" s="4"/>
      <c r="T1169" s="10"/>
    </row>
    <row r="1170" spans="1:23" s="4" customFormat="1" x14ac:dyDescent="0.2">
      <c r="A1170" s="4">
        <v>4</v>
      </c>
      <c r="B1170" s="5">
        <v>45912</v>
      </c>
      <c r="C1170" s="6">
        <v>0.1361111111111111</v>
      </c>
      <c r="D1170" s="7">
        <v>196</v>
      </c>
      <c r="E1170" s="9" t="s">
        <v>20</v>
      </c>
      <c r="F1170" s="4">
        <v>4</v>
      </c>
      <c r="G1170" s="8" t="s">
        <v>15</v>
      </c>
      <c r="H1170" s="9" t="s">
        <v>21</v>
      </c>
      <c r="I1170" s="4">
        <v>1</v>
      </c>
      <c r="J1170" s="4" t="str">
        <f>_xlfn.TEXTJOIN(" ", TRUE, H1170:H1386)</f>
        <v xml:space="preserve"> I didn't do it
 I feel like garbage
 I feel like
 My systems are operating at twenty percent
 Or less
 I'll walk you through the numbers
 I'll show you nothing's left
 Oh-oh
( Yeah, yeah) I'm biting down on my shirtsleeve
( Yeah, yeah) I'll lash out if you're in arm's reach
 (Yeah, yeah) I'm so lost, like, what is happening?
 Like, like
 I feel like garbage
 Ooh, yeah
 I can't decide
  If I could feel more or I just knew less
When I was younger
 Bright-eyed with wonder
 Do you know which name it's under? (Oh-oh-oh)
 Or less
 I'll walk you through the numbers
 I'll show you nothing's left
 Oh-oh
 (Yeah, yeah) I'm biting down on my shirt sleeve
 (Yeah, yeah) I'll lash out if you're in arm's reach
 (Yeah, yeah) I'm so lost, like, what is happening?
 Like, what is happening?
 Would you move closer if I grew quieter?
 Maybe this is you
 Maybe you don't fix and you like it like this
 I feel like garbage (Yeah)
 I feel like garbage
 I feel like (Yeah)
 Like
 I'll lash out, lash out, lash out (Hey)
 I'm biting down on my shirt sleeve
 Like, I'll lash out, lash out, lash out
 Don't give up on me
 Don't give up on me
 No, no, no, please, please, please</v>
      </c>
      <c r="K1170" s="4" t="str" cm="1">
        <f t="array" ref="K1170:K1386">_xlfn.TEXTSPLIT(J1170, ," ")</f>
        <v/>
      </c>
      <c r="L1170" s="4" t="str">
        <f t="shared" si="18"/>
        <v/>
      </c>
      <c r="M1170" s="4" t="str" cm="1">
        <f t="array" ref="M1170:M1268">_xlfn.UNIQUE(_xlfn.TEXTSPLIT(J1170, , " "))</f>
        <v/>
      </c>
      <c r="N1170" s="4" cm="1">
        <f t="array" ref="N1170">SUM(--(_xlfn.TEXTSPLIT($J$1170,, " ") = M1170))</f>
        <v>2</v>
      </c>
      <c r="O1170" cm="1">
        <f t="array" ref="O1170:O1386">_xlfn._xlws.SORT(N1170:N1386,, -1)</f>
        <v>12</v>
      </c>
      <c r="P1170" s="4" cm="1">
        <f t="array" ref="P1170:Q1386">_xlfn.SORTBY(N1170:O1386, O1170:O1386, -1)</f>
        <v>2</v>
      </c>
      <c r="Q1170" s="4">
        <v>12</v>
      </c>
      <c r="S1170" s="4">
        <v>1386</v>
      </c>
      <c r="T1170" s="10"/>
      <c r="U1170"/>
      <c r="V1170"/>
      <c r="W1170"/>
    </row>
    <row r="1171" spans="1:23" x14ac:dyDescent="0.2">
      <c r="E1171" s="9" t="s">
        <v>20</v>
      </c>
      <c r="K1171" t="str">
        <v>I</v>
      </c>
      <c r="L1171" s="4" t="str">
        <f t="shared" si="18"/>
        <v>I</v>
      </c>
      <c r="M1171" t="str">
        <v>I</v>
      </c>
      <c r="N1171" s="4" cm="1">
        <f t="array" ref="N1171">SUM(--(_xlfn.TEXTSPLIT($J$1170,, " ") = M1171))</f>
        <v>12</v>
      </c>
      <c r="O1171">
        <v>8</v>
      </c>
      <c r="P1171">
        <v>12</v>
      </c>
      <c r="Q1171">
        <v>8</v>
      </c>
      <c r="S1171" s="4"/>
      <c r="T1171" s="10"/>
    </row>
    <row r="1172" spans="1:23" x14ac:dyDescent="0.2">
      <c r="E1172" s="9" t="s">
        <v>20</v>
      </c>
      <c r="K1172" t="str">
        <v>didn't</v>
      </c>
      <c r="L1172" s="4" t="str">
        <f t="shared" si="18"/>
        <v>didn t</v>
      </c>
      <c r="M1172" t="str">
        <v>didn't</v>
      </c>
      <c r="N1172" s="4" cm="1">
        <f t="array" ref="N1172">SUM(--(_xlfn.TEXTSPLIT($J$1170,, " ") = M1172))</f>
        <v>1</v>
      </c>
      <c r="O1172">
        <v>8</v>
      </c>
      <c r="P1172">
        <v>1</v>
      </c>
      <c r="Q1172">
        <v>8</v>
      </c>
      <c r="S1172" s="4"/>
      <c r="T1172" s="10"/>
    </row>
    <row r="1173" spans="1:23" x14ac:dyDescent="0.2">
      <c r="E1173" s="9" t="s">
        <v>20</v>
      </c>
      <c r="K1173" t="str">
        <v>do</v>
      </c>
      <c r="L1173" s="4" t="str">
        <f t="shared" si="18"/>
        <v>do</v>
      </c>
      <c r="M1173" t="str">
        <v>do</v>
      </c>
      <c r="N1173" s="4" cm="1">
        <f t="array" ref="N1173">SUM(--(_xlfn.TEXTSPLIT($J$1170,, " ") = M1173))</f>
        <v>2</v>
      </c>
      <c r="O1173">
        <v>8</v>
      </c>
      <c r="P1173">
        <v>2</v>
      </c>
      <c r="Q1173">
        <v>8</v>
      </c>
      <c r="S1173" s="4"/>
      <c r="T1173" s="10"/>
    </row>
    <row r="1174" spans="1:23" x14ac:dyDescent="0.2">
      <c r="E1174" s="9" t="s">
        <v>20</v>
      </c>
      <c r="K1174" t="str">
        <v xml:space="preserve">it
</v>
      </c>
      <c r="L1174" s="4" t="str">
        <f t="shared" si="18"/>
        <v xml:space="preserve">it  </v>
      </c>
      <c r="M1174" t="str">
        <v xml:space="preserve">it
</v>
      </c>
      <c r="N1174" s="4" cm="1">
        <f t="array" ref="N1174">SUM(--(_xlfn.TEXTSPLIT($J$1170,, " ") = M1174))</f>
        <v>1</v>
      </c>
      <c r="O1174">
        <v>7</v>
      </c>
      <c r="P1174">
        <v>1</v>
      </c>
      <c r="Q1174">
        <v>7</v>
      </c>
      <c r="S1174" s="4"/>
      <c r="T1174" s="10"/>
    </row>
    <row r="1175" spans="1:23" x14ac:dyDescent="0.2">
      <c r="E1175" s="9" t="s">
        <v>20</v>
      </c>
      <c r="K1175" t="str">
        <v>I</v>
      </c>
      <c r="L1175" s="4" t="str">
        <f t="shared" si="18"/>
        <v>I</v>
      </c>
      <c r="M1175" t="str">
        <v>feel</v>
      </c>
      <c r="N1175" s="4" cm="1">
        <f t="array" ref="N1175">SUM(--(_xlfn.TEXTSPLIT($J$1170,, " ") = M1175))</f>
        <v>7</v>
      </c>
      <c r="O1175">
        <v>7</v>
      </c>
      <c r="P1175">
        <v>7</v>
      </c>
      <c r="Q1175">
        <v>7</v>
      </c>
      <c r="S1175" s="4"/>
      <c r="T1175" s="10"/>
    </row>
    <row r="1176" spans="1:23" x14ac:dyDescent="0.2">
      <c r="E1176" s="9" t="s">
        <v>20</v>
      </c>
      <c r="K1176" t="str">
        <v>feel</v>
      </c>
      <c r="L1176" s="4" t="str">
        <f t="shared" si="18"/>
        <v>feel</v>
      </c>
      <c r="M1176" t="str">
        <v>like</v>
      </c>
      <c r="N1176" s="4" cm="1">
        <f t="array" ref="N1176">SUM(--(_xlfn.TEXTSPLIT($J$1170,, " ") = M1176))</f>
        <v>7</v>
      </c>
      <c r="O1176">
        <v>6</v>
      </c>
      <c r="P1176">
        <v>7</v>
      </c>
      <c r="Q1176">
        <v>6</v>
      </c>
      <c r="S1176" s="4"/>
      <c r="T1176" s="10"/>
    </row>
    <row r="1177" spans="1:23" x14ac:dyDescent="0.2">
      <c r="E1177" s="9" t="s">
        <v>20</v>
      </c>
      <c r="K1177" t="str">
        <v>like</v>
      </c>
      <c r="L1177" s="4" t="str">
        <f t="shared" si="18"/>
        <v>like</v>
      </c>
      <c r="M1177" t="str">
        <v xml:space="preserve">garbage
</v>
      </c>
      <c r="N1177" s="4" cm="1">
        <f t="array" ref="N1177">SUM(--(_xlfn.TEXTSPLIT($J$1170,, " ") = M1177))</f>
        <v>2</v>
      </c>
      <c r="O1177">
        <v>5</v>
      </c>
      <c r="P1177">
        <v>2</v>
      </c>
      <c r="Q1177">
        <v>5</v>
      </c>
      <c r="S1177" s="4"/>
      <c r="T1177" s="10"/>
    </row>
    <row r="1178" spans="1:23" x14ac:dyDescent="0.2">
      <c r="E1178" s="9" t="s">
        <v>20</v>
      </c>
      <c r="K1178" t="str">
        <v xml:space="preserve">garbage
</v>
      </c>
      <c r="L1178" s="4" t="str">
        <f t="shared" si="18"/>
        <v xml:space="preserve">garbage </v>
      </c>
      <c r="M1178" t="str">
        <v xml:space="preserve">like
</v>
      </c>
      <c r="N1178" s="4" cm="1">
        <f t="array" ref="N1178">SUM(--(_xlfn.TEXTSPLIT($J$1170,, " ") = M1178))</f>
        <v>2</v>
      </c>
      <c r="O1178">
        <v>5</v>
      </c>
      <c r="P1178">
        <v>2</v>
      </c>
      <c r="Q1178">
        <v>5</v>
      </c>
      <c r="S1178" s="4"/>
      <c r="T1178" s="10"/>
    </row>
    <row r="1179" spans="1:23" x14ac:dyDescent="0.2">
      <c r="E1179" s="9" t="s">
        <v>20</v>
      </c>
      <c r="K1179" t="str">
        <v>I</v>
      </c>
      <c r="L1179" s="4" t="str">
        <f t="shared" si="18"/>
        <v>I</v>
      </c>
      <c r="M1179" t="str">
        <v>My</v>
      </c>
      <c r="N1179" s="4" cm="1">
        <f t="array" ref="N1179">SUM(--(_xlfn.TEXTSPLIT($J$1170,, " ") = M1179))</f>
        <v>4</v>
      </c>
      <c r="O1179">
        <v>5</v>
      </c>
      <c r="P1179">
        <v>4</v>
      </c>
      <c r="Q1179">
        <v>5</v>
      </c>
      <c r="S1179" s="4"/>
      <c r="T1179" s="10"/>
    </row>
    <row r="1180" spans="1:23" x14ac:dyDescent="0.2">
      <c r="E1180" s="9" t="s">
        <v>20</v>
      </c>
      <c r="K1180" t="str">
        <v>feel</v>
      </c>
      <c r="L1180" s="4" t="str">
        <f t="shared" si="18"/>
        <v>feel</v>
      </c>
      <c r="M1180" t="str">
        <v>systems</v>
      </c>
      <c r="N1180" s="4" cm="1">
        <f t="array" ref="N1180">SUM(--(_xlfn.TEXTSPLIT($J$1170,, " ") = M1180))</f>
        <v>1</v>
      </c>
      <c r="O1180">
        <v>4</v>
      </c>
      <c r="P1180">
        <v>1</v>
      </c>
      <c r="Q1180">
        <v>4</v>
      </c>
      <c r="S1180" s="4"/>
      <c r="T1180" s="10"/>
    </row>
    <row r="1181" spans="1:23" x14ac:dyDescent="0.2">
      <c r="E1181" s="9" t="s">
        <v>20</v>
      </c>
      <c r="K1181" t="str">
        <v xml:space="preserve">like
</v>
      </c>
      <c r="L1181" s="4" t="str">
        <f t="shared" si="18"/>
        <v xml:space="preserve">like </v>
      </c>
      <c r="M1181" t="str">
        <v>are</v>
      </c>
      <c r="N1181" s="4" cm="1">
        <f t="array" ref="N1181">SUM(--(_xlfn.TEXTSPLIT($J$1170,, " ") = M1181))</f>
        <v>1</v>
      </c>
      <c r="O1181">
        <v>4</v>
      </c>
      <c r="P1181">
        <v>1</v>
      </c>
      <c r="Q1181">
        <v>4</v>
      </c>
      <c r="S1181" s="4"/>
      <c r="T1181" s="10"/>
    </row>
    <row r="1182" spans="1:23" x14ac:dyDescent="0.2">
      <c r="E1182" s="9" t="s">
        <v>20</v>
      </c>
      <c r="K1182" t="str">
        <v>My</v>
      </c>
      <c r="L1182" s="4" t="str">
        <f t="shared" si="18"/>
        <v>My</v>
      </c>
      <c r="M1182" t="str">
        <v>operating</v>
      </c>
      <c r="N1182" s="4" cm="1">
        <f t="array" ref="N1182">SUM(--(_xlfn.TEXTSPLIT($J$1170,, " ") = M1182))</f>
        <v>1</v>
      </c>
      <c r="O1182">
        <v>4</v>
      </c>
      <c r="P1182">
        <v>1</v>
      </c>
      <c r="Q1182">
        <v>4</v>
      </c>
      <c r="S1182" s="4"/>
      <c r="T1182" s="10"/>
    </row>
    <row r="1183" spans="1:23" x14ac:dyDescent="0.2">
      <c r="E1183" s="9" t="s">
        <v>20</v>
      </c>
      <c r="K1183" t="str">
        <v>systems</v>
      </c>
      <c r="L1183" s="4" t="str">
        <f t="shared" si="18"/>
        <v>systems</v>
      </c>
      <c r="M1183" t="str">
        <v>at</v>
      </c>
      <c r="N1183" s="4" cm="1">
        <f t="array" ref="N1183">SUM(--(_xlfn.TEXTSPLIT($J$1170,, " ") = M1183))</f>
        <v>1</v>
      </c>
      <c r="O1183">
        <v>4</v>
      </c>
      <c r="P1183">
        <v>1</v>
      </c>
      <c r="Q1183">
        <v>4</v>
      </c>
      <c r="S1183" s="4"/>
      <c r="T1183" s="10"/>
    </row>
    <row r="1184" spans="1:23" x14ac:dyDescent="0.2">
      <c r="E1184" s="9" t="s">
        <v>20</v>
      </c>
      <c r="K1184" t="str">
        <v>are</v>
      </c>
      <c r="L1184" s="4" t="str">
        <f t="shared" si="18"/>
        <v>are</v>
      </c>
      <c r="M1184" t="str">
        <v>twenty</v>
      </c>
      <c r="N1184" s="4" cm="1">
        <f t="array" ref="N1184">SUM(--(_xlfn.TEXTSPLIT($J$1170,, " ") = M1184))</f>
        <v>1</v>
      </c>
      <c r="O1184">
        <v>4</v>
      </c>
      <c r="P1184">
        <v>1</v>
      </c>
      <c r="Q1184">
        <v>4</v>
      </c>
      <c r="S1184" s="4"/>
      <c r="T1184" s="10"/>
    </row>
    <row r="1185" spans="5:20" x14ac:dyDescent="0.2">
      <c r="E1185" s="9" t="s">
        <v>20</v>
      </c>
      <c r="K1185" t="str">
        <v>operating</v>
      </c>
      <c r="L1185" s="4" t="str">
        <f t="shared" si="18"/>
        <v>operating</v>
      </c>
      <c r="M1185" t="str">
        <v xml:space="preserve">percent
</v>
      </c>
      <c r="N1185" s="4" cm="1">
        <f t="array" ref="N1185">SUM(--(_xlfn.TEXTSPLIT($J$1170,, " ") = M1185))</f>
        <v>1</v>
      </c>
      <c r="O1185">
        <v>3</v>
      </c>
      <c r="P1185">
        <v>1</v>
      </c>
      <c r="Q1185">
        <v>3</v>
      </c>
      <c r="S1185" s="4"/>
      <c r="T1185" s="10"/>
    </row>
    <row r="1186" spans="5:20" x14ac:dyDescent="0.2">
      <c r="E1186" s="9" t="s">
        <v>20</v>
      </c>
      <c r="K1186" t="str">
        <v>at</v>
      </c>
      <c r="L1186" s="4" t="str">
        <f t="shared" si="18"/>
        <v>at</v>
      </c>
      <c r="M1186" t="str">
        <v>Or</v>
      </c>
      <c r="N1186" s="4" cm="1">
        <f t="array" ref="N1186">SUM(--(_xlfn.TEXTSPLIT($J$1170,, " ") = M1186))</f>
        <v>3</v>
      </c>
      <c r="O1186">
        <v>3</v>
      </c>
      <c r="P1186">
        <v>3</v>
      </c>
      <c r="Q1186">
        <v>3</v>
      </c>
      <c r="S1186" s="4"/>
      <c r="T1186" s="10"/>
    </row>
    <row r="1187" spans="5:20" x14ac:dyDescent="0.2">
      <c r="E1187" s="9" t="s">
        <v>20</v>
      </c>
      <c r="K1187" t="str">
        <v>twenty</v>
      </c>
      <c r="L1187" s="4" t="str">
        <f t="shared" si="18"/>
        <v>twenty</v>
      </c>
      <c r="M1187" t="str">
        <v xml:space="preserve">less
</v>
      </c>
      <c r="N1187" s="4" cm="1">
        <f t="array" ref="N1187">SUM(--(_xlfn.TEXTSPLIT($J$1170,, " ") = M1187))</f>
        <v>2</v>
      </c>
      <c r="O1187">
        <v>3</v>
      </c>
      <c r="P1187">
        <v>2</v>
      </c>
      <c r="Q1187">
        <v>3</v>
      </c>
      <c r="S1187" s="4"/>
      <c r="T1187" s="10"/>
    </row>
    <row r="1188" spans="5:20" x14ac:dyDescent="0.2">
      <c r="E1188" s="9" t="s">
        <v>20</v>
      </c>
      <c r="K1188" t="str">
        <v xml:space="preserve">percent
</v>
      </c>
      <c r="L1188" s="4" t="str">
        <f t="shared" si="18"/>
        <v xml:space="preserve">percent  </v>
      </c>
      <c r="M1188" t="str">
        <v>I'll</v>
      </c>
      <c r="N1188" s="4" cm="1">
        <f t="array" ref="N1188">SUM(--(_xlfn.TEXTSPLIT($J$1170,, " ") = M1188))</f>
        <v>8</v>
      </c>
      <c r="O1188">
        <v>3</v>
      </c>
      <c r="P1188">
        <v>8</v>
      </c>
      <c r="Q1188">
        <v>3</v>
      </c>
      <c r="S1188" s="4"/>
      <c r="T1188" s="10"/>
    </row>
    <row r="1189" spans="5:20" x14ac:dyDescent="0.2">
      <c r="E1189" s="9" t="s">
        <v>20</v>
      </c>
      <c r="K1189" t="str">
        <v>Or</v>
      </c>
      <c r="L1189" s="4" t="str">
        <f t="shared" si="18"/>
        <v>Or</v>
      </c>
      <c r="M1189" t="str">
        <v>walk</v>
      </c>
      <c r="N1189" s="4" cm="1">
        <f t="array" ref="N1189">SUM(--(_xlfn.TEXTSPLIT($J$1170,, " ") = M1189))</f>
        <v>2</v>
      </c>
      <c r="O1189">
        <v>3</v>
      </c>
      <c r="P1189">
        <v>2</v>
      </c>
      <c r="Q1189">
        <v>3</v>
      </c>
      <c r="S1189" s="4"/>
      <c r="T1189" s="10"/>
    </row>
    <row r="1190" spans="5:20" x14ac:dyDescent="0.2">
      <c r="E1190" s="9" t="s">
        <v>20</v>
      </c>
      <c r="K1190" t="str">
        <v xml:space="preserve">less
</v>
      </c>
      <c r="L1190" s="4" t="str">
        <f t="shared" si="18"/>
        <v xml:space="preserve">less </v>
      </c>
      <c r="M1190" t="str">
        <v>you</v>
      </c>
      <c r="N1190" s="4" cm="1">
        <f t="array" ref="N1190">SUM(--(_xlfn.TEXTSPLIT($J$1170,, " ") = M1190))</f>
        <v>8</v>
      </c>
      <c r="O1190">
        <v>3</v>
      </c>
      <c r="P1190">
        <v>8</v>
      </c>
      <c r="Q1190">
        <v>3</v>
      </c>
      <c r="S1190" s="4"/>
      <c r="T1190" s="10"/>
    </row>
    <row r="1191" spans="5:20" x14ac:dyDescent="0.2">
      <c r="E1191" s="9" t="s">
        <v>20</v>
      </c>
      <c r="K1191" t="str">
        <v>I'll</v>
      </c>
      <c r="L1191" s="4" t="str">
        <f t="shared" si="18"/>
        <v>I ll</v>
      </c>
      <c r="M1191" t="str">
        <v>through</v>
      </c>
      <c r="N1191" s="4" cm="1">
        <f t="array" ref="N1191">SUM(--(_xlfn.TEXTSPLIT($J$1170,, " ") = M1191))</f>
        <v>2</v>
      </c>
      <c r="O1191">
        <v>3</v>
      </c>
      <c r="P1191">
        <v>2</v>
      </c>
      <c r="Q1191">
        <v>3</v>
      </c>
      <c r="S1191" s="4"/>
      <c r="T1191" s="10"/>
    </row>
    <row r="1192" spans="5:20" x14ac:dyDescent="0.2">
      <c r="E1192" s="9" t="s">
        <v>20</v>
      </c>
      <c r="K1192" t="str">
        <v>walk</v>
      </c>
      <c r="L1192" s="4" t="str">
        <f t="shared" si="18"/>
        <v>walk</v>
      </c>
      <c r="M1192" t="str">
        <v>the</v>
      </c>
      <c r="N1192" s="4" cm="1">
        <f t="array" ref="N1192">SUM(--(_xlfn.TEXTSPLIT($J$1170,, " ") = M1192))</f>
        <v>2</v>
      </c>
      <c r="O1192">
        <v>2</v>
      </c>
      <c r="P1192">
        <v>2</v>
      </c>
      <c r="Q1192">
        <v>2</v>
      </c>
      <c r="S1192" s="4"/>
      <c r="T1192" s="10"/>
    </row>
    <row r="1193" spans="5:20" x14ac:dyDescent="0.2">
      <c r="E1193" s="9" t="s">
        <v>20</v>
      </c>
      <c r="K1193" t="str">
        <v>you</v>
      </c>
      <c r="L1193" s="4" t="str">
        <f t="shared" si="18"/>
        <v>you</v>
      </c>
      <c r="M1193" t="str">
        <v xml:space="preserve">numbers
</v>
      </c>
      <c r="N1193" s="4" cm="1">
        <f t="array" ref="N1193">SUM(--(_xlfn.TEXTSPLIT($J$1170,, " ") = M1193))</f>
        <v>2</v>
      </c>
      <c r="O1193">
        <v>2</v>
      </c>
      <c r="P1193">
        <v>2</v>
      </c>
      <c r="Q1193">
        <v>2</v>
      </c>
      <c r="S1193" s="4"/>
      <c r="T1193" s="10"/>
    </row>
    <row r="1194" spans="5:20" x14ac:dyDescent="0.2">
      <c r="E1194" s="9" t="s">
        <v>20</v>
      </c>
      <c r="K1194" t="str">
        <v>through</v>
      </c>
      <c r="L1194" s="4" t="str">
        <f t="shared" si="18"/>
        <v>through</v>
      </c>
      <c r="M1194" t="str">
        <v>show</v>
      </c>
      <c r="N1194" s="4" cm="1">
        <f t="array" ref="N1194">SUM(--(_xlfn.TEXTSPLIT($J$1170,, " ") = M1194))</f>
        <v>2</v>
      </c>
      <c r="O1194">
        <v>2</v>
      </c>
      <c r="P1194">
        <v>2</v>
      </c>
      <c r="Q1194">
        <v>2</v>
      </c>
      <c r="S1194" s="4"/>
      <c r="T1194" s="10"/>
    </row>
    <row r="1195" spans="5:20" x14ac:dyDescent="0.2">
      <c r="E1195" s="9" t="s">
        <v>20</v>
      </c>
      <c r="K1195" t="str">
        <v>the</v>
      </c>
      <c r="L1195" s="4" t="str">
        <f t="shared" si="18"/>
        <v>the</v>
      </c>
      <c r="M1195" t="str">
        <v>nothing's</v>
      </c>
      <c r="N1195" s="4" cm="1">
        <f t="array" ref="N1195">SUM(--(_xlfn.TEXTSPLIT($J$1170,, " ") = M1195))</f>
        <v>2</v>
      </c>
      <c r="O1195">
        <v>2</v>
      </c>
      <c r="P1195">
        <v>2</v>
      </c>
      <c r="Q1195">
        <v>2</v>
      </c>
      <c r="S1195" s="4"/>
      <c r="T1195" s="10"/>
    </row>
    <row r="1196" spans="5:20" x14ac:dyDescent="0.2">
      <c r="E1196" s="9" t="s">
        <v>20</v>
      </c>
      <c r="K1196" t="str">
        <v xml:space="preserve">numbers
</v>
      </c>
      <c r="L1196" s="4" t="str">
        <f t="shared" si="18"/>
        <v xml:space="preserve">numbers </v>
      </c>
      <c r="M1196" t="str">
        <v xml:space="preserve">left
</v>
      </c>
      <c r="N1196" s="4" cm="1">
        <f t="array" ref="N1196">SUM(--(_xlfn.TEXTSPLIT($J$1170,, " ") = M1196))</f>
        <v>2</v>
      </c>
      <c r="O1196">
        <v>2</v>
      </c>
      <c r="P1196">
        <v>2</v>
      </c>
      <c r="Q1196">
        <v>2</v>
      </c>
      <c r="S1196" s="4"/>
      <c r="T1196" s="10"/>
    </row>
    <row r="1197" spans="5:20" x14ac:dyDescent="0.2">
      <c r="E1197" s="9" t="s">
        <v>20</v>
      </c>
      <c r="K1197" t="str">
        <v>I'll</v>
      </c>
      <c r="L1197" s="4" t="str">
        <f t="shared" si="18"/>
        <v>I ll</v>
      </c>
      <c r="M1197" t="str">
        <v>Oh-oh
(</v>
      </c>
      <c r="N1197" s="4" cm="1">
        <f t="array" ref="N1197">SUM(--(_xlfn.TEXTSPLIT($J$1170,, " ") = M1197))</f>
        <v>1</v>
      </c>
      <c r="O1197">
        <v>2</v>
      </c>
      <c r="P1197">
        <v>1</v>
      </c>
      <c r="Q1197">
        <v>2</v>
      </c>
      <c r="S1197" s="4"/>
      <c r="T1197" s="10"/>
    </row>
    <row r="1198" spans="5:20" x14ac:dyDescent="0.2">
      <c r="E1198" s="9" t="s">
        <v>20</v>
      </c>
      <c r="K1198" t="str">
        <v>show</v>
      </c>
      <c r="L1198" s="4" t="str">
        <f t="shared" si="18"/>
        <v>show</v>
      </c>
      <c r="M1198" t="str">
        <v>Yeah,</v>
      </c>
      <c r="N1198" s="4" cm="1">
        <f t="array" ref="N1198">SUM(--(_xlfn.TEXTSPLIT($J$1170,, " ") = M1198))</f>
        <v>2</v>
      </c>
      <c r="O1198">
        <v>2</v>
      </c>
      <c r="P1198">
        <v>2</v>
      </c>
      <c r="Q1198">
        <v>2</v>
      </c>
      <c r="S1198" s="4"/>
      <c r="T1198" s="10"/>
    </row>
    <row r="1199" spans="5:20" x14ac:dyDescent="0.2">
      <c r="E1199" s="9" t="s">
        <v>20</v>
      </c>
      <c r="K1199" t="str">
        <v>you</v>
      </c>
      <c r="L1199" s="4" t="str">
        <f t="shared" si="18"/>
        <v>you</v>
      </c>
      <c r="M1199" t="str">
        <v>yeah)</v>
      </c>
      <c r="N1199" s="4" cm="1">
        <f t="array" ref="N1199">SUM(--(_xlfn.TEXTSPLIT($J$1170,, " ") = M1199))</f>
        <v>6</v>
      </c>
      <c r="O1199">
        <v>2</v>
      </c>
      <c r="P1199">
        <v>6</v>
      </c>
      <c r="Q1199">
        <v>2</v>
      </c>
      <c r="S1199" s="4"/>
      <c r="T1199" s="10"/>
    </row>
    <row r="1200" spans="5:20" x14ac:dyDescent="0.2">
      <c r="E1200" s="9" t="s">
        <v>20</v>
      </c>
      <c r="K1200" t="str">
        <v>nothing's</v>
      </c>
      <c r="L1200" s="4" t="str">
        <f t="shared" si="18"/>
        <v>nothing s</v>
      </c>
      <c r="M1200" t="str">
        <v>I'm</v>
      </c>
      <c r="N1200" s="4" cm="1">
        <f t="array" ref="N1200">SUM(--(_xlfn.TEXTSPLIT($J$1170,, " ") = M1200))</f>
        <v>5</v>
      </c>
      <c r="O1200">
        <v>2</v>
      </c>
      <c r="P1200">
        <v>5</v>
      </c>
      <c r="Q1200">
        <v>2</v>
      </c>
      <c r="S1200" s="4"/>
      <c r="T1200" s="10"/>
    </row>
    <row r="1201" spans="5:20" x14ac:dyDescent="0.2">
      <c r="E1201" s="9" t="s">
        <v>20</v>
      </c>
      <c r="K1201" t="str">
        <v xml:space="preserve">left
</v>
      </c>
      <c r="L1201" s="4" t="str">
        <f t="shared" si="18"/>
        <v xml:space="preserve">left </v>
      </c>
      <c r="M1201" t="str">
        <v>biting</v>
      </c>
      <c r="N1201" s="4" cm="1">
        <f t="array" ref="N1201">SUM(--(_xlfn.TEXTSPLIT($J$1170,, " ") = M1201))</f>
        <v>3</v>
      </c>
      <c r="O1201">
        <v>2</v>
      </c>
      <c r="P1201">
        <v>3</v>
      </c>
      <c r="Q1201">
        <v>2</v>
      </c>
      <c r="S1201" s="4"/>
      <c r="T1201" s="10"/>
    </row>
    <row r="1202" spans="5:20" x14ac:dyDescent="0.2">
      <c r="E1202" s="9" t="s">
        <v>20</v>
      </c>
      <c r="K1202" t="str">
        <v>Oh-oh
(</v>
      </c>
      <c r="L1202" s="4" t="str">
        <f t="shared" si="18"/>
        <v xml:space="preserve">Oh oh   </v>
      </c>
      <c r="M1202" t="str">
        <v>down</v>
      </c>
      <c r="N1202" s="4" cm="1">
        <f t="array" ref="N1202">SUM(--(_xlfn.TEXTSPLIT($J$1170,, " ") = M1202))</f>
        <v>3</v>
      </c>
      <c r="O1202">
        <v>2</v>
      </c>
      <c r="P1202">
        <v>3</v>
      </c>
      <c r="Q1202">
        <v>2</v>
      </c>
      <c r="S1202" s="4"/>
      <c r="T1202" s="10"/>
    </row>
    <row r="1203" spans="5:20" x14ac:dyDescent="0.2">
      <c r="E1203" s="9" t="s">
        <v>20</v>
      </c>
      <c r="K1203" t="str">
        <v>Yeah,</v>
      </c>
      <c r="L1203" s="4" t="str">
        <f t="shared" si="18"/>
        <v xml:space="preserve">Yeah </v>
      </c>
      <c r="M1203" t="str">
        <v>on</v>
      </c>
      <c r="N1203" s="4" cm="1">
        <f t="array" ref="N1203">SUM(--(_xlfn.TEXTSPLIT($J$1170,, " ") = M1203))</f>
        <v>5</v>
      </c>
      <c r="O1203">
        <v>2</v>
      </c>
      <c r="P1203">
        <v>5</v>
      </c>
      <c r="Q1203">
        <v>2</v>
      </c>
      <c r="S1203" s="4"/>
      <c r="T1203" s="10"/>
    </row>
    <row r="1204" spans="5:20" x14ac:dyDescent="0.2">
      <c r="E1204" s="9" t="s">
        <v>20</v>
      </c>
      <c r="K1204" t="str">
        <v>yeah)</v>
      </c>
      <c r="L1204" s="4" t="str">
        <f t="shared" si="18"/>
        <v xml:space="preserve">yeah </v>
      </c>
      <c r="M1204" t="str">
        <v>shirtsleeve
(</v>
      </c>
      <c r="N1204" s="4" cm="1">
        <f t="array" ref="N1204">SUM(--(_xlfn.TEXTSPLIT($J$1170,, " ") = M1204))</f>
        <v>1</v>
      </c>
      <c r="O1204">
        <v>2</v>
      </c>
      <c r="P1204">
        <v>1</v>
      </c>
      <c r="Q1204">
        <v>2</v>
      </c>
      <c r="S1204" s="4"/>
      <c r="T1204" s="10"/>
    </row>
    <row r="1205" spans="5:20" x14ac:dyDescent="0.2">
      <c r="E1205" s="9" t="s">
        <v>20</v>
      </c>
      <c r="K1205" t="str">
        <v>I'm</v>
      </c>
      <c r="L1205" s="4" t="str">
        <f t="shared" si="18"/>
        <v>I m</v>
      </c>
      <c r="M1205" t="str">
        <v>lash</v>
      </c>
      <c r="N1205" s="4" cm="1">
        <f t="array" ref="N1205">SUM(--(_xlfn.TEXTSPLIT($J$1170,, " ") = M1205))</f>
        <v>8</v>
      </c>
      <c r="O1205">
        <v>2</v>
      </c>
      <c r="P1205">
        <v>8</v>
      </c>
      <c r="Q1205">
        <v>2</v>
      </c>
      <c r="S1205" s="4"/>
      <c r="T1205" s="10"/>
    </row>
    <row r="1206" spans="5:20" x14ac:dyDescent="0.2">
      <c r="E1206" s="9" t="s">
        <v>20</v>
      </c>
      <c r="K1206" t="str">
        <v>biting</v>
      </c>
      <c r="L1206" s="4" t="str">
        <f t="shared" si="18"/>
        <v>biting</v>
      </c>
      <c r="M1206" t="str">
        <v>out</v>
      </c>
      <c r="N1206" s="4" cm="1">
        <f t="array" ref="N1206">SUM(--(_xlfn.TEXTSPLIT($J$1170,, " ") = M1206))</f>
        <v>3</v>
      </c>
      <c r="O1206">
        <v>2</v>
      </c>
      <c r="P1206">
        <v>3</v>
      </c>
      <c r="Q1206">
        <v>2</v>
      </c>
      <c r="S1206" s="4"/>
      <c r="T1206" s="10"/>
    </row>
    <row r="1207" spans="5:20" x14ac:dyDescent="0.2">
      <c r="E1207" s="9" t="s">
        <v>20</v>
      </c>
      <c r="K1207" t="str">
        <v>down</v>
      </c>
      <c r="L1207" s="4" t="str">
        <f t="shared" si="18"/>
        <v>down</v>
      </c>
      <c r="M1207" t="str">
        <v>if</v>
      </c>
      <c r="N1207" s="4" cm="1">
        <f t="array" ref="N1207">SUM(--(_xlfn.TEXTSPLIT($J$1170,, " ") = M1207))</f>
        <v>4</v>
      </c>
      <c r="O1207">
        <v>2</v>
      </c>
      <c r="P1207">
        <v>4</v>
      </c>
      <c r="Q1207">
        <v>2</v>
      </c>
      <c r="S1207" s="4"/>
      <c r="T1207" s="10"/>
    </row>
    <row r="1208" spans="5:20" x14ac:dyDescent="0.2">
      <c r="E1208" s="9" t="s">
        <v>20</v>
      </c>
      <c r="K1208" t="str">
        <v>on</v>
      </c>
      <c r="L1208" s="4" t="str">
        <f t="shared" si="18"/>
        <v>on</v>
      </c>
      <c r="M1208" t="str">
        <v>you're</v>
      </c>
      <c r="N1208" s="4" cm="1">
        <f t="array" ref="N1208">SUM(--(_xlfn.TEXTSPLIT($J$1170,, " ") = M1208))</f>
        <v>2</v>
      </c>
      <c r="O1208">
        <v>2</v>
      </c>
      <c r="P1208">
        <v>2</v>
      </c>
      <c r="Q1208">
        <v>2</v>
      </c>
      <c r="S1208" s="4"/>
      <c r="T1208" s="10"/>
    </row>
    <row r="1209" spans="5:20" x14ac:dyDescent="0.2">
      <c r="E1209" s="9" t="s">
        <v>20</v>
      </c>
      <c r="K1209" t="str">
        <v>my</v>
      </c>
      <c r="L1209" s="4" t="str">
        <f t="shared" si="18"/>
        <v>my</v>
      </c>
      <c r="M1209" t="str">
        <v>in</v>
      </c>
      <c r="N1209" s="4" cm="1">
        <f t="array" ref="N1209">SUM(--(_xlfn.TEXTSPLIT($J$1170,, " ") = M1209))</f>
        <v>2</v>
      </c>
      <c r="O1209">
        <v>2</v>
      </c>
      <c r="P1209">
        <v>2</v>
      </c>
      <c r="Q1209">
        <v>2</v>
      </c>
      <c r="S1209" s="4"/>
      <c r="T1209" s="10"/>
    </row>
    <row r="1210" spans="5:20" x14ac:dyDescent="0.2">
      <c r="E1210" s="9" t="s">
        <v>20</v>
      </c>
      <c r="K1210" t="str">
        <v>shirtsleeve
(</v>
      </c>
      <c r="L1210" s="4" t="str">
        <f t="shared" ref="L1210:L1241" si="19">_xlfn.REGEXREPLACE(C1210, "[^A-Za-z ]", " ")</f>
        <v/>
      </c>
      <c r="M1210" t="str">
        <v>arm's</v>
      </c>
      <c r="N1210" s="4" cm="1">
        <f t="array" ref="N1210">SUM(--(_xlfn.TEXTSPLIT($J$1170,, " ") = M1210))</f>
        <v>2</v>
      </c>
      <c r="O1210">
        <v>2</v>
      </c>
      <c r="P1210">
        <v>2</v>
      </c>
      <c r="Q1210">
        <v>2</v>
      </c>
      <c r="S1210" s="4"/>
      <c r="T1210" s="10"/>
    </row>
    <row r="1211" spans="5:20" x14ac:dyDescent="0.2">
      <c r="E1211" s="9" t="s">
        <v>20</v>
      </c>
      <c r="K1211" t="str">
        <v>Yeah,</v>
      </c>
      <c r="L1211" s="4" t="str">
        <f t="shared" si="19"/>
        <v/>
      </c>
      <c r="M1211" t="str">
        <v xml:space="preserve">reach
</v>
      </c>
      <c r="N1211" s="4" cm="1">
        <f t="array" ref="N1211">SUM(--(_xlfn.TEXTSPLIT($J$1170,, " ") = M1211))</f>
        <v>2</v>
      </c>
      <c r="O1211">
        <v>2</v>
      </c>
      <c r="P1211">
        <v>2</v>
      </c>
      <c r="Q1211">
        <v>2</v>
      </c>
      <c r="S1211" s="4"/>
      <c r="T1211" s="10"/>
    </row>
    <row r="1212" spans="5:20" x14ac:dyDescent="0.2">
      <c r="E1212" s="9" t="s">
        <v>20</v>
      </c>
      <c r="K1212" t="str">
        <v>yeah)</v>
      </c>
      <c r="L1212" s="4" t="str">
        <f t="shared" si="19"/>
        <v/>
      </c>
      <c r="M1212" t="str">
        <v>(Yeah,</v>
      </c>
      <c r="N1212" s="4" cm="1">
        <f t="array" ref="N1212">SUM(--(_xlfn.TEXTSPLIT($J$1170,, " ") = M1212))</f>
        <v>4</v>
      </c>
      <c r="O1212">
        <v>2</v>
      </c>
      <c r="P1212">
        <v>4</v>
      </c>
      <c r="Q1212">
        <v>2</v>
      </c>
      <c r="S1212" s="4"/>
      <c r="T1212" s="10"/>
    </row>
    <row r="1213" spans="5:20" x14ac:dyDescent="0.2">
      <c r="E1213" s="9" t="s">
        <v>20</v>
      </c>
      <c r="K1213" t="str">
        <v>I'll</v>
      </c>
      <c r="L1213" s="4" t="str">
        <f t="shared" si="19"/>
        <v/>
      </c>
      <c r="M1213" t="str">
        <v>so</v>
      </c>
      <c r="N1213" s="4" cm="1">
        <f t="array" ref="N1213">SUM(--(_xlfn.TEXTSPLIT($J$1170,, " ") = M1213))</f>
        <v>2</v>
      </c>
      <c r="O1213">
        <v>2</v>
      </c>
      <c r="P1213">
        <v>2</v>
      </c>
      <c r="Q1213">
        <v>2</v>
      </c>
      <c r="S1213" s="4"/>
      <c r="T1213" s="10"/>
    </row>
    <row r="1214" spans="5:20" x14ac:dyDescent="0.2">
      <c r="E1214" s="9" t="s">
        <v>20</v>
      </c>
      <c r="K1214" t="str">
        <v>lash</v>
      </c>
      <c r="L1214" s="4" t="str">
        <f t="shared" si="19"/>
        <v/>
      </c>
      <c r="M1214" t="str">
        <v>lost,</v>
      </c>
      <c r="N1214" s="4" cm="1">
        <f t="array" ref="N1214">SUM(--(_xlfn.TEXTSPLIT($J$1170,, " ") = M1214))</f>
        <v>2</v>
      </c>
      <c r="O1214">
        <v>2</v>
      </c>
      <c r="P1214">
        <v>2</v>
      </c>
      <c r="Q1214">
        <v>2</v>
      </c>
      <c r="S1214" s="4"/>
      <c r="T1214" s="10"/>
    </row>
    <row r="1215" spans="5:20" x14ac:dyDescent="0.2">
      <c r="E1215" s="9" t="s">
        <v>20</v>
      </c>
      <c r="K1215" t="str">
        <v>out</v>
      </c>
      <c r="L1215" s="4" t="str">
        <f t="shared" si="19"/>
        <v/>
      </c>
      <c r="M1215" t="str">
        <v>like,</v>
      </c>
      <c r="N1215" s="4" cm="1">
        <f t="array" ref="N1215">SUM(--(_xlfn.TEXTSPLIT($J$1170,, " ") = M1215))</f>
        <v>5</v>
      </c>
      <c r="O1215">
        <v>2</v>
      </c>
      <c r="P1215">
        <v>5</v>
      </c>
      <c r="Q1215">
        <v>2</v>
      </c>
      <c r="S1215" s="4"/>
      <c r="T1215" s="10"/>
    </row>
    <row r="1216" spans="5:20" x14ac:dyDescent="0.2">
      <c r="E1216" s="9" t="s">
        <v>20</v>
      </c>
      <c r="K1216" t="str">
        <v>if</v>
      </c>
      <c r="L1216" s="4" t="str">
        <f t="shared" si="19"/>
        <v/>
      </c>
      <c r="M1216" t="str">
        <v>what</v>
      </c>
      <c r="N1216" s="4" cm="1">
        <f t="array" ref="N1216">SUM(--(_xlfn.TEXTSPLIT($J$1170,, " ") = M1216))</f>
        <v>3</v>
      </c>
      <c r="O1216">
        <v>2</v>
      </c>
      <c r="P1216">
        <v>3</v>
      </c>
      <c r="Q1216">
        <v>2</v>
      </c>
      <c r="S1216" s="4"/>
      <c r="T1216" s="10"/>
    </row>
    <row r="1217" spans="5:20" x14ac:dyDescent="0.2">
      <c r="E1217" s="9" t="s">
        <v>20</v>
      </c>
      <c r="K1217" t="str">
        <v>you're</v>
      </c>
      <c r="L1217" s="4" t="str">
        <f t="shared" si="19"/>
        <v/>
      </c>
      <c r="M1217" t="str">
        <v>is</v>
      </c>
      <c r="N1217" s="4" cm="1">
        <f t="array" ref="N1217">SUM(--(_xlfn.TEXTSPLIT($J$1170,, " ") = M1217))</f>
        <v>4</v>
      </c>
      <c r="O1217">
        <v>2</v>
      </c>
      <c r="P1217">
        <v>4</v>
      </c>
      <c r="Q1217">
        <v>2</v>
      </c>
      <c r="S1217" s="4"/>
      <c r="T1217" s="10"/>
    </row>
    <row r="1218" spans="5:20" x14ac:dyDescent="0.2">
      <c r="E1218" s="9" t="s">
        <v>20</v>
      </c>
      <c r="K1218" t="str">
        <v>in</v>
      </c>
      <c r="L1218" s="4" t="str">
        <f t="shared" si="19"/>
        <v/>
      </c>
      <c r="M1218" t="str">
        <v xml:space="preserve">happening?
</v>
      </c>
      <c r="N1218" s="4" cm="1">
        <f t="array" ref="N1218">SUM(--(_xlfn.TEXTSPLIT($J$1170,, " ") = M1218))</f>
        <v>2</v>
      </c>
      <c r="O1218">
        <v>2</v>
      </c>
      <c r="P1218">
        <v>2</v>
      </c>
      <c r="Q1218">
        <v>2</v>
      </c>
      <c r="S1218" s="4"/>
      <c r="T1218" s="10"/>
    </row>
    <row r="1219" spans="5:20" x14ac:dyDescent="0.2">
      <c r="E1219" s="9" t="s">
        <v>20</v>
      </c>
      <c r="K1219" t="str">
        <v>arm's</v>
      </c>
      <c r="L1219" s="4" t="str">
        <f t="shared" si="19"/>
        <v/>
      </c>
      <c r="M1219" t="str">
        <v xml:space="preserve">garbage
</v>
      </c>
      <c r="N1219" s="4" cm="1">
        <f t="array" ref="N1219">SUM(--(_xlfn.TEXTSPLIT($J$1170,, " ") = M1219))</f>
        <v>1</v>
      </c>
      <c r="O1219">
        <v>2</v>
      </c>
      <c r="P1219">
        <v>1</v>
      </c>
      <c r="Q1219">
        <v>2</v>
      </c>
      <c r="S1219" s="4"/>
      <c r="T1219" s="10"/>
    </row>
    <row r="1220" spans="5:20" x14ac:dyDescent="0.2">
      <c r="E1220" s="9" t="s">
        <v>20</v>
      </c>
      <c r="K1220" t="str">
        <v xml:space="preserve">reach
</v>
      </c>
      <c r="L1220" s="4" t="str">
        <f t="shared" si="19"/>
        <v/>
      </c>
      <c r="M1220" t="str">
        <v>Ooh,</v>
      </c>
      <c r="N1220" s="4" cm="1">
        <f t="array" ref="N1220">SUM(--(_xlfn.TEXTSPLIT($J$1170,, " ") = M1220))</f>
        <v>1</v>
      </c>
      <c r="O1220">
        <v>2</v>
      </c>
      <c r="P1220">
        <v>1</v>
      </c>
      <c r="Q1220">
        <v>2</v>
      </c>
      <c r="S1220" s="4"/>
      <c r="T1220" s="10"/>
    </row>
    <row r="1221" spans="5:20" x14ac:dyDescent="0.2">
      <c r="E1221" s="9" t="s">
        <v>20</v>
      </c>
      <c r="K1221" t="str">
        <v>(Yeah,</v>
      </c>
      <c r="L1221" s="4" t="str">
        <f t="shared" si="19"/>
        <v/>
      </c>
      <c r="M1221" t="str">
        <v xml:space="preserve">yeah
</v>
      </c>
      <c r="N1221" s="4" cm="1">
        <f t="array" ref="N1221">SUM(--(_xlfn.TEXTSPLIT($J$1170,, " ") = M1221))</f>
        <v>1</v>
      </c>
      <c r="O1221">
        <v>2</v>
      </c>
      <c r="P1221">
        <v>1</v>
      </c>
      <c r="Q1221">
        <v>2</v>
      </c>
      <c r="S1221" s="4"/>
      <c r="T1221" s="10"/>
    </row>
    <row r="1222" spans="5:20" x14ac:dyDescent="0.2">
      <c r="E1222" s="9" t="s">
        <v>20</v>
      </c>
      <c r="K1222" t="str">
        <v>yeah)</v>
      </c>
      <c r="L1222" s="4" t="str">
        <f t="shared" si="19"/>
        <v/>
      </c>
      <c r="M1222" t="str">
        <v>can't</v>
      </c>
      <c r="N1222" s="4" cm="1">
        <f t="array" ref="N1222">SUM(--(_xlfn.TEXTSPLIT($J$1170,, " ") = M1222))</f>
        <v>1</v>
      </c>
      <c r="O1222">
        <v>2</v>
      </c>
      <c r="P1222">
        <v>1</v>
      </c>
      <c r="Q1222">
        <v>2</v>
      </c>
      <c r="S1222" s="4"/>
      <c r="T1222" s="10"/>
    </row>
    <row r="1223" spans="5:20" x14ac:dyDescent="0.2">
      <c r="E1223" s="9" t="s">
        <v>20</v>
      </c>
      <c r="K1223" t="str">
        <v>I'm</v>
      </c>
      <c r="L1223" s="4" t="str">
        <f t="shared" si="19"/>
        <v/>
      </c>
      <c r="M1223" t="str">
        <v xml:space="preserve">decide
</v>
      </c>
      <c r="N1223" s="4" cm="1">
        <f t="array" ref="N1223">SUM(--(_xlfn.TEXTSPLIT($J$1170,, " ") = M1223))</f>
        <v>1</v>
      </c>
      <c r="O1223">
        <v>2</v>
      </c>
      <c r="P1223">
        <v>1</v>
      </c>
      <c r="Q1223">
        <v>2</v>
      </c>
      <c r="S1223" s="4"/>
      <c r="T1223" s="10"/>
    </row>
    <row r="1224" spans="5:20" x14ac:dyDescent="0.2">
      <c r="E1224" s="9" t="s">
        <v>20</v>
      </c>
      <c r="K1224" t="str">
        <v>so</v>
      </c>
      <c r="L1224" s="4" t="str">
        <f t="shared" si="19"/>
        <v/>
      </c>
      <c r="M1224" t="str">
        <v>could</v>
      </c>
      <c r="N1224" s="4" cm="1">
        <f t="array" ref="N1224">SUM(--(_xlfn.TEXTSPLIT($J$1170,, " ") = M1224))</f>
        <v>1</v>
      </c>
      <c r="O1224">
        <v>2</v>
      </c>
      <c r="P1224">
        <v>1</v>
      </c>
      <c r="Q1224">
        <v>2</v>
      </c>
      <c r="S1224" s="4"/>
      <c r="T1224" s="10"/>
    </row>
    <row r="1225" spans="5:20" x14ac:dyDescent="0.2">
      <c r="E1225" s="9" t="s">
        <v>20</v>
      </c>
      <c r="K1225" t="str">
        <v>lost,</v>
      </c>
      <c r="L1225" s="4" t="str">
        <f t="shared" si="19"/>
        <v/>
      </c>
      <c r="M1225" t="str">
        <v>more</v>
      </c>
      <c r="N1225" s="4" cm="1">
        <f t="array" ref="N1225">SUM(--(_xlfn.TEXTSPLIT($J$1170,, " ") = M1225))</f>
        <v>1</v>
      </c>
      <c r="O1225">
        <v>2</v>
      </c>
      <c r="P1225">
        <v>1</v>
      </c>
      <c r="Q1225">
        <v>2</v>
      </c>
      <c r="S1225" s="4"/>
      <c r="T1225" s="10"/>
    </row>
    <row r="1226" spans="5:20" x14ac:dyDescent="0.2">
      <c r="E1226" s="9" t="s">
        <v>20</v>
      </c>
      <c r="K1226" t="str">
        <v>like,</v>
      </c>
      <c r="L1226" s="4" t="str">
        <f t="shared" si="19"/>
        <v/>
      </c>
      <c r="M1226" t="str">
        <v>just</v>
      </c>
      <c r="N1226" s="4" cm="1">
        <f t="array" ref="N1226">SUM(--(_xlfn.TEXTSPLIT($J$1170,, " ") = M1226))</f>
        <v>1</v>
      </c>
      <c r="O1226">
        <v>2</v>
      </c>
      <c r="P1226">
        <v>1</v>
      </c>
      <c r="Q1226">
        <v>2</v>
      </c>
      <c r="S1226" s="4"/>
      <c r="T1226" s="10"/>
    </row>
    <row r="1227" spans="5:20" x14ac:dyDescent="0.2">
      <c r="E1227" s="9" t="s">
        <v>20</v>
      </c>
      <c r="K1227" t="str">
        <v>what</v>
      </c>
      <c r="L1227" s="4" t="str">
        <f t="shared" si="19"/>
        <v/>
      </c>
      <c r="M1227" t="str">
        <v>knew</v>
      </c>
      <c r="N1227" s="4" cm="1">
        <f t="array" ref="N1227">SUM(--(_xlfn.TEXTSPLIT($J$1170,, " ") = M1227))</f>
        <v>1</v>
      </c>
      <c r="O1227">
        <v>2</v>
      </c>
      <c r="P1227">
        <v>1</v>
      </c>
      <c r="Q1227">
        <v>2</v>
      </c>
      <c r="S1227" s="4"/>
      <c r="T1227" s="10"/>
    </row>
    <row r="1228" spans="5:20" x14ac:dyDescent="0.2">
      <c r="E1228" s="9" t="s">
        <v>20</v>
      </c>
      <c r="K1228" t="str">
        <v>is</v>
      </c>
      <c r="L1228" s="4" t="str">
        <f t="shared" si="19"/>
        <v/>
      </c>
      <c r="M1228" t="str">
        <v>less
When</v>
      </c>
      <c r="N1228" s="4" cm="1">
        <f t="array" ref="N1228">SUM(--(_xlfn.TEXTSPLIT($J$1170,, " ") = M1228))</f>
        <v>1</v>
      </c>
      <c r="O1228">
        <v>2</v>
      </c>
      <c r="P1228">
        <v>1</v>
      </c>
      <c r="Q1228">
        <v>2</v>
      </c>
      <c r="S1228" s="4"/>
      <c r="T1228" s="10"/>
    </row>
    <row r="1229" spans="5:20" x14ac:dyDescent="0.2">
      <c r="E1229" s="9" t="s">
        <v>20</v>
      </c>
      <c r="K1229" t="str">
        <v xml:space="preserve">happening?
</v>
      </c>
      <c r="L1229" s="4" t="str">
        <f t="shared" si="19"/>
        <v/>
      </c>
      <c r="M1229" t="str">
        <v>was</v>
      </c>
      <c r="N1229" s="4" cm="1">
        <f t="array" ref="N1229">SUM(--(_xlfn.TEXTSPLIT($J$1170,, " ") = M1229))</f>
        <v>1</v>
      </c>
      <c r="O1229">
        <v>2</v>
      </c>
      <c r="P1229">
        <v>1</v>
      </c>
      <c r="Q1229">
        <v>2</v>
      </c>
      <c r="S1229" s="4"/>
      <c r="T1229" s="10"/>
    </row>
    <row r="1230" spans="5:20" x14ac:dyDescent="0.2">
      <c r="E1230" s="9" t="s">
        <v>20</v>
      </c>
      <c r="K1230" t="str">
        <v>Like,</v>
      </c>
      <c r="L1230" s="4" t="str">
        <f t="shared" si="19"/>
        <v/>
      </c>
      <c r="M1230" t="str">
        <v xml:space="preserve">younger
</v>
      </c>
      <c r="N1230" s="4" cm="1">
        <f t="array" ref="N1230">SUM(--(_xlfn.TEXTSPLIT($J$1170,, " ") = M1230))</f>
        <v>1</v>
      </c>
      <c r="O1230">
        <v>2</v>
      </c>
      <c r="P1230">
        <v>1</v>
      </c>
      <c r="Q1230">
        <v>2</v>
      </c>
      <c r="S1230" s="4"/>
      <c r="T1230" s="10"/>
    </row>
    <row r="1231" spans="5:20" x14ac:dyDescent="0.2">
      <c r="E1231" s="9" t="s">
        <v>20</v>
      </c>
      <c r="K1231" t="str">
        <v xml:space="preserve">like
</v>
      </c>
      <c r="L1231" s="4" t="str">
        <f t="shared" si="19"/>
        <v/>
      </c>
      <c r="M1231" t="str">
        <v>Bright-eyed</v>
      </c>
      <c r="N1231" s="4" cm="1">
        <f t="array" ref="N1231">SUM(--(_xlfn.TEXTSPLIT($J$1170,, " ") = M1231))</f>
        <v>1</v>
      </c>
      <c r="O1231">
        <v>2</v>
      </c>
      <c r="P1231">
        <v>1</v>
      </c>
      <c r="Q1231">
        <v>2</v>
      </c>
      <c r="S1231" s="4"/>
      <c r="T1231" s="10"/>
    </row>
    <row r="1232" spans="5:20" x14ac:dyDescent="0.2">
      <c r="E1232" s="9" t="s">
        <v>20</v>
      </c>
      <c r="K1232" t="str">
        <v>I</v>
      </c>
      <c r="L1232" s="4" t="str">
        <f t="shared" si="19"/>
        <v/>
      </c>
      <c r="M1232" t="str">
        <v>with</v>
      </c>
      <c r="N1232" s="4" cm="1">
        <f t="array" ref="N1232">SUM(--(_xlfn.TEXTSPLIT($J$1170,, " ") = M1232))</f>
        <v>1</v>
      </c>
      <c r="O1232">
        <v>2</v>
      </c>
      <c r="P1232">
        <v>1</v>
      </c>
      <c r="Q1232">
        <v>2</v>
      </c>
      <c r="S1232" s="4"/>
      <c r="T1232" s="10"/>
    </row>
    <row r="1233" spans="5:20" x14ac:dyDescent="0.2">
      <c r="E1233" s="9" t="s">
        <v>20</v>
      </c>
      <c r="K1233" t="str">
        <v>feel</v>
      </c>
      <c r="L1233" s="4" t="str">
        <f t="shared" si="19"/>
        <v/>
      </c>
      <c r="M1233" t="str">
        <v xml:space="preserve">wonder
</v>
      </c>
      <c r="N1233" s="4" cm="1">
        <f t="array" ref="N1233">SUM(--(_xlfn.TEXTSPLIT($J$1170,, " ") = M1233))</f>
        <v>1</v>
      </c>
      <c r="O1233">
        <v>2</v>
      </c>
      <c r="P1233">
        <v>1</v>
      </c>
      <c r="Q1233">
        <v>2</v>
      </c>
      <c r="S1233" s="4"/>
      <c r="T1233" s="10"/>
    </row>
    <row r="1234" spans="5:20" x14ac:dyDescent="0.2">
      <c r="E1234" s="9" t="s">
        <v>20</v>
      </c>
      <c r="K1234" t="str">
        <v>like</v>
      </c>
      <c r="L1234" s="4" t="str">
        <f t="shared" si="19"/>
        <v/>
      </c>
      <c r="M1234" t="str">
        <v>know</v>
      </c>
      <c r="N1234" s="4" cm="1">
        <f t="array" ref="N1234">SUM(--(_xlfn.TEXTSPLIT($J$1170,, " ") = M1234))</f>
        <v>1</v>
      </c>
      <c r="O1234">
        <v>2</v>
      </c>
      <c r="P1234">
        <v>1</v>
      </c>
      <c r="Q1234">
        <v>2</v>
      </c>
      <c r="S1234" s="4"/>
      <c r="T1234" s="10"/>
    </row>
    <row r="1235" spans="5:20" x14ac:dyDescent="0.2">
      <c r="E1235" s="9" t="s">
        <v>20</v>
      </c>
      <c r="K1235" t="str">
        <v xml:space="preserve">garbage
</v>
      </c>
      <c r="L1235" s="4" t="str">
        <f t="shared" si="19"/>
        <v/>
      </c>
      <c r="M1235" t="str">
        <v>which</v>
      </c>
      <c r="N1235" s="4" cm="1">
        <f t="array" ref="N1235">SUM(--(_xlfn.TEXTSPLIT($J$1170,, " ") = M1235))</f>
        <v>1</v>
      </c>
      <c r="O1235">
        <v>2</v>
      </c>
      <c r="P1235">
        <v>1</v>
      </c>
      <c r="Q1235">
        <v>2</v>
      </c>
      <c r="S1235" s="4"/>
      <c r="T1235" s="10"/>
    </row>
    <row r="1236" spans="5:20" x14ac:dyDescent="0.2">
      <c r="E1236" s="9" t="s">
        <v>20</v>
      </c>
      <c r="K1236" t="str">
        <v>Ooh,</v>
      </c>
      <c r="L1236" s="4" t="str">
        <f t="shared" si="19"/>
        <v/>
      </c>
      <c r="M1236" t="str">
        <v>name</v>
      </c>
      <c r="N1236" s="4" cm="1">
        <f t="array" ref="N1236">SUM(--(_xlfn.TEXTSPLIT($J$1170,, " ") = M1236))</f>
        <v>1</v>
      </c>
      <c r="O1236">
        <v>2</v>
      </c>
      <c r="P1236">
        <v>1</v>
      </c>
      <c r="Q1236">
        <v>2</v>
      </c>
      <c r="S1236" s="4"/>
      <c r="T1236" s="10"/>
    </row>
    <row r="1237" spans="5:20" x14ac:dyDescent="0.2">
      <c r="E1237" s="9" t="s">
        <v>20</v>
      </c>
      <c r="K1237" t="str">
        <v xml:space="preserve">yeah
</v>
      </c>
      <c r="L1237" s="4" t="str">
        <f t="shared" si="19"/>
        <v/>
      </c>
      <c r="M1237" t="str">
        <v>it's</v>
      </c>
      <c r="N1237" s="4" cm="1">
        <f t="array" ref="N1237">SUM(--(_xlfn.TEXTSPLIT($J$1170,, " ") = M1237))</f>
        <v>1</v>
      </c>
      <c r="O1237">
        <v>2</v>
      </c>
      <c r="P1237">
        <v>1</v>
      </c>
      <c r="Q1237">
        <v>2</v>
      </c>
      <c r="S1237" s="4"/>
      <c r="T1237" s="10"/>
    </row>
    <row r="1238" spans="5:20" x14ac:dyDescent="0.2">
      <c r="E1238" s="9" t="s">
        <v>20</v>
      </c>
      <c r="K1238" t="str">
        <v>I</v>
      </c>
      <c r="L1238" s="4" t="str">
        <f t="shared" si="19"/>
        <v/>
      </c>
      <c r="M1238" t="str">
        <v>under?</v>
      </c>
      <c r="N1238" s="4" cm="1">
        <f t="array" ref="N1238">SUM(--(_xlfn.TEXTSPLIT($J$1170,, " ") = M1238))</f>
        <v>1</v>
      </c>
      <c r="O1238">
        <v>2</v>
      </c>
      <c r="P1238">
        <v>1</v>
      </c>
      <c r="Q1238">
        <v>2</v>
      </c>
      <c r="S1238" s="4"/>
      <c r="T1238" s="10"/>
    </row>
    <row r="1239" spans="5:20" x14ac:dyDescent="0.2">
      <c r="E1239" s="9" t="s">
        <v>20</v>
      </c>
      <c r="K1239" t="str">
        <v>can't</v>
      </c>
      <c r="L1239" s="4" t="str">
        <f t="shared" si="19"/>
        <v/>
      </c>
      <c r="M1239" t="str">
        <v xml:space="preserve">(Oh-oh-oh)
</v>
      </c>
      <c r="N1239" s="4" cm="1">
        <f t="array" ref="N1239">SUM(--(_xlfn.TEXTSPLIT($J$1170,, " ") = M1239))</f>
        <v>1</v>
      </c>
      <c r="O1239">
        <v>2</v>
      </c>
      <c r="P1239">
        <v>1</v>
      </c>
      <c r="Q1239">
        <v>2</v>
      </c>
      <c r="S1239" s="4"/>
      <c r="T1239" s="10"/>
    </row>
    <row r="1240" spans="5:20" x14ac:dyDescent="0.2">
      <c r="E1240" s="9" t="s">
        <v>20</v>
      </c>
      <c r="K1240" t="str">
        <v xml:space="preserve">decide
</v>
      </c>
      <c r="L1240" s="4" t="str">
        <f t="shared" si="19"/>
        <v/>
      </c>
      <c r="M1240" t="str">
        <v xml:space="preserve">Oh-oh
</v>
      </c>
      <c r="N1240" s="4" cm="1">
        <f t="array" ref="N1240">SUM(--(_xlfn.TEXTSPLIT($J$1170,, " ") = M1240))</f>
        <v>1</v>
      </c>
      <c r="O1240">
        <v>2</v>
      </c>
      <c r="P1240">
        <v>1</v>
      </c>
      <c r="Q1240">
        <v>2</v>
      </c>
      <c r="S1240" s="4"/>
      <c r="T1240" s="10"/>
    </row>
    <row r="1241" spans="5:20" x14ac:dyDescent="0.2">
      <c r="E1241" s="9" t="s">
        <v>20</v>
      </c>
      <c r="K1241" t="str">
        <v/>
      </c>
      <c r="L1241" s="4" t="str">
        <f t="shared" si="19"/>
        <v/>
      </c>
      <c r="M1241" t="str">
        <v>shirt</v>
      </c>
      <c r="N1241" s="4" cm="1">
        <f t="array" ref="N1241">SUM(--(_xlfn.TEXTSPLIT($J$1170,, " ") = M1241))</f>
        <v>2</v>
      </c>
      <c r="O1241">
        <v>2</v>
      </c>
      <c r="P1241">
        <v>2</v>
      </c>
      <c r="Q1241">
        <v>2</v>
      </c>
      <c r="S1241" s="4"/>
      <c r="T1241" s="10"/>
    </row>
    <row r="1242" spans="5:20" x14ac:dyDescent="0.2">
      <c r="E1242" s="9" t="s">
        <v>20</v>
      </c>
      <c r="K1242" t="str">
        <v>If</v>
      </c>
      <c r="L1242" s="4" t="str">
        <f t="shared" ref="L1242:L1264" si="20">_xlfn.REGEXREPLACE(C1242, "[^A-Za-z ]", " ")</f>
        <v/>
      </c>
      <c r="M1242" t="str">
        <v xml:space="preserve">sleeve
</v>
      </c>
      <c r="N1242" s="4" cm="1">
        <f t="array" ref="N1242">SUM(--(_xlfn.TEXTSPLIT($J$1170,, " ") = M1242))</f>
        <v>2</v>
      </c>
      <c r="O1242">
        <v>2</v>
      </c>
      <c r="P1242">
        <v>2</v>
      </c>
      <c r="Q1242">
        <v>2</v>
      </c>
      <c r="S1242" s="4"/>
      <c r="T1242" s="10"/>
    </row>
    <row r="1243" spans="5:20" x14ac:dyDescent="0.2">
      <c r="E1243" s="9" t="s">
        <v>20</v>
      </c>
      <c r="K1243" t="str">
        <v>I</v>
      </c>
      <c r="L1243" s="4" t="str">
        <f t="shared" si="20"/>
        <v/>
      </c>
      <c r="M1243" t="str">
        <v xml:space="preserve">happening?
</v>
      </c>
      <c r="N1243" s="4" cm="1">
        <f t="array" ref="N1243">SUM(--(_xlfn.TEXTSPLIT($J$1170,, " ") = M1243))</f>
        <v>1</v>
      </c>
      <c r="O1243">
        <v>2</v>
      </c>
      <c r="P1243">
        <v>1</v>
      </c>
      <c r="Q1243">
        <v>2</v>
      </c>
      <c r="S1243" s="4"/>
      <c r="T1243" s="10"/>
    </row>
    <row r="1244" spans="5:20" x14ac:dyDescent="0.2">
      <c r="E1244" s="9" t="s">
        <v>20</v>
      </c>
      <c r="K1244" t="str">
        <v>could</v>
      </c>
      <c r="L1244" s="4" t="str">
        <f t="shared" si="20"/>
        <v/>
      </c>
      <c r="M1244" t="str">
        <v>Would</v>
      </c>
      <c r="N1244" s="4" cm="1">
        <f t="array" ref="N1244">SUM(--(_xlfn.TEXTSPLIT($J$1170,, " ") = M1244))</f>
        <v>1</v>
      </c>
      <c r="O1244">
        <v>2</v>
      </c>
      <c r="P1244">
        <v>1</v>
      </c>
      <c r="Q1244">
        <v>2</v>
      </c>
      <c r="S1244" s="4"/>
      <c r="T1244" s="10"/>
    </row>
    <row r="1245" spans="5:20" x14ac:dyDescent="0.2">
      <c r="E1245" s="9" t="s">
        <v>20</v>
      </c>
      <c r="K1245" t="str">
        <v>feel</v>
      </c>
      <c r="L1245" s="4" t="str">
        <f t="shared" si="20"/>
        <v/>
      </c>
      <c r="M1245" t="str">
        <v>move</v>
      </c>
      <c r="N1245" s="4" cm="1">
        <f t="array" ref="N1245">SUM(--(_xlfn.TEXTSPLIT($J$1170,, " ") = M1245))</f>
        <v>1</v>
      </c>
      <c r="O1245">
        <v>2</v>
      </c>
      <c r="P1245">
        <v>1</v>
      </c>
      <c r="Q1245">
        <v>2</v>
      </c>
      <c r="S1245" s="4"/>
      <c r="T1245" s="10"/>
    </row>
    <row r="1246" spans="5:20" x14ac:dyDescent="0.2">
      <c r="E1246" s="9" t="s">
        <v>20</v>
      </c>
      <c r="K1246" t="str">
        <v>more</v>
      </c>
      <c r="L1246" s="4" t="str">
        <f t="shared" si="20"/>
        <v/>
      </c>
      <c r="M1246" t="str">
        <v>closer</v>
      </c>
      <c r="N1246" s="4" cm="1">
        <f t="array" ref="N1246">SUM(--(_xlfn.TEXTSPLIT($J$1170,, " ") = M1246))</f>
        <v>1</v>
      </c>
      <c r="O1246">
        <v>2</v>
      </c>
      <c r="P1246">
        <v>1</v>
      </c>
      <c r="Q1246">
        <v>2</v>
      </c>
      <c r="S1246" s="4"/>
      <c r="T1246" s="10"/>
    </row>
    <row r="1247" spans="5:20" x14ac:dyDescent="0.2">
      <c r="E1247" s="9" t="s">
        <v>20</v>
      </c>
      <c r="K1247" t="str">
        <v>or</v>
      </c>
      <c r="L1247" s="4" t="str">
        <f t="shared" si="20"/>
        <v/>
      </c>
      <c r="M1247" t="str">
        <v>grew</v>
      </c>
      <c r="N1247" s="4" cm="1">
        <f t="array" ref="N1247">SUM(--(_xlfn.TEXTSPLIT($J$1170,, " ") = M1247))</f>
        <v>1</v>
      </c>
      <c r="O1247">
        <v>2</v>
      </c>
      <c r="P1247">
        <v>1</v>
      </c>
      <c r="Q1247">
        <v>2</v>
      </c>
      <c r="S1247" s="4"/>
      <c r="T1247" s="10"/>
    </row>
    <row r="1248" spans="5:20" x14ac:dyDescent="0.2">
      <c r="E1248" s="9" t="s">
        <v>20</v>
      </c>
      <c r="K1248" t="str">
        <v>I</v>
      </c>
      <c r="L1248" s="4" t="str">
        <f t="shared" si="20"/>
        <v/>
      </c>
      <c r="M1248" t="str">
        <v xml:space="preserve">quieter?
</v>
      </c>
      <c r="N1248" s="4" cm="1">
        <f t="array" ref="N1248">SUM(--(_xlfn.TEXTSPLIT($J$1170,, " ") = M1248))</f>
        <v>1</v>
      </c>
      <c r="O1248">
        <v>2</v>
      </c>
      <c r="P1248">
        <v>1</v>
      </c>
      <c r="Q1248">
        <v>2</v>
      </c>
      <c r="S1248" s="4"/>
      <c r="T1248" s="10"/>
    </row>
    <row r="1249" spans="5:20" x14ac:dyDescent="0.2">
      <c r="E1249" s="9" t="s">
        <v>20</v>
      </c>
      <c r="K1249" t="str">
        <v>just</v>
      </c>
      <c r="L1249" s="4" t="str">
        <f t="shared" si="20"/>
        <v/>
      </c>
      <c r="M1249" t="str">
        <v>Maybe</v>
      </c>
      <c r="N1249" s="4" cm="1">
        <f t="array" ref="N1249">SUM(--(_xlfn.TEXTSPLIT($J$1170,, " ") = M1249))</f>
        <v>2</v>
      </c>
      <c r="O1249">
        <v>2</v>
      </c>
      <c r="P1249">
        <v>2</v>
      </c>
      <c r="Q1249">
        <v>2</v>
      </c>
      <c r="S1249" s="4"/>
      <c r="T1249" s="10"/>
    </row>
    <row r="1250" spans="5:20" x14ac:dyDescent="0.2">
      <c r="E1250" s="9" t="s">
        <v>20</v>
      </c>
      <c r="K1250" t="str">
        <v>knew</v>
      </c>
      <c r="L1250" s="4" t="str">
        <f t="shared" si="20"/>
        <v/>
      </c>
      <c r="M1250" t="str">
        <v>this</v>
      </c>
      <c r="N1250" s="4" cm="1">
        <f t="array" ref="N1250">SUM(--(_xlfn.TEXTSPLIT($J$1170,, " ") = M1250))</f>
        <v>1</v>
      </c>
      <c r="O1250">
        <v>2</v>
      </c>
      <c r="P1250">
        <v>1</v>
      </c>
      <c r="Q1250">
        <v>2</v>
      </c>
      <c r="S1250" s="4"/>
      <c r="T1250" s="10"/>
    </row>
    <row r="1251" spans="5:20" x14ac:dyDescent="0.2">
      <c r="E1251" s="9" t="s">
        <v>20</v>
      </c>
      <c r="K1251" t="str">
        <v>less
When</v>
      </c>
      <c r="L1251" s="4" t="str">
        <f t="shared" si="20"/>
        <v/>
      </c>
      <c r="M1251" t="str">
        <v xml:space="preserve">you
</v>
      </c>
      <c r="N1251" s="4" cm="1">
        <f t="array" ref="N1251">SUM(--(_xlfn.TEXTSPLIT($J$1170,, " ") = M1251))</f>
        <v>1</v>
      </c>
      <c r="O1251">
        <v>2</v>
      </c>
      <c r="P1251">
        <v>1</v>
      </c>
      <c r="Q1251">
        <v>2</v>
      </c>
      <c r="S1251" s="4"/>
      <c r="T1251" s="10"/>
    </row>
    <row r="1252" spans="5:20" x14ac:dyDescent="0.2">
      <c r="E1252" s="9" t="s">
        <v>20</v>
      </c>
      <c r="K1252" t="str">
        <v>I</v>
      </c>
      <c r="L1252" s="4" t="str">
        <f t="shared" si="20"/>
        <v/>
      </c>
      <c r="M1252" t="str">
        <v>don't</v>
      </c>
      <c r="N1252" s="4" cm="1">
        <f t="array" ref="N1252">SUM(--(_xlfn.TEXTSPLIT($J$1170,, " ") = M1252))</f>
        <v>3</v>
      </c>
      <c r="O1252">
        <v>2</v>
      </c>
      <c r="P1252">
        <v>3</v>
      </c>
      <c r="Q1252">
        <v>2</v>
      </c>
      <c r="S1252" s="4"/>
      <c r="T1252" s="10"/>
    </row>
    <row r="1253" spans="5:20" x14ac:dyDescent="0.2">
      <c r="E1253" s="9" t="s">
        <v>20</v>
      </c>
      <c r="K1253" t="str">
        <v>was</v>
      </c>
      <c r="L1253" s="4" t="str">
        <f t="shared" si="20"/>
        <v/>
      </c>
      <c r="M1253" t="str">
        <v>fix</v>
      </c>
      <c r="N1253" s="4" cm="1">
        <f t="array" ref="N1253">SUM(--(_xlfn.TEXTSPLIT($J$1170,, " ") = M1253))</f>
        <v>1</v>
      </c>
      <c r="O1253">
        <v>2</v>
      </c>
      <c r="P1253">
        <v>1</v>
      </c>
      <c r="Q1253">
        <v>2</v>
      </c>
      <c r="S1253" s="4"/>
      <c r="T1253" s="10"/>
    </row>
    <row r="1254" spans="5:20" x14ac:dyDescent="0.2">
      <c r="E1254" s="9" t="s">
        <v>20</v>
      </c>
      <c r="K1254" t="str">
        <v xml:space="preserve">younger
</v>
      </c>
      <c r="L1254" s="4" t="str">
        <f t="shared" si="20"/>
        <v/>
      </c>
      <c r="M1254" t="str">
        <v>and</v>
      </c>
      <c r="N1254" s="4" cm="1">
        <f t="array" ref="N1254">SUM(--(_xlfn.TEXTSPLIT($J$1170,, " ") = M1254))</f>
        <v>1</v>
      </c>
      <c r="O1254">
        <v>2</v>
      </c>
      <c r="P1254">
        <v>1</v>
      </c>
      <c r="Q1254">
        <v>2</v>
      </c>
      <c r="S1254" s="4"/>
      <c r="T1254" s="10"/>
    </row>
    <row r="1255" spans="5:20" x14ac:dyDescent="0.2">
      <c r="E1255" s="9" t="s">
        <v>20</v>
      </c>
      <c r="K1255" t="str">
        <v>Bright-eyed</v>
      </c>
      <c r="L1255" s="4" t="str">
        <f t="shared" si="20"/>
        <v/>
      </c>
      <c r="M1255" t="str">
        <v>it</v>
      </c>
      <c r="N1255" s="4" cm="1">
        <f t="array" ref="N1255">SUM(--(_xlfn.TEXTSPLIT($J$1170,, " ") = M1255))</f>
        <v>1</v>
      </c>
      <c r="O1255">
        <v>2</v>
      </c>
      <c r="P1255">
        <v>1</v>
      </c>
      <c r="Q1255">
        <v>2</v>
      </c>
      <c r="S1255" s="4"/>
      <c r="T1255" s="10"/>
    </row>
    <row r="1256" spans="5:20" x14ac:dyDescent="0.2">
      <c r="E1256" s="9" t="s">
        <v>20</v>
      </c>
      <c r="K1256" t="str">
        <v>with</v>
      </c>
      <c r="L1256" s="4" t="str">
        <f t="shared" si="20"/>
        <v/>
      </c>
      <c r="M1256" t="str">
        <v xml:space="preserve">this
</v>
      </c>
      <c r="N1256" s="4" cm="1">
        <f t="array" ref="N1256">SUM(--(_xlfn.TEXTSPLIT($J$1170,, " ") = M1256))</f>
        <v>1</v>
      </c>
      <c r="O1256">
        <v>2</v>
      </c>
      <c r="P1256">
        <v>1</v>
      </c>
      <c r="Q1256">
        <v>2</v>
      </c>
      <c r="S1256" s="4"/>
      <c r="T1256" s="10"/>
    </row>
    <row r="1257" spans="5:20" x14ac:dyDescent="0.2">
      <c r="E1257" s="9" t="s">
        <v>20</v>
      </c>
      <c r="K1257" t="str">
        <v xml:space="preserve">wonder
</v>
      </c>
      <c r="L1257" s="4" t="str">
        <f t="shared" si="20"/>
        <v/>
      </c>
      <c r="M1257" t="str">
        <v>garbage</v>
      </c>
      <c r="N1257" s="4" cm="1">
        <f t="array" ref="N1257">SUM(--(_xlfn.TEXTSPLIT($J$1170,, " ") = M1257))</f>
        <v>1</v>
      </c>
      <c r="O1257">
        <v>2</v>
      </c>
      <c r="P1257">
        <v>1</v>
      </c>
      <c r="Q1257">
        <v>2</v>
      </c>
      <c r="S1257" s="4"/>
      <c r="T1257" s="10"/>
    </row>
    <row r="1258" spans="5:20" x14ac:dyDescent="0.2">
      <c r="E1258" s="9" t="s">
        <v>20</v>
      </c>
      <c r="K1258" t="str">
        <v>Do</v>
      </c>
      <c r="L1258" s="4" t="str">
        <f t="shared" si="20"/>
        <v/>
      </c>
      <c r="M1258" t="str">
        <v xml:space="preserve">(Yeah)
</v>
      </c>
      <c r="N1258" s="4" cm="1">
        <f t="array" ref="N1258">SUM(--(_xlfn.TEXTSPLIT($J$1170,, " ") = M1258))</f>
        <v>2</v>
      </c>
      <c r="O1258">
        <v>2</v>
      </c>
      <c r="P1258">
        <v>2</v>
      </c>
      <c r="Q1258">
        <v>2</v>
      </c>
      <c r="S1258" s="4"/>
      <c r="T1258" s="10"/>
    </row>
    <row r="1259" spans="5:20" x14ac:dyDescent="0.2">
      <c r="E1259" s="9" t="s">
        <v>20</v>
      </c>
      <c r="K1259" t="str">
        <v>you</v>
      </c>
      <c r="L1259" s="4" t="str">
        <f t="shared" si="20"/>
        <v/>
      </c>
      <c r="M1259" t="str">
        <v xml:space="preserve">Like
</v>
      </c>
      <c r="N1259" s="4" cm="1">
        <f t="array" ref="N1259">SUM(--(_xlfn.TEXTSPLIT($J$1170,, " ") = M1259))</f>
        <v>1</v>
      </c>
      <c r="O1259">
        <v>2</v>
      </c>
      <c r="P1259">
        <v>1</v>
      </c>
      <c r="Q1259">
        <v>2</v>
      </c>
      <c r="S1259" s="4"/>
      <c r="T1259" s="10"/>
    </row>
    <row r="1260" spans="5:20" x14ac:dyDescent="0.2">
      <c r="E1260" s="9" t="s">
        <v>20</v>
      </c>
      <c r="K1260" t="str">
        <v>know</v>
      </c>
      <c r="L1260" s="4" t="str">
        <f t="shared" si="20"/>
        <v/>
      </c>
      <c r="M1260" t="str">
        <v>out,</v>
      </c>
      <c r="N1260" s="4" cm="1">
        <f t="array" ref="N1260">SUM(--(_xlfn.TEXTSPLIT($J$1170,, " ") = M1260))</f>
        <v>4</v>
      </c>
      <c r="O1260">
        <v>2</v>
      </c>
      <c r="P1260">
        <v>4</v>
      </c>
      <c r="Q1260">
        <v>2</v>
      </c>
      <c r="S1260" s="4"/>
      <c r="T1260" s="10"/>
    </row>
    <row r="1261" spans="5:20" x14ac:dyDescent="0.2">
      <c r="E1261" s="9" t="s">
        <v>20</v>
      </c>
      <c r="K1261" t="str">
        <v>which</v>
      </c>
      <c r="L1261" s="4" t="str">
        <f t="shared" si="20"/>
        <v/>
      </c>
      <c r="M1261" t="str">
        <v xml:space="preserve">(Hey)
</v>
      </c>
      <c r="N1261" s="4" cm="1">
        <f t="array" ref="N1261">SUM(--(_xlfn.TEXTSPLIT($J$1170,, " ") = M1261))</f>
        <v>1</v>
      </c>
      <c r="O1261">
        <v>2</v>
      </c>
      <c r="P1261">
        <v>1</v>
      </c>
      <c r="Q1261">
        <v>2</v>
      </c>
      <c r="S1261" s="4"/>
      <c r="T1261" s="10"/>
    </row>
    <row r="1262" spans="5:20" x14ac:dyDescent="0.2">
      <c r="E1262" s="9" t="s">
        <v>20</v>
      </c>
      <c r="K1262" t="str">
        <v>name</v>
      </c>
      <c r="L1262" s="4" t="str">
        <f t="shared" si="20"/>
        <v/>
      </c>
      <c r="M1262" t="str">
        <v xml:space="preserve">out
</v>
      </c>
      <c r="N1262" s="4" cm="1">
        <f t="array" ref="N1262">SUM(--(_xlfn.TEXTSPLIT($J$1170,, " ") = M1262))</f>
        <v>1</v>
      </c>
      <c r="O1262">
        <v>2</v>
      </c>
      <c r="P1262">
        <v>1</v>
      </c>
      <c r="Q1262">
        <v>2</v>
      </c>
      <c r="S1262" s="4"/>
      <c r="T1262" s="10"/>
    </row>
    <row r="1263" spans="5:20" x14ac:dyDescent="0.2">
      <c r="E1263" s="9" t="s">
        <v>20</v>
      </c>
      <c r="K1263" t="str">
        <v>it's</v>
      </c>
      <c r="L1263" s="4" t="str">
        <f t="shared" si="20"/>
        <v/>
      </c>
      <c r="M1263" t="str">
        <v>give</v>
      </c>
      <c r="N1263" s="4" cm="1">
        <f t="array" ref="N1263">SUM(--(_xlfn.TEXTSPLIT($J$1170,, " ") = M1263))</f>
        <v>2</v>
      </c>
      <c r="O1263">
        <v>2</v>
      </c>
      <c r="P1263">
        <v>2</v>
      </c>
      <c r="Q1263">
        <v>2</v>
      </c>
      <c r="S1263" s="4"/>
      <c r="T1263" s="10"/>
    </row>
    <row r="1264" spans="5:20" x14ac:dyDescent="0.2">
      <c r="E1264" s="9" t="s">
        <v>20</v>
      </c>
      <c r="K1264" t="str">
        <v>under?</v>
      </c>
      <c r="L1264" s="4" t="str">
        <f t="shared" si="20"/>
        <v/>
      </c>
      <c r="M1264" t="str">
        <v>up</v>
      </c>
      <c r="N1264" s="4" cm="1">
        <f t="array" ref="N1264">SUM(--(_xlfn.TEXTSPLIT($J$1170,, " ") = M1264))</f>
        <v>2</v>
      </c>
      <c r="O1264">
        <v>2</v>
      </c>
      <c r="P1264">
        <v>2</v>
      </c>
      <c r="Q1264">
        <v>2</v>
      </c>
      <c r="S1264" s="4"/>
      <c r="T1264" s="10"/>
    </row>
    <row r="1265" spans="5:20" x14ac:dyDescent="0.2">
      <c r="E1265" s="9" t="s">
        <v>20</v>
      </c>
      <c r="K1265" t="str">
        <v xml:space="preserve">(Oh-oh-oh)
</v>
      </c>
      <c r="M1265" t="str">
        <v xml:space="preserve">me
</v>
      </c>
      <c r="N1265" s="4" cm="1">
        <f t="array" ref="N1265">SUM(--(_xlfn.TEXTSPLIT($J$1170,, " ") = M1265))</f>
        <v>2</v>
      </c>
      <c r="O1265">
        <v>2</v>
      </c>
      <c r="P1265">
        <v>2</v>
      </c>
      <c r="Q1265">
        <v>2</v>
      </c>
      <c r="T1265" s="10"/>
    </row>
    <row r="1266" spans="5:20" x14ac:dyDescent="0.2">
      <c r="E1266" s="9" t="s">
        <v>20</v>
      </c>
      <c r="K1266" t="str">
        <v>Or</v>
      </c>
      <c r="M1266" t="str">
        <v>No,</v>
      </c>
      <c r="N1266" s="4" cm="1">
        <f t="array" ref="N1266">SUM(--(_xlfn.TEXTSPLIT($J$1170,, " ") = M1266))</f>
        <v>3</v>
      </c>
      <c r="O1266">
        <v>2</v>
      </c>
      <c r="P1266">
        <v>3</v>
      </c>
      <c r="Q1266">
        <v>2</v>
      </c>
      <c r="T1266" s="10"/>
    </row>
    <row r="1267" spans="5:20" x14ac:dyDescent="0.2">
      <c r="E1267" s="9" t="s">
        <v>20</v>
      </c>
      <c r="K1267" t="str">
        <v xml:space="preserve">less
</v>
      </c>
      <c r="M1267" t="str">
        <v>please,</v>
      </c>
      <c r="N1267" s="4" cm="1">
        <f t="array" ref="N1267">SUM(--(_xlfn.TEXTSPLIT($J$1170,, " ") = M1267))</f>
        <v>2</v>
      </c>
      <c r="O1267">
        <v>2</v>
      </c>
      <c r="P1267">
        <v>2</v>
      </c>
      <c r="Q1267">
        <v>2</v>
      </c>
      <c r="T1267" s="10"/>
    </row>
    <row r="1268" spans="5:20" x14ac:dyDescent="0.2">
      <c r="E1268" s="9" t="s">
        <v>20</v>
      </c>
      <c r="K1268" t="str">
        <v>I'll</v>
      </c>
      <c r="M1268" t="str">
        <v>please</v>
      </c>
      <c r="N1268" s="4" cm="1">
        <f t="array" ref="N1268">SUM(--(_xlfn.TEXTSPLIT($J$1170,, " ") = M1268))</f>
        <v>1</v>
      </c>
      <c r="O1268">
        <v>2</v>
      </c>
      <c r="P1268">
        <v>1</v>
      </c>
      <c r="Q1268">
        <v>2</v>
      </c>
      <c r="T1268" s="10"/>
    </row>
    <row r="1269" spans="5:20" x14ac:dyDescent="0.2">
      <c r="E1269" s="9" t="s">
        <v>20</v>
      </c>
      <c r="K1269" t="str">
        <v>walk</v>
      </c>
      <c r="N1269" s="4" cm="1">
        <f t="array" ref="N1269">SUM(--(_xlfn.TEXTSPLIT($J$1170,, " ") = M1269))</f>
        <v>2</v>
      </c>
      <c r="O1269">
        <v>2</v>
      </c>
      <c r="P1269">
        <v>2</v>
      </c>
      <c r="Q1269">
        <v>2</v>
      </c>
      <c r="T1269" s="10"/>
    </row>
    <row r="1270" spans="5:20" x14ac:dyDescent="0.2">
      <c r="E1270" s="9" t="s">
        <v>20</v>
      </c>
      <c r="K1270" t="str">
        <v>you</v>
      </c>
      <c r="N1270" s="4" cm="1">
        <f t="array" ref="N1270">SUM(--(_xlfn.TEXTSPLIT($J$1170,, " ") = M1270))</f>
        <v>2</v>
      </c>
      <c r="O1270">
        <v>2</v>
      </c>
      <c r="P1270">
        <v>2</v>
      </c>
      <c r="Q1270">
        <v>2</v>
      </c>
      <c r="T1270" s="10"/>
    </row>
    <row r="1271" spans="5:20" x14ac:dyDescent="0.2">
      <c r="E1271" s="9" t="s">
        <v>20</v>
      </c>
      <c r="K1271" t="str">
        <v>through</v>
      </c>
      <c r="N1271" s="4" cm="1">
        <f t="array" ref="N1271">SUM(--(_xlfn.TEXTSPLIT($J$1170,, " ") = M1271))</f>
        <v>2</v>
      </c>
      <c r="O1271">
        <v>2</v>
      </c>
      <c r="P1271">
        <v>2</v>
      </c>
      <c r="Q1271">
        <v>2</v>
      </c>
      <c r="T1271" s="10"/>
    </row>
    <row r="1272" spans="5:20" x14ac:dyDescent="0.2">
      <c r="E1272" s="9" t="s">
        <v>20</v>
      </c>
      <c r="K1272" t="str">
        <v>the</v>
      </c>
      <c r="N1272" s="4" cm="1">
        <f t="array" ref="N1272">SUM(--(_xlfn.TEXTSPLIT($J$1170,, " ") = M1272))</f>
        <v>2</v>
      </c>
      <c r="O1272">
        <v>2</v>
      </c>
      <c r="P1272">
        <v>2</v>
      </c>
      <c r="Q1272">
        <v>2</v>
      </c>
      <c r="T1272" s="10"/>
    </row>
    <row r="1273" spans="5:20" x14ac:dyDescent="0.2">
      <c r="E1273" s="9" t="s">
        <v>20</v>
      </c>
      <c r="K1273" t="str">
        <v xml:space="preserve">numbers
</v>
      </c>
      <c r="N1273" s="4" cm="1">
        <f t="array" ref="N1273">SUM(--(_xlfn.TEXTSPLIT($J$1170,, " ") = M1273))</f>
        <v>2</v>
      </c>
      <c r="O1273">
        <v>2</v>
      </c>
      <c r="P1273">
        <v>2</v>
      </c>
      <c r="Q1273">
        <v>2</v>
      </c>
      <c r="T1273" s="10"/>
    </row>
    <row r="1274" spans="5:20" x14ac:dyDescent="0.2">
      <c r="E1274" s="9" t="s">
        <v>20</v>
      </c>
      <c r="K1274" t="str">
        <v>I'll</v>
      </c>
      <c r="N1274" s="4" cm="1">
        <f t="array" ref="N1274">SUM(--(_xlfn.TEXTSPLIT($J$1170,, " ") = M1274))</f>
        <v>2</v>
      </c>
      <c r="O1274">
        <v>2</v>
      </c>
      <c r="P1274">
        <v>2</v>
      </c>
      <c r="Q1274">
        <v>2</v>
      </c>
      <c r="T1274" s="10"/>
    </row>
    <row r="1275" spans="5:20" x14ac:dyDescent="0.2">
      <c r="E1275" s="9" t="s">
        <v>20</v>
      </c>
      <c r="K1275" t="str">
        <v>show</v>
      </c>
      <c r="N1275" s="4" cm="1">
        <f t="array" ref="N1275">SUM(--(_xlfn.TEXTSPLIT($J$1170,, " ") = M1275))</f>
        <v>2</v>
      </c>
      <c r="O1275">
        <v>2</v>
      </c>
      <c r="P1275">
        <v>2</v>
      </c>
      <c r="Q1275">
        <v>2</v>
      </c>
      <c r="T1275" s="10"/>
    </row>
    <row r="1276" spans="5:20" x14ac:dyDescent="0.2">
      <c r="E1276" s="9" t="s">
        <v>20</v>
      </c>
      <c r="K1276" t="str">
        <v>you</v>
      </c>
      <c r="N1276" s="4" cm="1">
        <f t="array" ref="N1276">SUM(--(_xlfn.TEXTSPLIT($J$1170,, " ") = M1276))</f>
        <v>2</v>
      </c>
      <c r="O1276">
        <v>2</v>
      </c>
      <c r="P1276">
        <v>2</v>
      </c>
      <c r="Q1276">
        <v>2</v>
      </c>
      <c r="T1276" s="10"/>
    </row>
    <row r="1277" spans="5:20" x14ac:dyDescent="0.2">
      <c r="E1277" s="9" t="s">
        <v>20</v>
      </c>
      <c r="K1277" t="str">
        <v>nothing's</v>
      </c>
      <c r="N1277" s="4" cm="1">
        <f t="array" ref="N1277">SUM(--(_xlfn.TEXTSPLIT($J$1170,, " ") = M1277))</f>
        <v>2</v>
      </c>
      <c r="O1277">
        <v>2</v>
      </c>
      <c r="P1277">
        <v>2</v>
      </c>
      <c r="Q1277">
        <v>2</v>
      </c>
      <c r="T1277" s="10"/>
    </row>
    <row r="1278" spans="5:20" x14ac:dyDescent="0.2">
      <c r="E1278" s="9" t="s">
        <v>20</v>
      </c>
      <c r="K1278" t="str">
        <v xml:space="preserve">left
</v>
      </c>
      <c r="N1278" s="4" cm="1">
        <f t="array" ref="N1278">SUM(--(_xlfn.TEXTSPLIT($J$1170,, " ") = M1278))</f>
        <v>2</v>
      </c>
      <c r="O1278">
        <v>2</v>
      </c>
      <c r="P1278">
        <v>2</v>
      </c>
      <c r="Q1278">
        <v>2</v>
      </c>
      <c r="T1278" s="10"/>
    </row>
    <row r="1279" spans="5:20" x14ac:dyDescent="0.2">
      <c r="E1279" s="9" t="s">
        <v>20</v>
      </c>
      <c r="K1279" t="str">
        <v xml:space="preserve">Oh-oh
</v>
      </c>
      <c r="N1279" s="4" cm="1">
        <f t="array" ref="N1279">SUM(--(_xlfn.TEXTSPLIT($J$1170,, " ") = M1279))</f>
        <v>2</v>
      </c>
      <c r="O1279">
        <v>2</v>
      </c>
      <c r="P1279">
        <v>2</v>
      </c>
      <c r="Q1279">
        <v>2</v>
      </c>
      <c r="T1279" s="10"/>
    </row>
    <row r="1280" spans="5:20" x14ac:dyDescent="0.2">
      <c r="E1280" s="9" t="s">
        <v>20</v>
      </c>
      <c r="K1280" t="str">
        <v>(Yeah,</v>
      </c>
      <c r="N1280" s="4" cm="1">
        <f t="array" ref="N1280">SUM(--(_xlfn.TEXTSPLIT($J$1170,, " ") = M1280))</f>
        <v>2</v>
      </c>
      <c r="O1280">
        <v>2</v>
      </c>
      <c r="P1280">
        <v>2</v>
      </c>
      <c r="Q1280">
        <v>2</v>
      </c>
      <c r="T1280" s="10"/>
    </row>
    <row r="1281" spans="5:20" x14ac:dyDescent="0.2">
      <c r="E1281" s="9" t="s">
        <v>20</v>
      </c>
      <c r="K1281" t="str">
        <v>yeah)</v>
      </c>
      <c r="N1281" s="4" cm="1">
        <f t="array" ref="N1281">SUM(--(_xlfn.TEXTSPLIT($J$1170,, " ") = M1281))</f>
        <v>2</v>
      </c>
      <c r="O1281">
        <v>2</v>
      </c>
      <c r="P1281">
        <v>2</v>
      </c>
      <c r="Q1281">
        <v>2</v>
      </c>
      <c r="T1281" s="10"/>
    </row>
    <row r="1282" spans="5:20" x14ac:dyDescent="0.2">
      <c r="E1282" s="9" t="s">
        <v>20</v>
      </c>
      <c r="K1282" t="str">
        <v>I'm</v>
      </c>
      <c r="N1282" s="4" cm="1">
        <f t="array" ref="N1282">SUM(--(_xlfn.TEXTSPLIT($J$1170,, " ") = M1282))</f>
        <v>2</v>
      </c>
      <c r="O1282">
        <v>2</v>
      </c>
      <c r="P1282">
        <v>2</v>
      </c>
      <c r="Q1282">
        <v>2</v>
      </c>
      <c r="T1282" s="10"/>
    </row>
    <row r="1283" spans="5:20" x14ac:dyDescent="0.2">
      <c r="E1283" s="9" t="s">
        <v>20</v>
      </c>
      <c r="K1283" t="str">
        <v>biting</v>
      </c>
      <c r="N1283" s="4" cm="1">
        <f t="array" ref="N1283">SUM(--(_xlfn.TEXTSPLIT($J$1170,, " ") = M1283))</f>
        <v>2</v>
      </c>
      <c r="O1283">
        <v>2</v>
      </c>
      <c r="P1283">
        <v>2</v>
      </c>
      <c r="Q1283">
        <v>2</v>
      </c>
      <c r="T1283" s="10"/>
    </row>
    <row r="1284" spans="5:20" x14ac:dyDescent="0.2">
      <c r="E1284" s="9" t="s">
        <v>20</v>
      </c>
      <c r="K1284" t="str">
        <v>down</v>
      </c>
      <c r="N1284" s="4" cm="1">
        <f t="array" ref="N1284">SUM(--(_xlfn.TEXTSPLIT($J$1170,, " ") = M1284))</f>
        <v>2</v>
      </c>
      <c r="O1284">
        <v>2</v>
      </c>
      <c r="P1284">
        <v>2</v>
      </c>
      <c r="Q1284">
        <v>2</v>
      </c>
      <c r="T1284" s="10"/>
    </row>
    <row r="1285" spans="5:20" x14ac:dyDescent="0.2">
      <c r="E1285" s="9" t="s">
        <v>20</v>
      </c>
      <c r="K1285" t="str">
        <v>on</v>
      </c>
      <c r="N1285" s="4" cm="1">
        <f t="array" ref="N1285">SUM(--(_xlfn.TEXTSPLIT($J$1170,, " ") = M1285))</f>
        <v>2</v>
      </c>
      <c r="O1285">
        <v>2</v>
      </c>
      <c r="P1285">
        <v>2</v>
      </c>
      <c r="Q1285">
        <v>2</v>
      </c>
      <c r="T1285" s="10"/>
    </row>
    <row r="1286" spans="5:20" x14ac:dyDescent="0.2">
      <c r="E1286" s="9" t="s">
        <v>20</v>
      </c>
      <c r="K1286" t="str">
        <v>my</v>
      </c>
      <c r="N1286" s="4" cm="1">
        <f t="array" ref="N1286">SUM(--(_xlfn.TEXTSPLIT($J$1170,, " ") = M1286))</f>
        <v>2</v>
      </c>
      <c r="O1286">
        <v>2</v>
      </c>
      <c r="P1286">
        <v>2</v>
      </c>
      <c r="Q1286">
        <v>2</v>
      </c>
      <c r="T1286" s="10"/>
    </row>
    <row r="1287" spans="5:20" x14ac:dyDescent="0.2">
      <c r="E1287" s="9" t="s">
        <v>20</v>
      </c>
      <c r="K1287" t="str">
        <v>shirt</v>
      </c>
      <c r="N1287" s="4" cm="1">
        <f t="array" ref="N1287">SUM(--(_xlfn.TEXTSPLIT($J$1170,, " ") = M1287))</f>
        <v>2</v>
      </c>
      <c r="O1287">
        <v>2</v>
      </c>
      <c r="P1287">
        <v>2</v>
      </c>
      <c r="Q1287">
        <v>2</v>
      </c>
      <c r="T1287" s="10"/>
    </row>
    <row r="1288" spans="5:20" x14ac:dyDescent="0.2">
      <c r="E1288" s="9" t="s">
        <v>20</v>
      </c>
      <c r="K1288" t="str">
        <v xml:space="preserve">sleeve
</v>
      </c>
      <c r="N1288" s="4" cm="1">
        <f t="array" ref="N1288">SUM(--(_xlfn.TEXTSPLIT($J$1170,, " ") = M1288))</f>
        <v>2</v>
      </c>
      <c r="O1288">
        <v>2</v>
      </c>
      <c r="P1288">
        <v>2</v>
      </c>
      <c r="Q1288">
        <v>2</v>
      </c>
      <c r="T1288" s="10"/>
    </row>
    <row r="1289" spans="5:20" x14ac:dyDescent="0.2">
      <c r="E1289" s="9" t="s">
        <v>20</v>
      </c>
      <c r="K1289" t="str">
        <v>(Yeah,</v>
      </c>
      <c r="N1289" s="4" cm="1">
        <f t="array" ref="N1289">SUM(--(_xlfn.TEXTSPLIT($J$1170,, " ") = M1289))</f>
        <v>2</v>
      </c>
      <c r="O1289">
        <v>2</v>
      </c>
      <c r="P1289">
        <v>2</v>
      </c>
      <c r="Q1289">
        <v>2</v>
      </c>
      <c r="T1289" s="10"/>
    </row>
    <row r="1290" spans="5:20" x14ac:dyDescent="0.2">
      <c r="E1290" s="9" t="s">
        <v>20</v>
      </c>
      <c r="K1290" t="str">
        <v>yeah)</v>
      </c>
      <c r="N1290" s="4" cm="1">
        <f t="array" ref="N1290">SUM(--(_xlfn.TEXTSPLIT($J$1170,, " ") = M1290))</f>
        <v>2</v>
      </c>
      <c r="O1290">
        <v>2</v>
      </c>
      <c r="P1290">
        <v>2</v>
      </c>
      <c r="Q1290">
        <v>2</v>
      </c>
      <c r="T1290" s="10"/>
    </row>
    <row r="1291" spans="5:20" x14ac:dyDescent="0.2">
      <c r="E1291" s="9" t="s">
        <v>20</v>
      </c>
      <c r="K1291" t="str">
        <v>I'll</v>
      </c>
      <c r="N1291" s="4" cm="1">
        <f t="array" ref="N1291">SUM(--(_xlfn.TEXTSPLIT($J$1170,, " ") = M1291))</f>
        <v>2</v>
      </c>
      <c r="O1291">
        <v>2</v>
      </c>
      <c r="P1291">
        <v>2</v>
      </c>
      <c r="Q1291">
        <v>2</v>
      </c>
    </row>
    <row r="1292" spans="5:20" x14ac:dyDescent="0.2">
      <c r="E1292" s="9" t="s">
        <v>20</v>
      </c>
      <c r="K1292" t="str">
        <v>lash</v>
      </c>
      <c r="N1292" s="4" cm="1">
        <f t="array" ref="N1292">SUM(--(_xlfn.TEXTSPLIT($J$1170,, " ") = M1292))</f>
        <v>2</v>
      </c>
      <c r="O1292">
        <v>2</v>
      </c>
      <c r="P1292">
        <v>2</v>
      </c>
      <c r="Q1292">
        <v>2</v>
      </c>
    </row>
    <row r="1293" spans="5:20" x14ac:dyDescent="0.2">
      <c r="E1293" s="9" t="s">
        <v>20</v>
      </c>
      <c r="K1293" t="str">
        <v>out</v>
      </c>
      <c r="N1293" s="4" cm="1">
        <f t="array" ref="N1293">SUM(--(_xlfn.TEXTSPLIT($J$1170,, " ") = M1293))</f>
        <v>2</v>
      </c>
      <c r="O1293">
        <v>2</v>
      </c>
      <c r="P1293">
        <v>2</v>
      </c>
      <c r="Q1293">
        <v>2</v>
      </c>
    </row>
    <row r="1294" spans="5:20" x14ac:dyDescent="0.2">
      <c r="E1294" s="9" t="s">
        <v>20</v>
      </c>
      <c r="K1294" t="str">
        <v>if</v>
      </c>
      <c r="N1294" s="4" cm="1">
        <f t="array" ref="N1294">SUM(--(_xlfn.TEXTSPLIT($J$1170,, " ") = M1294))</f>
        <v>2</v>
      </c>
      <c r="O1294">
        <v>2</v>
      </c>
      <c r="P1294">
        <v>2</v>
      </c>
      <c r="Q1294">
        <v>2</v>
      </c>
    </row>
    <row r="1295" spans="5:20" x14ac:dyDescent="0.2">
      <c r="E1295" s="9" t="s">
        <v>20</v>
      </c>
      <c r="K1295" t="str">
        <v>you're</v>
      </c>
      <c r="N1295" s="4" cm="1">
        <f t="array" ref="N1295">SUM(--(_xlfn.TEXTSPLIT($J$1170,, " ") = M1295))</f>
        <v>2</v>
      </c>
      <c r="O1295">
        <v>2</v>
      </c>
      <c r="P1295">
        <v>2</v>
      </c>
      <c r="Q1295">
        <v>2</v>
      </c>
    </row>
    <row r="1296" spans="5:20" x14ac:dyDescent="0.2">
      <c r="E1296" s="9" t="s">
        <v>20</v>
      </c>
      <c r="K1296" t="str">
        <v>in</v>
      </c>
      <c r="N1296" s="4" cm="1">
        <f t="array" ref="N1296">SUM(--(_xlfn.TEXTSPLIT($J$1170,, " ") = M1296))</f>
        <v>2</v>
      </c>
      <c r="O1296">
        <v>2</v>
      </c>
      <c r="P1296">
        <v>2</v>
      </c>
      <c r="Q1296">
        <v>2</v>
      </c>
    </row>
    <row r="1297" spans="5:17" x14ac:dyDescent="0.2">
      <c r="E1297" s="9" t="s">
        <v>20</v>
      </c>
      <c r="K1297" t="str">
        <v>arm's</v>
      </c>
      <c r="N1297" s="4" cm="1">
        <f t="array" ref="N1297">SUM(--(_xlfn.TEXTSPLIT($J$1170,, " ") = M1297))</f>
        <v>2</v>
      </c>
      <c r="O1297">
        <v>2</v>
      </c>
      <c r="P1297">
        <v>2</v>
      </c>
      <c r="Q1297">
        <v>2</v>
      </c>
    </row>
    <row r="1298" spans="5:17" x14ac:dyDescent="0.2">
      <c r="E1298" s="9" t="s">
        <v>20</v>
      </c>
      <c r="K1298" t="str">
        <v xml:space="preserve">reach
</v>
      </c>
      <c r="N1298" s="4" cm="1">
        <f t="array" ref="N1298">SUM(--(_xlfn.TEXTSPLIT($J$1170,, " ") = M1298))</f>
        <v>2</v>
      </c>
      <c r="O1298">
        <v>2</v>
      </c>
      <c r="P1298">
        <v>2</v>
      </c>
      <c r="Q1298">
        <v>2</v>
      </c>
    </row>
    <row r="1299" spans="5:17" x14ac:dyDescent="0.2">
      <c r="E1299" s="9" t="s">
        <v>20</v>
      </c>
      <c r="K1299" t="str">
        <v>(Yeah,</v>
      </c>
      <c r="N1299" s="4" cm="1">
        <f t="array" ref="N1299">SUM(--(_xlfn.TEXTSPLIT($J$1170,, " ") = M1299))</f>
        <v>2</v>
      </c>
      <c r="O1299">
        <v>2</v>
      </c>
      <c r="P1299">
        <v>2</v>
      </c>
      <c r="Q1299">
        <v>2</v>
      </c>
    </row>
    <row r="1300" spans="5:17" x14ac:dyDescent="0.2">
      <c r="E1300" s="9" t="s">
        <v>20</v>
      </c>
      <c r="K1300" t="str">
        <v>yeah)</v>
      </c>
      <c r="N1300" s="4" cm="1">
        <f t="array" ref="N1300">SUM(--(_xlfn.TEXTSPLIT($J$1170,, " ") = M1300))</f>
        <v>2</v>
      </c>
      <c r="O1300">
        <v>2</v>
      </c>
      <c r="P1300">
        <v>2</v>
      </c>
      <c r="Q1300">
        <v>2</v>
      </c>
    </row>
    <row r="1301" spans="5:17" x14ac:dyDescent="0.2">
      <c r="E1301" s="9" t="s">
        <v>20</v>
      </c>
      <c r="K1301" t="str">
        <v>I'm</v>
      </c>
      <c r="N1301" s="4" cm="1">
        <f t="array" ref="N1301">SUM(--(_xlfn.TEXTSPLIT($J$1170,, " ") = M1301))</f>
        <v>2</v>
      </c>
      <c r="O1301">
        <v>2</v>
      </c>
      <c r="P1301">
        <v>2</v>
      </c>
      <c r="Q1301">
        <v>2</v>
      </c>
    </row>
    <row r="1302" spans="5:17" x14ac:dyDescent="0.2">
      <c r="E1302" s="9" t="s">
        <v>20</v>
      </c>
      <c r="K1302" t="str">
        <v>so</v>
      </c>
      <c r="N1302" s="4" cm="1">
        <f t="array" ref="N1302">SUM(--(_xlfn.TEXTSPLIT($J$1170,, " ") = M1302))</f>
        <v>2</v>
      </c>
      <c r="O1302">
        <v>2</v>
      </c>
      <c r="P1302">
        <v>2</v>
      </c>
      <c r="Q1302">
        <v>2</v>
      </c>
    </row>
    <row r="1303" spans="5:17" x14ac:dyDescent="0.2">
      <c r="E1303" s="9" t="s">
        <v>20</v>
      </c>
      <c r="K1303" t="str">
        <v>lost,</v>
      </c>
      <c r="N1303" s="4" cm="1">
        <f t="array" ref="N1303">SUM(--(_xlfn.TEXTSPLIT($J$1170,, " ") = M1303))</f>
        <v>2</v>
      </c>
      <c r="O1303">
        <v>2</v>
      </c>
      <c r="P1303">
        <v>2</v>
      </c>
      <c r="Q1303">
        <v>2</v>
      </c>
    </row>
    <row r="1304" spans="5:17" x14ac:dyDescent="0.2">
      <c r="E1304" s="9" t="s">
        <v>20</v>
      </c>
      <c r="K1304" t="str">
        <v>like,</v>
      </c>
      <c r="N1304" s="4" cm="1">
        <f t="array" ref="N1304">SUM(--(_xlfn.TEXTSPLIT($J$1170,, " ") = M1304))</f>
        <v>2</v>
      </c>
      <c r="O1304">
        <v>2</v>
      </c>
      <c r="P1304">
        <v>2</v>
      </c>
      <c r="Q1304">
        <v>2</v>
      </c>
    </row>
    <row r="1305" spans="5:17" x14ac:dyDescent="0.2">
      <c r="E1305" s="9" t="s">
        <v>20</v>
      </c>
      <c r="K1305" t="str">
        <v>what</v>
      </c>
      <c r="N1305" s="4" cm="1">
        <f t="array" ref="N1305">SUM(--(_xlfn.TEXTSPLIT($J$1170,, " ") = M1305))</f>
        <v>2</v>
      </c>
      <c r="O1305">
        <v>2</v>
      </c>
      <c r="P1305">
        <v>2</v>
      </c>
      <c r="Q1305">
        <v>2</v>
      </c>
    </row>
    <row r="1306" spans="5:17" x14ac:dyDescent="0.2">
      <c r="E1306" s="9" t="s">
        <v>20</v>
      </c>
      <c r="K1306" t="str">
        <v>is</v>
      </c>
      <c r="N1306" s="4" cm="1">
        <f t="array" ref="N1306">SUM(--(_xlfn.TEXTSPLIT($J$1170,, " ") = M1306))</f>
        <v>2</v>
      </c>
      <c r="O1306">
        <v>2</v>
      </c>
      <c r="P1306">
        <v>2</v>
      </c>
      <c r="Q1306">
        <v>2</v>
      </c>
    </row>
    <row r="1307" spans="5:17" x14ac:dyDescent="0.2">
      <c r="E1307" s="9" t="s">
        <v>20</v>
      </c>
      <c r="K1307" t="str">
        <v xml:space="preserve">happening?
</v>
      </c>
      <c r="N1307" s="4" cm="1">
        <f t="array" ref="N1307">SUM(--(_xlfn.TEXTSPLIT($J$1170,, " ") = M1307))</f>
        <v>2</v>
      </c>
      <c r="O1307">
        <v>2</v>
      </c>
      <c r="P1307">
        <v>2</v>
      </c>
      <c r="Q1307">
        <v>2</v>
      </c>
    </row>
    <row r="1308" spans="5:17" x14ac:dyDescent="0.2">
      <c r="E1308" s="9" t="s">
        <v>20</v>
      </c>
      <c r="K1308" t="str">
        <v>Like,</v>
      </c>
      <c r="N1308" s="4" cm="1">
        <f t="array" ref="N1308">SUM(--(_xlfn.TEXTSPLIT($J$1170,, " ") = M1308))</f>
        <v>2</v>
      </c>
      <c r="O1308">
        <v>2</v>
      </c>
      <c r="P1308">
        <v>2</v>
      </c>
      <c r="Q1308">
        <v>2</v>
      </c>
    </row>
    <row r="1309" spans="5:17" x14ac:dyDescent="0.2">
      <c r="E1309" s="9" t="s">
        <v>20</v>
      </c>
      <c r="K1309" t="str">
        <v>what</v>
      </c>
      <c r="N1309" s="4" cm="1">
        <f t="array" ref="N1309">SUM(--(_xlfn.TEXTSPLIT($J$1170,, " ") = M1309))</f>
        <v>2</v>
      </c>
      <c r="O1309">
        <v>2</v>
      </c>
      <c r="P1309">
        <v>2</v>
      </c>
      <c r="Q1309">
        <v>2</v>
      </c>
    </row>
    <row r="1310" spans="5:17" x14ac:dyDescent="0.2">
      <c r="E1310" s="9" t="s">
        <v>20</v>
      </c>
      <c r="K1310" t="str">
        <v>is</v>
      </c>
      <c r="N1310" s="4" cm="1">
        <f t="array" ref="N1310">SUM(--(_xlfn.TEXTSPLIT($J$1170,, " ") = M1310))</f>
        <v>2</v>
      </c>
      <c r="O1310">
        <v>2</v>
      </c>
      <c r="P1310">
        <v>2</v>
      </c>
      <c r="Q1310">
        <v>2</v>
      </c>
    </row>
    <row r="1311" spans="5:17" x14ac:dyDescent="0.2">
      <c r="E1311" s="9" t="s">
        <v>20</v>
      </c>
      <c r="K1311" t="str">
        <v xml:space="preserve">happening?
</v>
      </c>
      <c r="N1311" s="4" cm="1">
        <f t="array" ref="N1311">SUM(--(_xlfn.TEXTSPLIT($J$1170,, " ") = M1311))</f>
        <v>2</v>
      </c>
      <c r="O1311">
        <v>2</v>
      </c>
      <c r="P1311">
        <v>2</v>
      </c>
      <c r="Q1311">
        <v>2</v>
      </c>
    </row>
    <row r="1312" spans="5:17" x14ac:dyDescent="0.2">
      <c r="E1312" s="9" t="s">
        <v>20</v>
      </c>
      <c r="K1312" t="str">
        <v>Would</v>
      </c>
      <c r="N1312" s="4" cm="1">
        <f t="array" ref="N1312">SUM(--(_xlfn.TEXTSPLIT($J$1170,, " ") = M1312))</f>
        <v>2</v>
      </c>
      <c r="O1312">
        <v>2</v>
      </c>
      <c r="P1312">
        <v>2</v>
      </c>
      <c r="Q1312">
        <v>2</v>
      </c>
    </row>
    <row r="1313" spans="5:17" x14ac:dyDescent="0.2">
      <c r="E1313" s="9" t="s">
        <v>20</v>
      </c>
      <c r="K1313" t="str">
        <v>you</v>
      </c>
      <c r="N1313" s="4" cm="1">
        <f t="array" ref="N1313">SUM(--(_xlfn.TEXTSPLIT($J$1170,, " ") = M1313))</f>
        <v>2</v>
      </c>
      <c r="O1313">
        <v>2</v>
      </c>
      <c r="P1313">
        <v>2</v>
      </c>
      <c r="Q1313">
        <v>2</v>
      </c>
    </row>
    <row r="1314" spans="5:17" x14ac:dyDescent="0.2">
      <c r="E1314" s="9" t="s">
        <v>20</v>
      </c>
      <c r="K1314" t="str">
        <v>move</v>
      </c>
      <c r="N1314" s="4" cm="1">
        <f t="array" ref="N1314">SUM(--(_xlfn.TEXTSPLIT($J$1170,, " ") = M1314))</f>
        <v>2</v>
      </c>
      <c r="O1314">
        <v>2</v>
      </c>
      <c r="P1314">
        <v>2</v>
      </c>
      <c r="Q1314">
        <v>2</v>
      </c>
    </row>
    <row r="1315" spans="5:17" x14ac:dyDescent="0.2">
      <c r="E1315" s="9" t="s">
        <v>20</v>
      </c>
      <c r="K1315" t="str">
        <v>closer</v>
      </c>
      <c r="N1315" s="4" cm="1">
        <f t="array" ref="N1315">SUM(--(_xlfn.TEXTSPLIT($J$1170,, " ") = M1315))</f>
        <v>2</v>
      </c>
      <c r="O1315">
        <v>2</v>
      </c>
      <c r="P1315">
        <v>2</v>
      </c>
      <c r="Q1315">
        <v>2</v>
      </c>
    </row>
    <row r="1316" spans="5:17" x14ac:dyDescent="0.2">
      <c r="E1316" s="9" t="s">
        <v>20</v>
      </c>
      <c r="K1316" t="str">
        <v>if</v>
      </c>
      <c r="N1316" s="4" cm="1">
        <f t="array" ref="N1316">SUM(--(_xlfn.TEXTSPLIT($J$1170,, " ") = M1316))</f>
        <v>2</v>
      </c>
      <c r="O1316">
        <v>2</v>
      </c>
      <c r="P1316">
        <v>2</v>
      </c>
      <c r="Q1316">
        <v>2</v>
      </c>
    </row>
    <row r="1317" spans="5:17" x14ac:dyDescent="0.2">
      <c r="E1317" s="9" t="s">
        <v>20</v>
      </c>
      <c r="K1317" t="str">
        <v>I</v>
      </c>
      <c r="N1317" s="4" cm="1">
        <f t="array" ref="N1317">SUM(--(_xlfn.TEXTSPLIT($J$1170,, " ") = M1317))</f>
        <v>2</v>
      </c>
      <c r="O1317">
        <v>2</v>
      </c>
      <c r="P1317">
        <v>2</v>
      </c>
      <c r="Q1317">
        <v>2</v>
      </c>
    </row>
    <row r="1318" spans="5:17" x14ac:dyDescent="0.2">
      <c r="E1318" s="9" t="s">
        <v>20</v>
      </c>
      <c r="K1318" t="str">
        <v>grew</v>
      </c>
      <c r="N1318" s="4" cm="1">
        <f t="array" ref="N1318">SUM(--(_xlfn.TEXTSPLIT($J$1170,, " ") = M1318))</f>
        <v>2</v>
      </c>
      <c r="O1318">
        <v>2</v>
      </c>
      <c r="P1318">
        <v>2</v>
      </c>
      <c r="Q1318">
        <v>2</v>
      </c>
    </row>
    <row r="1319" spans="5:17" x14ac:dyDescent="0.2">
      <c r="E1319" s="9" t="s">
        <v>20</v>
      </c>
      <c r="K1319" t="str">
        <v xml:space="preserve">quieter?
</v>
      </c>
      <c r="N1319" s="4" cm="1">
        <f t="array" ref="N1319">SUM(--(_xlfn.TEXTSPLIT($J$1170,, " ") = M1319))</f>
        <v>2</v>
      </c>
      <c r="O1319">
        <v>2</v>
      </c>
      <c r="P1319">
        <v>2</v>
      </c>
      <c r="Q1319">
        <v>2</v>
      </c>
    </row>
    <row r="1320" spans="5:17" x14ac:dyDescent="0.2">
      <c r="E1320" s="9" t="s">
        <v>20</v>
      </c>
      <c r="K1320" t="str">
        <v>Maybe</v>
      </c>
      <c r="N1320" s="4" cm="1">
        <f t="array" ref="N1320">SUM(--(_xlfn.TEXTSPLIT($J$1170,, " ") = M1320))</f>
        <v>2</v>
      </c>
      <c r="O1320">
        <v>2</v>
      </c>
      <c r="P1320">
        <v>2</v>
      </c>
      <c r="Q1320">
        <v>2</v>
      </c>
    </row>
    <row r="1321" spans="5:17" x14ac:dyDescent="0.2">
      <c r="E1321" s="9" t="s">
        <v>20</v>
      </c>
      <c r="K1321" t="str">
        <v>this</v>
      </c>
      <c r="N1321" s="4" cm="1">
        <f t="array" ref="N1321">SUM(--(_xlfn.TEXTSPLIT($J$1170,, " ") = M1321))</f>
        <v>2</v>
      </c>
      <c r="O1321">
        <v>2</v>
      </c>
      <c r="P1321">
        <v>2</v>
      </c>
      <c r="Q1321">
        <v>2</v>
      </c>
    </row>
    <row r="1322" spans="5:17" x14ac:dyDescent="0.2">
      <c r="E1322" s="9" t="s">
        <v>20</v>
      </c>
      <c r="K1322" t="str">
        <v>is</v>
      </c>
      <c r="N1322" s="4" cm="1">
        <f t="array" ref="N1322">SUM(--(_xlfn.TEXTSPLIT($J$1170,, " ") = M1322))</f>
        <v>2</v>
      </c>
      <c r="O1322">
        <v>2</v>
      </c>
      <c r="P1322">
        <v>2</v>
      </c>
      <c r="Q1322">
        <v>2</v>
      </c>
    </row>
    <row r="1323" spans="5:17" x14ac:dyDescent="0.2">
      <c r="E1323" s="9" t="s">
        <v>20</v>
      </c>
      <c r="K1323" t="str">
        <v xml:space="preserve">you
</v>
      </c>
      <c r="N1323" s="4" cm="1">
        <f t="array" ref="N1323">SUM(--(_xlfn.TEXTSPLIT($J$1170,, " ") = M1323))</f>
        <v>2</v>
      </c>
      <c r="O1323">
        <v>2</v>
      </c>
      <c r="P1323">
        <v>2</v>
      </c>
      <c r="Q1323">
        <v>2</v>
      </c>
    </row>
    <row r="1324" spans="5:17" x14ac:dyDescent="0.2">
      <c r="E1324" s="9" t="s">
        <v>20</v>
      </c>
      <c r="K1324" t="str">
        <v>Maybe</v>
      </c>
      <c r="N1324" s="4" cm="1">
        <f t="array" ref="N1324">SUM(--(_xlfn.TEXTSPLIT($J$1170,, " ") = M1324))</f>
        <v>2</v>
      </c>
      <c r="O1324">
        <v>2</v>
      </c>
      <c r="P1324">
        <v>2</v>
      </c>
      <c r="Q1324">
        <v>2</v>
      </c>
    </row>
    <row r="1325" spans="5:17" x14ac:dyDescent="0.2">
      <c r="E1325" s="9" t="s">
        <v>20</v>
      </c>
      <c r="K1325" t="str">
        <v>you</v>
      </c>
      <c r="N1325" s="4" cm="1">
        <f t="array" ref="N1325">SUM(--(_xlfn.TEXTSPLIT($J$1170,, " ") = M1325))</f>
        <v>2</v>
      </c>
      <c r="O1325">
        <v>2</v>
      </c>
      <c r="P1325">
        <v>2</v>
      </c>
      <c r="Q1325">
        <v>2</v>
      </c>
    </row>
    <row r="1326" spans="5:17" x14ac:dyDescent="0.2">
      <c r="E1326" s="9" t="s">
        <v>20</v>
      </c>
      <c r="K1326" t="str">
        <v>don't</v>
      </c>
      <c r="N1326" s="4" cm="1">
        <f t="array" ref="N1326">SUM(--(_xlfn.TEXTSPLIT($J$1170,, " ") = M1326))</f>
        <v>2</v>
      </c>
      <c r="O1326">
        <v>2</v>
      </c>
      <c r="P1326">
        <v>2</v>
      </c>
      <c r="Q1326">
        <v>2</v>
      </c>
    </row>
    <row r="1327" spans="5:17" x14ac:dyDescent="0.2">
      <c r="E1327" s="9" t="s">
        <v>20</v>
      </c>
      <c r="K1327" t="str">
        <v>fix</v>
      </c>
      <c r="N1327" s="4" cm="1">
        <f t="array" ref="N1327">SUM(--(_xlfn.TEXTSPLIT($J$1170,, " ") = M1327))</f>
        <v>2</v>
      </c>
      <c r="O1327">
        <v>2</v>
      </c>
      <c r="P1327">
        <v>2</v>
      </c>
      <c r="Q1327">
        <v>2</v>
      </c>
    </row>
    <row r="1328" spans="5:17" x14ac:dyDescent="0.2">
      <c r="E1328" s="9" t="s">
        <v>20</v>
      </c>
      <c r="K1328" t="str">
        <v>and</v>
      </c>
      <c r="N1328" s="4" cm="1">
        <f t="array" ref="N1328">SUM(--(_xlfn.TEXTSPLIT($J$1170,, " ") = M1328))</f>
        <v>2</v>
      </c>
      <c r="O1328">
        <v>2</v>
      </c>
      <c r="P1328">
        <v>2</v>
      </c>
      <c r="Q1328">
        <v>2</v>
      </c>
    </row>
    <row r="1329" spans="5:17" x14ac:dyDescent="0.2">
      <c r="E1329" s="9" t="s">
        <v>20</v>
      </c>
      <c r="K1329" t="str">
        <v>you</v>
      </c>
      <c r="N1329" s="4" cm="1">
        <f t="array" ref="N1329">SUM(--(_xlfn.TEXTSPLIT($J$1170,, " ") = M1329))</f>
        <v>2</v>
      </c>
      <c r="O1329">
        <v>2</v>
      </c>
      <c r="P1329">
        <v>2</v>
      </c>
      <c r="Q1329">
        <v>2</v>
      </c>
    </row>
    <row r="1330" spans="5:17" x14ac:dyDescent="0.2">
      <c r="E1330" s="9" t="s">
        <v>20</v>
      </c>
      <c r="K1330" t="str">
        <v>like</v>
      </c>
      <c r="N1330" s="4" cm="1">
        <f t="array" ref="N1330">SUM(--(_xlfn.TEXTSPLIT($J$1170,, " ") = M1330))</f>
        <v>2</v>
      </c>
      <c r="O1330">
        <v>2</v>
      </c>
      <c r="P1330">
        <v>2</v>
      </c>
      <c r="Q1330">
        <v>2</v>
      </c>
    </row>
    <row r="1331" spans="5:17" x14ac:dyDescent="0.2">
      <c r="E1331" s="9" t="s">
        <v>20</v>
      </c>
      <c r="K1331" t="str">
        <v>it</v>
      </c>
      <c r="N1331" s="4" cm="1">
        <f t="array" ref="N1331">SUM(--(_xlfn.TEXTSPLIT($J$1170,, " ") = M1331))</f>
        <v>2</v>
      </c>
      <c r="O1331">
        <v>2</v>
      </c>
      <c r="P1331">
        <v>2</v>
      </c>
      <c r="Q1331">
        <v>2</v>
      </c>
    </row>
    <row r="1332" spans="5:17" x14ac:dyDescent="0.2">
      <c r="E1332" s="9" t="s">
        <v>20</v>
      </c>
      <c r="K1332" t="str">
        <v>like</v>
      </c>
      <c r="N1332" s="4" cm="1">
        <f t="array" ref="N1332">SUM(--(_xlfn.TEXTSPLIT($J$1170,, " ") = M1332))</f>
        <v>2</v>
      </c>
      <c r="O1332">
        <v>2</v>
      </c>
      <c r="P1332">
        <v>2</v>
      </c>
      <c r="Q1332">
        <v>2</v>
      </c>
    </row>
    <row r="1333" spans="5:17" x14ac:dyDescent="0.2">
      <c r="E1333" s="9" t="s">
        <v>20</v>
      </c>
      <c r="K1333" t="str">
        <v xml:space="preserve">this
</v>
      </c>
      <c r="N1333" s="4" cm="1">
        <f t="array" ref="N1333">SUM(--(_xlfn.TEXTSPLIT($J$1170,, " ") = M1333))</f>
        <v>2</v>
      </c>
      <c r="O1333">
        <v>2</v>
      </c>
      <c r="P1333">
        <v>2</v>
      </c>
      <c r="Q1333">
        <v>2</v>
      </c>
    </row>
    <row r="1334" spans="5:17" x14ac:dyDescent="0.2">
      <c r="E1334" s="9" t="s">
        <v>20</v>
      </c>
      <c r="K1334" t="str">
        <v>I</v>
      </c>
      <c r="N1334" s="4" cm="1">
        <f t="array" ref="N1334">SUM(--(_xlfn.TEXTSPLIT($J$1170,, " ") = M1334))</f>
        <v>2</v>
      </c>
      <c r="O1334">
        <v>2</v>
      </c>
      <c r="P1334">
        <v>2</v>
      </c>
      <c r="Q1334">
        <v>2</v>
      </c>
    </row>
    <row r="1335" spans="5:17" x14ac:dyDescent="0.2">
      <c r="E1335" s="9" t="s">
        <v>20</v>
      </c>
      <c r="K1335" t="str">
        <v>feel</v>
      </c>
      <c r="N1335" s="4" cm="1">
        <f t="array" ref="N1335">SUM(--(_xlfn.TEXTSPLIT($J$1170,, " ") = M1335))</f>
        <v>2</v>
      </c>
      <c r="O1335">
        <v>2</v>
      </c>
      <c r="P1335">
        <v>2</v>
      </c>
      <c r="Q1335">
        <v>2</v>
      </c>
    </row>
    <row r="1336" spans="5:17" x14ac:dyDescent="0.2">
      <c r="E1336" s="9" t="s">
        <v>20</v>
      </c>
      <c r="K1336" t="str">
        <v>like</v>
      </c>
      <c r="N1336" s="4" cm="1">
        <f t="array" ref="N1336">SUM(--(_xlfn.TEXTSPLIT($J$1170,, " ") = M1336))</f>
        <v>2</v>
      </c>
      <c r="O1336">
        <v>2</v>
      </c>
      <c r="P1336">
        <v>2</v>
      </c>
      <c r="Q1336">
        <v>2</v>
      </c>
    </row>
    <row r="1337" spans="5:17" x14ac:dyDescent="0.2">
      <c r="E1337" s="9" t="s">
        <v>20</v>
      </c>
      <c r="K1337" t="str">
        <v>garbage</v>
      </c>
      <c r="N1337" s="4" cm="1">
        <f t="array" ref="N1337">SUM(--(_xlfn.TEXTSPLIT($J$1170,, " ") = M1337))</f>
        <v>2</v>
      </c>
      <c r="O1337">
        <v>2</v>
      </c>
      <c r="P1337">
        <v>2</v>
      </c>
      <c r="Q1337">
        <v>2</v>
      </c>
    </row>
    <row r="1338" spans="5:17" x14ac:dyDescent="0.2">
      <c r="E1338" s="9" t="s">
        <v>20</v>
      </c>
      <c r="K1338" t="str">
        <v xml:space="preserve">(Yeah)
</v>
      </c>
      <c r="N1338" s="4" cm="1">
        <f t="array" ref="N1338">SUM(--(_xlfn.TEXTSPLIT($J$1170,, " ") = M1338))</f>
        <v>2</v>
      </c>
      <c r="O1338">
        <v>1</v>
      </c>
      <c r="P1338">
        <v>2</v>
      </c>
      <c r="Q1338">
        <v>1</v>
      </c>
    </row>
    <row r="1339" spans="5:17" x14ac:dyDescent="0.2">
      <c r="E1339" s="9" t="s">
        <v>20</v>
      </c>
      <c r="K1339" t="str">
        <v>I</v>
      </c>
      <c r="N1339" s="4" cm="1">
        <f t="array" ref="N1339">SUM(--(_xlfn.TEXTSPLIT($J$1170,, " ") = M1339))</f>
        <v>2</v>
      </c>
      <c r="O1339">
        <v>1</v>
      </c>
      <c r="P1339">
        <v>2</v>
      </c>
      <c r="Q1339">
        <v>1</v>
      </c>
    </row>
    <row r="1340" spans="5:17" x14ac:dyDescent="0.2">
      <c r="E1340" s="9" t="s">
        <v>20</v>
      </c>
      <c r="K1340" t="str">
        <v>feel</v>
      </c>
      <c r="N1340" s="4" cm="1">
        <f t="array" ref="N1340">SUM(--(_xlfn.TEXTSPLIT($J$1170,, " ") = M1340))</f>
        <v>2</v>
      </c>
      <c r="O1340">
        <v>1</v>
      </c>
      <c r="P1340">
        <v>2</v>
      </c>
      <c r="Q1340">
        <v>1</v>
      </c>
    </row>
    <row r="1341" spans="5:17" x14ac:dyDescent="0.2">
      <c r="E1341" s="9" t="s">
        <v>20</v>
      </c>
      <c r="K1341" t="str">
        <v>like</v>
      </c>
      <c r="N1341" s="4" cm="1">
        <f t="array" ref="N1341">SUM(--(_xlfn.TEXTSPLIT($J$1170,, " ") = M1341))</f>
        <v>2</v>
      </c>
      <c r="O1341">
        <v>1</v>
      </c>
      <c r="P1341">
        <v>2</v>
      </c>
      <c r="Q1341">
        <v>1</v>
      </c>
    </row>
    <row r="1342" spans="5:17" x14ac:dyDescent="0.2">
      <c r="E1342" s="9" t="s">
        <v>20</v>
      </c>
      <c r="K1342" t="str">
        <v xml:space="preserve">garbage
</v>
      </c>
      <c r="N1342" s="4" cm="1">
        <f t="array" ref="N1342">SUM(--(_xlfn.TEXTSPLIT($J$1170,, " ") = M1342))</f>
        <v>2</v>
      </c>
      <c r="O1342">
        <v>1</v>
      </c>
      <c r="P1342">
        <v>2</v>
      </c>
      <c r="Q1342">
        <v>1</v>
      </c>
    </row>
    <row r="1343" spans="5:17" x14ac:dyDescent="0.2">
      <c r="E1343" s="9" t="s">
        <v>20</v>
      </c>
      <c r="K1343" t="str">
        <v>I</v>
      </c>
      <c r="N1343" s="4" cm="1">
        <f t="array" ref="N1343">SUM(--(_xlfn.TEXTSPLIT($J$1170,, " ") = M1343))</f>
        <v>2</v>
      </c>
      <c r="O1343">
        <v>1</v>
      </c>
      <c r="P1343">
        <v>2</v>
      </c>
      <c r="Q1343">
        <v>1</v>
      </c>
    </row>
    <row r="1344" spans="5:17" x14ac:dyDescent="0.2">
      <c r="E1344" s="9" t="s">
        <v>20</v>
      </c>
      <c r="K1344" t="str">
        <v>feel</v>
      </c>
      <c r="N1344" s="4" cm="1">
        <f t="array" ref="N1344">SUM(--(_xlfn.TEXTSPLIT($J$1170,, " ") = M1344))</f>
        <v>2</v>
      </c>
      <c r="O1344">
        <v>1</v>
      </c>
      <c r="P1344">
        <v>2</v>
      </c>
      <c r="Q1344">
        <v>1</v>
      </c>
    </row>
    <row r="1345" spans="5:17" x14ac:dyDescent="0.2">
      <c r="E1345" s="9" t="s">
        <v>20</v>
      </c>
      <c r="K1345" t="str">
        <v>like</v>
      </c>
      <c r="N1345" s="4" cm="1">
        <f t="array" ref="N1345">SUM(--(_xlfn.TEXTSPLIT($J$1170,, " ") = M1345))</f>
        <v>2</v>
      </c>
      <c r="O1345">
        <v>1</v>
      </c>
      <c r="P1345">
        <v>2</v>
      </c>
      <c r="Q1345">
        <v>1</v>
      </c>
    </row>
    <row r="1346" spans="5:17" x14ac:dyDescent="0.2">
      <c r="E1346" s="9" t="s">
        <v>20</v>
      </c>
      <c r="K1346" t="str">
        <v xml:space="preserve">(Yeah)
</v>
      </c>
      <c r="N1346" s="4" cm="1">
        <f t="array" ref="N1346">SUM(--(_xlfn.TEXTSPLIT($J$1170,, " ") = M1346))</f>
        <v>2</v>
      </c>
      <c r="O1346">
        <v>1</v>
      </c>
      <c r="P1346">
        <v>2</v>
      </c>
      <c r="Q1346">
        <v>1</v>
      </c>
    </row>
    <row r="1347" spans="5:17" x14ac:dyDescent="0.2">
      <c r="E1347" s="9" t="s">
        <v>20</v>
      </c>
      <c r="K1347" t="str">
        <v xml:space="preserve">Like
</v>
      </c>
      <c r="N1347" s="4" cm="1">
        <f t="array" ref="N1347">SUM(--(_xlfn.TEXTSPLIT($J$1170,, " ") = M1347))</f>
        <v>2</v>
      </c>
      <c r="O1347">
        <v>1</v>
      </c>
      <c r="P1347">
        <v>2</v>
      </c>
      <c r="Q1347">
        <v>1</v>
      </c>
    </row>
    <row r="1348" spans="5:17" x14ac:dyDescent="0.2">
      <c r="E1348" s="9" t="s">
        <v>20</v>
      </c>
      <c r="K1348" t="str">
        <v>I'll</v>
      </c>
      <c r="N1348" s="4" cm="1">
        <f t="array" ref="N1348">SUM(--(_xlfn.TEXTSPLIT($J$1170,, " ") = M1348))</f>
        <v>2</v>
      </c>
      <c r="O1348">
        <v>1</v>
      </c>
      <c r="P1348">
        <v>2</v>
      </c>
      <c r="Q1348">
        <v>1</v>
      </c>
    </row>
    <row r="1349" spans="5:17" x14ac:dyDescent="0.2">
      <c r="E1349" s="9" t="s">
        <v>20</v>
      </c>
      <c r="K1349" t="str">
        <v>lash</v>
      </c>
      <c r="N1349" s="4" cm="1">
        <f t="array" ref="N1349">SUM(--(_xlfn.TEXTSPLIT($J$1170,, " ") = M1349))</f>
        <v>2</v>
      </c>
      <c r="O1349">
        <v>1</v>
      </c>
      <c r="P1349">
        <v>2</v>
      </c>
      <c r="Q1349">
        <v>1</v>
      </c>
    </row>
    <row r="1350" spans="5:17" x14ac:dyDescent="0.2">
      <c r="E1350" s="9" t="s">
        <v>20</v>
      </c>
      <c r="K1350" t="str">
        <v>out,</v>
      </c>
      <c r="N1350" s="4" cm="1">
        <f t="array" ref="N1350">SUM(--(_xlfn.TEXTSPLIT($J$1170,, " ") = M1350))</f>
        <v>2</v>
      </c>
      <c r="O1350">
        <v>1</v>
      </c>
      <c r="P1350">
        <v>2</v>
      </c>
      <c r="Q1350">
        <v>1</v>
      </c>
    </row>
    <row r="1351" spans="5:17" x14ac:dyDescent="0.2">
      <c r="E1351" s="9" t="s">
        <v>20</v>
      </c>
      <c r="K1351" t="str">
        <v>lash</v>
      </c>
      <c r="N1351" s="4" cm="1">
        <f t="array" ref="N1351">SUM(--(_xlfn.TEXTSPLIT($J$1170,, " ") = M1351))</f>
        <v>2</v>
      </c>
      <c r="O1351">
        <v>1</v>
      </c>
      <c r="P1351">
        <v>2</v>
      </c>
      <c r="Q1351">
        <v>1</v>
      </c>
    </row>
    <row r="1352" spans="5:17" x14ac:dyDescent="0.2">
      <c r="E1352" s="9" t="s">
        <v>20</v>
      </c>
      <c r="K1352" t="str">
        <v>out,</v>
      </c>
      <c r="N1352" s="4" cm="1">
        <f t="array" ref="N1352">SUM(--(_xlfn.TEXTSPLIT($J$1170,, " ") = M1352))</f>
        <v>2</v>
      </c>
      <c r="O1352">
        <v>1</v>
      </c>
      <c r="P1352">
        <v>2</v>
      </c>
      <c r="Q1352">
        <v>1</v>
      </c>
    </row>
    <row r="1353" spans="5:17" x14ac:dyDescent="0.2">
      <c r="E1353" s="9" t="s">
        <v>20</v>
      </c>
      <c r="K1353" t="str">
        <v>lash</v>
      </c>
      <c r="N1353" s="4" cm="1">
        <f t="array" ref="N1353">SUM(--(_xlfn.TEXTSPLIT($J$1170,, " ") = M1353))</f>
        <v>2</v>
      </c>
      <c r="O1353">
        <v>1</v>
      </c>
      <c r="P1353">
        <v>2</v>
      </c>
      <c r="Q1353">
        <v>1</v>
      </c>
    </row>
    <row r="1354" spans="5:17" x14ac:dyDescent="0.2">
      <c r="E1354" s="9" t="s">
        <v>20</v>
      </c>
      <c r="K1354" t="str">
        <v>out</v>
      </c>
      <c r="N1354" s="4" cm="1">
        <f t="array" ref="N1354">SUM(--(_xlfn.TEXTSPLIT($J$1170,, " ") = M1354))</f>
        <v>2</v>
      </c>
      <c r="O1354">
        <v>1</v>
      </c>
      <c r="P1354">
        <v>2</v>
      </c>
      <c r="Q1354">
        <v>1</v>
      </c>
    </row>
    <row r="1355" spans="5:17" x14ac:dyDescent="0.2">
      <c r="E1355" s="9" t="s">
        <v>20</v>
      </c>
      <c r="K1355" t="str">
        <v xml:space="preserve">(Hey)
</v>
      </c>
      <c r="N1355" s="4" cm="1">
        <f t="array" ref="N1355">SUM(--(_xlfn.TEXTSPLIT($J$1170,, " ") = M1355))</f>
        <v>2</v>
      </c>
      <c r="O1355">
        <v>1</v>
      </c>
      <c r="P1355">
        <v>2</v>
      </c>
      <c r="Q1355">
        <v>1</v>
      </c>
    </row>
    <row r="1356" spans="5:17" x14ac:dyDescent="0.2">
      <c r="E1356" s="9" t="s">
        <v>20</v>
      </c>
      <c r="K1356" t="str">
        <v>I'm</v>
      </c>
      <c r="N1356" s="4" cm="1">
        <f t="array" ref="N1356">SUM(--(_xlfn.TEXTSPLIT($J$1170,, " ") = M1356))</f>
        <v>2</v>
      </c>
      <c r="O1356">
        <v>1</v>
      </c>
      <c r="P1356">
        <v>2</v>
      </c>
      <c r="Q1356">
        <v>1</v>
      </c>
    </row>
    <row r="1357" spans="5:17" x14ac:dyDescent="0.2">
      <c r="E1357" s="9" t="s">
        <v>20</v>
      </c>
      <c r="K1357" t="str">
        <v>biting</v>
      </c>
      <c r="N1357" s="4" cm="1">
        <f t="array" ref="N1357">SUM(--(_xlfn.TEXTSPLIT($J$1170,, " ") = M1357))</f>
        <v>2</v>
      </c>
      <c r="O1357">
        <v>1</v>
      </c>
      <c r="P1357">
        <v>2</v>
      </c>
      <c r="Q1357">
        <v>1</v>
      </c>
    </row>
    <row r="1358" spans="5:17" x14ac:dyDescent="0.2">
      <c r="E1358" s="9" t="s">
        <v>20</v>
      </c>
      <c r="K1358" t="str">
        <v>down</v>
      </c>
      <c r="N1358" s="4" cm="1">
        <f t="array" ref="N1358">SUM(--(_xlfn.TEXTSPLIT($J$1170,, " ") = M1358))</f>
        <v>2</v>
      </c>
      <c r="O1358">
        <v>1</v>
      </c>
      <c r="P1358">
        <v>2</v>
      </c>
      <c r="Q1358">
        <v>1</v>
      </c>
    </row>
    <row r="1359" spans="5:17" x14ac:dyDescent="0.2">
      <c r="E1359" s="9" t="s">
        <v>20</v>
      </c>
      <c r="K1359" t="str">
        <v>on</v>
      </c>
      <c r="N1359" s="4" cm="1">
        <f t="array" ref="N1359">SUM(--(_xlfn.TEXTSPLIT($J$1170,, " ") = M1359))</f>
        <v>2</v>
      </c>
      <c r="O1359">
        <v>1</v>
      </c>
      <c r="P1359">
        <v>2</v>
      </c>
      <c r="Q1359">
        <v>1</v>
      </c>
    </row>
    <row r="1360" spans="5:17" x14ac:dyDescent="0.2">
      <c r="E1360" s="9" t="s">
        <v>20</v>
      </c>
      <c r="K1360" t="str">
        <v>my</v>
      </c>
      <c r="N1360" s="4" cm="1">
        <f t="array" ref="N1360">SUM(--(_xlfn.TEXTSPLIT($J$1170,, " ") = M1360))</f>
        <v>2</v>
      </c>
      <c r="O1360">
        <v>1</v>
      </c>
      <c r="P1360">
        <v>2</v>
      </c>
      <c r="Q1360">
        <v>1</v>
      </c>
    </row>
    <row r="1361" spans="5:17" x14ac:dyDescent="0.2">
      <c r="E1361" s="9" t="s">
        <v>20</v>
      </c>
      <c r="K1361" t="str">
        <v>shirt</v>
      </c>
      <c r="N1361" s="4" cm="1">
        <f t="array" ref="N1361">SUM(--(_xlfn.TEXTSPLIT($J$1170,, " ") = M1361))</f>
        <v>2</v>
      </c>
      <c r="O1361">
        <v>1</v>
      </c>
      <c r="P1361">
        <v>2</v>
      </c>
      <c r="Q1361">
        <v>1</v>
      </c>
    </row>
    <row r="1362" spans="5:17" x14ac:dyDescent="0.2">
      <c r="E1362" s="9" t="s">
        <v>20</v>
      </c>
      <c r="K1362" t="str">
        <v xml:space="preserve">sleeve
</v>
      </c>
      <c r="N1362" s="4" cm="1">
        <f t="array" ref="N1362">SUM(--(_xlfn.TEXTSPLIT($J$1170,, " ") = M1362))</f>
        <v>2</v>
      </c>
      <c r="O1362">
        <v>1</v>
      </c>
      <c r="P1362">
        <v>2</v>
      </c>
      <c r="Q1362">
        <v>1</v>
      </c>
    </row>
    <row r="1363" spans="5:17" x14ac:dyDescent="0.2">
      <c r="E1363" s="9" t="s">
        <v>20</v>
      </c>
      <c r="K1363" t="str">
        <v>Like,</v>
      </c>
      <c r="N1363" s="4" cm="1">
        <f t="array" ref="N1363">SUM(--(_xlfn.TEXTSPLIT($J$1170,, " ") = M1363))</f>
        <v>2</v>
      </c>
      <c r="O1363">
        <v>1</v>
      </c>
      <c r="P1363">
        <v>2</v>
      </c>
      <c r="Q1363">
        <v>1</v>
      </c>
    </row>
    <row r="1364" spans="5:17" x14ac:dyDescent="0.2">
      <c r="E1364" s="9" t="s">
        <v>20</v>
      </c>
      <c r="K1364" t="str">
        <v>I'll</v>
      </c>
      <c r="N1364" s="4" cm="1">
        <f t="array" ref="N1364">SUM(--(_xlfn.TEXTSPLIT($J$1170,, " ") = M1364))</f>
        <v>2</v>
      </c>
      <c r="O1364">
        <v>1</v>
      </c>
      <c r="P1364">
        <v>2</v>
      </c>
      <c r="Q1364">
        <v>1</v>
      </c>
    </row>
    <row r="1365" spans="5:17" x14ac:dyDescent="0.2">
      <c r="E1365" s="9" t="s">
        <v>20</v>
      </c>
      <c r="K1365" t="str">
        <v>lash</v>
      </c>
      <c r="N1365" s="4" cm="1">
        <f t="array" ref="N1365">SUM(--(_xlfn.TEXTSPLIT($J$1170,, " ") = M1365))</f>
        <v>2</v>
      </c>
      <c r="O1365">
        <v>1</v>
      </c>
      <c r="P1365">
        <v>2</v>
      </c>
      <c r="Q1365">
        <v>1</v>
      </c>
    </row>
    <row r="1366" spans="5:17" x14ac:dyDescent="0.2">
      <c r="E1366" s="9" t="s">
        <v>20</v>
      </c>
      <c r="K1366" t="str">
        <v>out,</v>
      </c>
      <c r="N1366" s="4" cm="1">
        <f t="array" ref="N1366">SUM(--(_xlfn.TEXTSPLIT($J$1170,, " ") = M1366))</f>
        <v>2</v>
      </c>
      <c r="O1366">
        <v>1</v>
      </c>
      <c r="P1366">
        <v>2</v>
      </c>
      <c r="Q1366">
        <v>1</v>
      </c>
    </row>
    <row r="1367" spans="5:17" x14ac:dyDescent="0.2">
      <c r="E1367" s="9" t="s">
        <v>20</v>
      </c>
      <c r="K1367" t="str">
        <v>lash</v>
      </c>
      <c r="N1367" s="4" cm="1">
        <f t="array" ref="N1367">SUM(--(_xlfn.TEXTSPLIT($J$1170,, " ") = M1367))</f>
        <v>2</v>
      </c>
      <c r="O1367">
        <v>1</v>
      </c>
      <c r="P1367">
        <v>2</v>
      </c>
      <c r="Q1367">
        <v>1</v>
      </c>
    </row>
    <row r="1368" spans="5:17" x14ac:dyDescent="0.2">
      <c r="E1368" s="9" t="s">
        <v>20</v>
      </c>
      <c r="K1368" t="str">
        <v>out,</v>
      </c>
      <c r="N1368" s="4" cm="1">
        <f t="array" ref="N1368">SUM(--(_xlfn.TEXTSPLIT($J$1170,, " ") = M1368))</f>
        <v>2</v>
      </c>
      <c r="O1368">
        <v>1</v>
      </c>
      <c r="P1368">
        <v>2</v>
      </c>
      <c r="Q1368">
        <v>1</v>
      </c>
    </row>
    <row r="1369" spans="5:17" x14ac:dyDescent="0.2">
      <c r="E1369" s="9" t="s">
        <v>20</v>
      </c>
      <c r="K1369" t="str">
        <v>lash</v>
      </c>
      <c r="N1369" s="4" cm="1">
        <f t="array" ref="N1369">SUM(--(_xlfn.TEXTSPLIT($J$1170,, " ") = M1369))</f>
        <v>2</v>
      </c>
      <c r="O1369">
        <v>1</v>
      </c>
      <c r="P1369">
        <v>2</v>
      </c>
      <c r="Q1369">
        <v>1</v>
      </c>
    </row>
    <row r="1370" spans="5:17" x14ac:dyDescent="0.2">
      <c r="E1370" s="9" t="s">
        <v>20</v>
      </c>
      <c r="K1370" t="str">
        <v xml:space="preserve">out
</v>
      </c>
      <c r="N1370" s="4" cm="1">
        <f t="array" ref="N1370">SUM(--(_xlfn.TEXTSPLIT($J$1170,, " ") = M1370))</f>
        <v>2</v>
      </c>
      <c r="O1370">
        <v>1</v>
      </c>
      <c r="P1370">
        <v>2</v>
      </c>
      <c r="Q1370">
        <v>1</v>
      </c>
    </row>
    <row r="1371" spans="5:17" x14ac:dyDescent="0.2">
      <c r="E1371" s="9" t="s">
        <v>20</v>
      </c>
      <c r="K1371" t="str">
        <v>Don't</v>
      </c>
      <c r="N1371" s="4" cm="1">
        <f t="array" ref="N1371">SUM(--(_xlfn.TEXTSPLIT($J$1170,, " ") = M1371))</f>
        <v>2</v>
      </c>
      <c r="O1371">
        <v>1</v>
      </c>
      <c r="P1371">
        <v>2</v>
      </c>
      <c r="Q1371">
        <v>1</v>
      </c>
    </row>
    <row r="1372" spans="5:17" x14ac:dyDescent="0.2">
      <c r="E1372" s="9" t="s">
        <v>20</v>
      </c>
      <c r="K1372" t="str">
        <v>give</v>
      </c>
      <c r="N1372" s="4" cm="1">
        <f t="array" ref="N1372">SUM(--(_xlfn.TEXTSPLIT($J$1170,, " ") = M1372))</f>
        <v>2</v>
      </c>
      <c r="O1372">
        <v>1</v>
      </c>
      <c r="P1372">
        <v>2</v>
      </c>
      <c r="Q1372">
        <v>1</v>
      </c>
    </row>
    <row r="1373" spans="5:17" x14ac:dyDescent="0.2">
      <c r="E1373" s="9" t="s">
        <v>20</v>
      </c>
      <c r="K1373" t="str">
        <v>up</v>
      </c>
      <c r="N1373" s="4" cm="1">
        <f t="array" ref="N1373">SUM(--(_xlfn.TEXTSPLIT($J$1170,, " ") = M1373))</f>
        <v>2</v>
      </c>
      <c r="O1373">
        <v>1</v>
      </c>
      <c r="P1373">
        <v>2</v>
      </c>
      <c r="Q1373">
        <v>1</v>
      </c>
    </row>
    <row r="1374" spans="5:17" x14ac:dyDescent="0.2">
      <c r="E1374" s="9" t="s">
        <v>20</v>
      </c>
      <c r="K1374" t="str">
        <v>on</v>
      </c>
      <c r="N1374" s="4" cm="1">
        <f t="array" ref="N1374">SUM(--(_xlfn.TEXTSPLIT($J$1170,, " ") = M1374))</f>
        <v>2</v>
      </c>
      <c r="O1374">
        <v>1</v>
      </c>
      <c r="P1374">
        <v>2</v>
      </c>
      <c r="Q1374">
        <v>1</v>
      </c>
    </row>
    <row r="1375" spans="5:17" x14ac:dyDescent="0.2">
      <c r="E1375" s="9" t="s">
        <v>20</v>
      </c>
      <c r="K1375" t="str">
        <v xml:space="preserve">me
</v>
      </c>
      <c r="N1375" s="4" cm="1">
        <f t="array" ref="N1375">SUM(--(_xlfn.TEXTSPLIT($J$1170,, " ") = M1375))</f>
        <v>2</v>
      </c>
      <c r="O1375">
        <v>1</v>
      </c>
      <c r="P1375">
        <v>2</v>
      </c>
      <c r="Q1375">
        <v>1</v>
      </c>
    </row>
    <row r="1376" spans="5:17" x14ac:dyDescent="0.2">
      <c r="E1376" s="9" t="s">
        <v>20</v>
      </c>
      <c r="K1376" t="str">
        <v>Don't</v>
      </c>
      <c r="N1376" s="4" cm="1">
        <f t="array" ref="N1376">SUM(--(_xlfn.TEXTSPLIT($J$1170,, " ") = M1376))</f>
        <v>2</v>
      </c>
      <c r="O1376">
        <v>1</v>
      </c>
      <c r="P1376">
        <v>2</v>
      </c>
      <c r="Q1376">
        <v>1</v>
      </c>
    </row>
    <row r="1377" spans="1:19" x14ac:dyDescent="0.2">
      <c r="E1377" s="9" t="s">
        <v>20</v>
      </c>
      <c r="K1377" t="str">
        <v>give</v>
      </c>
      <c r="N1377" s="4" cm="1">
        <f t="array" ref="N1377">SUM(--(_xlfn.TEXTSPLIT($J$1170,, " ") = M1377))</f>
        <v>2</v>
      </c>
      <c r="O1377">
        <v>1</v>
      </c>
      <c r="P1377">
        <v>2</v>
      </c>
      <c r="Q1377">
        <v>1</v>
      </c>
    </row>
    <row r="1378" spans="1:19" x14ac:dyDescent="0.2">
      <c r="E1378" s="9" t="s">
        <v>20</v>
      </c>
      <c r="K1378" t="str">
        <v>up</v>
      </c>
      <c r="N1378" s="4" cm="1">
        <f t="array" ref="N1378">SUM(--(_xlfn.TEXTSPLIT($J$1170,, " ") = M1378))</f>
        <v>2</v>
      </c>
      <c r="O1378">
        <v>1</v>
      </c>
      <c r="P1378">
        <v>2</v>
      </c>
      <c r="Q1378">
        <v>1</v>
      </c>
    </row>
    <row r="1379" spans="1:19" x14ac:dyDescent="0.2">
      <c r="E1379" s="9" t="s">
        <v>20</v>
      </c>
      <c r="K1379" t="str">
        <v>on</v>
      </c>
      <c r="N1379" s="4" cm="1">
        <f t="array" ref="N1379">SUM(--(_xlfn.TEXTSPLIT($J$1170,, " ") = M1379))</f>
        <v>2</v>
      </c>
      <c r="O1379">
        <v>1</v>
      </c>
      <c r="P1379">
        <v>2</v>
      </c>
      <c r="Q1379">
        <v>1</v>
      </c>
    </row>
    <row r="1380" spans="1:19" x14ac:dyDescent="0.2">
      <c r="E1380" s="9" t="s">
        <v>20</v>
      </c>
      <c r="K1380" t="str">
        <v xml:space="preserve">me
</v>
      </c>
      <c r="N1380" s="4" cm="1">
        <f t="array" ref="N1380">SUM(--(_xlfn.TEXTSPLIT($J$1170,, " ") = M1380))</f>
        <v>2</v>
      </c>
      <c r="O1380">
        <v>1</v>
      </c>
      <c r="P1380">
        <v>2</v>
      </c>
      <c r="Q1380">
        <v>1</v>
      </c>
    </row>
    <row r="1381" spans="1:19" x14ac:dyDescent="0.2">
      <c r="E1381" s="9" t="s">
        <v>20</v>
      </c>
      <c r="K1381" t="str">
        <v>No,</v>
      </c>
      <c r="N1381" s="4" cm="1">
        <f t="array" ref="N1381">SUM(--(_xlfn.TEXTSPLIT($J$1170,, " ") = M1381))</f>
        <v>2</v>
      </c>
      <c r="O1381">
        <v>1</v>
      </c>
      <c r="P1381">
        <v>2</v>
      </c>
      <c r="Q1381">
        <v>1</v>
      </c>
    </row>
    <row r="1382" spans="1:19" x14ac:dyDescent="0.2">
      <c r="E1382" s="9" t="s">
        <v>20</v>
      </c>
      <c r="K1382" t="str">
        <v>no,</v>
      </c>
      <c r="N1382" s="4" cm="1">
        <f t="array" ref="N1382">SUM(--(_xlfn.TEXTSPLIT($J$1170,, " ") = M1382))</f>
        <v>2</v>
      </c>
      <c r="O1382">
        <v>1</v>
      </c>
      <c r="P1382">
        <v>2</v>
      </c>
      <c r="Q1382">
        <v>1</v>
      </c>
    </row>
    <row r="1383" spans="1:19" x14ac:dyDescent="0.2">
      <c r="E1383" s="9" t="s">
        <v>20</v>
      </c>
      <c r="K1383" t="str">
        <v>no,</v>
      </c>
      <c r="N1383" s="4" cm="1">
        <f t="array" ref="N1383">SUM(--(_xlfn.TEXTSPLIT($J$1170,, " ") = M1383))</f>
        <v>2</v>
      </c>
      <c r="O1383">
        <v>1</v>
      </c>
      <c r="P1383">
        <v>2</v>
      </c>
      <c r="Q1383">
        <v>1</v>
      </c>
    </row>
    <row r="1384" spans="1:19" x14ac:dyDescent="0.2">
      <c r="E1384" s="9" t="s">
        <v>20</v>
      </c>
      <c r="K1384" t="str">
        <v>please,</v>
      </c>
      <c r="N1384" s="4" cm="1">
        <f t="array" ref="N1384">SUM(--(_xlfn.TEXTSPLIT($J$1170,, " ") = M1384))</f>
        <v>2</v>
      </c>
      <c r="O1384">
        <v>1</v>
      </c>
      <c r="P1384">
        <v>2</v>
      </c>
      <c r="Q1384">
        <v>1</v>
      </c>
    </row>
    <row r="1385" spans="1:19" x14ac:dyDescent="0.2">
      <c r="E1385" s="9" t="s">
        <v>20</v>
      </c>
      <c r="K1385" t="str">
        <v>please,</v>
      </c>
      <c r="N1385" s="4" cm="1">
        <f t="array" ref="N1385">SUM(--(_xlfn.TEXTSPLIT($J$1170,, " ") = M1385))</f>
        <v>2</v>
      </c>
      <c r="O1385">
        <v>1</v>
      </c>
      <c r="P1385">
        <v>2</v>
      </c>
      <c r="Q1385">
        <v>1</v>
      </c>
    </row>
    <row r="1386" spans="1:19" x14ac:dyDescent="0.2">
      <c r="E1386" s="9" t="s">
        <v>20</v>
      </c>
      <c r="K1386" t="str">
        <v>please</v>
      </c>
      <c r="N1386" s="4" cm="1">
        <f t="array" ref="N1386">SUM(--(_xlfn.TEXTSPLIT($J$1170,, " ") = M1386))</f>
        <v>2</v>
      </c>
      <c r="O1386">
        <v>1</v>
      </c>
      <c r="P1386">
        <v>2</v>
      </c>
      <c r="Q1386">
        <v>1</v>
      </c>
    </row>
    <row r="1387" spans="1:19" s="4" customFormat="1" x14ac:dyDescent="0.2">
      <c r="A1387" s="4">
        <v>5</v>
      </c>
      <c r="B1387" s="5">
        <v>45912</v>
      </c>
      <c r="C1387" s="6">
        <v>0.15625</v>
      </c>
      <c r="D1387" s="7">
        <v>225</v>
      </c>
      <c r="E1387" s="9" t="s">
        <v>24</v>
      </c>
      <c r="F1387" s="4">
        <v>5</v>
      </c>
      <c r="G1387" s="8" t="s">
        <v>15</v>
      </c>
      <c r="H1387" s="9" t="s">
        <v>25</v>
      </c>
      <c r="I1387" s="4">
        <v>1</v>
      </c>
      <c r="J1387" s="4" t="str">
        <f>_xlfn.TEXTJOIN(" ", TRUE, H1387:H1779)</f>
        <v xml:space="preserve">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Wake up and I find out, did a change up
 Wait, did it change up?
 Is it light out yet? Better find out, bet
 I'ma walk around the edge of the room and the bed
 Where I hide my face, pace around
 Better try to breathe, pace around, pace around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I  used to see
 Sleep I found
 (Oh-ooh) I wanna get out there
 (Oh-ooh) But I don't try
 (Oh-ooh) I wanna get out there
 (Oh-ooh) But I don't try
 I check the clock, wondering what he'll pull this time
 I have a feeling that necromancer's outside
 And I'm just tryin' to stay quiet
 I don't sleep much, that's crazy, how'd you know that? (That)
 I keep myself up, that's maybe how you know that (That, that)
 Ooh, promises and contracts I used to keep
 I don't sleep much, that's crazy, how'd you know that? (That)
 Keep myself up, that's maybe how you know that (That, that)
 Ooh, my hallucination I used to see
 I used to see
 I used to see
 Ooh, my hallucination I used to see
 I used to see, it felt so real
 But now I plead, just take the deal
 I promised you a contract
 I promised you a contract</v>
      </c>
      <c r="K1387" s="4" t="str" cm="1">
        <f t="array" ref="K1387:K1779">_xlfn.TEXTSPLIT(J1387, ," ")</f>
        <v/>
      </c>
      <c r="L1387" s="4" t="str">
        <f>_xlfn.REGEXREPLACE(K1387, "[^A-Za-z ]", " ")</f>
        <v/>
      </c>
      <c r="M1387" s="4" t="str" cm="1">
        <f t="array" ref="M1387:M1492">_xlfn.UNIQUE(_xlfn.TEXTSPLIT(J1387, , " "))</f>
        <v/>
      </c>
      <c r="N1387" s="4" cm="1">
        <f t="array" ref="N1387">SUM(--(_xlfn.TEXTSPLIT($J$1387,, " ") = M1387))</f>
        <v>2</v>
      </c>
      <c r="O1387" cm="1">
        <f t="array" ref="O1387:O1779">_xlfn._xlws.SORT(N1387:N1779,, -1)</f>
        <v>35</v>
      </c>
      <c r="P1387" s="4" cm="1">
        <f t="array" ref="P1387:Q1779">_xlfn.SORTBY(N1387:O1779, O1387:O1779, -1)</f>
        <v>2</v>
      </c>
      <c r="Q1387" s="4">
        <v>35</v>
      </c>
      <c r="S1387" s="4" cm="1">
        <f t="array" ref="S1387">SUM(--(_xlfn.TEXTSPLIT($J$2,, " ") = R1387))</f>
        <v>4</v>
      </c>
    </row>
    <row r="1388" spans="1:19" x14ac:dyDescent="0.2">
      <c r="E1388" s="9" t="s">
        <v>24</v>
      </c>
      <c r="K1388" t="str">
        <v>I</v>
      </c>
      <c r="L1388" s="4" t="str">
        <f>_xlfn.REGEXREPLACE(K1388, "[^A-Za-z ]", " ")</f>
        <v>I</v>
      </c>
      <c r="M1388" t="str">
        <v>I</v>
      </c>
      <c r="N1388" s="4" cm="1">
        <f t="array" ref="N1388">SUM(--(_xlfn.TEXTSPLIT($J$1387,, " ") = M1388))</f>
        <v>35</v>
      </c>
      <c r="O1388">
        <v>15</v>
      </c>
      <c r="P1388">
        <v>35</v>
      </c>
      <c r="Q1388">
        <v>15</v>
      </c>
    </row>
    <row r="1389" spans="1:19" x14ac:dyDescent="0.2">
      <c r="E1389" s="9" t="s">
        <v>24</v>
      </c>
      <c r="K1389" t="str">
        <v>check</v>
      </c>
      <c r="L1389" s="4" t="str">
        <f t="shared" ref="L1389:L1452" si="21">_xlfn.REGEXREPLACE(K1389, "[^A-Za-z ]", " ")</f>
        <v>check</v>
      </c>
      <c r="M1389" t="str">
        <v>check</v>
      </c>
      <c r="N1389" s="4" cm="1">
        <f t="array" ref="N1389">SUM(--(_xlfn.TEXTSPLIT($J$1387,, " ") = M1389))</f>
        <v>7</v>
      </c>
      <c r="O1389">
        <v>14</v>
      </c>
      <c r="P1389">
        <v>7</v>
      </c>
      <c r="Q1389">
        <v>14</v>
      </c>
    </row>
    <row r="1390" spans="1:19" x14ac:dyDescent="0.2">
      <c r="E1390" s="9" t="s">
        <v>24</v>
      </c>
      <c r="K1390" t="str">
        <v>the</v>
      </c>
      <c r="L1390" s="4" t="str">
        <f t="shared" si="21"/>
        <v>the</v>
      </c>
      <c r="M1390" t="str">
        <v>the</v>
      </c>
      <c r="N1390" s="4" cm="1">
        <f t="array" ref="N1390">SUM(--(_xlfn.TEXTSPLIT($J$1387,, " ") = M1390))</f>
        <v>13</v>
      </c>
      <c r="O1390">
        <v>13</v>
      </c>
      <c r="P1390">
        <v>13</v>
      </c>
      <c r="Q1390">
        <v>13</v>
      </c>
    </row>
    <row r="1391" spans="1:19" x14ac:dyDescent="0.2">
      <c r="E1391" s="9" t="s">
        <v>24</v>
      </c>
      <c r="K1391" t="str">
        <v>doors,</v>
      </c>
      <c r="L1391" s="4" t="str">
        <f t="shared" si="21"/>
        <v xml:space="preserve">doors </v>
      </c>
      <c r="M1391" t="str">
        <v>doors,</v>
      </c>
      <c r="N1391" s="4" cm="1">
        <f t="array" ref="N1391">SUM(--(_xlfn.TEXTSPLIT($J$1387,, " ") = M1391))</f>
        <v>2</v>
      </c>
      <c r="O1391">
        <v>12</v>
      </c>
      <c r="P1391">
        <v>2</v>
      </c>
      <c r="Q1391">
        <v>12</v>
      </c>
    </row>
    <row r="1392" spans="1:19" x14ac:dyDescent="0.2">
      <c r="E1392" s="9" t="s">
        <v>24</v>
      </c>
      <c r="K1392" t="str">
        <v>check</v>
      </c>
      <c r="L1392" s="4" t="str">
        <f t="shared" si="21"/>
        <v>check</v>
      </c>
      <c r="M1392" t="str">
        <v>windows</v>
      </c>
      <c r="N1392" s="4" cm="1">
        <f t="array" ref="N1392">SUM(--(_xlfn.TEXTSPLIT($J$1387,, " ") = M1392))</f>
        <v>1</v>
      </c>
      <c r="O1392">
        <v>12</v>
      </c>
      <c r="P1392">
        <v>1</v>
      </c>
      <c r="Q1392">
        <v>12</v>
      </c>
    </row>
    <row r="1393" spans="5:17" x14ac:dyDescent="0.2">
      <c r="E1393" s="9" t="s">
        <v>24</v>
      </c>
      <c r="K1393" t="str">
        <v>the</v>
      </c>
      <c r="L1393" s="4" t="str">
        <f t="shared" si="21"/>
        <v>the</v>
      </c>
      <c r="M1393" t="str">
        <v>and</v>
      </c>
      <c r="N1393" s="4" cm="1">
        <f t="array" ref="N1393">SUM(--(_xlfn.TEXTSPLIT($J$1387,, " ") = M1393))</f>
        <v>10</v>
      </c>
      <c r="O1393">
        <v>11</v>
      </c>
      <c r="P1393">
        <v>10</v>
      </c>
      <c r="Q1393">
        <v>11</v>
      </c>
    </row>
    <row r="1394" spans="5:17" x14ac:dyDescent="0.2">
      <c r="E1394" s="9" t="s">
        <v>24</v>
      </c>
      <c r="K1394" t="str">
        <v>windows</v>
      </c>
      <c r="L1394" s="4" t="str">
        <f t="shared" si="21"/>
        <v>windows</v>
      </c>
      <c r="M1394" t="str">
        <v>pull</v>
      </c>
      <c r="N1394" s="4" cm="1">
        <f t="array" ref="N1394">SUM(--(_xlfn.TEXTSPLIT($J$1387,, " ") = M1394))</f>
        <v>5</v>
      </c>
      <c r="O1394">
        <v>10</v>
      </c>
      <c r="P1394">
        <v>5</v>
      </c>
      <c r="Q1394">
        <v>10</v>
      </c>
    </row>
    <row r="1395" spans="5:17" x14ac:dyDescent="0.2">
      <c r="E1395" s="9" t="s">
        <v>24</v>
      </c>
      <c r="K1395" t="str">
        <v>and</v>
      </c>
      <c r="L1395" s="4" t="str">
        <f t="shared" si="21"/>
        <v>and</v>
      </c>
      <c r="M1395" t="str">
        <v xml:space="preserve">blinds
</v>
      </c>
      <c r="N1395" s="4" cm="1">
        <f t="array" ref="N1395">SUM(--(_xlfn.TEXTSPLIT($J$1387,, " ") = M1395))</f>
        <v>2</v>
      </c>
      <c r="O1395">
        <v>9</v>
      </c>
      <c r="P1395">
        <v>2</v>
      </c>
      <c r="Q1395">
        <v>9</v>
      </c>
    </row>
    <row r="1396" spans="5:17" x14ac:dyDescent="0.2">
      <c r="E1396" s="9" t="s">
        <v>24</v>
      </c>
      <c r="K1396" t="str">
        <v>pull</v>
      </c>
      <c r="L1396" s="4" t="str">
        <f t="shared" si="21"/>
        <v>pull</v>
      </c>
      <c r="M1396" t="str">
        <v>clock,</v>
      </c>
      <c r="N1396" s="4" cm="1">
        <f t="array" ref="N1396">SUM(--(_xlfn.TEXTSPLIT($J$1387,, " ") = M1396))</f>
        <v>3</v>
      </c>
      <c r="O1396">
        <v>8</v>
      </c>
      <c r="P1396">
        <v>3</v>
      </c>
      <c r="Q1396">
        <v>8</v>
      </c>
    </row>
    <row r="1397" spans="5:17" x14ac:dyDescent="0.2">
      <c r="E1397" s="9" t="s">
        <v>24</v>
      </c>
      <c r="K1397" t="str">
        <v>the</v>
      </c>
      <c r="L1397" s="4" t="str">
        <f t="shared" si="21"/>
        <v>the</v>
      </c>
      <c r="M1397" t="str">
        <v>wondering</v>
      </c>
      <c r="N1397" s="4" cm="1">
        <f t="array" ref="N1397">SUM(--(_xlfn.TEXTSPLIT($J$1387,, " ") = M1397))</f>
        <v>3</v>
      </c>
      <c r="O1397">
        <v>7</v>
      </c>
      <c r="P1397">
        <v>3</v>
      </c>
      <c r="Q1397">
        <v>7</v>
      </c>
    </row>
    <row r="1398" spans="5:17" x14ac:dyDescent="0.2">
      <c r="E1398" s="9" t="s">
        <v>24</v>
      </c>
      <c r="K1398" t="str">
        <v xml:space="preserve">blinds
</v>
      </c>
      <c r="L1398" s="4" t="str">
        <f t="shared" si="21"/>
        <v xml:space="preserve">blinds </v>
      </c>
      <c r="M1398" t="str">
        <v>what</v>
      </c>
      <c r="N1398" s="4" cm="1">
        <f t="array" ref="N1398">SUM(--(_xlfn.TEXTSPLIT($J$1387,, " ") = M1398))</f>
        <v>3</v>
      </c>
      <c r="O1398">
        <v>7</v>
      </c>
      <c r="P1398">
        <v>3</v>
      </c>
      <c r="Q1398">
        <v>7</v>
      </c>
    </row>
    <row r="1399" spans="5:17" x14ac:dyDescent="0.2">
      <c r="E1399" s="9" t="s">
        <v>24</v>
      </c>
      <c r="K1399" t="str">
        <v>I</v>
      </c>
      <c r="L1399" s="4" t="str">
        <f t="shared" si="21"/>
        <v>I</v>
      </c>
      <c r="M1399" t="str">
        <v>he'll</v>
      </c>
      <c r="N1399" s="4" cm="1">
        <f t="array" ref="N1399">SUM(--(_xlfn.TEXTSPLIT($J$1387,, " ") = M1399))</f>
        <v>3</v>
      </c>
      <c r="O1399">
        <v>7</v>
      </c>
      <c r="P1399">
        <v>3</v>
      </c>
      <c r="Q1399">
        <v>7</v>
      </c>
    </row>
    <row r="1400" spans="5:17" x14ac:dyDescent="0.2">
      <c r="E1400" s="9" t="s">
        <v>24</v>
      </c>
      <c r="K1400" t="str">
        <v>check</v>
      </c>
      <c r="L1400" s="4" t="str">
        <f t="shared" si="21"/>
        <v>check</v>
      </c>
      <c r="M1400" t="str">
        <v>this</v>
      </c>
      <c r="N1400" s="4" cm="1">
        <f t="array" ref="N1400">SUM(--(_xlfn.TEXTSPLIT($J$1387,, " ") = M1400))</f>
        <v>3</v>
      </c>
      <c r="O1400">
        <v>6</v>
      </c>
      <c r="P1400">
        <v>3</v>
      </c>
      <c r="Q1400">
        <v>6</v>
      </c>
    </row>
    <row r="1401" spans="5:17" x14ac:dyDescent="0.2">
      <c r="E1401" s="9" t="s">
        <v>24</v>
      </c>
      <c r="K1401" t="str">
        <v>the</v>
      </c>
      <c r="L1401" s="4" t="str">
        <f t="shared" si="21"/>
        <v>the</v>
      </c>
      <c r="M1401" t="str">
        <v xml:space="preserve">time
</v>
      </c>
      <c r="N1401" s="4" cm="1">
        <f t="array" ref="N1401">SUM(--(_xlfn.TEXTSPLIT($J$1387,, " ") = M1401))</f>
        <v>3</v>
      </c>
      <c r="O1401">
        <v>6</v>
      </c>
      <c r="P1401">
        <v>3</v>
      </c>
      <c r="Q1401">
        <v>6</v>
      </c>
    </row>
    <row r="1402" spans="5:17" x14ac:dyDescent="0.2">
      <c r="E1402" s="9" t="s">
        <v>24</v>
      </c>
      <c r="K1402" t="str">
        <v>clock,</v>
      </c>
      <c r="L1402" s="4" t="str">
        <f t="shared" si="21"/>
        <v xml:space="preserve">clock </v>
      </c>
      <c r="M1402" t="str">
        <v>have</v>
      </c>
      <c r="N1402" s="4" cm="1">
        <f t="array" ref="N1402">SUM(--(_xlfn.TEXTSPLIT($J$1387,, " ") = M1402))</f>
        <v>3</v>
      </c>
      <c r="O1402">
        <v>6</v>
      </c>
      <c r="P1402">
        <v>3</v>
      </c>
      <c r="Q1402">
        <v>6</v>
      </c>
    </row>
    <row r="1403" spans="5:17" x14ac:dyDescent="0.2">
      <c r="E1403" s="9" t="s">
        <v>24</v>
      </c>
      <c r="K1403" t="str">
        <v>wondering</v>
      </c>
      <c r="L1403" s="4" t="str">
        <f t="shared" si="21"/>
        <v>wondering</v>
      </c>
      <c r="M1403" t="str">
        <v>a</v>
      </c>
      <c r="N1403" s="4" cm="1">
        <f t="array" ref="N1403">SUM(--(_xlfn.TEXTSPLIT($J$1387,, " ") = M1403))</f>
        <v>6</v>
      </c>
      <c r="O1403">
        <v>6</v>
      </c>
      <c r="P1403">
        <v>6</v>
      </c>
      <c r="Q1403">
        <v>6</v>
      </c>
    </row>
    <row r="1404" spans="5:17" x14ac:dyDescent="0.2">
      <c r="E1404" s="9" t="s">
        <v>24</v>
      </c>
      <c r="K1404" t="str">
        <v>what</v>
      </c>
      <c r="L1404" s="4" t="str">
        <f t="shared" si="21"/>
        <v>what</v>
      </c>
      <c r="M1404" t="str">
        <v>feeling</v>
      </c>
      <c r="N1404" s="4" cm="1">
        <f t="array" ref="N1404">SUM(--(_xlfn.TEXTSPLIT($J$1387,, " ") = M1404))</f>
        <v>3</v>
      </c>
      <c r="O1404">
        <v>6</v>
      </c>
      <c r="P1404">
        <v>3</v>
      </c>
      <c r="Q1404">
        <v>6</v>
      </c>
    </row>
    <row r="1405" spans="5:17" x14ac:dyDescent="0.2">
      <c r="E1405" s="9" t="s">
        <v>24</v>
      </c>
      <c r="K1405" t="str">
        <v>he'll</v>
      </c>
      <c r="L1405" s="4" t="str">
        <f t="shared" si="21"/>
        <v>he ll</v>
      </c>
      <c r="M1405" t="str">
        <v>that</v>
      </c>
      <c r="N1405" s="4" cm="1">
        <f t="array" ref="N1405">SUM(--(_xlfn.TEXTSPLIT($J$1387,, " ") = M1405))</f>
        <v>9</v>
      </c>
      <c r="O1405">
        <v>6</v>
      </c>
      <c r="P1405">
        <v>9</v>
      </c>
      <c r="Q1405">
        <v>6</v>
      </c>
    </row>
    <row r="1406" spans="5:17" x14ac:dyDescent="0.2">
      <c r="E1406" s="9" t="s">
        <v>24</v>
      </c>
      <c r="K1406" t="str">
        <v>pull</v>
      </c>
      <c r="L1406" s="4" t="str">
        <f t="shared" si="21"/>
        <v>pull</v>
      </c>
      <c r="M1406" t="str">
        <v>necromancer's</v>
      </c>
      <c r="N1406" s="4" cm="1">
        <f t="array" ref="N1406">SUM(--(_xlfn.TEXTSPLIT($J$1387,, " ") = M1406))</f>
        <v>3</v>
      </c>
      <c r="O1406">
        <v>6</v>
      </c>
      <c r="P1406">
        <v>3</v>
      </c>
      <c r="Q1406">
        <v>6</v>
      </c>
    </row>
    <row r="1407" spans="5:17" x14ac:dyDescent="0.2">
      <c r="E1407" s="9" t="s">
        <v>24</v>
      </c>
      <c r="K1407" t="str">
        <v>this</v>
      </c>
      <c r="L1407" s="4" t="str">
        <f t="shared" si="21"/>
        <v>this</v>
      </c>
      <c r="M1407" t="str">
        <v xml:space="preserve">outside
</v>
      </c>
      <c r="N1407" s="4" cm="1">
        <f t="array" ref="N1407">SUM(--(_xlfn.TEXTSPLIT($J$1387,, " ") = M1407))</f>
        <v>3</v>
      </c>
      <c r="O1407">
        <v>6</v>
      </c>
      <c r="P1407">
        <v>3</v>
      </c>
      <c r="Q1407">
        <v>6</v>
      </c>
    </row>
    <row r="1408" spans="5:17" x14ac:dyDescent="0.2">
      <c r="E1408" s="9" t="s">
        <v>24</v>
      </c>
      <c r="K1408" t="str">
        <v xml:space="preserve">time
</v>
      </c>
      <c r="L1408" s="4" t="str">
        <f t="shared" si="21"/>
        <v xml:space="preserve">time </v>
      </c>
      <c r="M1408" t="str">
        <v>I'm</v>
      </c>
      <c r="N1408" s="4" cm="1">
        <f t="array" ref="N1408">SUM(--(_xlfn.TEXTSPLIT($J$1387,, " ") = M1408))</f>
        <v>3</v>
      </c>
      <c r="O1408">
        <v>6</v>
      </c>
      <c r="P1408">
        <v>3</v>
      </c>
      <c r="Q1408">
        <v>6</v>
      </c>
    </row>
    <row r="1409" spans="5:17" x14ac:dyDescent="0.2">
      <c r="E1409" s="9" t="s">
        <v>24</v>
      </c>
      <c r="K1409" t="str">
        <v>I</v>
      </c>
      <c r="L1409" s="4" t="str">
        <f t="shared" si="21"/>
        <v>I</v>
      </c>
      <c r="M1409" t="str">
        <v>just</v>
      </c>
      <c r="N1409" s="4" cm="1">
        <f t="array" ref="N1409">SUM(--(_xlfn.TEXTSPLIT($J$1387,, " ") = M1409))</f>
        <v>4</v>
      </c>
      <c r="O1409">
        <v>6</v>
      </c>
      <c r="P1409">
        <v>4</v>
      </c>
      <c r="Q1409">
        <v>6</v>
      </c>
    </row>
    <row r="1410" spans="5:17" x14ac:dyDescent="0.2">
      <c r="E1410" s="9" t="s">
        <v>24</v>
      </c>
      <c r="K1410" t="str">
        <v>have</v>
      </c>
      <c r="L1410" s="4" t="str">
        <f t="shared" si="21"/>
        <v>have</v>
      </c>
      <c r="M1410" t="str">
        <v>tryin'</v>
      </c>
      <c r="N1410" s="4" cm="1">
        <f t="array" ref="N1410">SUM(--(_xlfn.TEXTSPLIT($J$1387,, " ") = M1410))</f>
        <v>3</v>
      </c>
      <c r="O1410">
        <v>6</v>
      </c>
      <c r="P1410">
        <v>3</v>
      </c>
      <c r="Q1410">
        <v>6</v>
      </c>
    </row>
    <row r="1411" spans="5:17" x14ac:dyDescent="0.2">
      <c r="E1411" s="9" t="s">
        <v>24</v>
      </c>
      <c r="K1411" t="str">
        <v>a</v>
      </c>
      <c r="L1411" s="4" t="str">
        <f t="shared" si="21"/>
        <v>a</v>
      </c>
      <c r="M1411" t="str">
        <v>to</v>
      </c>
      <c r="N1411" s="4" cm="1">
        <f t="array" ref="N1411">SUM(--(_xlfn.TEXTSPLIT($J$1387,, " ") = M1411))</f>
        <v>15</v>
      </c>
      <c r="O1411">
        <v>6</v>
      </c>
      <c r="P1411">
        <v>15</v>
      </c>
      <c r="Q1411">
        <v>6</v>
      </c>
    </row>
    <row r="1412" spans="5:17" x14ac:dyDescent="0.2">
      <c r="E1412" s="9" t="s">
        <v>24</v>
      </c>
      <c r="K1412" t="str">
        <v>feeling</v>
      </c>
      <c r="L1412" s="4" t="str">
        <f t="shared" si="21"/>
        <v>feeling</v>
      </c>
      <c r="M1412" t="str">
        <v>stay</v>
      </c>
      <c r="N1412" s="4" cm="1">
        <f t="array" ref="N1412">SUM(--(_xlfn.TEXTSPLIT($J$1387,, " ") = M1412))</f>
        <v>3</v>
      </c>
      <c r="O1412">
        <v>6</v>
      </c>
      <c r="P1412">
        <v>3</v>
      </c>
      <c r="Q1412">
        <v>6</v>
      </c>
    </row>
    <row r="1413" spans="5:17" x14ac:dyDescent="0.2">
      <c r="E1413" s="9" t="s">
        <v>24</v>
      </c>
      <c r="K1413" t="str">
        <v>that</v>
      </c>
      <c r="L1413" s="4" t="str">
        <f t="shared" si="21"/>
        <v>that</v>
      </c>
      <c r="M1413" t="str">
        <v xml:space="preserve">quiet
</v>
      </c>
      <c r="N1413" s="4" cm="1">
        <f t="array" ref="N1413">SUM(--(_xlfn.TEXTSPLIT($J$1387,, " ") = M1413))</f>
        <v>3</v>
      </c>
      <c r="O1413">
        <v>5</v>
      </c>
      <c r="P1413">
        <v>3</v>
      </c>
      <c r="Q1413">
        <v>5</v>
      </c>
    </row>
    <row r="1414" spans="5:17" x14ac:dyDescent="0.2">
      <c r="E1414" s="9" t="s">
        <v>24</v>
      </c>
      <c r="K1414" t="str">
        <v>necromancer's</v>
      </c>
      <c r="L1414" s="4" t="str">
        <f t="shared" si="21"/>
        <v>necromancer s</v>
      </c>
      <c r="M1414" t="str">
        <v>don't</v>
      </c>
      <c r="N1414" s="4" cm="1">
        <f t="array" ref="N1414">SUM(--(_xlfn.TEXTSPLIT($J$1387,, " ") = M1414))</f>
        <v>8</v>
      </c>
      <c r="O1414">
        <v>5</v>
      </c>
      <c r="P1414">
        <v>8</v>
      </c>
      <c r="Q1414">
        <v>5</v>
      </c>
    </row>
    <row r="1415" spans="5:17" x14ac:dyDescent="0.2">
      <c r="E1415" s="9" t="s">
        <v>24</v>
      </c>
      <c r="K1415" t="str">
        <v xml:space="preserve">outside
</v>
      </c>
      <c r="L1415" s="4" t="str">
        <f t="shared" si="21"/>
        <v xml:space="preserve">outside </v>
      </c>
      <c r="M1415" t="str">
        <v>sleep</v>
      </c>
      <c r="N1415" s="4" cm="1">
        <f t="array" ref="N1415">SUM(--(_xlfn.TEXTSPLIT($J$1387,, " ") = M1415))</f>
        <v>7</v>
      </c>
      <c r="O1415">
        <v>4</v>
      </c>
      <c r="P1415">
        <v>7</v>
      </c>
      <c r="Q1415">
        <v>4</v>
      </c>
    </row>
    <row r="1416" spans="5:17" x14ac:dyDescent="0.2">
      <c r="E1416" s="9" t="s">
        <v>24</v>
      </c>
      <c r="K1416" t="str">
        <v>And</v>
      </c>
      <c r="L1416" s="4" t="str">
        <f t="shared" si="21"/>
        <v>And</v>
      </c>
      <c r="M1416" t="str">
        <v>much,</v>
      </c>
      <c r="N1416" s="4" cm="1">
        <f t="array" ref="N1416">SUM(--(_xlfn.TEXTSPLIT($J$1387,, " ") = M1416))</f>
        <v>6</v>
      </c>
      <c r="O1416">
        <v>4</v>
      </c>
      <c r="P1416">
        <v>6</v>
      </c>
      <c r="Q1416">
        <v>4</v>
      </c>
    </row>
    <row r="1417" spans="5:17" x14ac:dyDescent="0.2">
      <c r="E1417" s="9" t="s">
        <v>24</v>
      </c>
      <c r="K1417" t="str">
        <v>I'm</v>
      </c>
      <c r="L1417" s="4" t="str">
        <f t="shared" si="21"/>
        <v>I m</v>
      </c>
      <c r="M1417" t="str">
        <v>that's</v>
      </c>
      <c r="N1417" s="4" cm="1">
        <f t="array" ref="N1417">SUM(--(_xlfn.TEXTSPLIT($J$1387,, " ") = M1417))</f>
        <v>12</v>
      </c>
      <c r="O1417">
        <v>4</v>
      </c>
      <c r="P1417">
        <v>12</v>
      </c>
      <c r="Q1417">
        <v>4</v>
      </c>
    </row>
    <row r="1418" spans="5:17" x14ac:dyDescent="0.2">
      <c r="E1418" s="9" t="s">
        <v>24</v>
      </c>
      <c r="K1418" t="str">
        <v>just</v>
      </c>
      <c r="L1418" s="4" t="str">
        <f t="shared" si="21"/>
        <v>just</v>
      </c>
      <c r="M1418" t="str">
        <v>crazy,</v>
      </c>
      <c r="N1418" s="4" cm="1">
        <f t="array" ref="N1418">SUM(--(_xlfn.TEXTSPLIT($J$1387,, " ") = M1418))</f>
        <v>6</v>
      </c>
      <c r="O1418">
        <v>3</v>
      </c>
      <c r="P1418">
        <v>6</v>
      </c>
      <c r="Q1418">
        <v>3</v>
      </c>
    </row>
    <row r="1419" spans="5:17" x14ac:dyDescent="0.2">
      <c r="E1419" s="9" t="s">
        <v>24</v>
      </c>
      <c r="K1419" t="str">
        <v>tryin'</v>
      </c>
      <c r="L1419" s="4" t="str">
        <f t="shared" si="21"/>
        <v xml:space="preserve">tryin </v>
      </c>
      <c r="M1419" t="str">
        <v>how'd</v>
      </c>
      <c r="N1419" s="4" cm="1">
        <f t="array" ref="N1419">SUM(--(_xlfn.TEXTSPLIT($J$1387,, " ") = M1419))</f>
        <v>6</v>
      </c>
      <c r="O1419">
        <v>3</v>
      </c>
      <c r="P1419">
        <v>6</v>
      </c>
      <c r="Q1419">
        <v>3</v>
      </c>
    </row>
    <row r="1420" spans="5:17" x14ac:dyDescent="0.2">
      <c r="E1420" s="9" t="s">
        <v>24</v>
      </c>
      <c r="K1420" t="str">
        <v>to</v>
      </c>
      <c r="L1420" s="4" t="str">
        <f t="shared" si="21"/>
        <v>to</v>
      </c>
      <c r="M1420" t="str">
        <v>you</v>
      </c>
      <c r="N1420" s="4" cm="1">
        <f t="array" ref="N1420">SUM(--(_xlfn.TEXTSPLIT($J$1387,, " ") = M1420))</f>
        <v>14</v>
      </c>
      <c r="O1420">
        <v>3</v>
      </c>
      <c r="P1420">
        <v>14</v>
      </c>
      <c r="Q1420">
        <v>3</v>
      </c>
    </row>
    <row r="1421" spans="5:17" x14ac:dyDescent="0.2">
      <c r="E1421" s="9" t="s">
        <v>24</v>
      </c>
      <c r="K1421" t="str">
        <v>stay</v>
      </c>
      <c r="L1421" s="4" t="str">
        <f t="shared" si="21"/>
        <v>stay</v>
      </c>
      <c r="M1421" t="str">
        <v>know</v>
      </c>
      <c r="N1421" s="4" cm="1">
        <f t="array" ref="N1421">SUM(--(_xlfn.TEXTSPLIT($J$1387,, " ") = M1421))</f>
        <v>12</v>
      </c>
      <c r="O1421">
        <v>3</v>
      </c>
      <c r="P1421">
        <v>12</v>
      </c>
      <c r="Q1421">
        <v>3</v>
      </c>
    </row>
    <row r="1422" spans="5:17" x14ac:dyDescent="0.2">
      <c r="E1422" s="9" t="s">
        <v>24</v>
      </c>
      <c r="K1422" t="str">
        <v xml:space="preserve">quiet
</v>
      </c>
      <c r="L1422" s="4" t="str">
        <f t="shared" si="21"/>
        <v xml:space="preserve">quiet  </v>
      </c>
      <c r="M1422" t="str">
        <v>that?</v>
      </c>
      <c r="N1422" s="4" cm="1">
        <f t="array" ref="N1422">SUM(--(_xlfn.TEXTSPLIT($J$1387,, " ") = M1422))</f>
        <v>6</v>
      </c>
      <c r="O1422">
        <v>3</v>
      </c>
      <c r="P1422">
        <v>6</v>
      </c>
      <c r="Q1422">
        <v>3</v>
      </c>
    </row>
    <row r="1423" spans="5:17" x14ac:dyDescent="0.2">
      <c r="E1423" s="9" t="s">
        <v>24</v>
      </c>
      <c r="K1423" t="str">
        <v>I</v>
      </c>
      <c r="L1423" s="4" t="str">
        <f t="shared" si="21"/>
        <v>I</v>
      </c>
      <c r="M1423" t="str">
        <v xml:space="preserve">(That)
</v>
      </c>
      <c r="N1423" s="4" cm="1">
        <f t="array" ref="N1423">SUM(--(_xlfn.TEXTSPLIT($J$1387,, " ") = M1423))</f>
        <v>6</v>
      </c>
      <c r="O1423">
        <v>3</v>
      </c>
      <c r="P1423">
        <v>6</v>
      </c>
      <c r="Q1423">
        <v>3</v>
      </c>
    </row>
    <row r="1424" spans="5:17" x14ac:dyDescent="0.2">
      <c r="E1424" s="9" t="s">
        <v>24</v>
      </c>
      <c r="K1424" t="str">
        <v>don't</v>
      </c>
      <c r="L1424" s="4" t="str">
        <f t="shared" si="21"/>
        <v>don t</v>
      </c>
      <c r="M1424" t="str">
        <v>Keep</v>
      </c>
      <c r="N1424" s="4" cm="1">
        <f t="array" ref="N1424">SUM(--(_xlfn.TEXTSPLIT($J$1387,, " ") = M1424))</f>
        <v>6</v>
      </c>
      <c r="O1424">
        <v>3</v>
      </c>
      <c r="P1424">
        <v>6</v>
      </c>
      <c r="Q1424">
        <v>3</v>
      </c>
    </row>
    <row r="1425" spans="5:17" x14ac:dyDescent="0.2">
      <c r="E1425" s="9" t="s">
        <v>24</v>
      </c>
      <c r="K1425" t="str">
        <v>sleep</v>
      </c>
      <c r="L1425" s="4" t="str">
        <f t="shared" si="21"/>
        <v>sleep</v>
      </c>
      <c r="M1425" t="str">
        <v>myself</v>
      </c>
      <c r="N1425" s="4" cm="1">
        <f t="array" ref="N1425">SUM(--(_xlfn.TEXTSPLIT($J$1387,, " ") = M1425))</f>
        <v>6</v>
      </c>
      <c r="O1425">
        <v>3</v>
      </c>
      <c r="P1425">
        <v>6</v>
      </c>
      <c r="Q1425">
        <v>3</v>
      </c>
    </row>
    <row r="1426" spans="5:17" x14ac:dyDescent="0.2">
      <c r="E1426" s="9" t="s">
        <v>24</v>
      </c>
      <c r="K1426" t="str">
        <v>much,</v>
      </c>
      <c r="L1426" s="4" t="str">
        <f t="shared" si="21"/>
        <v xml:space="preserve">much </v>
      </c>
      <c r="M1426" t="str">
        <v>up,</v>
      </c>
      <c r="N1426" s="4" cm="1">
        <f t="array" ref="N1426">SUM(--(_xlfn.TEXTSPLIT($J$1387,, " ") = M1426))</f>
        <v>6</v>
      </c>
      <c r="O1426">
        <v>3</v>
      </c>
      <c r="P1426">
        <v>6</v>
      </c>
      <c r="Q1426">
        <v>3</v>
      </c>
    </row>
    <row r="1427" spans="5:17" x14ac:dyDescent="0.2">
      <c r="E1427" s="9" t="s">
        <v>24</v>
      </c>
      <c r="K1427" t="str">
        <v>that's</v>
      </c>
      <c r="L1427" s="4" t="str">
        <f t="shared" si="21"/>
        <v>that s</v>
      </c>
      <c r="M1427" t="str">
        <v>maybe</v>
      </c>
      <c r="N1427" s="4" cm="1">
        <f t="array" ref="N1427">SUM(--(_xlfn.TEXTSPLIT($J$1387,, " ") = M1427))</f>
        <v>6</v>
      </c>
      <c r="O1427">
        <v>3</v>
      </c>
      <c r="P1427">
        <v>6</v>
      </c>
      <c r="Q1427">
        <v>3</v>
      </c>
    </row>
    <row r="1428" spans="5:17" x14ac:dyDescent="0.2">
      <c r="E1428" s="9" t="s">
        <v>24</v>
      </c>
      <c r="K1428" t="str">
        <v>crazy,</v>
      </c>
      <c r="L1428" s="4" t="str">
        <f t="shared" si="21"/>
        <v xml:space="preserve">crazy </v>
      </c>
      <c r="M1428" t="str">
        <v>how</v>
      </c>
      <c r="N1428" s="4" cm="1">
        <f t="array" ref="N1428">SUM(--(_xlfn.TEXTSPLIT($J$1387,, " ") = M1428))</f>
        <v>6</v>
      </c>
      <c r="O1428">
        <v>3</v>
      </c>
      <c r="P1428">
        <v>6</v>
      </c>
      <c r="Q1428">
        <v>3</v>
      </c>
    </row>
    <row r="1429" spans="5:17" x14ac:dyDescent="0.2">
      <c r="E1429" s="9" t="s">
        <v>24</v>
      </c>
      <c r="K1429" t="str">
        <v>how'd</v>
      </c>
      <c r="L1429" s="4" t="str">
        <f t="shared" si="21"/>
        <v>how d</v>
      </c>
      <c r="M1429" t="str">
        <v>(That,</v>
      </c>
      <c r="N1429" s="4" cm="1">
        <f t="array" ref="N1429">SUM(--(_xlfn.TEXTSPLIT($J$1387,, " ") = M1429))</f>
        <v>6</v>
      </c>
      <c r="O1429">
        <v>3</v>
      </c>
      <c r="P1429">
        <v>6</v>
      </c>
      <c r="Q1429">
        <v>3</v>
      </c>
    </row>
    <row r="1430" spans="5:17" x14ac:dyDescent="0.2">
      <c r="E1430" s="9" t="s">
        <v>24</v>
      </c>
      <c r="K1430" t="str">
        <v>you</v>
      </c>
      <c r="L1430" s="4" t="str">
        <f t="shared" si="21"/>
        <v>you</v>
      </c>
      <c r="M1430" t="str">
        <v xml:space="preserve">that)
</v>
      </c>
      <c r="N1430" s="4" cm="1">
        <f t="array" ref="N1430">SUM(--(_xlfn.TEXTSPLIT($J$1387,, " ") = M1430))</f>
        <v>6</v>
      </c>
      <c r="O1430">
        <v>3</v>
      </c>
      <c r="P1430">
        <v>6</v>
      </c>
      <c r="Q1430">
        <v>3</v>
      </c>
    </row>
    <row r="1431" spans="5:17" x14ac:dyDescent="0.2">
      <c r="E1431" s="9" t="s">
        <v>24</v>
      </c>
      <c r="K1431" t="str">
        <v>know</v>
      </c>
      <c r="L1431" s="4" t="str">
        <f t="shared" si="21"/>
        <v>know</v>
      </c>
      <c r="M1431" t="str">
        <v>Ooh,</v>
      </c>
      <c r="N1431" s="4" cm="1">
        <f t="array" ref="N1431">SUM(--(_xlfn.TEXTSPLIT($J$1387,, " ") = M1431))</f>
        <v>7</v>
      </c>
      <c r="O1431">
        <v>3</v>
      </c>
      <c r="P1431">
        <v>7</v>
      </c>
      <c r="Q1431">
        <v>3</v>
      </c>
    </row>
    <row r="1432" spans="5:17" x14ac:dyDescent="0.2">
      <c r="E1432" s="9" t="s">
        <v>24</v>
      </c>
      <c r="K1432" t="str">
        <v>that?</v>
      </c>
      <c r="L1432" s="4" t="str">
        <f t="shared" si="21"/>
        <v xml:space="preserve">that </v>
      </c>
      <c r="M1432" t="str">
        <v>promises</v>
      </c>
      <c r="N1432" s="4" cm="1">
        <f t="array" ref="N1432">SUM(--(_xlfn.TEXTSPLIT($J$1387,, " ") = M1432))</f>
        <v>3</v>
      </c>
      <c r="O1432">
        <v>3</v>
      </c>
      <c r="P1432">
        <v>3</v>
      </c>
      <c r="Q1432">
        <v>3</v>
      </c>
    </row>
    <row r="1433" spans="5:17" x14ac:dyDescent="0.2">
      <c r="E1433" s="9" t="s">
        <v>24</v>
      </c>
      <c r="K1433" t="str">
        <v xml:space="preserve">(That)
</v>
      </c>
      <c r="L1433" s="4" t="str">
        <f t="shared" si="21"/>
        <v xml:space="preserve"> That  </v>
      </c>
      <c r="M1433" t="str">
        <v>contracts</v>
      </c>
      <c r="N1433" s="4" cm="1">
        <f t="array" ref="N1433">SUM(--(_xlfn.TEXTSPLIT($J$1387,, " ") = M1433))</f>
        <v>3</v>
      </c>
      <c r="O1433">
        <v>3</v>
      </c>
      <c r="P1433">
        <v>3</v>
      </c>
      <c r="Q1433">
        <v>3</v>
      </c>
    </row>
    <row r="1434" spans="5:17" x14ac:dyDescent="0.2">
      <c r="E1434" s="9" t="s">
        <v>24</v>
      </c>
      <c r="K1434" t="str">
        <v>Keep</v>
      </c>
      <c r="L1434" s="4" t="str">
        <f t="shared" si="21"/>
        <v>Keep</v>
      </c>
      <c r="M1434" t="str">
        <v>used</v>
      </c>
      <c r="N1434" s="4" cm="1">
        <f t="array" ref="N1434">SUM(--(_xlfn.TEXTSPLIT($J$1387,, " ") = M1434))</f>
        <v>11</v>
      </c>
      <c r="O1434">
        <v>3</v>
      </c>
      <c r="P1434">
        <v>11</v>
      </c>
      <c r="Q1434">
        <v>3</v>
      </c>
    </row>
    <row r="1435" spans="5:17" x14ac:dyDescent="0.2">
      <c r="E1435" s="9" t="s">
        <v>24</v>
      </c>
      <c r="K1435" t="str">
        <v>myself</v>
      </c>
      <c r="L1435" s="4" t="str">
        <f t="shared" si="21"/>
        <v>myself</v>
      </c>
      <c r="M1435" t="str">
        <v xml:space="preserve">keep
</v>
      </c>
      <c r="N1435" s="4" cm="1">
        <f t="array" ref="N1435">SUM(--(_xlfn.TEXTSPLIT($J$1387,, " ") = M1435))</f>
        <v>3</v>
      </c>
      <c r="O1435">
        <v>3</v>
      </c>
      <c r="P1435">
        <v>3</v>
      </c>
      <c r="Q1435">
        <v>3</v>
      </c>
    </row>
    <row r="1436" spans="5:17" x14ac:dyDescent="0.2">
      <c r="E1436" s="9" t="s">
        <v>24</v>
      </c>
      <c r="K1436" t="str">
        <v>up,</v>
      </c>
      <c r="L1436" s="4" t="str">
        <f t="shared" si="21"/>
        <v xml:space="preserve">up </v>
      </c>
      <c r="M1436" t="str">
        <v>my</v>
      </c>
      <c r="N1436" s="4" cm="1">
        <f t="array" ref="N1436">SUM(--(_xlfn.TEXTSPLIT($J$1387,, " ") = M1436))</f>
        <v>5</v>
      </c>
      <c r="O1436">
        <v>3</v>
      </c>
      <c r="P1436">
        <v>5</v>
      </c>
      <c r="Q1436">
        <v>3</v>
      </c>
    </row>
    <row r="1437" spans="5:17" x14ac:dyDescent="0.2">
      <c r="E1437" s="9" t="s">
        <v>24</v>
      </c>
      <c r="K1437" t="str">
        <v>that's</v>
      </c>
      <c r="L1437" s="4" t="str">
        <f t="shared" si="21"/>
        <v>that s</v>
      </c>
      <c r="M1437" t="str">
        <v>hallucination</v>
      </c>
      <c r="N1437" s="4" cm="1">
        <f t="array" ref="N1437">SUM(--(_xlfn.TEXTSPLIT($J$1387,, " ") = M1437))</f>
        <v>4</v>
      </c>
      <c r="O1437">
        <v>3</v>
      </c>
      <c r="P1437">
        <v>4</v>
      </c>
      <c r="Q1437">
        <v>3</v>
      </c>
    </row>
    <row r="1438" spans="5:17" x14ac:dyDescent="0.2">
      <c r="E1438" s="9" t="s">
        <v>24</v>
      </c>
      <c r="K1438" t="str">
        <v>maybe</v>
      </c>
      <c r="L1438" s="4" t="str">
        <f t="shared" si="21"/>
        <v>maybe</v>
      </c>
      <c r="M1438" t="str">
        <v xml:space="preserve">see
</v>
      </c>
      <c r="N1438" s="4" cm="1">
        <f t="array" ref="N1438">SUM(--(_xlfn.TEXTSPLIT($J$1387,, " ") = M1438))</f>
        <v>3</v>
      </c>
      <c r="O1438">
        <v>3</v>
      </c>
      <c r="P1438">
        <v>3</v>
      </c>
      <c r="Q1438">
        <v>3</v>
      </c>
    </row>
    <row r="1439" spans="5:17" x14ac:dyDescent="0.2">
      <c r="E1439" s="9" t="s">
        <v>24</v>
      </c>
      <c r="K1439" t="str">
        <v>how</v>
      </c>
      <c r="L1439" s="4" t="str">
        <f t="shared" si="21"/>
        <v>how</v>
      </c>
      <c r="M1439" t="str">
        <v>Wake</v>
      </c>
      <c r="N1439" s="4" cm="1">
        <f t="array" ref="N1439">SUM(--(_xlfn.TEXTSPLIT($J$1387,, " ") = M1439))</f>
        <v>1</v>
      </c>
      <c r="O1439">
        <v>3</v>
      </c>
      <c r="P1439">
        <v>1</v>
      </c>
      <c r="Q1439">
        <v>3</v>
      </c>
    </row>
    <row r="1440" spans="5:17" x14ac:dyDescent="0.2">
      <c r="E1440" s="9" t="s">
        <v>24</v>
      </c>
      <c r="K1440" t="str">
        <v>you</v>
      </c>
      <c r="L1440" s="4" t="str">
        <f t="shared" si="21"/>
        <v>you</v>
      </c>
      <c r="M1440" t="str">
        <v>up</v>
      </c>
      <c r="N1440" s="4" cm="1">
        <f t="array" ref="N1440">SUM(--(_xlfn.TEXTSPLIT($J$1387,, " ") = M1440))</f>
        <v>1</v>
      </c>
      <c r="O1440">
        <v>3</v>
      </c>
      <c r="P1440">
        <v>1</v>
      </c>
      <c r="Q1440">
        <v>3</v>
      </c>
    </row>
    <row r="1441" spans="5:17" x14ac:dyDescent="0.2">
      <c r="E1441" s="9" t="s">
        <v>24</v>
      </c>
      <c r="K1441" t="str">
        <v>know</v>
      </c>
      <c r="L1441" s="4" t="str">
        <f t="shared" si="21"/>
        <v>know</v>
      </c>
      <c r="M1441" t="str">
        <v>find</v>
      </c>
      <c r="N1441" s="4" cm="1">
        <f t="array" ref="N1441">SUM(--(_xlfn.TEXTSPLIT($J$1387,, " ") = M1441))</f>
        <v>2</v>
      </c>
      <c r="O1441">
        <v>2</v>
      </c>
      <c r="P1441">
        <v>2</v>
      </c>
      <c r="Q1441">
        <v>2</v>
      </c>
    </row>
    <row r="1442" spans="5:17" x14ac:dyDescent="0.2">
      <c r="E1442" s="9" t="s">
        <v>24</v>
      </c>
      <c r="K1442" t="str">
        <v>that</v>
      </c>
      <c r="L1442" s="4" t="str">
        <f t="shared" si="21"/>
        <v>that</v>
      </c>
      <c r="M1442" t="str">
        <v>out,</v>
      </c>
      <c r="N1442" s="4" cm="1">
        <f t="array" ref="N1442">SUM(--(_xlfn.TEXTSPLIT($J$1387,, " ") = M1442))</f>
        <v>2</v>
      </c>
      <c r="O1442">
        <v>2</v>
      </c>
      <c r="P1442">
        <v>2</v>
      </c>
      <c r="Q1442">
        <v>2</v>
      </c>
    </row>
    <row r="1443" spans="5:17" x14ac:dyDescent="0.2">
      <c r="E1443" s="9" t="s">
        <v>24</v>
      </c>
      <c r="K1443" t="str">
        <v>(That,</v>
      </c>
      <c r="L1443" s="4" t="str">
        <f t="shared" si="21"/>
        <v xml:space="preserve"> That </v>
      </c>
      <c r="M1443" t="str">
        <v>did</v>
      </c>
      <c r="N1443" s="4" cm="1">
        <f t="array" ref="N1443">SUM(--(_xlfn.TEXTSPLIT($J$1387,, " ") = M1443))</f>
        <v>2</v>
      </c>
      <c r="O1443">
        <v>2</v>
      </c>
      <c r="P1443">
        <v>2</v>
      </c>
      <c r="Q1443">
        <v>2</v>
      </c>
    </row>
    <row r="1444" spans="5:17" x14ac:dyDescent="0.2">
      <c r="E1444" s="9" t="s">
        <v>24</v>
      </c>
      <c r="K1444" t="str">
        <v xml:space="preserve">that)
</v>
      </c>
      <c r="L1444" s="4" t="str">
        <f t="shared" si="21"/>
        <v xml:space="preserve">that  </v>
      </c>
      <c r="M1444" t="str">
        <v>change</v>
      </c>
      <c r="N1444" s="4" cm="1">
        <f t="array" ref="N1444">SUM(--(_xlfn.TEXTSPLIT($J$1387,, " ") = M1444))</f>
        <v>2</v>
      </c>
      <c r="O1444">
        <v>2</v>
      </c>
      <c r="P1444">
        <v>2</v>
      </c>
      <c r="Q1444">
        <v>2</v>
      </c>
    </row>
    <row r="1445" spans="5:17" x14ac:dyDescent="0.2">
      <c r="E1445" s="9" t="s">
        <v>24</v>
      </c>
      <c r="K1445" t="str">
        <v>Ooh,</v>
      </c>
      <c r="L1445" s="4" t="str">
        <f t="shared" si="21"/>
        <v xml:space="preserve">Ooh </v>
      </c>
      <c r="M1445" t="str">
        <v xml:space="preserve">up
</v>
      </c>
      <c r="N1445" s="4" cm="1">
        <f t="array" ref="N1445">SUM(--(_xlfn.TEXTSPLIT($J$1387,, " ") = M1445))</f>
        <v>1</v>
      </c>
      <c r="O1445">
        <v>2</v>
      </c>
      <c r="P1445">
        <v>1</v>
      </c>
      <c r="Q1445">
        <v>2</v>
      </c>
    </row>
    <row r="1446" spans="5:17" x14ac:dyDescent="0.2">
      <c r="E1446" s="9" t="s">
        <v>24</v>
      </c>
      <c r="K1446" t="str">
        <v>promises</v>
      </c>
      <c r="L1446" s="4" t="str">
        <f t="shared" si="21"/>
        <v>promises</v>
      </c>
      <c r="M1446" t="str">
        <v>Wait,</v>
      </c>
      <c r="N1446" s="4" cm="1">
        <f t="array" ref="N1446">SUM(--(_xlfn.TEXTSPLIT($J$1387,, " ") = M1446))</f>
        <v>1</v>
      </c>
      <c r="O1446">
        <v>2</v>
      </c>
      <c r="P1446">
        <v>1</v>
      </c>
      <c r="Q1446">
        <v>2</v>
      </c>
    </row>
    <row r="1447" spans="5:17" x14ac:dyDescent="0.2">
      <c r="E1447" s="9" t="s">
        <v>24</v>
      </c>
      <c r="K1447" t="str">
        <v>and</v>
      </c>
      <c r="L1447" s="4" t="str">
        <f t="shared" si="21"/>
        <v>and</v>
      </c>
      <c r="M1447" t="str">
        <v>it</v>
      </c>
      <c r="N1447" s="4" cm="1">
        <f t="array" ref="N1447">SUM(--(_xlfn.TEXTSPLIT($J$1387,, " ") = M1447))</f>
        <v>3</v>
      </c>
      <c r="O1447">
        <v>2</v>
      </c>
      <c r="P1447">
        <v>3</v>
      </c>
      <c r="Q1447">
        <v>2</v>
      </c>
    </row>
    <row r="1448" spans="5:17" x14ac:dyDescent="0.2">
      <c r="E1448" s="9" t="s">
        <v>24</v>
      </c>
      <c r="K1448" t="str">
        <v>contracts</v>
      </c>
      <c r="L1448" s="4" t="str">
        <f t="shared" si="21"/>
        <v>contracts</v>
      </c>
      <c r="M1448" t="str">
        <v xml:space="preserve">up?
</v>
      </c>
      <c r="N1448" s="4" cm="1">
        <f t="array" ref="N1448">SUM(--(_xlfn.TEXTSPLIT($J$1387,, " ") = M1448))</f>
        <v>1</v>
      </c>
      <c r="O1448">
        <v>2</v>
      </c>
      <c r="P1448">
        <v>1</v>
      </c>
      <c r="Q1448">
        <v>2</v>
      </c>
    </row>
    <row r="1449" spans="5:17" x14ac:dyDescent="0.2">
      <c r="E1449" s="9" t="s">
        <v>24</v>
      </c>
      <c r="K1449" t="str">
        <v>I</v>
      </c>
      <c r="L1449" s="4" t="str">
        <f t="shared" si="21"/>
        <v>I</v>
      </c>
      <c r="M1449" t="str">
        <v>Is</v>
      </c>
      <c r="N1449" s="4" cm="1">
        <f t="array" ref="N1449">SUM(--(_xlfn.TEXTSPLIT($J$1387,, " ") = M1449))</f>
        <v>1</v>
      </c>
      <c r="O1449">
        <v>2</v>
      </c>
      <c r="P1449">
        <v>1</v>
      </c>
      <c r="Q1449">
        <v>2</v>
      </c>
    </row>
    <row r="1450" spans="5:17" x14ac:dyDescent="0.2">
      <c r="E1450" s="9" t="s">
        <v>24</v>
      </c>
      <c r="K1450" t="str">
        <v>used</v>
      </c>
      <c r="L1450" s="4" t="str">
        <f t="shared" si="21"/>
        <v>used</v>
      </c>
      <c r="M1450" t="str">
        <v>light</v>
      </c>
      <c r="N1450" s="4" cm="1">
        <f t="array" ref="N1450">SUM(--(_xlfn.TEXTSPLIT($J$1387,, " ") = M1450))</f>
        <v>1</v>
      </c>
      <c r="O1450">
        <v>2</v>
      </c>
      <c r="P1450">
        <v>1</v>
      </c>
      <c r="Q1450">
        <v>2</v>
      </c>
    </row>
    <row r="1451" spans="5:17" x14ac:dyDescent="0.2">
      <c r="E1451" s="9" t="s">
        <v>24</v>
      </c>
      <c r="K1451" t="str">
        <v>to</v>
      </c>
      <c r="L1451" s="4" t="str">
        <f t="shared" si="21"/>
        <v>to</v>
      </c>
      <c r="M1451" t="str">
        <v>out</v>
      </c>
      <c r="N1451" s="4" cm="1">
        <f t="array" ref="N1451">SUM(--(_xlfn.TEXTSPLIT($J$1387,, " ") = M1451))</f>
        <v>3</v>
      </c>
      <c r="O1451">
        <v>2</v>
      </c>
      <c r="P1451">
        <v>3</v>
      </c>
      <c r="Q1451">
        <v>2</v>
      </c>
    </row>
    <row r="1452" spans="5:17" x14ac:dyDescent="0.2">
      <c r="E1452" s="9" t="s">
        <v>24</v>
      </c>
      <c r="K1452" t="str">
        <v xml:space="preserve">keep
</v>
      </c>
      <c r="L1452" s="4" t="str">
        <f t="shared" si="21"/>
        <v xml:space="preserve">keep </v>
      </c>
      <c r="M1452" t="str">
        <v>yet?</v>
      </c>
      <c r="N1452" s="4" cm="1">
        <f t="array" ref="N1452">SUM(--(_xlfn.TEXTSPLIT($J$1387,, " ") = M1452))</f>
        <v>1</v>
      </c>
      <c r="O1452">
        <v>2</v>
      </c>
      <c r="P1452">
        <v>1</v>
      </c>
      <c r="Q1452">
        <v>2</v>
      </c>
    </row>
    <row r="1453" spans="5:17" x14ac:dyDescent="0.2">
      <c r="E1453" s="9" t="s">
        <v>24</v>
      </c>
      <c r="K1453" t="str">
        <v>I</v>
      </c>
      <c r="L1453" s="4" t="str">
        <f t="shared" ref="L1453:L1516" si="22">_xlfn.REGEXREPLACE(K1453, "[^A-Za-z ]", " ")</f>
        <v>I</v>
      </c>
      <c r="M1453" t="str">
        <v>Better</v>
      </c>
      <c r="N1453" s="4" cm="1">
        <f t="array" ref="N1453">SUM(--(_xlfn.TEXTSPLIT($J$1387,, " ") = M1453))</f>
        <v>2</v>
      </c>
      <c r="O1453">
        <v>2</v>
      </c>
      <c r="P1453">
        <v>2</v>
      </c>
      <c r="Q1453">
        <v>2</v>
      </c>
    </row>
    <row r="1454" spans="5:17" x14ac:dyDescent="0.2">
      <c r="E1454" s="9" t="s">
        <v>24</v>
      </c>
      <c r="K1454" t="str">
        <v>don't</v>
      </c>
      <c r="L1454" s="4" t="str">
        <f t="shared" si="22"/>
        <v>don t</v>
      </c>
      <c r="M1454" t="str">
        <v xml:space="preserve">bet
</v>
      </c>
      <c r="N1454" s="4" cm="1">
        <f t="array" ref="N1454">SUM(--(_xlfn.TEXTSPLIT($J$1387,, " ") = M1454))</f>
        <v>1</v>
      </c>
      <c r="O1454">
        <v>2</v>
      </c>
      <c r="P1454">
        <v>1</v>
      </c>
      <c r="Q1454">
        <v>2</v>
      </c>
    </row>
    <row r="1455" spans="5:17" x14ac:dyDescent="0.2">
      <c r="E1455" s="9" t="s">
        <v>24</v>
      </c>
      <c r="K1455" t="str">
        <v>sleep</v>
      </c>
      <c r="L1455" s="4" t="str">
        <f t="shared" si="22"/>
        <v>sleep</v>
      </c>
      <c r="M1455" t="str">
        <v>I'ma</v>
      </c>
      <c r="N1455" s="4" cm="1">
        <f t="array" ref="N1455">SUM(--(_xlfn.TEXTSPLIT($J$1387,, " ") = M1455))</f>
        <v>1</v>
      </c>
      <c r="O1455">
        <v>2</v>
      </c>
      <c r="P1455">
        <v>1</v>
      </c>
      <c r="Q1455">
        <v>2</v>
      </c>
    </row>
    <row r="1456" spans="5:17" x14ac:dyDescent="0.2">
      <c r="E1456" s="9" t="s">
        <v>24</v>
      </c>
      <c r="K1456" t="str">
        <v>much,</v>
      </c>
      <c r="L1456" s="4" t="str">
        <f t="shared" si="22"/>
        <v xml:space="preserve">much </v>
      </c>
      <c r="M1456" t="str">
        <v>walk</v>
      </c>
      <c r="N1456" s="4" cm="1">
        <f t="array" ref="N1456">SUM(--(_xlfn.TEXTSPLIT($J$1387,, " ") = M1456))</f>
        <v>1</v>
      </c>
      <c r="O1456">
        <v>2</v>
      </c>
      <c r="P1456">
        <v>1</v>
      </c>
      <c r="Q1456">
        <v>2</v>
      </c>
    </row>
    <row r="1457" spans="5:17" x14ac:dyDescent="0.2">
      <c r="E1457" s="9" t="s">
        <v>24</v>
      </c>
      <c r="K1457" t="str">
        <v>that's</v>
      </c>
      <c r="L1457" s="4" t="str">
        <f t="shared" si="22"/>
        <v>that s</v>
      </c>
      <c r="M1457" t="str">
        <v>around</v>
      </c>
      <c r="N1457" s="4" cm="1">
        <f t="array" ref="N1457">SUM(--(_xlfn.TEXTSPLIT($J$1387,, " ") = M1457))</f>
        <v>1</v>
      </c>
      <c r="O1457">
        <v>2</v>
      </c>
      <c r="P1457">
        <v>1</v>
      </c>
      <c r="Q1457">
        <v>2</v>
      </c>
    </row>
    <row r="1458" spans="5:17" x14ac:dyDescent="0.2">
      <c r="E1458" s="9" t="s">
        <v>24</v>
      </c>
      <c r="K1458" t="str">
        <v>crazy,</v>
      </c>
      <c r="L1458" s="4" t="str">
        <f t="shared" si="22"/>
        <v xml:space="preserve">crazy </v>
      </c>
      <c r="M1458" t="str">
        <v>edge</v>
      </c>
      <c r="N1458" s="4" cm="1">
        <f t="array" ref="N1458">SUM(--(_xlfn.TEXTSPLIT($J$1387,, " ") = M1458))</f>
        <v>1</v>
      </c>
      <c r="O1458">
        <v>2</v>
      </c>
      <c r="P1458">
        <v>1</v>
      </c>
      <c r="Q1458">
        <v>2</v>
      </c>
    </row>
    <row r="1459" spans="5:17" x14ac:dyDescent="0.2">
      <c r="E1459" s="9" t="s">
        <v>24</v>
      </c>
      <c r="K1459" t="str">
        <v>how'd</v>
      </c>
      <c r="L1459" s="4" t="str">
        <f t="shared" si="22"/>
        <v>how d</v>
      </c>
      <c r="M1459" t="str">
        <v>of</v>
      </c>
      <c r="N1459" s="4" cm="1">
        <f t="array" ref="N1459">SUM(--(_xlfn.TEXTSPLIT($J$1387,, " ") = M1459))</f>
        <v>1</v>
      </c>
      <c r="O1459">
        <v>2</v>
      </c>
      <c r="P1459">
        <v>1</v>
      </c>
      <c r="Q1459">
        <v>2</v>
      </c>
    </row>
    <row r="1460" spans="5:17" x14ac:dyDescent="0.2">
      <c r="E1460" s="9" t="s">
        <v>24</v>
      </c>
      <c r="K1460" t="str">
        <v>you</v>
      </c>
      <c r="L1460" s="4" t="str">
        <f t="shared" si="22"/>
        <v>you</v>
      </c>
      <c r="M1460" t="str">
        <v>room</v>
      </c>
      <c r="N1460" s="4" cm="1">
        <f t="array" ref="N1460">SUM(--(_xlfn.TEXTSPLIT($J$1387,, " ") = M1460))</f>
        <v>1</v>
      </c>
      <c r="O1460">
        <v>2</v>
      </c>
      <c r="P1460">
        <v>1</v>
      </c>
      <c r="Q1460">
        <v>2</v>
      </c>
    </row>
    <row r="1461" spans="5:17" x14ac:dyDescent="0.2">
      <c r="E1461" s="9" t="s">
        <v>24</v>
      </c>
      <c r="K1461" t="str">
        <v>know</v>
      </c>
      <c r="L1461" s="4" t="str">
        <f t="shared" si="22"/>
        <v>know</v>
      </c>
      <c r="M1461" t="str">
        <v xml:space="preserve">bed
</v>
      </c>
      <c r="N1461" s="4" cm="1">
        <f t="array" ref="N1461">SUM(--(_xlfn.TEXTSPLIT($J$1387,, " ") = M1461))</f>
        <v>1</v>
      </c>
      <c r="O1461">
        <v>2</v>
      </c>
      <c r="P1461">
        <v>1</v>
      </c>
      <c r="Q1461">
        <v>2</v>
      </c>
    </row>
    <row r="1462" spans="5:17" x14ac:dyDescent="0.2">
      <c r="E1462" s="9" t="s">
        <v>24</v>
      </c>
      <c r="K1462" t="str">
        <v>that?</v>
      </c>
      <c r="L1462" s="4" t="str">
        <f t="shared" si="22"/>
        <v xml:space="preserve">that </v>
      </c>
      <c r="M1462" t="str">
        <v>Where</v>
      </c>
      <c r="N1462" s="4" cm="1">
        <f t="array" ref="N1462">SUM(--(_xlfn.TEXTSPLIT($J$1387,, " ") = M1462))</f>
        <v>1</v>
      </c>
      <c r="O1462">
        <v>2</v>
      </c>
      <c r="P1462">
        <v>1</v>
      </c>
      <c r="Q1462">
        <v>2</v>
      </c>
    </row>
    <row r="1463" spans="5:17" x14ac:dyDescent="0.2">
      <c r="E1463" s="9" t="s">
        <v>24</v>
      </c>
      <c r="K1463" t="str">
        <v xml:space="preserve">(That)
</v>
      </c>
      <c r="L1463" s="4" t="str">
        <f t="shared" si="22"/>
        <v xml:space="preserve"> That  </v>
      </c>
      <c r="M1463" t="str">
        <v>hide</v>
      </c>
      <c r="N1463" s="4" cm="1">
        <f t="array" ref="N1463">SUM(--(_xlfn.TEXTSPLIT($J$1387,, " ") = M1463))</f>
        <v>1</v>
      </c>
      <c r="O1463">
        <v>2</v>
      </c>
      <c r="P1463">
        <v>1</v>
      </c>
      <c r="Q1463">
        <v>2</v>
      </c>
    </row>
    <row r="1464" spans="5:17" x14ac:dyDescent="0.2">
      <c r="E1464" s="9" t="s">
        <v>24</v>
      </c>
      <c r="K1464" t="str">
        <v>Keep</v>
      </c>
      <c r="L1464" s="4" t="str">
        <f t="shared" si="22"/>
        <v>Keep</v>
      </c>
      <c r="M1464" t="str">
        <v>face,</v>
      </c>
      <c r="N1464" s="4" cm="1">
        <f t="array" ref="N1464">SUM(--(_xlfn.TEXTSPLIT($J$1387,, " ") = M1464))</f>
        <v>1</v>
      </c>
      <c r="O1464">
        <v>2</v>
      </c>
      <c r="P1464">
        <v>1</v>
      </c>
      <c r="Q1464">
        <v>2</v>
      </c>
    </row>
    <row r="1465" spans="5:17" x14ac:dyDescent="0.2">
      <c r="E1465" s="9" t="s">
        <v>24</v>
      </c>
      <c r="K1465" t="str">
        <v>myself</v>
      </c>
      <c r="L1465" s="4" t="str">
        <f t="shared" si="22"/>
        <v>myself</v>
      </c>
      <c r="M1465" t="str">
        <v>pace</v>
      </c>
      <c r="N1465" s="4" cm="1">
        <f t="array" ref="N1465">SUM(--(_xlfn.TEXTSPLIT($J$1387,, " ") = M1465))</f>
        <v>3</v>
      </c>
      <c r="O1465">
        <v>2</v>
      </c>
      <c r="P1465">
        <v>3</v>
      </c>
      <c r="Q1465">
        <v>2</v>
      </c>
    </row>
    <row r="1466" spans="5:17" x14ac:dyDescent="0.2">
      <c r="E1466" s="9" t="s">
        <v>24</v>
      </c>
      <c r="K1466" t="str">
        <v>up,</v>
      </c>
      <c r="L1466" s="4" t="str">
        <f t="shared" si="22"/>
        <v xml:space="preserve">up </v>
      </c>
      <c r="M1466" t="str">
        <v xml:space="preserve">around
</v>
      </c>
      <c r="N1466" s="4" cm="1">
        <f t="array" ref="N1466">SUM(--(_xlfn.TEXTSPLIT($J$1387,, " ") = M1466))</f>
        <v>1</v>
      </c>
      <c r="O1466">
        <v>2</v>
      </c>
      <c r="P1466">
        <v>1</v>
      </c>
      <c r="Q1466">
        <v>2</v>
      </c>
    </row>
    <row r="1467" spans="5:17" x14ac:dyDescent="0.2">
      <c r="E1467" s="9" t="s">
        <v>24</v>
      </c>
      <c r="K1467" t="str">
        <v>that's</v>
      </c>
      <c r="L1467" s="4" t="str">
        <f t="shared" si="22"/>
        <v>that s</v>
      </c>
      <c r="M1467" t="str">
        <v>try</v>
      </c>
      <c r="N1467" s="4" cm="1">
        <f t="array" ref="N1467">SUM(--(_xlfn.TEXTSPLIT($J$1387,, " ") = M1467))</f>
        <v>1</v>
      </c>
      <c r="O1467">
        <v>2</v>
      </c>
      <c r="P1467">
        <v>1</v>
      </c>
      <c r="Q1467">
        <v>2</v>
      </c>
    </row>
    <row r="1468" spans="5:17" x14ac:dyDescent="0.2">
      <c r="E1468" s="9" t="s">
        <v>24</v>
      </c>
      <c r="K1468" t="str">
        <v>maybe</v>
      </c>
      <c r="L1468" s="4" t="str">
        <f t="shared" si="22"/>
        <v>maybe</v>
      </c>
      <c r="M1468" t="str">
        <v>breathe,</v>
      </c>
      <c r="N1468" s="4" cm="1">
        <f t="array" ref="N1468">SUM(--(_xlfn.TEXTSPLIT($J$1387,, " ") = M1468))</f>
        <v>1</v>
      </c>
      <c r="O1468">
        <v>2</v>
      </c>
      <c r="P1468">
        <v>1</v>
      </c>
      <c r="Q1468">
        <v>2</v>
      </c>
    </row>
    <row r="1469" spans="5:17" x14ac:dyDescent="0.2">
      <c r="E1469" s="9" t="s">
        <v>24</v>
      </c>
      <c r="K1469" t="str">
        <v>how</v>
      </c>
      <c r="L1469" s="4" t="str">
        <f t="shared" si="22"/>
        <v>how</v>
      </c>
      <c r="M1469" t="str">
        <v>around,</v>
      </c>
      <c r="N1469" s="4" cm="1">
        <f t="array" ref="N1469">SUM(--(_xlfn.TEXTSPLIT($J$1387,, " ") = M1469))</f>
        <v>1</v>
      </c>
      <c r="O1469">
        <v>2</v>
      </c>
      <c r="P1469">
        <v>1</v>
      </c>
      <c r="Q1469">
        <v>2</v>
      </c>
    </row>
    <row r="1470" spans="5:17" x14ac:dyDescent="0.2">
      <c r="E1470" s="9" t="s">
        <v>24</v>
      </c>
      <c r="K1470" t="str">
        <v>you</v>
      </c>
      <c r="L1470" s="4" t="str">
        <f t="shared" si="22"/>
        <v>you</v>
      </c>
      <c r="M1470" t="str">
        <v xml:space="preserve">around
</v>
      </c>
      <c r="N1470" s="4" cm="1">
        <f t="array" ref="N1470">SUM(--(_xlfn.TEXTSPLIT($J$1387,, " ") = M1470))</f>
        <v>1</v>
      </c>
      <c r="O1470">
        <v>2</v>
      </c>
      <c r="P1470">
        <v>1</v>
      </c>
      <c r="Q1470">
        <v>2</v>
      </c>
    </row>
    <row r="1471" spans="5:17" x14ac:dyDescent="0.2">
      <c r="E1471" s="9" t="s">
        <v>24</v>
      </c>
      <c r="K1471" t="str">
        <v>know</v>
      </c>
      <c r="L1471" s="4" t="str">
        <f t="shared" si="22"/>
        <v>know</v>
      </c>
      <c r="M1471" t="str">
        <v>windows,</v>
      </c>
      <c r="N1471" s="4" cm="1">
        <f t="array" ref="N1471">SUM(--(_xlfn.TEXTSPLIT($J$1387,, " ") = M1471))</f>
        <v>1</v>
      </c>
      <c r="O1471">
        <v>2</v>
      </c>
      <c r="P1471">
        <v>1</v>
      </c>
      <c r="Q1471">
        <v>2</v>
      </c>
    </row>
    <row r="1472" spans="5:17" x14ac:dyDescent="0.2">
      <c r="E1472" s="9" t="s">
        <v>24</v>
      </c>
      <c r="K1472" t="str">
        <v>that</v>
      </c>
      <c r="L1472" s="4" t="str">
        <f t="shared" si="22"/>
        <v>that</v>
      </c>
      <c r="M1472" t="str">
        <v>see
I</v>
      </c>
      <c r="N1472" s="4" cm="1">
        <f t="array" ref="N1472">SUM(--(_xlfn.TEXTSPLIT($J$1387,, " ") = M1472))</f>
        <v>1</v>
      </c>
      <c r="O1472">
        <v>2</v>
      </c>
      <c r="P1472">
        <v>1</v>
      </c>
      <c r="Q1472">
        <v>2</v>
      </c>
    </row>
    <row r="1473" spans="5:17" x14ac:dyDescent="0.2">
      <c r="E1473" s="9" t="s">
        <v>24</v>
      </c>
      <c r="K1473" t="str">
        <v>(That,</v>
      </c>
      <c r="L1473" s="4" t="str">
        <f t="shared" si="22"/>
        <v xml:space="preserve"> That </v>
      </c>
      <c r="M1473" t="str">
        <v xml:space="preserve">see
</v>
      </c>
      <c r="N1473" s="4" cm="1">
        <f t="array" ref="N1473">SUM(--(_xlfn.TEXTSPLIT($J$1387,, " ") = M1473))</f>
        <v>3</v>
      </c>
      <c r="O1473">
        <v>2</v>
      </c>
      <c r="P1473">
        <v>3</v>
      </c>
      <c r="Q1473">
        <v>2</v>
      </c>
    </row>
    <row r="1474" spans="5:17" x14ac:dyDescent="0.2">
      <c r="E1474" s="9" t="s">
        <v>24</v>
      </c>
      <c r="K1474" t="str">
        <v xml:space="preserve">that)
</v>
      </c>
      <c r="L1474" s="4" t="str">
        <f t="shared" si="22"/>
        <v xml:space="preserve">that  </v>
      </c>
      <c r="M1474" t="str">
        <v xml:space="preserve">found
</v>
      </c>
      <c r="N1474" s="4" cm="1">
        <f t="array" ref="N1474">SUM(--(_xlfn.TEXTSPLIT($J$1387,, " ") = M1474))</f>
        <v>1</v>
      </c>
      <c r="O1474">
        <v>2</v>
      </c>
      <c r="P1474">
        <v>1</v>
      </c>
      <c r="Q1474">
        <v>2</v>
      </c>
    </row>
    <row r="1475" spans="5:17" x14ac:dyDescent="0.2">
      <c r="E1475" s="9" t="s">
        <v>24</v>
      </c>
      <c r="K1475" t="str">
        <v>Ooh,</v>
      </c>
      <c r="L1475" s="4" t="str">
        <f t="shared" si="22"/>
        <v xml:space="preserve">Ooh </v>
      </c>
      <c r="M1475" t="str">
        <v>(Oh-ooh)</v>
      </c>
      <c r="N1475" s="4" cm="1">
        <f t="array" ref="N1475">SUM(--(_xlfn.TEXTSPLIT($J$1387,, " ") = M1475))</f>
        <v>4</v>
      </c>
      <c r="O1475">
        <v>2</v>
      </c>
      <c r="P1475">
        <v>4</v>
      </c>
      <c r="Q1475">
        <v>2</v>
      </c>
    </row>
    <row r="1476" spans="5:17" x14ac:dyDescent="0.2">
      <c r="E1476" s="9" t="s">
        <v>24</v>
      </c>
      <c r="K1476" t="str">
        <v>my</v>
      </c>
      <c r="L1476" s="4" t="str">
        <f t="shared" si="22"/>
        <v>my</v>
      </c>
      <c r="M1476" t="str">
        <v>wanna</v>
      </c>
      <c r="N1476" s="4" cm="1">
        <f t="array" ref="N1476">SUM(--(_xlfn.TEXTSPLIT($J$1387,, " ") = M1476))</f>
        <v>2</v>
      </c>
      <c r="O1476">
        <v>2</v>
      </c>
      <c r="P1476">
        <v>2</v>
      </c>
      <c r="Q1476">
        <v>2</v>
      </c>
    </row>
    <row r="1477" spans="5:17" x14ac:dyDescent="0.2">
      <c r="E1477" s="9" t="s">
        <v>24</v>
      </c>
      <c r="K1477" t="str">
        <v>hallucination</v>
      </c>
      <c r="L1477" s="4" t="str">
        <f t="shared" si="22"/>
        <v>hallucination</v>
      </c>
      <c r="M1477" t="str">
        <v>get</v>
      </c>
      <c r="N1477" s="4" cm="1">
        <f t="array" ref="N1477">SUM(--(_xlfn.TEXTSPLIT($J$1387,, " ") = M1477))</f>
        <v>2</v>
      </c>
      <c r="O1477">
        <v>2</v>
      </c>
      <c r="P1477">
        <v>2</v>
      </c>
      <c r="Q1477">
        <v>2</v>
      </c>
    </row>
    <row r="1478" spans="5:17" x14ac:dyDescent="0.2">
      <c r="E1478" s="9" t="s">
        <v>24</v>
      </c>
      <c r="K1478" t="str">
        <v>I</v>
      </c>
      <c r="L1478" s="4" t="str">
        <f t="shared" si="22"/>
        <v>I</v>
      </c>
      <c r="M1478" t="str">
        <v xml:space="preserve">there
</v>
      </c>
      <c r="N1478" s="4" cm="1">
        <f t="array" ref="N1478">SUM(--(_xlfn.TEXTSPLIT($J$1387,, " ") = M1478))</f>
        <v>2</v>
      </c>
      <c r="O1478">
        <v>2</v>
      </c>
      <c r="P1478">
        <v>2</v>
      </c>
      <c r="Q1478">
        <v>2</v>
      </c>
    </row>
    <row r="1479" spans="5:17" x14ac:dyDescent="0.2">
      <c r="E1479" s="9" t="s">
        <v>24</v>
      </c>
      <c r="K1479" t="str">
        <v>used</v>
      </c>
      <c r="L1479" s="4" t="str">
        <f t="shared" si="22"/>
        <v>used</v>
      </c>
      <c r="M1479" t="str">
        <v>But</v>
      </c>
      <c r="N1479" s="4" cm="1">
        <f t="array" ref="N1479">SUM(--(_xlfn.TEXTSPLIT($J$1387,, " ") = M1479))</f>
        <v>3</v>
      </c>
      <c r="O1479">
        <v>2</v>
      </c>
      <c r="P1479">
        <v>3</v>
      </c>
      <c r="Q1479">
        <v>2</v>
      </c>
    </row>
    <row r="1480" spans="5:17" x14ac:dyDescent="0.2">
      <c r="E1480" s="9" t="s">
        <v>24</v>
      </c>
      <c r="K1480" t="str">
        <v>to</v>
      </c>
      <c r="L1480" s="4" t="str">
        <f t="shared" si="22"/>
        <v>to</v>
      </c>
      <c r="M1480" t="str">
        <v xml:space="preserve">try
</v>
      </c>
      <c r="N1480" s="4" cm="1">
        <f t="array" ref="N1480">SUM(--(_xlfn.TEXTSPLIT($J$1387,, " ") = M1480))</f>
        <v>1</v>
      </c>
      <c r="O1480">
        <v>2</v>
      </c>
      <c r="P1480">
        <v>1</v>
      </c>
      <c r="Q1480">
        <v>2</v>
      </c>
    </row>
    <row r="1481" spans="5:17" x14ac:dyDescent="0.2">
      <c r="E1481" s="9" t="s">
        <v>24</v>
      </c>
      <c r="K1481" t="str">
        <v xml:space="preserve">see
</v>
      </c>
      <c r="L1481" s="4" t="str">
        <f t="shared" si="22"/>
        <v xml:space="preserve">see  </v>
      </c>
      <c r="M1481" t="str">
        <v xml:space="preserve">try
</v>
      </c>
      <c r="N1481" s="4" cm="1">
        <f t="array" ref="N1481">SUM(--(_xlfn.TEXTSPLIT($J$1387,, " ") = M1481))</f>
        <v>1</v>
      </c>
      <c r="O1481">
        <v>2</v>
      </c>
      <c r="P1481">
        <v>1</v>
      </c>
      <c r="Q1481">
        <v>2</v>
      </c>
    </row>
    <row r="1482" spans="5:17" x14ac:dyDescent="0.2">
      <c r="E1482" s="9" t="s">
        <v>24</v>
      </c>
      <c r="K1482" t="str">
        <v>Wake</v>
      </c>
      <c r="L1482" s="4" t="str">
        <f t="shared" si="22"/>
        <v>Wake</v>
      </c>
      <c r="M1482" t="str">
        <v>see,</v>
      </c>
      <c r="N1482" s="4" cm="1">
        <f t="array" ref="N1482">SUM(--(_xlfn.TEXTSPLIT($J$1387,, " ") = M1482))</f>
        <v>1</v>
      </c>
      <c r="O1482">
        <v>2</v>
      </c>
      <c r="P1482">
        <v>1</v>
      </c>
      <c r="Q1482">
        <v>2</v>
      </c>
    </row>
    <row r="1483" spans="5:17" x14ac:dyDescent="0.2">
      <c r="E1483" s="9" t="s">
        <v>24</v>
      </c>
      <c r="K1483" t="str">
        <v>up</v>
      </c>
      <c r="L1483" s="4" t="str">
        <f t="shared" si="22"/>
        <v>up</v>
      </c>
      <c r="M1483" t="str">
        <v>felt</v>
      </c>
      <c r="N1483" s="4" cm="1">
        <f t="array" ref="N1483">SUM(--(_xlfn.TEXTSPLIT($J$1387,, " ") = M1483))</f>
        <v>1</v>
      </c>
      <c r="O1483">
        <v>2</v>
      </c>
      <c r="P1483">
        <v>1</v>
      </c>
      <c r="Q1483">
        <v>2</v>
      </c>
    </row>
    <row r="1484" spans="5:17" x14ac:dyDescent="0.2">
      <c r="E1484" s="9" t="s">
        <v>24</v>
      </c>
      <c r="K1484" t="str">
        <v>and</v>
      </c>
      <c r="L1484" s="4" t="str">
        <f t="shared" si="22"/>
        <v>and</v>
      </c>
      <c r="M1484" t="str">
        <v>so</v>
      </c>
      <c r="N1484" s="4" cm="1">
        <f t="array" ref="N1484">SUM(--(_xlfn.TEXTSPLIT($J$1387,, " ") = M1484))</f>
        <v>1</v>
      </c>
      <c r="O1484">
        <v>2</v>
      </c>
      <c r="P1484">
        <v>1</v>
      </c>
      <c r="Q1484">
        <v>2</v>
      </c>
    </row>
    <row r="1485" spans="5:17" x14ac:dyDescent="0.2">
      <c r="E1485" s="9" t="s">
        <v>24</v>
      </c>
      <c r="K1485" t="str">
        <v>I</v>
      </c>
      <c r="L1485" s="4" t="str">
        <f t="shared" si="22"/>
        <v>I</v>
      </c>
      <c r="M1485" t="str">
        <v xml:space="preserve">real
</v>
      </c>
      <c r="N1485" s="4" cm="1">
        <f t="array" ref="N1485">SUM(--(_xlfn.TEXTSPLIT($J$1387,, " ") = M1485))</f>
        <v>1</v>
      </c>
      <c r="O1485">
        <v>2</v>
      </c>
      <c r="P1485">
        <v>1</v>
      </c>
      <c r="Q1485">
        <v>2</v>
      </c>
    </row>
    <row r="1486" spans="5:17" x14ac:dyDescent="0.2">
      <c r="E1486" s="9" t="s">
        <v>24</v>
      </c>
      <c r="K1486" t="str">
        <v>find</v>
      </c>
      <c r="L1486" s="4" t="str">
        <f t="shared" si="22"/>
        <v>find</v>
      </c>
      <c r="M1486" t="str">
        <v>now</v>
      </c>
      <c r="N1486" s="4" cm="1">
        <f t="array" ref="N1486">SUM(--(_xlfn.TEXTSPLIT($J$1387,, " ") = M1486))</f>
        <v>1</v>
      </c>
      <c r="O1486">
        <v>2</v>
      </c>
      <c r="P1486">
        <v>1</v>
      </c>
      <c r="Q1486">
        <v>2</v>
      </c>
    </row>
    <row r="1487" spans="5:17" x14ac:dyDescent="0.2">
      <c r="E1487" s="9" t="s">
        <v>24</v>
      </c>
      <c r="K1487" t="str">
        <v>out,</v>
      </c>
      <c r="L1487" s="4" t="str">
        <f t="shared" si="22"/>
        <v xml:space="preserve">out </v>
      </c>
      <c r="M1487" t="str">
        <v>plead,</v>
      </c>
      <c r="N1487" s="4" cm="1">
        <f t="array" ref="N1487">SUM(--(_xlfn.TEXTSPLIT($J$1387,, " ") = M1487))</f>
        <v>1</v>
      </c>
      <c r="O1487">
        <v>2</v>
      </c>
      <c r="P1487">
        <v>1</v>
      </c>
      <c r="Q1487">
        <v>2</v>
      </c>
    </row>
    <row r="1488" spans="5:17" x14ac:dyDescent="0.2">
      <c r="E1488" s="9" t="s">
        <v>24</v>
      </c>
      <c r="K1488" t="str">
        <v>did</v>
      </c>
      <c r="L1488" s="4" t="str">
        <f t="shared" si="22"/>
        <v>did</v>
      </c>
      <c r="M1488" t="str">
        <v>take</v>
      </c>
      <c r="N1488" s="4" cm="1">
        <f t="array" ref="N1488">SUM(--(_xlfn.TEXTSPLIT($J$1387,, " ") = M1488))</f>
        <v>1</v>
      </c>
      <c r="O1488">
        <v>2</v>
      </c>
      <c r="P1488">
        <v>1</v>
      </c>
      <c r="Q1488">
        <v>2</v>
      </c>
    </row>
    <row r="1489" spans="5:17" x14ac:dyDescent="0.2">
      <c r="E1489" s="9" t="s">
        <v>24</v>
      </c>
      <c r="K1489" t="str">
        <v>a</v>
      </c>
      <c r="L1489" s="4" t="str">
        <f t="shared" si="22"/>
        <v>a</v>
      </c>
      <c r="M1489" t="str">
        <v xml:space="preserve">deal
</v>
      </c>
      <c r="N1489" s="4" cm="1">
        <f t="array" ref="N1489">SUM(--(_xlfn.TEXTSPLIT($J$1387,, " ") = M1489))</f>
        <v>1</v>
      </c>
      <c r="O1489">
        <v>2</v>
      </c>
      <c r="P1489">
        <v>1</v>
      </c>
      <c r="Q1489">
        <v>2</v>
      </c>
    </row>
    <row r="1490" spans="5:17" x14ac:dyDescent="0.2">
      <c r="E1490" s="9" t="s">
        <v>24</v>
      </c>
      <c r="K1490" t="str">
        <v>change</v>
      </c>
      <c r="L1490" s="4" t="str">
        <f t="shared" si="22"/>
        <v>change</v>
      </c>
      <c r="M1490" t="str">
        <v>promised</v>
      </c>
      <c r="N1490" s="4" cm="1">
        <f t="array" ref="N1490">SUM(--(_xlfn.TEXTSPLIT($J$1387,, " ") = M1490))</f>
        <v>2</v>
      </c>
      <c r="O1490">
        <v>2</v>
      </c>
      <c r="P1490">
        <v>2</v>
      </c>
      <c r="Q1490">
        <v>2</v>
      </c>
    </row>
    <row r="1491" spans="5:17" x14ac:dyDescent="0.2">
      <c r="E1491" s="9" t="s">
        <v>24</v>
      </c>
      <c r="K1491" t="str">
        <v xml:space="preserve">up
</v>
      </c>
      <c r="L1491" s="4" t="str">
        <f t="shared" si="22"/>
        <v xml:space="preserve">up </v>
      </c>
      <c r="M1491" t="str">
        <v xml:space="preserve">contract
</v>
      </c>
      <c r="N1491" s="4" cm="1">
        <f t="array" ref="N1491">SUM(--(_xlfn.TEXTSPLIT($J$1387,, " ") = M1491))</f>
        <v>1</v>
      </c>
      <c r="O1491">
        <v>2</v>
      </c>
      <c r="P1491">
        <v>1</v>
      </c>
      <c r="Q1491">
        <v>2</v>
      </c>
    </row>
    <row r="1492" spans="5:17" x14ac:dyDescent="0.2">
      <c r="E1492" s="9" t="s">
        <v>24</v>
      </c>
      <c r="K1492" t="str">
        <v>Wait,</v>
      </c>
      <c r="L1492" s="4" t="str">
        <f t="shared" si="22"/>
        <v xml:space="preserve">Wait </v>
      </c>
      <c r="M1492" t="str">
        <v>contract</v>
      </c>
      <c r="N1492" s="4" cm="1">
        <f t="array" ref="N1492">SUM(--(_xlfn.TEXTSPLIT($J$1387,, " ") = M1492))</f>
        <v>1</v>
      </c>
      <c r="O1492">
        <v>2</v>
      </c>
      <c r="P1492">
        <v>1</v>
      </c>
      <c r="Q1492">
        <v>2</v>
      </c>
    </row>
    <row r="1493" spans="5:17" x14ac:dyDescent="0.2">
      <c r="E1493" s="9" t="s">
        <v>24</v>
      </c>
      <c r="K1493" t="str">
        <v>did</v>
      </c>
      <c r="L1493" s="4" t="str">
        <f t="shared" si="22"/>
        <v>did</v>
      </c>
      <c r="N1493" s="4" cm="1">
        <f t="array" ref="N1493">SUM(--(_xlfn.TEXTSPLIT($J$1387,, " ") = M1493))</f>
        <v>2</v>
      </c>
      <c r="O1493">
        <v>2</v>
      </c>
      <c r="P1493">
        <v>2</v>
      </c>
      <c r="Q1493">
        <v>2</v>
      </c>
    </row>
    <row r="1494" spans="5:17" x14ac:dyDescent="0.2">
      <c r="E1494" s="9" t="s">
        <v>24</v>
      </c>
      <c r="K1494" t="str">
        <v>it</v>
      </c>
      <c r="L1494" s="4" t="str">
        <f t="shared" si="22"/>
        <v>it</v>
      </c>
      <c r="N1494" s="4" cm="1">
        <f t="array" ref="N1494">SUM(--(_xlfn.TEXTSPLIT($J$1387,, " ") = M1494))</f>
        <v>2</v>
      </c>
      <c r="O1494">
        <v>2</v>
      </c>
      <c r="P1494">
        <v>2</v>
      </c>
      <c r="Q1494">
        <v>2</v>
      </c>
    </row>
    <row r="1495" spans="5:17" x14ac:dyDescent="0.2">
      <c r="E1495" s="9" t="s">
        <v>24</v>
      </c>
      <c r="K1495" t="str">
        <v>change</v>
      </c>
      <c r="L1495" s="4" t="str">
        <f t="shared" si="22"/>
        <v>change</v>
      </c>
      <c r="N1495" s="4" cm="1">
        <f t="array" ref="N1495">SUM(--(_xlfn.TEXTSPLIT($J$1387,, " ") = M1495))</f>
        <v>2</v>
      </c>
      <c r="O1495">
        <v>2</v>
      </c>
      <c r="P1495">
        <v>2</v>
      </c>
      <c r="Q1495">
        <v>2</v>
      </c>
    </row>
    <row r="1496" spans="5:17" x14ac:dyDescent="0.2">
      <c r="E1496" s="9" t="s">
        <v>24</v>
      </c>
      <c r="K1496" t="str">
        <v xml:space="preserve">up?
</v>
      </c>
      <c r="L1496" s="4" t="str">
        <f t="shared" si="22"/>
        <v xml:space="preserve">up  </v>
      </c>
      <c r="N1496" s="4" cm="1">
        <f t="array" ref="N1496">SUM(--(_xlfn.TEXTSPLIT($J$1387,, " ") = M1496))</f>
        <v>2</v>
      </c>
      <c r="O1496">
        <v>2</v>
      </c>
      <c r="P1496">
        <v>2</v>
      </c>
      <c r="Q1496">
        <v>2</v>
      </c>
    </row>
    <row r="1497" spans="5:17" x14ac:dyDescent="0.2">
      <c r="E1497" s="9" t="s">
        <v>24</v>
      </c>
      <c r="K1497" t="str">
        <v>Is</v>
      </c>
      <c r="L1497" s="4" t="str">
        <f t="shared" si="22"/>
        <v>Is</v>
      </c>
      <c r="N1497" s="4" cm="1">
        <f t="array" ref="N1497">SUM(--(_xlfn.TEXTSPLIT($J$1387,, " ") = M1497))</f>
        <v>2</v>
      </c>
      <c r="O1497">
        <v>2</v>
      </c>
      <c r="P1497">
        <v>2</v>
      </c>
      <c r="Q1497">
        <v>2</v>
      </c>
    </row>
    <row r="1498" spans="5:17" x14ac:dyDescent="0.2">
      <c r="E1498" s="9" t="s">
        <v>24</v>
      </c>
      <c r="K1498" t="str">
        <v>it</v>
      </c>
      <c r="L1498" s="4" t="str">
        <f t="shared" si="22"/>
        <v>it</v>
      </c>
      <c r="N1498" s="4" cm="1">
        <f t="array" ref="N1498">SUM(--(_xlfn.TEXTSPLIT($J$1387,, " ") = M1498))</f>
        <v>2</v>
      </c>
      <c r="O1498">
        <v>2</v>
      </c>
      <c r="P1498">
        <v>2</v>
      </c>
      <c r="Q1498">
        <v>2</v>
      </c>
    </row>
    <row r="1499" spans="5:17" x14ac:dyDescent="0.2">
      <c r="E1499" s="9" t="s">
        <v>24</v>
      </c>
      <c r="K1499" t="str">
        <v>light</v>
      </c>
      <c r="L1499" s="4" t="str">
        <f t="shared" si="22"/>
        <v>light</v>
      </c>
      <c r="N1499" s="4" cm="1">
        <f t="array" ref="N1499">SUM(--(_xlfn.TEXTSPLIT($J$1387,, " ") = M1499))</f>
        <v>2</v>
      </c>
      <c r="O1499">
        <v>2</v>
      </c>
      <c r="P1499">
        <v>2</v>
      </c>
      <c r="Q1499">
        <v>2</v>
      </c>
    </row>
    <row r="1500" spans="5:17" x14ac:dyDescent="0.2">
      <c r="E1500" s="9" t="s">
        <v>24</v>
      </c>
      <c r="K1500" t="str">
        <v>out</v>
      </c>
      <c r="L1500" s="4" t="str">
        <f t="shared" si="22"/>
        <v>out</v>
      </c>
      <c r="N1500" s="4" cm="1">
        <f t="array" ref="N1500">SUM(--(_xlfn.TEXTSPLIT($J$1387,, " ") = M1500))</f>
        <v>2</v>
      </c>
      <c r="O1500">
        <v>2</v>
      </c>
      <c r="P1500">
        <v>2</v>
      </c>
      <c r="Q1500">
        <v>2</v>
      </c>
    </row>
    <row r="1501" spans="5:17" x14ac:dyDescent="0.2">
      <c r="E1501" s="9" t="s">
        <v>24</v>
      </c>
      <c r="K1501" t="str">
        <v>yet?</v>
      </c>
      <c r="L1501" s="4" t="str">
        <f t="shared" si="22"/>
        <v xml:space="preserve">yet </v>
      </c>
      <c r="N1501" s="4" cm="1">
        <f t="array" ref="N1501">SUM(--(_xlfn.TEXTSPLIT($J$1387,, " ") = M1501))</f>
        <v>2</v>
      </c>
      <c r="O1501">
        <v>2</v>
      </c>
      <c r="P1501">
        <v>2</v>
      </c>
      <c r="Q1501">
        <v>2</v>
      </c>
    </row>
    <row r="1502" spans="5:17" x14ac:dyDescent="0.2">
      <c r="E1502" s="9" t="s">
        <v>24</v>
      </c>
      <c r="K1502" t="str">
        <v>Better</v>
      </c>
      <c r="L1502" s="4" t="str">
        <f t="shared" si="22"/>
        <v>Better</v>
      </c>
      <c r="N1502" s="4" cm="1">
        <f t="array" ref="N1502">SUM(--(_xlfn.TEXTSPLIT($J$1387,, " ") = M1502))</f>
        <v>2</v>
      </c>
      <c r="O1502">
        <v>2</v>
      </c>
      <c r="P1502">
        <v>2</v>
      </c>
      <c r="Q1502">
        <v>2</v>
      </c>
    </row>
    <row r="1503" spans="5:17" x14ac:dyDescent="0.2">
      <c r="E1503" s="9" t="s">
        <v>24</v>
      </c>
      <c r="K1503" t="str">
        <v>find</v>
      </c>
      <c r="L1503" s="4" t="str">
        <f t="shared" si="22"/>
        <v>find</v>
      </c>
      <c r="N1503" s="4" cm="1">
        <f t="array" ref="N1503">SUM(--(_xlfn.TEXTSPLIT($J$1387,, " ") = M1503))</f>
        <v>2</v>
      </c>
      <c r="O1503">
        <v>2</v>
      </c>
      <c r="P1503">
        <v>2</v>
      </c>
      <c r="Q1503">
        <v>2</v>
      </c>
    </row>
    <row r="1504" spans="5:17" x14ac:dyDescent="0.2">
      <c r="E1504" s="9" t="s">
        <v>24</v>
      </c>
      <c r="K1504" t="str">
        <v>out,</v>
      </c>
      <c r="L1504" s="4" t="str">
        <f t="shared" si="22"/>
        <v xml:space="preserve">out </v>
      </c>
      <c r="N1504" s="4" cm="1">
        <f t="array" ref="N1504">SUM(--(_xlfn.TEXTSPLIT($J$1387,, " ") = M1504))</f>
        <v>2</v>
      </c>
      <c r="O1504">
        <v>2</v>
      </c>
      <c r="P1504">
        <v>2</v>
      </c>
      <c r="Q1504">
        <v>2</v>
      </c>
    </row>
    <row r="1505" spans="5:17" x14ac:dyDescent="0.2">
      <c r="E1505" s="9" t="s">
        <v>24</v>
      </c>
      <c r="K1505" t="str">
        <v xml:space="preserve">bet
</v>
      </c>
      <c r="L1505" s="4" t="str">
        <f t="shared" si="22"/>
        <v xml:space="preserve">bet </v>
      </c>
      <c r="N1505" s="4" cm="1">
        <f t="array" ref="N1505">SUM(--(_xlfn.TEXTSPLIT($J$1387,, " ") = M1505))</f>
        <v>2</v>
      </c>
      <c r="O1505">
        <v>2</v>
      </c>
      <c r="P1505">
        <v>2</v>
      </c>
      <c r="Q1505">
        <v>2</v>
      </c>
    </row>
    <row r="1506" spans="5:17" x14ac:dyDescent="0.2">
      <c r="E1506" s="9" t="s">
        <v>24</v>
      </c>
      <c r="K1506" t="str">
        <v>I'ma</v>
      </c>
      <c r="L1506" s="4" t="str">
        <f t="shared" si="22"/>
        <v>I ma</v>
      </c>
      <c r="N1506" s="4" cm="1">
        <f t="array" ref="N1506">SUM(--(_xlfn.TEXTSPLIT($J$1387,, " ") = M1506))</f>
        <v>2</v>
      </c>
      <c r="O1506">
        <v>2</v>
      </c>
      <c r="P1506">
        <v>2</v>
      </c>
      <c r="Q1506">
        <v>2</v>
      </c>
    </row>
    <row r="1507" spans="5:17" x14ac:dyDescent="0.2">
      <c r="E1507" s="9" t="s">
        <v>24</v>
      </c>
      <c r="K1507" t="str">
        <v>walk</v>
      </c>
      <c r="L1507" s="4" t="str">
        <f t="shared" si="22"/>
        <v>walk</v>
      </c>
      <c r="N1507" s="4" cm="1">
        <f t="array" ref="N1507">SUM(--(_xlfn.TEXTSPLIT($J$1387,, " ") = M1507))</f>
        <v>2</v>
      </c>
      <c r="O1507">
        <v>2</v>
      </c>
      <c r="P1507">
        <v>2</v>
      </c>
      <c r="Q1507">
        <v>2</v>
      </c>
    </row>
    <row r="1508" spans="5:17" x14ac:dyDescent="0.2">
      <c r="E1508" s="9" t="s">
        <v>24</v>
      </c>
      <c r="K1508" t="str">
        <v>around</v>
      </c>
      <c r="L1508" s="4" t="str">
        <f t="shared" si="22"/>
        <v>around</v>
      </c>
      <c r="N1508" s="4" cm="1">
        <f t="array" ref="N1508">SUM(--(_xlfn.TEXTSPLIT($J$1387,, " ") = M1508))</f>
        <v>2</v>
      </c>
      <c r="O1508">
        <v>2</v>
      </c>
      <c r="P1508">
        <v>2</v>
      </c>
      <c r="Q1508">
        <v>2</v>
      </c>
    </row>
    <row r="1509" spans="5:17" x14ac:dyDescent="0.2">
      <c r="E1509" s="9" t="s">
        <v>24</v>
      </c>
      <c r="K1509" t="str">
        <v>the</v>
      </c>
      <c r="L1509" s="4" t="str">
        <f t="shared" si="22"/>
        <v>the</v>
      </c>
      <c r="N1509" s="4" cm="1">
        <f t="array" ref="N1509">SUM(--(_xlfn.TEXTSPLIT($J$1387,, " ") = M1509))</f>
        <v>2</v>
      </c>
      <c r="O1509">
        <v>2</v>
      </c>
      <c r="P1509">
        <v>2</v>
      </c>
      <c r="Q1509">
        <v>2</v>
      </c>
    </row>
    <row r="1510" spans="5:17" x14ac:dyDescent="0.2">
      <c r="E1510" s="9" t="s">
        <v>24</v>
      </c>
      <c r="K1510" t="str">
        <v>edge</v>
      </c>
      <c r="L1510" s="4" t="str">
        <f t="shared" si="22"/>
        <v>edge</v>
      </c>
      <c r="N1510" s="4" cm="1">
        <f t="array" ref="N1510">SUM(--(_xlfn.TEXTSPLIT($J$1387,, " ") = M1510))</f>
        <v>2</v>
      </c>
      <c r="O1510">
        <v>2</v>
      </c>
      <c r="P1510">
        <v>2</v>
      </c>
      <c r="Q1510">
        <v>2</v>
      </c>
    </row>
    <row r="1511" spans="5:17" x14ac:dyDescent="0.2">
      <c r="E1511" s="9" t="s">
        <v>24</v>
      </c>
      <c r="K1511" t="str">
        <v>of</v>
      </c>
      <c r="L1511" s="4" t="str">
        <f t="shared" si="22"/>
        <v>of</v>
      </c>
      <c r="N1511" s="4" cm="1">
        <f t="array" ref="N1511">SUM(--(_xlfn.TEXTSPLIT($J$1387,, " ") = M1511))</f>
        <v>2</v>
      </c>
      <c r="O1511">
        <v>2</v>
      </c>
      <c r="P1511">
        <v>2</v>
      </c>
      <c r="Q1511">
        <v>2</v>
      </c>
    </row>
    <row r="1512" spans="5:17" x14ac:dyDescent="0.2">
      <c r="E1512" s="9" t="s">
        <v>24</v>
      </c>
      <c r="K1512" t="str">
        <v>the</v>
      </c>
      <c r="L1512" s="4" t="str">
        <f t="shared" si="22"/>
        <v>the</v>
      </c>
      <c r="N1512" s="4" cm="1">
        <f t="array" ref="N1512">SUM(--(_xlfn.TEXTSPLIT($J$1387,, " ") = M1512))</f>
        <v>2</v>
      </c>
      <c r="O1512">
        <v>2</v>
      </c>
      <c r="P1512">
        <v>2</v>
      </c>
      <c r="Q1512">
        <v>2</v>
      </c>
    </row>
    <row r="1513" spans="5:17" x14ac:dyDescent="0.2">
      <c r="E1513" s="9" t="s">
        <v>24</v>
      </c>
      <c r="K1513" t="str">
        <v>room</v>
      </c>
      <c r="L1513" s="4" t="str">
        <f t="shared" si="22"/>
        <v>room</v>
      </c>
      <c r="N1513" s="4" cm="1">
        <f t="array" ref="N1513">SUM(--(_xlfn.TEXTSPLIT($J$1387,, " ") = M1513))</f>
        <v>2</v>
      </c>
      <c r="O1513">
        <v>2</v>
      </c>
      <c r="P1513">
        <v>2</v>
      </c>
      <c r="Q1513">
        <v>2</v>
      </c>
    </row>
    <row r="1514" spans="5:17" x14ac:dyDescent="0.2">
      <c r="E1514" s="9" t="s">
        <v>24</v>
      </c>
      <c r="K1514" t="str">
        <v>and</v>
      </c>
      <c r="L1514" s="4" t="str">
        <f t="shared" si="22"/>
        <v>and</v>
      </c>
      <c r="N1514" s="4" cm="1">
        <f t="array" ref="N1514">SUM(--(_xlfn.TEXTSPLIT($J$1387,, " ") = M1514))</f>
        <v>2</v>
      </c>
      <c r="O1514">
        <v>2</v>
      </c>
      <c r="P1514">
        <v>2</v>
      </c>
      <c r="Q1514">
        <v>2</v>
      </c>
    </row>
    <row r="1515" spans="5:17" x14ac:dyDescent="0.2">
      <c r="E1515" s="9" t="s">
        <v>24</v>
      </c>
      <c r="K1515" t="str">
        <v>the</v>
      </c>
      <c r="L1515" s="4" t="str">
        <f t="shared" si="22"/>
        <v>the</v>
      </c>
      <c r="N1515" s="4" cm="1">
        <f t="array" ref="N1515">SUM(--(_xlfn.TEXTSPLIT($J$1387,, " ") = M1515))</f>
        <v>2</v>
      </c>
      <c r="O1515">
        <v>2</v>
      </c>
      <c r="P1515">
        <v>2</v>
      </c>
      <c r="Q1515">
        <v>2</v>
      </c>
    </row>
    <row r="1516" spans="5:17" x14ac:dyDescent="0.2">
      <c r="E1516" s="9" t="s">
        <v>24</v>
      </c>
      <c r="K1516" t="str">
        <v xml:space="preserve">bed
</v>
      </c>
      <c r="L1516" s="4" t="str">
        <f t="shared" si="22"/>
        <v xml:space="preserve">bed </v>
      </c>
      <c r="N1516" s="4" cm="1">
        <f t="array" ref="N1516">SUM(--(_xlfn.TEXTSPLIT($J$1387,, " ") = M1516))</f>
        <v>2</v>
      </c>
      <c r="O1516">
        <v>2</v>
      </c>
      <c r="P1516">
        <v>2</v>
      </c>
      <c r="Q1516">
        <v>2</v>
      </c>
    </row>
    <row r="1517" spans="5:17" x14ac:dyDescent="0.2">
      <c r="E1517" s="9" t="s">
        <v>24</v>
      </c>
      <c r="K1517" t="str">
        <v>Where</v>
      </c>
      <c r="L1517" s="4" t="str">
        <f t="shared" ref="L1517:L1580" si="23">_xlfn.REGEXREPLACE(K1517, "[^A-Za-z ]", " ")</f>
        <v>Where</v>
      </c>
      <c r="N1517" s="4" cm="1">
        <f t="array" ref="N1517">SUM(--(_xlfn.TEXTSPLIT($J$1387,, " ") = M1517))</f>
        <v>2</v>
      </c>
      <c r="O1517">
        <v>2</v>
      </c>
      <c r="P1517">
        <v>2</v>
      </c>
      <c r="Q1517">
        <v>2</v>
      </c>
    </row>
    <row r="1518" spans="5:17" x14ac:dyDescent="0.2">
      <c r="E1518" s="9" t="s">
        <v>24</v>
      </c>
      <c r="K1518" t="str">
        <v>I</v>
      </c>
      <c r="L1518" s="4" t="str">
        <f t="shared" si="23"/>
        <v>I</v>
      </c>
      <c r="N1518" s="4" cm="1">
        <f t="array" ref="N1518">SUM(--(_xlfn.TEXTSPLIT($J$1387,, " ") = M1518))</f>
        <v>2</v>
      </c>
      <c r="O1518">
        <v>2</v>
      </c>
      <c r="P1518">
        <v>2</v>
      </c>
      <c r="Q1518">
        <v>2</v>
      </c>
    </row>
    <row r="1519" spans="5:17" x14ac:dyDescent="0.2">
      <c r="E1519" s="9" t="s">
        <v>24</v>
      </c>
      <c r="K1519" t="str">
        <v>hide</v>
      </c>
      <c r="L1519" s="4" t="str">
        <f t="shared" si="23"/>
        <v>hide</v>
      </c>
      <c r="N1519" s="4" cm="1">
        <f t="array" ref="N1519">SUM(--(_xlfn.TEXTSPLIT($J$1387,, " ") = M1519))</f>
        <v>2</v>
      </c>
      <c r="O1519">
        <v>2</v>
      </c>
      <c r="P1519">
        <v>2</v>
      </c>
      <c r="Q1519">
        <v>2</v>
      </c>
    </row>
    <row r="1520" spans="5:17" x14ac:dyDescent="0.2">
      <c r="E1520" s="9" t="s">
        <v>24</v>
      </c>
      <c r="K1520" t="str">
        <v>my</v>
      </c>
      <c r="L1520" s="4" t="str">
        <f t="shared" si="23"/>
        <v>my</v>
      </c>
      <c r="N1520" s="4" cm="1">
        <f t="array" ref="N1520">SUM(--(_xlfn.TEXTSPLIT($J$1387,, " ") = M1520))</f>
        <v>2</v>
      </c>
      <c r="O1520">
        <v>2</v>
      </c>
      <c r="P1520">
        <v>2</v>
      </c>
      <c r="Q1520">
        <v>2</v>
      </c>
    </row>
    <row r="1521" spans="5:17" x14ac:dyDescent="0.2">
      <c r="E1521" s="9" t="s">
        <v>24</v>
      </c>
      <c r="K1521" t="str">
        <v>face,</v>
      </c>
      <c r="L1521" s="4" t="str">
        <f t="shared" si="23"/>
        <v xml:space="preserve">face </v>
      </c>
      <c r="N1521" s="4" cm="1">
        <f t="array" ref="N1521">SUM(--(_xlfn.TEXTSPLIT($J$1387,, " ") = M1521))</f>
        <v>2</v>
      </c>
      <c r="O1521">
        <v>2</v>
      </c>
      <c r="P1521">
        <v>2</v>
      </c>
      <c r="Q1521">
        <v>2</v>
      </c>
    </row>
    <row r="1522" spans="5:17" x14ac:dyDescent="0.2">
      <c r="E1522" s="9" t="s">
        <v>24</v>
      </c>
      <c r="K1522" t="str">
        <v>pace</v>
      </c>
      <c r="L1522" s="4" t="str">
        <f t="shared" si="23"/>
        <v>pace</v>
      </c>
      <c r="N1522" s="4" cm="1">
        <f t="array" ref="N1522">SUM(--(_xlfn.TEXTSPLIT($J$1387,, " ") = M1522))</f>
        <v>2</v>
      </c>
      <c r="O1522">
        <v>2</v>
      </c>
      <c r="P1522">
        <v>2</v>
      </c>
      <c r="Q1522">
        <v>2</v>
      </c>
    </row>
    <row r="1523" spans="5:17" x14ac:dyDescent="0.2">
      <c r="E1523" s="9" t="s">
        <v>24</v>
      </c>
      <c r="K1523" t="str">
        <v xml:space="preserve">around
</v>
      </c>
      <c r="L1523" s="4" t="str">
        <f t="shared" si="23"/>
        <v xml:space="preserve">around </v>
      </c>
      <c r="N1523" s="4" cm="1">
        <f t="array" ref="N1523">SUM(--(_xlfn.TEXTSPLIT($J$1387,, " ") = M1523))</f>
        <v>2</v>
      </c>
      <c r="O1523">
        <v>2</v>
      </c>
      <c r="P1523">
        <v>2</v>
      </c>
      <c r="Q1523">
        <v>2</v>
      </c>
    </row>
    <row r="1524" spans="5:17" x14ac:dyDescent="0.2">
      <c r="E1524" s="9" t="s">
        <v>24</v>
      </c>
      <c r="K1524" t="str">
        <v>Better</v>
      </c>
      <c r="L1524" s="4" t="str">
        <f t="shared" si="23"/>
        <v>Better</v>
      </c>
      <c r="N1524" s="4" cm="1">
        <f t="array" ref="N1524">SUM(--(_xlfn.TEXTSPLIT($J$1387,, " ") = M1524))</f>
        <v>2</v>
      </c>
      <c r="O1524">
        <v>2</v>
      </c>
      <c r="P1524">
        <v>2</v>
      </c>
      <c r="Q1524">
        <v>2</v>
      </c>
    </row>
    <row r="1525" spans="5:17" x14ac:dyDescent="0.2">
      <c r="E1525" s="9" t="s">
        <v>24</v>
      </c>
      <c r="K1525" t="str">
        <v>try</v>
      </c>
      <c r="L1525" s="4" t="str">
        <f t="shared" si="23"/>
        <v>try</v>
      </c>
      <c r="N1525" s="4" cm="1">
        <f t="array" ref="N1525">SUM(--(_xlfn.TEXTSPLIT($J$1387,, " ") = M1525))</f>
        <v>2</v>
      </c>
      <c r="O1525">
        <v>2</v>
      </c>
      <c r="P1525">
        <v>2</v>
      </c>
      <c r="Q1525">
        <v>2</v>
      </c>
    </row>
    <row r="1526" spans="5:17" x14ac:dyDescent="0.2">
      <c r="E1526" s="9" t="s">
        <v>24</v>
      </c>
      <c r="K1526" t="str">
        <v>to</v>
      </c>
      <c r="L1526" s="4" t="str">
        <f t="shared" si="23"/>
        <v>to</v>
      </c>
      <c r="N1526" s="4" cm="1">
        <f t="array" ref="N1526">SUM(--(_xlfn.TEXTSPLIT($J$1387,, " ") = M1526))</f>
        <v>2</v>
      </c>
      <c r="O1526">
        <v>2</v>
      </c>
      <c r="P1526">
        <v>2</v>
      </c>
      <c r="Q1526">
        <v>2</v>
      </c>
    </row>
    <row r="1527" spans="5:17" x14ac:dyDescent="0.2">
      <c r="E1527" s="9" t="s">
        <v>24</v>
      </c>
      <c r="K1527" t="str">
        <v>breathe,</v>
      </c>
      <c r="L1527" s="4" t="str">
        <f t="shared" si="23"/>
        <v xml:space="preserve">breathe </v>
      </c>
      <c r="N1527" s="4" cm="1">
        <f t="array" ref="N1527">SUM(--(_xlfn.TEXTSPLIT($J$1387,, " ") = M1527))</f>
        <v>2</v>
      </c>
      <c r="O1527">
        <v>2</v>
      </c>
      <c r="P1527">
        <v>2</v>
      </c>
      <c r="Q1527">
        <v>2</v>
      </c>
    </row>
    <row r="1528" spans="5:17" x14ac:dyDescent="0.2">
      <c r="E1528" s="9" t="s">
        <v>24</v>
      </c>
      <c r="K1528" t="str">
        <v>pace</v>
      </c>
      <c r="L1528" s="4" t="str">
        <f t="shared" si="23"/>
        <v>pace</v>
      </c>
      <c r="N1528" s="4" cm="1">
        <f t="array" ref="N1528">SUM(--(_xlfn.TEXTSPLIT($J$1387,, " ") = M1528))</f>
        <v>2</v>
      </c>
      <c r="O1528">
        <v>2</v>
      </c>
      <c r="P1528">
        <v>2</v>
      </c>
      <c r="Q1528">
        <v>2</v>
      </c>
    </row>
    <row r="1529" spans="5:17" x14ac:dyDescent="0.2">
      <c r="E1529" s="9" t="s">
        <v>24</v>
      </c>
      <c r="K1529" t="str">
        <v>around,</v>
      </c>
      <c r="L1529" s="4" t="str">
        <f t="shared" si="23"/>
        <v xml:space="preserve">around </v>
      </c>
      <c r="N1529" s="4" cm="1">
        <f t="array" ref="N1529">SUM(--(_xlfn.TEXTSPLIT($J$1387,, " ") = M1529))</f>
        <v>2</v>
      </c>
      <c r="O1529">
        <v>2</v>
      </c>
      <c r="P1529">
        <v>2</v>
      </c>
      <c r="Q1529">
        <v>2</v>
      </c>
    </row>
    <row r="1530" spans="5:17" x14ac:dyDescent="0.2">
      <c r="E1530" s="9" t="s">
        <v>24</v>
      </c>
      <c r="K1530" t="str">
        <v>pace</v>
      </c>
      <c r="L1530" s="4" t="str">
        <f t="shared" si="23"/>
        <v>pace</v>
      </c>
      <c r="N1530" s="4" cm="1">
        <f t="array" ref="N1530">SUM(--(_xlfn.TEXTSPLIT($J$1387,, " ") = M1530))</f>
        <v>2</v>
      </c>
      <c r="O1530">
        <v>2</v>
      </c>
      <c r="P1530">
        <v>2</v>
      </c>
      <c r="Q1530">
        <v>2</v>
      </c>
    </row>
    <row r="1531" spans="5:17" x14ac:dyDescent="0.2">
      <c r="E1531" s="9" t="s">
        <v>24</v>
      </c>
      <c r="K1531" t="str">
        <v xml:space="preserve">around
</v>
      </c>
      <c r="L1531" s="4" t="str">
        <f t="shared" si="23"/>
        <v xml:space="preserve">around  </v>
      </c>
      <c r="N1531" s="4" cm="1">
        <f t="array" ref="N1531">SUM(--(_xlfn.TEXTSPLIT($J$1387,, " ") = M1531))</f>
        <v>2</v>
      </c>
      <c r="O1531">
        <v>2</v>
      </c>
      <c r="P1531">
        <v>2</v>
      </c>
      <c r="Q1531">
        <v>2</v>
      </c>
    </row>
    <row r="1532" spans="5:17" x14ac:dyDescent="0.2">
      <c r="E1532" s="9" t="s">
        <v>24</v>
      </c>
      <c r="K1532" t="str">
        <v>I</v>
      </c>
      <c r="L1532" s="4" t="str">
        <f t="shared" si="23"/>
        <v>I</v>
      </c>
      <c r="N1532" s="4" cm="1">
        <f t="array" ref="N1532">SUM(--(_xlfn.TEXTSPLIT($J$1387,, " ") = M1532))</f>
        <v>2</v>
      </c>
      <c r="O1532">
        <v>2</v>
      </c>
      <c r="P1532">
        <v>2</v>
      </c>
      <c r="Q1532">
        <v>2</v>
      </c>
    </row>
    <row r="1533" spans="5:17" x14ac:dyDescent="0.2">
      <c r="E1533" s="9" t="s">
        <v>24</v>
      </c>
      <c r="K1533" t="str">
        <v>check</v>
      </c>
      <c r="L1533" s="4" t="str">
        <f t="shared" si="23"/>
        <v>check</v>
      </c>
      <c r="N1533" s="4" cm="1">
        <f t="array" ref="N1533">SUM(--(_xlfn.TEXTSPLIT($J$1387,, " ") = M1533))</f>
        <v>2</v>
      </c>
      <c r="O1533">
        <v>2</v>
      </c>
      <c r="P1533">
        <v>2</v>
      </c>
      <c r="Q1533">
        <v>2</v>
      </c>
    </row>
    <row r="1534" spans="5:17" x14ac:dyDescent="0.2">
      <c r="E1534" s="9" t="s">
        <v>24</v>
      </c>
      <c r="K1534" t="str">
        <v>the</v>
      </c>
      <c r="L1534" s="4" t="str">
        <f t="shared" si="23"/>
        <v>the</v>
      </c>
      <c r="N1534" s="4" cm="1">
        <f t="array" ref="N1534">SUM(--(_xlfn.TEXTSPLIT($J$1387,, " ") = M1534))</f>
        <v>2</v>
      </c>
      <c r="O1534">
        <v>2</v>
      </c>
      <c r="P1534">
        <v>2</v>
      </c>
      <c r="Q1534">
        <v>2</v>
      </c>
    </row>
    <row r="1535" spans="5:17" x14ac:dyDescent="0.2">
      <c r="E1535" s="9" t="s">
        <v>24</v>
      </c>
      <c r="K1535" t="str">
        <v>doors,</v>
      </c>
      <c r="L1535" s="4" t="str">
        <f t="shared" si="23"/>
        <v xml:space="preserve">doors </v>
      </c>
      <c r="N1535" s="4" cm="1">
        <f t="array" ref="N1535">SUM(--(_xlfn.TEXTSPLIT($J$1387,, " ") = M1535))</f>
        <v>2</v>
      </c>
      <c r="O1535">
        <v>2</v>
      </c>
      <c r="P1535">
        <v>2</v>
      </c>
      <c r="Q1535">
        <v>2</v>
      </c>
    </row>
    <row r="1536" spans="5:17" x14ac:dyDescent="0.2">
      <c r="E1536" s="9" t="s">
        <v>24</v>
      </c>
      <c r="K1536" t="str">
        <v>check</v>
      </c>
      <c r="L1536" s="4" t="str">
        <f t="shared" si="23"/>
        <v>check</v>
      </c>
      <c r="N1536" s="4" cm="1">
        <f t="array" ref="N1536">SUM(--(_xlfn.TEXTSPLIT($J$1387,, " ") = M1536))</f>
        <v>2</v>
      </c>
      <c r="O1536">
        <v>2</v>
      </c>
      <c r="P1536">
        <v>2</v>
      </c>
      <c r="Q1536">
        <v>2</v>
      </c>
    </row>
    <row r="1537" spans="5:17" x14ac:dyDescent="0.2">
      <c r="E1537" s="9" t="s">
        <v>24</v>
      </c>
      <c r="K1537" t="str">
        <v>the</v>
      </c>
      <c r="L1537" s="4" t="str">
        <f t="shared" si="23"/>
        <v>the</v>
      </c>
      <c r="N1537" s="4" cm="1">
        <f t="array" ref="N1537">SUM(--(_xlfn.TEXTSPLIT($J$1387,, " ") = M1537))</f>
        <v>2</v>
      </c>
      <c r="O1537">
        <v>2</v>
      </c>
      <c r="P1537">
        <v>2</v>
      </c>
      <c r="Q1537">
        <v>2</v>
      </c>
    </row>
    <row r="1538" spans="5:17" x14ac:dyDescent="0.2">
      <c r="E1538" s="9" t="s">
        <v>24</v>
      </c>
      <c r="K1538" t="str">
        <v>windows,</v>
      </c>
      <c r="L1538" s="4" t="str">
        <f t="shared" si="23"/>
        <v xml:space="preserve">windows </v>
      </c>
      <c r="N1538" s="4" cm="1">
        <f t="array" ref="N1538">SUM(--(_xlfn.TEXTSPLIT($J$1387,, " ") = M1538))</f>
        <v>2</v>
      </c>
      <c r="O1538">
        <v>2</v>
      </c>
      <c r="P1538">
        <v>2</v>
      </c>
      <c r="Q1538">
        <v>2</v>
      </c>
    </row>
    <row r="1539" spans="5:17" x14ac:dyDescent="0.2">
      <c r="E1539" s="9" t="s">
        <v>24</v>
      </c>
      <c r="K1539" t="str">
        <v>and</v>
      </c>
      <c r="L1539" s="4" t="str">
        <f t="shared" si="23"/>
        <v>and</v>
      </c>
      <c r="N1539" s="4" cm="1">
        <f t="array" ref="N1539">SUM(--(_xlfn.TEXTSPLIT($J$1387,, " ") = M1539))</f>
        <v>2</v>
      </c>
      <c r="O1539">
        <v>2</v>
      </c>
      <c r="P1539">
        <v>2</v>
      </c>
      <c r="Q1539">
        <v>2</v>
      </c>
    </row>
    <row r="1540" spans="5:17" x14ac:dyDescent="0.2">
      <c r="E1540" s="9" t="s">
        <v>24</v>
      </c>
      <c r="K1540" t="str">
        <v>pull</v>
      </c>
      <c r="L1540" s="4" t="str">
        <f t="shared" si="23"/>
        <v>pull</v>
      </c>
      <c r="N1540" s="4" cm="1">
        <f t="array" ref="N1540">SUM(--(_xlfn.TEXTSPLIT($J$1387,, " ") = M1540))</f>
        <v>2</v>
      </c>
      <c r="O1540">
        <v>2</v>
      </c>
      <c r="P1540">
        <v>2</v>
      </c>
      <c r="Q1540">
        <v>2</v>
      </c>
    </row>
    <row r="1541" spans="5:17" x14ac:dyDescent="0.2">
      <c r="E1541" s="9" t="s">
        <v>24</v>
      </c>
      <c r="K1541" t="str">
        <v>the</v>
      </c>
      <c r="L1541" s="4" t="str">
        <f t="shared" si="23"/>
        <v>the</v>
      </c>
      <c r="N1541" s="4" cm="1">
        <f t="array" ref="N1541">SUM(--(_xlfn.TEXTSPLIT($J$1387,, " ") = M1541))</f>
        <v>2</v>
      </c>
      <c r="O1541">
        <v>2</v>
      </c>
      <c r="P1541">
        <v>2</v>
      </c>
      <c r="Q1541">
        <v>2</v>
      </c>
    </row>
    <row r="1542" spans="5:17" x14ac:dyDescent="0.2">
      <c r="E1542" s="9" t="s">
        <v>24</v>
      </c>
      <c r="K1542" t="str">
        <v xml:space="preserve">blinds
</v>
      </c>
      <c r="L1542" s="4" t="str">
        <f t="shared" si="23"/>
        <v xml:space="preserve">blinds </v>
      </c>
      <c r="N1542" s="4" cm="1">
        <f t="array" ref="N1542">SUM(--(_xlfn.TEXTSPLIT($J$1387,, " ") = M1542))</f>
        <v>2</v>
      </c>
      <c r="O1542">
        <v>2</v>
      </c>
      <c r="P1542">
        <v>2</v>
      </c>
      <c r="Q1542">
        <v>2</v>
      </c>
    </row>
    <row r="1543" spans="5:17" x14ac:dyDescent="0.2">
      <c r="E1543" s="9" t="s">
        <v>24</v>
      </c>
      <c r="K1543" t="str">
        <v>I</v>
      </c>
      <c r="L1543" s="4" t="str">
        <f t="shared" si="23"/>
        <v>I</v>
      </c>
      <c r="N1543" s="4" cm="1">
        <f t="array" ref="N1543">SUM(--(_xlfn.TEXTSPLIT($J$1387,, " ") = M1543))</f>
        <v>2</v>
      </c>
      <c r="O1543">
        <v>2</v>
      </c>
      <c r="P1543">
        <v>2</v>
      </c>
      <c r="Q1543">
        <v>2</v>
      </c>
    </row>
    <row r="1544" spans="5:17" x14ac:dyDescent="0.2">
      <c r="E1544" s="9" t="s">
        <v>24</v>
      </c>
      <c r="K1544" t="str">
        <v>check</v>
      </c>
      <c r="L1544" s="4" t="str">
        <f t="shared" si="23"/>
        <v>check</v>
      </c>
      <c r="N1544" s="4" cm="1">
        <f t="array" ref="N1544">SUM(--(_xlfn.TEXTSPLIT($J$1387,, " ") = M1544))</f>
        <v>2</v>
      </c>
      <c r="O1544">
        <v>2</v>
      </c>
      <c r="P1544">
        <v>2</v>
      </c>
      <c r="Q1544">
        <v>2</v>
      </c>
    </row>
    <row r="1545" spans="5:17" x14ac:dyDescent="0.2">
      <c r="E1545" s="9" t="s">
        <v>24</v>
      </c>
      <c r="K1545" t="str">
        <v>the</v>
      </c>
      <c r="L1545" s="4" t="str">
        <f t="shared" si="23"/>
        <v>the</v>
      </c>
      <c r="N1545" s="4" cm="1">
        <f t="array" ref="N1545">SUM(--(_xlfn.TEXTSPLIT($J$1387,, " ") = M1545))</f>
        <v>2</v>
      </c>
      <c r="O1545">
        <v>2</v>
      </c>
      <c r="P1545">
        <v>2</v>
      </c>
      <c r="Q1545">
        <v>2</v>
      </c>
    </row>
    <row r="1546" spans="5:17" x14ac:dyDescent="0.2">
      <c r="E1546" s="9" t="s">
        <v>24</v>
      </c>
      <c r="K1546" t="str">
        <v>clock,</v>
      </c>
      <c r="L1546" s="4" t="str">
        <f t="shared" si="23"/>
        <v xml:space="preserve">clock </v>
      </c>
      <c r="N1546" s="4" cm="1">
        <f t="array" ref="N1546">SUM(--(_xlfn.TEXTSPLIT($J$1387,, " ") = M1546))</f>
        <v>2</v>
      </c>
      <c r="O1546">
        <v>2</v>
      </c>
      <c r="P1546">
        <v>2</v>
      </c>
      <c r="Q1546">
        <v>2</v>
      </c>
    </row>
    <row r="1547" spans="5:17" x14ac:dyDescent="0.2">
      <c r="E1547" s="9" t="s">
        <v>24</v>
      </c>
      <c r="K1547" t="str">
        <v>wondering</v>
      </c>
      <c r="L1547" s="4" t="str">
        <f t="shared" si="23"/>
        <v>wondering</v>
      </c>
      <c r="N1547" s="4" cm="1">
        <f t="array" ref="N1547">SUM(--(_xlfn.TEXTSPLIT($J$1387,, " ") = M1547))</f>
        <v>2</v>
      </c>
      <c r="O1547">
        <v>2</v>
      </c>
      <c r="P1547">
        <v>2</v>
      </c>
      <c r="Q1547">
        <v>2</v>
      </c>
    </row>
    <row r="1548" spans="5:17" x14ac:dyDescent="0.2">
      <c r="E1548" s="9" t="s">
        <v>24</v>
      </c>
      <c r="K1548" t="str">
        <v>what</v>
      </c>
      <c r="L1548" s="4" t="str">
        <f t="shared" si="23"/>
        <v>what</v>
      </c>
      <c r="N1548" s="4" cm="1">
        <f t="array" ref="N1548">SUM(--(_xlfn.TEXTSPLIT($J$1387,, " ") = M1548))</f>
        <v>2</v>
      </c>
      <c r="O1548">
        <v>2</v>
      </c>
      <c r="P1548">
        <v>2</v>
      </c>
      <c r="Q1548">
        <v>2</v>
      </c>
    </row>
    <row r="1549" spans="5:17" x14ac:dyDescent="0.2">
      <c r="E1549" s="9" t="s">
        <v>24</v>
      </c>
      <c r="K1549" t="str">
        <v>he'll</v>
      </c>
      <c r="L1549" s="4" t="str">
        <f t="shared" si="23"/>
        <v>he ll</v>
      </c>
      <c r="N1549" s="4" cm="1">
        <f t="array" ref="N1549">SUM(--(_xlfn.TEXTSPLIT($J$1387,, " ") = M1549))</f>
        <v>2</v>
      </c>
      <c r="O1549">
        <v>2</v>
      </c>
      <c r="P1549">
        <v>2</v>
      </c>
      <c r="Q1549">
        <v>2</v>
      </c>
    </row>
    <row r="1550" spans="5:17" x14ac:dyDescent="0.2">
      <c r="E1550" s="9" t="s">
        <v>24</v>
      </c>
      <c r="K1550" t="str">
        <v>pull</v>
      </c>
      <c r="L1550" s="4" t="str">
        <f t="shared" si="23"/>
        <v>pull</v>
      </c>
      <c r="N1550" s="4" cm="1">
        <f t="array" ref="N1550">SUM(--(_xlfn.TEXTSPLIT($J$1387,, " ") = M1550))</f>
        <v>2</v>
      </c>
      <c r="O1550">
        <v>2</v>
      </c>
      <c r="P1550">
        <v>2</v>
      </c>
      <c r="Q1550">
        <v>2</v>
      </c>
    </row>
    <row r="1551" spans="5:17" x14ac:dyDescent="0.2">
      <c r="E1551" s="9" t="s">
        <v>24</v>
      </c>
      <c r="K1551" t="str">
        <v>this</v>
      </c>
      <c r="L1551" s="4" t="str">
        <f t="shared" si="23"/>
        <v>this</v>
      </c>
      <c r="N1551" s="4" cm="1">
        <f t="array" ref="N1551">SUM(--(_xlfn.TEXTSPLIT($J$1387,, " ") = M1551))</f>
        <v>2</v>
      </c>
      <c r="O1551">
        <v>2</v>
      </c>
      <c r="P1551">
        <v>2</v>
      </c>
      <c r="Q1551">
        <v>2</v>
      </c>
    </row>
    <row r="1552" spans="5:17" x14ac:dyDescent="0.2">
      <c r="E1552" s="9" t="s">
        <v>24</v>
      </c>
      <c r="K1552" t="str">
        <v xml:space="preserve">time
</v>
      </c>
      <c r="L1552" s="4" t="str">
        <f t="shared" si="23"/>
        <v xml:space="preserve">time </v>
      </c>
      <c r="N1552" s="4" cm="1">
        <f t="array" ref="N1552">SUM(--(_xlfn.TEXTSPLIT($J$1387,, " ") = M1552))</f>
        <v>2</v>
      </c>
      <c r="O1552">
        <v>2</v>
      </c>
      <c r="P1552">
        <v>2</v>
      </c>
      <c r="Q1552">
        <v>2</v>
      </c>
    </row>
    <row r="1553" spans="5:17" x14ac:dyDescent="0.2">
      <c r="E1553" s="9" t="s">
        <v>24</v>
      </c>
      <c r="K1553" t="str">
        <v>I</v>
      </c>
      <c r="L1553" s="4" t="str">
        <f t="shared" si="23"/>
        <v>I</v>
      </c>
      <c r="N1553" s="4" cm="1">
        <f t="array" ref="N1553">SUM(--(_xlfn.TEXTSPLIT($J$1387,, " ") = M1553))</f>
        <v>2</v>
      </c>
      <c r="O1553">
        <v>2</v>
      </c>
      <c r="P1553">
        <v>2</v>
      </c>
      <c r="Q1553">
        <v>2</v>
      </c>
    </row>
    <row r="1554" spans="5:17" x14ac:dyDescent="0.2">
      <c r="E1554" s="9" t="s">
        <v>24</v>
      </c>
      <c r="K1554" t="str">
        <v>have</v>
      </c>
      <c r="L1554" s="4" t="str">
        <f t="shared" si="23"/>
        <v>have</v>
      </c>
      <c r="N1554" s="4" cm="1">
        <f t="array" ref="N1554">SUM(--(_xlfn.TEXTSPLIT($J$1387,, " ") = M1554))</f>
        <v>2</v>
      </c>
      <c r="O1554">
        <v>2</v>
      </c>
      <c r="P1554">
        <v>2</v>
      </c>
      <c r="Q1554">
        <v>2</v>
      </c>
    </row>
    <row r="1555" spans="5:17" x14ac:dyDescent="0.2">
      <c r="E1555" s="9" t="s">
        <v>24</v>
      </c>
      <c r="K1555" t="str">
        <v>a</v>
      </c>
      <c r="L1555" s="4" t="str">
        <f t="shared" si="23"/>
        <v>a</v>
      </c>
      <c r="N1555" s="4" cm="1">
        <f t="array" ref="N1555">SUM(--(_xlfn.TEXTSPLIT($J$1387,, " ") = M1555))</f>
        <v>2</v>
      </c>
      <c r="O1555">
        <v>2</v>
      </c>
      <c r="P1555">
        <v>2</v>
      </c>
      <c r="Q1555">
        <v>2</v>
      </c>
    </row>
    <row r="1556" spans="5:17" x14ac:dyDescent="0.2">
      <c r="E1556" s="9" t="s">
        <v>24</v>
      </c>
      <c r="K1556" t="str">
        <v>feeling</v>
      </c>
      <c r="L1556" s="4" t="str">
        <f t="shared" si="23"/>
        <v>feeling</v>
      </c>
      <c r="N1556" s="4" cm="1">
        <f t="array" ref="N1556">SUM(--(_xlfn.TEXTSPLIT($J$1387,, " ") = M1556))</f>
        <v>2</v>
      </c>
      <c r="O1556">
        <v>2</v>
      </c>
      <c r="P1556">
        <v>2</v>
      </c>
      <c r="Q1556">
        <v>2</v>
      </c>
    </row>
    <row r="1557" spans="5:17" x14ac:dyDescent="0.2">
      <c r="E1557" s="9" t="s">
        <v>24</v>
      </c>
      <c r="K1557" t="str">
        <v>that</v>
      </c>
      <c r="L1557" s="4" t="str">
        <f t="shared" si="23"/>
        <v>that</v>
      </c>
      <c r="N1557" s="4" cm="1">
        <f t="array" ref="N1557">SUM(--(_xlfn.TEXTSPLIT($J$1387,, " ") = M1557))</f>
        <v>2</v>
      </c>
      <c r="O1557">
        <v>2</v>
      </c>
      <c r="P1557">
        <v>2</v>
      </c>
      <c r="Q1557">
        <v>2</v>
      </c>
    </row>
    <row r="1558" spans="5:17" x14ac:dyDescent="0.2">
      <c r="E1558" s="9" t="s">
        <v>24</v>
      </c>
      <c r="K1558" t="str">
        <v>necromancer's</v>
      </c>
      <c r="L1558" s="4" t="str">
        <f t="shared" si="23"/>
        <v>necromancer s</v>
      </c>
      <c r="N1558" s="4" cm="1">
        <f t="array" ref="N1558">SUM(--(_xlfn.TEXTSPLIT($J$1387,, " ") = M1558))</f>
        <v>2</v>
      </c>
      <c r="O1558">
        <v>2</v>
      </c>
      <c r="P1558">
        <v>2</v>
      </c>
      <c r="Q1558">
        <v>2</v>
      </c>
    </row>
    <row r="1559" spans="5:17" x14ac:dyDescent="0.2">
      <c r="E1559" s="9" t="s">
        <v>24</v>
      </c>
      <c r="K1559" t="str">
        <v xml:space="preserve">outside
</v>
      </c>
      <c r="L1559" s="4" t="str">
        <f t="shared" si="23"/>
        <v xml:space="preserve">outside </v>
      </c>
      <c r="N1559" s="4" cm="1">
        <f t="array" ref="N1559">SUM(--(_xlfn.TEXTSPLIT($J$1387,, " ") = M1559))</f>
        <v>2</v>
      </c>
      <c r="O1559">
        <v>2</v>
      </c>
      <c r="P1559">
        <v>2</v>
      </c>
      <c r="Q1559">
        <v>2</v>
      </c>
    </row>
    <row r="1560" spans="5:17" x14ac:dyDescent="0.2">
      <c r="E1560" s="9" t="s">
        <v>24</v>
      </c>
      <c r="K1560" t="str">
        <v>And</v>
      </c>
      <c r="L1560" s="4" t="str">
        <f t="shared" si="23"/>
        <v>And</v>
      </c>
      <c r="N1560" s="4" cm="1">
        <f t="array" ref="N1560">SUM(--(_xlfn.TEXTSPLIT($J$1387,, " ") = M1560))</f>
        <v>2</v>
      </c>
      <c r="O1560">
        <v>2</v>
      </c>
      <c r="P1560">
        <v>2</v>
      </c>
      <c r="Q1560">
        <v>2</v>
      </c>
    </row>
    <row r="1561" spans="5:17" x14ac:dyDescent="0.2">
      <c r="E1561" s="9" t="s">
        <v>24</v>
      </c>
      <c r="K1561" t="str">
        <v>I'm</v>
      </c>
      <c r="L1561" s="4" t="str">
        <f t="shared" si="23"/>
        <v>I m</v>
      </c>
      <c r="N1561" s="4" cm="1">
        <f t="array" ref="N1561">SUM(--(_xlfn.TEXTSPLIT($J$1387,, " ") = M1561))</f>
        <v>2</v>
      </c>
      <c r="O1561">
        <v>2</v>
      </c>
      <c r="P1561">
        <v>2</v>
      </c>
      <c r="Q1561">
        <v>2</v>
      </c>
    </row>
    <row r="1562" spans="5:17" x14ac:dyDescent="0.2">
      <c r="E1562" s="9" t="s">
        <v>24</v>
      </c>
      <c r="K1562" t="str">
        <v>just</v>
      </c>
      <c r="L1562" s="4" t="str">
        <f t="shared" si="23"/>
        <v>just</v>
      </c>
      <c r="N1562" s="4" cm="1">
        <f t="array" ref="N1562">SUM(--(_xlfn.TEXTSPLIT($J$1387,, " ") = M1562))</f>
        <v>2</v>
      </c>
      <c r="O1562">
        <v>2</v>
      </c>
      <c r="P1562">
        <v>2</v>
      </c>
      <c r="Q1562">
        <v>2</v>
      </c>
    </row>
    <row r="1563" spans="5:17" x14ac:dyDescent="0.2">
      <c r="E1563" s="9" t="s">
        <v>24</v>
      </c>
      <c r="K1563" t="str">
        <v>tryin'</v>
      </c>
      <c r="L1563" s="4" t="str">
        <f t="shared" si="23"/>
        <v xml:space="preserve">tryin </v>
      </c>
      <c r="N1563" s="4" cm="1">
        <f t="array" ref="N1563">SUM(--(_xlfn.TEXTSPLIT($J$1387,, " ") = M1563))</f>
        <v>2</v>
      </c>
      <c r="O1563">
        <v>2</v>
      </c>
      <c r="P1563">
        <v>2</v>
      </c>
      <c r="Q1563">
        <v>2</v>
      </c>
    </row>
    <row r="1564" spans="5:17" x14ac:dyDescent="0.2">
      <c r="E1564" s="9" t="s">
        <v>24</v>
      </c>
      <c r="K1564" t="str">
        <v>to</v>
      </c>
      <c r="L1564" s="4" t="str">
        <f t="shared" si="23"/>
        <v>to</v>
      </c>
      <c r="N1564" s="4" cm="1">
        <f t="array" ref="N1564">SUM(--(_xlfn.TEXTSPLIT($J$1387,, " ") = M1564))</f>
        <v>2</v>
      </c>
      <c r="O1564">
        <v>2</v>
      </c>
      <c r="P1564">
        <v>2</v>
      </c>
      <c r="Q1564">
        <v>2</v>
      </c>
    </row>
    <row r="1565" spans="5:17" x14ac:dyDescent="0.2">
      <c r="E1565" s="9" t="s">
        <v>24</v>
      </c>
      <c r="K1565" t="str">
        <v>stay</v>
      </c>
      <c r="L1565" s="4" t="str">
        <f t="shared" si="23"/>
        <v>stay</v>
      </c>
      <c r="N1565" s="4" cm="1">
        <f t="array" ref="N1565">SUM(--(_xlfn.TEXTSPLIT($J$1387,, " ") = M1565))</f>
        <v>2</v>
      </c>
      <c r="O1565">
        <v>2</v>
      </c>
      <c r="P1565">
        <v>2</v>
      </c>
      <c r="Q1565">
        <v>2</v>
      </c>
    </row>
    <row r="1566" spans="5:17" x14ac:dyDescent="0.2">
      <c r="E1566" s="9" t="s">
        <v>24</v>
      </c>
      <c r="K1566" t="str">
        <v xml:space="preserve">quiet
</v>
      </c>
      <c r="L1566" s="4" t="str">
        <f t="shared" si="23"/>
        <v xml:space="preserve">quiet  </v>
      </c>
      <c r="N1566" s="4" cm="1">
        <f t="array" ref="N1566">SUM(--(_xlfn.TEXTSPLIT($J$1387,, " ") = M1566))</f>
        <v>2</v>
      </c>
      <c r="O1566">
        <v>2</v>
      </c>
      <c r="P1566">
        <v>2</v>
      </c>
      <c r="Q1566">
        <v>2</v>
      </c>
    </row>
    <row r="1567" spans="5:17" x14ac:dyDescent="0.2">
      <c r="E1567" s="9" t="s">
        <v>24</v>
      </c>
      <c r="K1567" t="str">
        <v>I</v>
      </c>
      <c r="L1567" s="4" t="str">
        <f t="shared" si="23"/>
        <v>I</v>
      </c>
      <c r="N1567" s="4" cm="1">
        <f t="array" ref="N1567">SUM(--(_xlfn.TEXTSPLIT($J$1387,, " ") = M1567))</f>
        <v>2</v>
      </c>
      <c r="O1567">
        <v>2</v>
      </c>
      <c r="P1567">
        <v>2</v>
      </c>
      <c r="Q1567">
        <v>2</v>
      </c>
    </row>
    <row r="1568" spans="5:17" x14ac:dyDescent="0.2">
      <c r="E1568" s="9" t="s">
        <v>24</v>
      </c>
      <c r="K1568" t="str">
        <v>don't</v>
      </c>
      <c r="L1568" s="4" t="str">
        <f t="shared" si="23"/>
        <v>don t</v>
      </c>
      <c r="N1568" s="4" cm="1">
        <f t="array" ref="N1568">SUM(--(_xlfn.TEXTSPLIT($J$1387,, " ") = M1568))</f>
        <v>2</v>
      </c>
      <c r="O1568">
        <v>2</v>
      </c>
      <c r="P1568">
        <v>2</v>
      </c>
      <c r="Q1568">
        <v>2</v>
      </c>
    </row>
    <row r="1569" spans="5:17" x14ac:dyDescent="0.2">
      <c r="E1569" s="9" t="s">
        <v>24</v>
      </c>
      <c r="K1569" t="str">
        <v>sleep</v>
      </c>
      <c r="L1569" s="4" t="str">
        <f t="shared" si="23"/>
        <v>sleep</v>
      </c>
      <c r="N1569" s="4" cm="1">
        <f t="array" ref="N1569">SUM(--(_xlfn.TEXTSPLIT($J$1387,, " ") = M1569))</f>
        <v>2</v>
      </c>
      <c r="O1569">
        <v>2</v>
      </c>
      <c r="P1569">
        <v>2</v>
      </c>
      <c r="Q1569">
        <v>2</v>
      </c>
    </row>
    <row r="1570" spans="5:17" x14ac:dyDescent="0.2">
      <c r="E1570" s="9" t="s">
        <v>24</v>
      </c>
      <c r="K1570" t="str">
        <v>much,</v>
      </c>
      <c r="L1570" s="4" t="str">
        <f t="shared" si="23"/>
        <v xml:space="preserve">much </v>
      </c>
      <c r="N1570" s="4" cm="1">
        <f t="array" ref="N1570">SUM(--(_xlfn.TEXTSPLIT($J$1387,, " ") = M1570))</f>
        <v>2</v>
      </c>
      <c r="O1570">
        <v>2</v>
      </c>
      <c r="P1570">
        <v>2</v>
      </c>
      <c r="Q1570">
        <v>2</v>
      </c>
    </row>
    <row r="1571" spans="5:17" x14ac:dyDescent="0.2">
      <c r="E1571" s="9" t="s">
        <v>24</v>
      </c>
      <c r="K1571" t="str">
        <v>that's</v>
      </c>
      <c r="L1571" s="4" t="str">
        <f t="shared" si="23"/>
        <v>that s</v>
      </c>
      <c r="N1571" s="4" cm="1">
        <f t="array" ref="N1571">SUM(--(_xlfn.TEXTSPLIT($J$1387,, " ") = M1571))</f>
        <v>2</v>
      </c>
      <c r="O1571">
        <v>2</v>
      </c>
      <c r="P1571">
        <v>2</v>
      </c>
      <c r="Q1571">
        <v>2</v>
      </c>
    </row>
    <row r="1572" spans="5:17" x14ac:dyDescent="0.2">
      <c r="E1572" s="9" t="s">
        <v>24</v>
      </c>
      <c r="K1572" t="str">
        <v>crazy,</v>
      </c>
      <c r="L1572" s="4" t="str">
        <f t="shared" si="23"/>
        <v xml:space="preserve">crazy </v>
      </c>
      <c r="N1572" s="4" cm="1">
        <f t="array" ref="N1572">SUM(--(_xlfn.TEXTSPLIT($J$1387,, " ") = M1572))</f>
        <v>2</v>
      </c>
      <c r="O1572">
        <v>2</v>
      </c>
      <c r="P1572">
        <v>2</v>
      </c>
      <c r="Q1572">
        <v>2</v>
      </c>
    </row>
    <row r="1573" spans="5:17" x14ac:dyDescent="0.2">
      <c r="E1573" s="9" t="s">
        <v>24</v>
      </c>
      <c r="K1573" t="str">
        <v>how'd</v>
      </c>
      <c r="L1573" s="4" t="str">
        <f t="shared" si="23"/>
        <v>how d</v>
      </c>
      <c r="N1573" s="4" cm="1">
        <f t="array" ref="N1573">SUM(--(_xlfn.TEXTSPLIT($J$1387,, " ") = M1573))</f>
        <v>2</v>
      </c>
      <c r="O1573">
        <v>2</v>
      </c>
      <c r="P1573">
        <v>2</v>
      </c>
      <c r="Q1573">
        <v>2</v>
      </c>
    </row>
    <row r="1574" spans="5:17" x14ac:dyDescent="0.2">
      <c r="E1574" s="9" t="s">
        <v>24</v>
      </c>
      <c r="K1574" t="str">
        <v>you</v>
      </c>
      <c r="L1574" s="4" t="str">
        <f t="shared" si="23"/>
        <v>you</v>
      </c>
      <c r="N1574" s="4" cm="1">
        <f t="array" ref="N1574">SUM(--(_xlfn.TEXTSPLIT($J$1387,, " ") = M1574))</f>
        <v>2</v>
      </c>
      <c r="O1574">
        <v>2</v>
      </c>
      <c r="P1574">
        <v>2</v>
      </c>
      <c r="Q1574">
        <v>2</v>
      </c>
    </row>
    <row r="1575" spans="5:17" x14ac:dyDescent="0.2">
      <c r="E1575" s="9" t="s">
        <v>24</v>
      </c>
      <c r="K1575" t="str">
        <v>know</v>
      </c>
      <c r="L1575" s="4" t="str">
        <f t="shared" si="23"/>
        <v>know</v>
      </c>
      <c r="N1575" s="4" cm="1">
        <f t="array" ref="N1575">SUM(--(_xlfn.TEXTSPLIT($J$1387,, " ") = M1575))</f>
        <v>2</v>
      </c>
      <c r="O1575">
        <v>2</v>
      </c>
      <c r="P1575">
        <v>2</v>
      </c>
      <c r="Q1575">
        <v>2</v>
      </c>
    </row>
    <row r="1576" spans="5:17" x14ac:dyDescent="0.2">
      <c r="E1576" s="9" t="s">
        <v>24</v>
      </c>
      <c r="K1576" t="str">
        <v>that?</v>
      </c>
      <c r="L1576" s="4" t="str">
        <f t="shared" si="23"/>
        <v xml:space="preserve">that </v>
      </c>
      <c r="N1576" s="4" cm="1">
        <f t="array" ref="N1576">SUM(--(_xlfn.TEXTSPLIT($J$1387,, " ") = M1576))</f>
        <v>2</v>
      </c>
      <c r="O1576">
        <v>2</v>
      </c>
      <c r="P1576">
        <v>2</v>
      </c>
      <c r="Q1576">
        <v>2</v>
      </c>
    </row>
    <row r="1577" spans="5:17" x14ac:dyDescent="0.2">
      <c r="E1577" s="9" t="s">
        <v>24</v>
      </c>
      <c r="K1577" t="str">
        <v xml:space="preserve">(That)
</v>
      </c>
      <c r="L1577" s="4" t="str">
        <f t="shared" si="23"/>
        <v xml:space="preserve"> That  </v>
      </c>
      <c r="N1577" s="4" cm="1">
        <f t="array" ref="N1577">SUM(--(_xlfn.TEXTSPLIT($J$1387,, " ") = M1577))</f>
        <v>2</v>
      </c>
      <c r="O1577">
        <v>2</v>
      </c>
      <c r="P1577">
        <v>2</v>
      </c>
      <c r="Q1577">
        <v>2</v>
      </c>
    </row>
    <row r="1578" spans="5:17" x14ac:dyDescent="0.2">
      <c r="E1578" s="9" t="s">
        <v>24</v>
      </c>
      <c r="K1578" t="str">
        <v>Keep</v>
      </c>
      <c r="L1578" s="4" t="str">
        <f t="shared" si="23"/>
        <v>Keep</v>
      </c>
      <c r="N1578" s="4" cm="1">
        <f t="array" ref="N1578">SUM(--(_xlfn.TEXTSPLIT($J$1387,, " ") = M1578))</f>
        <v>2</v>
      </c>
      <c r="O1578">
        <v>2</v>
      </c>
      <c r="P1578">
        <v>2</v>
      </c>
      <c r="Q1578">
        <v>2</v>
      </c>
    </row>
    <row r="1579" spans="5:17" x14ac:dyDescent="0.2">
      <c r="E1579" s="9" t="s">
        <v>24</v>
      </c>
      <c r="K1579" t="str">
        <v>myself</v>
      </c>
      <c r="L1579" s="4" t="str">
        <f t="shared" si="23"/>
        <v>myself</v>
      </c>
      <c r="N1579" s="4" cm="1">
        <f t="array" ref="N1579">SUM(--(_xlfn.TEXTSPLIT($J$1387,, " ") = M1579))</f>
        <v>2</v>
      </c>
      <c r="O1579">
        <v>2</v>
      </c>
      <c r="P1579">
        <v>2</v>
      </c>
      <c r="Q1579">
        <v>2</v>
      </c>
    </row>
    <row r="1580" spans="5:17" x14ac:dyDescent="0.2">
      <c r="E1580" s="9" t="s">
        <v>24</v>
      </c>
      <c r="K1580" t="str">
        <v>up,</v>
      </c>
      <c r="L1580" s="4" t="str">
        <f t="shared" si="23"/>
        <v xml:space="preserve">up </v>
      </c>
      <c r="N1580" s="4" cm="1">
        <f t="array" ref="N1580">SUM(--(_xlfn.TEXTSPLIT($J$1387,, " ") = M1580))</f>
        <v>2</v>
      </c>
      <c r="O1580">
        <v>2</v>
      </c>
      <c r="P1580">
        <v>2</v>
      </c>
      <c r="Q1580">
        <v>2</v>
      </c>
    </row>
    <row r="1581" spans="5:17" x14ac:dyDescent="0.2">
      <c r="E1581" s="9" t="s">
        <v>24</v>
      </c>
      <c r="K1581" t="str">
        <v>that's</v>
      </c>
      <c r="L1581" s="4" t="str">
        <f t="shared" ref="L1581:L1644" si="24">_xlfn.REGEXREPLACE(K1581, "[^A-Za-z ]", " ")</f>
        <v>that s</v>
      </c>
      <c r="N1581" s="4" cm="1">
        <f t="array" ref="N1581">SUM(--(_xlfn.TEXTSPLIT($J$1387,, " ") = M1581))</f>
        <v>2</v>
      </c>
      <c r="O1581">
        <v>2</v>
      </c>
      <c r="P1581">
        <v>2</v>
      </c>
      <c r="Q1581">
        <v>2</v>
      </c>
    </row>
    <row r="1582" spans="5:17" x14ac:dyDescent="0.2">
      <c r="E1582" s="9" t="s">
        <v>24</v>
      </c>
      <c r="K1582" t="str">
        <v>maybe</v>
      </c>
      <c r="L1582" s="4" t="str">
        <f t="shared" si="24"/>
        <v>maybe</v>
      </c>
      <c r="N1582" s="4" cm="1">
        <f t="array" ref="N1582">SUM(--(_xlfn.TEXTSPLIT($J$1387,, " ") = M1582))</f>
        <v>2</v>
      </c>
      <c r="O1582">
        <v>2</v>
      </c>
      <c r="P1582">
        <v>2</v>
      </c>
      <c r="Q1582">
        <v>2</v>
      </c>
    </row>
    <row r="1583" spans="5:17" x14ac:dyDescent="0.2">
      <c r="E1583" s="9" t="s">
        <v>24</v>
      </c>
      <c r="K1583" t="str">
        <v>how</v>
      </c>
      <c r="L1583" s="4" t="str">
        <f t="shared" si="24"/>
        <v>how</v>
      </c>
      <c r="N1583" s="4" cm="1">
        <f t="array" ref="N1583">SUM(--(_xlfn.TEXTSPLIT($J$1387,, " ") = M1583))</f>
        <v>2</v>
      </c>
      <c r="O1583">
        <v>2</v>
      </c>
      <c r="P1583">
        <v>2</v>
      </c>
      <c r="Q1583">
        <v>2</v>
      </c>
    </row>
    <row r="1584" spans="5:17" x14ac:dyDescent="0.2">
      <c r="E1584" s="9" t="s">
        <v>24</v>
      </c>
      <c r="K1584" t="str">
        <v>you</v>
      </c>
      <c r="L1584" s="4" t="str">
        <f t="shared" si="24"/>
        <v>you</v>
      </c>
      <c r="N1584" s="4" cm="1">
        <f t="array" ref="N1584">SUM(--(_xlfn.TEXTSPLIT($J$1387,, " ") = M1584))</f>
        <v>2</v>
      </c>
      <c r="O1584">
        <v>2</v>
      </c>
      <c r="P1584">
        <v>2</v>
      </c>
      <c r="Q1584">
        <v>2</v>
      </c>
    </row>
    <row r="1585" spans="5:17" x14ac:dyDescent="0.2">
      <c r="E1585" s="9" t="s">
        <v>24</v>
      </c>
      <c r="K1585" t="str">
        <v>know</v>
      </c>
      <c r="L1585" s="4" t="str">
        <f t="shared" si="24"/>
        <v>know</v>
      </c>
      <c r="N1585" s="4" cm="1">
        <f t="array" ref="N1585">SUM(--(_xlfn.TEXTSPLIT($J$1387,, " ") = M1585))</f>
        <v>2</v>
      </c>
      <c r="O1585">
        <v>2</v>
      </c>
      <c r="P1585">
        <v>2</v>
      </c>
      <c r="Q1585">
        <v>2</v>
      </c>
    </row>
    <row r="1586" spans="5:17" x14ac:dyDescent="0.2">
      <c r="E1586" s="9" t="s">
        <v>24</v>
      </c>
      <c r="K1586" t="str">
        <v>that</v>
      </c>
      <c r="L1586" s="4" t="str">
        <f t="shared" si="24"/>
        <v>that</v>
      </c>
      <c r="N1586" s="4" cm="1">
        <f t="array" ref="N1586">SUM(--(_xlfn.TEXTSPLIT($J$1387,, " ") = M1586))</f>
        <v>2</v>
      </c>
      <c r="O1586">
        <v>2</v>
      </c>
      <c r="P1586">
        <v>2</v>
      </c>
      <c r="Q1586">
        <v>2</v>
      </c>
    </row>
    <row r="1587" spans="5:17" x14ac:dyDescent="0.2">
      <c r="E1587" s="9" t="s">
        <v>24</v>
      </c>
      <c r="K1587" t="str">
        <v>(That,</v>
      </c>
      <c r="L1587" s="4" t="str">
        <f t="shared" si="24"/>
        <v xml:space="preserve"> That </v>
      </c>
      <c r="N1587" s="4" cm="1">
        <f t="array" ref="N1587">SUM(--(_xlfn.TEXTSPLIT($J$1387,, " ") = M1587))</f>
        <v>2</v>
      </c>
      <c r="O1587">
        <v>2</v>
      </c>
      <c r="P1587">
        <v>2</v>
      </c>
      <c r="Q1587">
        <v>2</v>
      </c>
    </row>
    <row r="1588" spans="5:17" x14ac:dyDescent="0.2">
      <c r="E1588" s="9" t="s">
        <v>24</v>
      </c>
      <c r="K1588" t="str">
        <v xml:space="preserve">that)
</v>
      </c>
      <c r="L1588" s="4" t="str">
        <f t="shared" si="24"/>
        <v xml:space="preserve">that  </v>
      </c>
      <c r="N1588" s="4" cm="1">
        <f t="array" ref="N1588">SUM(--(_xlfn.TEXTSPLIT($J$1387,, " ") = M1588))</f>
        <v>2</v>
      </c>
      <c r="O1588">
        <v>2</v>
      </c>
      <c r="P1588">
        <v>2</v>
      </c>
      <c r="Q1588">
        <v>2</v>
      </c>
    </row>
    <row r="1589" spans="5:17" x14ac:dyDescent="0.2">
      <c r="E1589" s="9" t="s">
        <v>24</v>
      </c>
      <c r="K1589" t="str">
        <v>Ooh,</v>
      </c>
      <c r="L1589" s="4" t="str">
        <f t="shared" si="24"/>
        <v xml:space="preserve">Ooh </v>
      </c>
      <c r="N1589" s="4" cm="1">
        <f t="array" ref="N1589">SUM(--(_xlfn.TEXTSPLIT($J$1387,, " ") = M1589))</f>
        <v>2</v>
      </c>
      <c r="O1589">
        <v>2</v>
      </c>
      <c r="P1589">
        <v>2</v>
      </c>
      <c r="Q1589">
        <v>2</v>
      </c>
    </row>
    <row r="1590" spans="5:17" x14ac:dyDescent="0.2">
      <c r="E1590" s="9" t="s">
        <v>24</v>
      </c>
      <c r="K1590" t="str">
        <v>promises</v>
      </c>
      <c r="L1590" s="4" t="str">
        <f t="shared" si="24"/>
        <v>promises</v>
      </c>
      <c r="N1590" s="4" cm="1">
        <f t="array" ref="N1590">SUM(--(_xlfn.TEXTSPLIT($J$1387,, " ") = M1590))</f>
        <v>2</v>
      </c>
      <c r="O1590">
        <v>2</v>
      </c>
      <c r="P1590">
        <v>2</v>
      </c>
      <c r="Q1590">
        <v>2</v>
      </c>
    </row>
    <row r="1591" spans="5:17" x14ac:dyDescent="0.2">
      <c r="E1591" s="9" t="s">
        <v>24</v>
      </c>
      <c r="K1591" t="str">
        <v>and</v>
      </c>
      <c r="L1591" s="4" t="str">
        <f t="shared" si="24"/>
        <v>and</v>
      </c>
      <c r="N1591" s="4" cm="1">
        <f t="array" ref="N1591">SUM(--(_xlfn.TEXTSPLIT($J$1387,, " ") = M1591))</f>
        <v>2</v>
      </c>
      <c r="O1591">
        <v>2</v>
      </c>
      <c r="P1591">
        <v>2</v>
      </c>
      <c r="Q1591">
        <v>2</v>
      </c>
    </row>
    <row r="1592" spans="5:17" x14ac:dyDescent="0.2">
      <c r="E1592" s="9" t="s">
        <v>24</v>
      </c>
      <c r="K1592" t="str">
        <v>contracts</v>
      </c>
      <c r="L1592" s="4" t="str">
        <f t="shared" si="24"/>
        <v>contracts</v>
      </c>
      <c r="N1592" s="4" cm="1">
        <f t="array" ref="N1592">SUM(--(_xlfn.TEXTSPLIT($J$1387,, " ") = M1592))</f>
        <v>2</v>
      </c>
      <c r="O1592">
        <v>2</v>
      </c>
      <c r="P1592">
        <v>2</v>
      </c>
      <c r="Q1592">
        <v>2</v>
      </c>
    </row>
    <row r="1593" spans="5:17" x14ac:dyDescent="0.2">
      <c r="E1593" s="9" t="s">
        <v>24</v>
      </c>
      <c r="K1593" t="str">
        <v>I</v>
      </c>
      <c r="L1593" s="4" t="str">
        <f t="shared" si="24"/>
        <v>I</v>
      </c>
      <c r="N1593" s="4" cm="1">
        <f t="array" ref="N1593">SUM(--(_xlfn.TEXTSPLIT($J$1387,, " ") = M1593))</f>
        <v>2</v>
      </c>
      <c r="O1593">
        <v>2</v>
      </c>
      <c r="P1593">
        <v>2</v>
      </c>
      <c r="Q1593">
        <v>2</v>
      </c>
    </row>
    <row r="1594" spans="5:17" x14ac:dyDescent="0.2">
      <c r="E1594" s="9" t="s">
        <v>24</v>
      </c>
      <c r="K1594" t="str">
        <v>used</v>
      </c>
      <c r="L1594" s="4" t="str">
        <f t="shared" si="24"/>
        <v>used</v>
      </c>
      <c r="N1594" s="4" cm="1">
        <f t="array" ref="N1594">SUM(--(_xlfn.TEXTSPLIT($J$1387,, " ") = M1594))</f>
        <v>2</v>
      </c>
      <c r="O1594">
        <v>2</v>
      </c>
      <c r="P1594">
        <v>2</v>
      </c>
      <c r="Q1594">
        <v>2</v>
      </c>
    </row>
    <row r="1595" spans="5:17" x14ac:dyDescent="0.2">
      <c r="E1595" s="9" t="s">
        <v>24</v>
      </c>
      <c r="K1595" t="str">
        <v>to</v>
      </c>
      <c r="L1595" s="4" t="str">
        <f t="shared" si="24"/>
        <v>to</v>
      </c>
      <c r="N1595" s="4" cm="1">
        <f t="array" ref="N1595">SUM(--(_xlfn.TEXTSPLIT($J$1387,, " ") = M1595))</f>
        <v>2</v>
      </c>
      <c r="O1595">
        <v>2</v>
      </c>
      <c r="P1595">
        <v>2</v>
      </c>
      <c r="Q1595">
        <v>2</v>
      </c>
    </row>
    <row r="1596" spans="5:17" x14ac:dyDescent="0.2">
      <c r="E1596" s="9" t="s">
        <v>24</v>
      </c>
      <c r="K1596" t="str">
        <v xml:space="preserve">keep
</v>
      </c>
      <c r="L1596" s="4" t="str">
        <f t="shared" si="24"/>
        <v xml:space="preserve">keep </v>
      </c>
      <c r="N1596" s="4" cm="1">
        <f t="array" ref="N1596">SUM(--(_xlfn.TEXTSPLIT($J$1387,, " ") = M1596))</f>
        <v>2</v>
      </c>
      <c r="O1596">
        <v>2</v>
      </c>
      <c r="P1596">
        <v>2</v>
      </c>
      <c r="Q1596">
        <v>2</v>
      </c>
    </row>
    <row r="1597" spans="5:17" x14ac:dyDescent="0.2">
      <c r="E1597" s="9" t="s">
        <v>24</v>
      </c>
      <c r="K1597" t="str">
        <v>I</v>
      </c>
      <c r="L1597" s="4" t="str">
        <f t="shared" si="24"/>
        <v>I</v>
      </c>
      <c r="N1597" s="4" cm="1">
        <f t="array" ref="N1597">SUM(--(_xlfn.TEXTSPLIT($J$1387,, " ") = M1597))</f>
        <v>2</v>
      </c>
      <c r="O1597">
        <v>2</v>
      </c>
      <c r="P1597">
        <v>2</v>
      </c>
      <c r="Q1597">
        <v>2</v>
      </c>
    </row>
    <row r="1598" spans="5:17" x14ac:dyDescent="0.2">
      <c r="E1598" s="9" t="s">
        <v>24</v>
      </c>
      <c r="K1598" t="str">
        <v>don't</v>
      </c>
      <c r="L1598" s="4" t="str">
        <f t="shared" si="24"/>
        <v>don t</v>
      </c>
      <c r="N1598" s="4" cm="1">
        <f t="array" ref="N1598">SUM(--(_xlfn.TEXTSPLIT($J$1387,, " ") = M1598))</f>
        <v>2</v>
      </c>
      <c r="O1598">
        <v>2</v>
      </c>
      <c r="P1598">
        <v>2</v>
      </c>
      <c r="Q1598">
        <v>2</v>
      </c>
    </row>
    <row r="1599" spans="5:17" x14ac:dyDescent="0.2">
      <c r="E1599" s="9" t="s">
        <v>24</v>
      </c>
      <c r="K1599" t="str">
        <v>sleep</v>
      </c>
      <c r="L1599" s="4" t="str">
        <f t="shared" si="24"/>
        <v>sleep</v>
      </c>
      <c r="N1599" s="4" cm="1">
        <f t="array" ref="N1599">SUM(--(_xlfn.TEXTSPLIT($J$1387,, " ") = M1599))</f>
        <v>2</v>
      </c>
      <c r="O1599">
        <v>2</v>
      </c>
      <c r="P1599">
        <v>2</v>
      </c>
      <c r="Q1599">
        <v>2</v>
      </c>
    </row>
    <row r="1600" spans="5:17" x14ac:dyDescent="0.2">
      <c r="E1600" s="9" t="s">
        <v>24</v>
      </c>
      <c r="K1600" t="str">
        <v>much,</v>
      </c>
      <c r="L1600" s="4" t="str">
        <f t="shared" si="24"/>
        <v xml:space="preserve">much </v>
      </c>
      <c r="N1600" s="4" cm="1">
        <f t="array" ref="N1600">SUM(--(_xlfn.TEXTSPLIT($J$1387,, " ") = M1600))</f>
        <v>2</v>
      </c>
      <c r="O1600">
        <v>2</v>
      </c>
      <c r="P1600">
        <v>2</v>
      </c>
      <c r="Q1600">
        <v>2</v>
      </c>
    </row>
    <row r="1601" spans="5:17" x14ac:dyDescent="0.2">
      <c r="E1601" s="9" t="s">
        <v>24</v>
      </c>
      <c r="K1601" t="str">
        <v>that's</v>
      </c>
      <c r="L1601" s="4" t="str">
        <f t="shared" si="24"/>
        <v>that s</v>
      </c>
      <c r="N1601" s="4" cm="1">
        <f t="array" ref="N1601">SUM(--(_xlfn.TEXTSPLIT($J$1387,, " ") = M1601))</f>
        <v>2</v>
      </c>
      <c r="O1601">
        <v>2</v>
      </c>
      <c r="P1601">
        <v>2</v>
      </c>
      <c r="Q1601">
        <v>2</v>
      </c>
    </row>
    <row r="1602" spans="5:17" x14ac:dyDescent="0.2">
      <c r="E1602" s="9" t="s">
        <v>24</v>
      </c>
      <c r="K1602" t="str">
        <v>crazy,</v>
      </c>
      <c r="L1602" s="4" t="str">
        <f t="shared" si="24"/>
        <v xml:space="preserve">crazy </v>
      </c>
      <c r="N1602" s="4" cm="1">
        <f t="array" ref="N1602">SUM(--(_xlfn.TEXTSPLIT($J$1387,, " ") = M1602))</f>
        <v>2</v>
      </c>
      <c r="O1602">
        <v>2</v>
      </c>
      <c r="P1602">
        <v>2</v>
      </c>
      <c r="Q1602">
        <v>2</v>
      </c>
    </row>
    <row r="1603" spans="5:17" x14ac:dyDescent="0.2">
      <c r="E1603" s="9" t="s">
        <v>24</v>
      </c>
      <c r="K1603" t="str">
        <v>how'd</v>
      </c>
      <c r="L1603" s="4" t="str">
        <f t="shared" si="24"/>
        <v>how d</v>
      </c>
      <c r="N1603" s="4" cm="1">
        <f t="array" ref="N1603">SUM(--(_xlfn.TEXTSPLIT($J$1387,, " ") = M1603))</f>
        <v>2</v>
      </c>
      <c r="O1603">
        <v>2</v>
      </c>
      <c r="P1603">
        <v>2</v>
      </c>
      <c r="Q1603">
        <v>2</v>
      </c>
    </row>
    <row r="1604" spans="5:17" x14ac:dyDescent="0.2">
      <c r="E1604" s="9" t="s">
        <v>24</v>
      </c>
      <c r="K1604" t="str">
        <v>you</v>
      </c>
      <c r="L1604" s="4" t="str">
        <f t="shared" si="24"/>
        <v>you</v>
      </c>
      <c r="N1604" s="4" cm="1">
        <f t="array" ref="N1604">SUM(--(_xlfn.TEXTSPLIT($J$1387,, " ") = M1604))</f>
        <v>2</v>
      </c>
      <c r="O1604">
        <v>2</v>
      </c>
      <c r="P1604">
        <v>2</v>
      </c>
      <c r="Q1604">
        <v>2</v>
      </c>
    </row>
    <row r="1605" spans="5:17" x14ac:dyDescent="0.2">
      <c r="E1605" s="9" t="s">
        <v>24</v>
      </c>
      <c r="K1605" t="str">
        <v>know</v>
      </c>
      <c r="L1605" s="4" t="str">
        <f t="shared" si="24"/>
        <v>know</v>
      </c>
      <c r="N1605" s="4" cm="1">
        <f t="array" ref="N1605">SUM(--(_xlfn.TEXTSPLIT($J$1387,, " ") = M1605))</f>
        <v>2</v>
      </c>
      <c r="O1605">
        <v>2</v>
      </c>
      <c r="P1605">
        <v>2</v>
      </c>
      <c r="Q1605">
        <v>2</v>
      </c>
    </row>
    <row r="1606" spans="5:17" x14ac:dyDescent="0.2">
      <c r="E1606" s="9" t="s">
        <v>24</v>
      </c>
      <c r="K1606" t="str">
        <v>that?</v>
      </c>
      <c r="L1606" s="4" t="str">
        <f t="shared" si="24"/>
        <v xml:space="preserve">that </v>
      </c>
      <c r="N1606" s="4" cm="1">
        <f t="array" ref="N1606">SUM(--(_xlfn.TEXTSPLIT($J$1387,, " ") = M1606))</f>
        <v>2</v>
      </c>
      <c r="O1606">
        <v>2</v>
      </c>
      <c r="P1606">
        <v>2</v>
      </c>
      <c r="Q1606">
        <v>2</v>
      </c>
    </row>
    <row r="1607" spans="5:17" x14ac:dyDescent="0.2">
      <c r="E1607" s="9" t="s">
        <v>24</v>
      </c>
      <c r="K1607" t="str">
        <v xml:space="preserve">(That)
</v>
      </c>
      <c r="L1607" s="4" t="str">
        <f t="shared" si="24"/>
        <v xml:space="preserve"> That  </v>
      </c>
      <c r="N1607" s="4" cm="1">
        <f t="array" ref="N1607">SUM(--(_xlfn.TEXTSPLIT($J$1387,, " ") = M1607))</f>
        <v>2</v>
      </c>
      <c r="O1607">
        <v>2</v>
      </c>
      <c r="P1607">
        <v>2</v>
      </c>
      <c r="Q1607">
        <v>2</v>
      </c>
    </row>
    <row r="1608" spans="5:17" x14ac:dyDescent="0.2">
      <c r="E1608" s="9" t="s">
        <v>24</v>
      </c>
      <c r="K1608" t="str">
        <v>Keep</v>
      </c>
      <c r="L1608" s="4" t="str">
        <f t="shared" si="24"/>
        <v>Keep</v>
      </c>
      <c r="N1608" s="4" cm="1">
        <f t="array" ref="N1608">SUM(--(_xlfn.TEXTSPLIT($J$1387,, " ") = M1608))</f>
        <v>2</v>
      </c>
      <c r="O1608">
        <v>2</v>
      </c>
      <c r="P1608">
        <v>2</v>
      </c>
      <c r="Q1608">
        <v>2</v>
      </c>
    </row>
    <row r="1609" spans="5:17" x14ac:dyDescent="0.2">
      <c r="E1609" s="9" t="s">
        <v>24</v>
      </c>
      <c r="K1609" t="str">
        <v>myself</v>
      </c>
      <c r="L1609" s="4" t="str">
        <f t="shared" si="24"/>
        <v>myself</v>
      </c>
      <c r="N1609" s="4" cm="1">
        <f t="array" ref="N1609">SUM(--(_xlfn.TEXTSPLIT($J$1387,, " ") = M1609))</f>
        <v>2</v>
      </c>
      <c r="O1609">
        <v>2</v>
      </c>
      <c r="P1609">
        <v>2</v>
      </c>
      <c r="Q1609">
        <v>2</v>
      </c>
    </row>
    <row r="1610" spans="5:17" x14ac:dyDescent="0.2">
      <c r="E1610" s="9" t="s">
        <v>24</v>
      </c>
      <c r="K1610" t="str">
        <v>up,</v>
      </c>
      <c r="L1610" s="4" t="str">
        <f t="shared" si="24"/>
        <v xml:space="preserve">up </v>
      </c>
      <c r="N1610" s="4" cm="1">
        <f t="array" ref="N1610">SUM(--(_xlfn.TEXTSPLIT($J$1387,, " ") = M1610))</f>
        <v>2</v>
      </c>
      <c r="O1610">
        <v>2</v>
      </c>
      <c r="P1610">
        <v>2</v>
      </c>
      <c r="Q1610">
        <v>2</v>
      </c>
    </row>
    <row r="1611" spans="5:17" x14ac:dyDescent="0.2">
      <c r="E1611" s="9" t="s">
        <v>24</v>
      </c>
      <c r="K1611" t="str">
        <v>that's</v>
      </c>
      <c r="L1611" s="4" t="str">
        <f t="shared" si="24"/>
        <v>that s</v>
      </c>
      <c r="N1611" s="4" cm="1">
        <f t="array" ref="N1611">SUM(--(_xlfn.TEXTSPLIT($J$1387,, " ") = M1611))</f>
        <v>2</v>
      </c>
      <c r="O1611">
        <v>2</v>
      </c>
      <c r="P1611">
        <v>2</v>
      </c>
      <c r="Q1611">
        <v>2</v>
      </c>
    </row>
    <row r="1612" spans="5:17" x14ac:dyDescent="0.2">
      <c r="E1612" s="9" t="s">
        <v>24</v>
      </c>
      <c r="K1612" t="str">
        <v>maybe</v>
      </c>
      <c r="L1612" s="4" t="str">
        <f t="shared" si="24"/>
        <v>maybe</v>
      </c>
      <c r="N1612" s="4" cm="1">
        <f t="array" ref="N1612">SUM(--(_xlfn.TEXTSPLIT($J$1387,, " ") = M1612))</f>
        <v>2</v>
      </c>
      <c r="O1612">
        <v>2</v>
      </c>
      <c r="P1612">
        <v>2</v>
      </c>
      <c r="Q1612">
        <v>2</v>
      </c>
    </row>
    <row r="1613" spans="5:17" x14ac:dyDescent="0.2">
      <c r="E1613" s="9" t="s">
        <v>24</v>
      </c>
      <c r="K1613" t="str">
        <v>how</v>
      </c>
      <c r="L1613" s="4" t="str">
        <f t="shared" si="24"/>
        <v>how</v>
      </c>
      <c r="N1613" s="4" cm="1">
        <f t="array" ref="N1613">SUM(--(_xlfn.TEXTSPLIT($J$1387,, " ") = M1613))</f>
        <v>2</v>
      </c>
      <c r="O1613">
        <v>2</v>
      </c>
      <c r="P1613">
        <v>2</v>
      </c>
      <c r="Q1613">
        <v>2</v>
      </c>
    </row>
    <row r="1614" spans="5:17" x14ac:dyDescent="0.2">
      <c r="E1614" s="9" t="s">
        <v>24</v>
      </c>
      <c r="K1614" t="str">
        <v>you</v>
      </c>
      <c r="L1614" s="4" t="str">
        <f t="shared" si="24"/>
        <v>you</v>
      </c>
      <c r="N1614" s="4" cm="1">
        <f t="array" ref="N1614">SUM(--(_xlfn.TEXTSPLIT($J$1387,, " ") = M1614))</f>
        <v>2</v>
      </c>
      <c r="O1614">
        <v>2</v>
      </c>
      <c r="P1614">
        <v>2</v>
      </c>
      <c r="Q1614">
        <v>2</v>
      </c>
    </row>
    <row r="1615" spans="5:17" x14ac:dyDescent="0.2">
      <c r="E1615" s="9" t="s">
        <v>24</v>
      </c>
      <c r="K1615" t="str">
        <v>know</v>
      </c>
      <c r="L1615" s="4" t="str">
        <f t="shared" si="24"/>
        <v>know</v>
      </c>
      <c r="N1615" s="4" cm="1">
        <f t="array" ref="N1615">SUM(--(_xlfn.TEXTSPLIT($J$1387,, " ") = M1615))</f>
        <v>2</v>
      </c>
      <c r="O1615">
        <v>2</v>
      </c>
      <c r="P1615">
        <v>2</v>
      </c>
      <c r="Q1615">
        <v>2</v>
      </c>
    </row>
    <row r="1616" spans="5:17" x14ac:dyDescent="0.2">
      <c r="E1616" s="9" t="s">
        <v>24</v>
      </c>
      <c r="K1616" t="str">
        <v>that</v>
      </c>
      <c r="L1616" s="4" t="str">
        <f t="shared" si="24"/>
        <v>that</v>
      </c>
      <c r="N1616" s="4" cm="1">
        <f t="array" ref="N1616">SUM(--(_xlfn.TEXTSPLIT($J$1387,, " ") = M1616))</f>
        <v>2</v>
      </c>
      <c r="O1616">
        <v>2</v>
      </c>
      <c r="P1616">
        <v>2</v>
      </c>
      <c r="Q1616">
        <v>2</v>
      </c>
    </row>
    <row r="1617" spans="5:17" x14ac:dyDescent="0.2">
      <c r="E1617" s="9" t="s">
        <v>24</v>
      </c>
      <c r="K1617" t="str">
        <v>(That,</v>
      </c>
      <c r="L1617" s="4" t="str">
        <f t="shared" si="24"/>
        <v xml:space="preserve"> That </v>
      </c>
      <c r="N1617" s="4" cm="1">
        <f t="array" ref="N1617">SUM(--(_xlfn.TEXTSPLIT($J$1387,, " ") = M1617))</f>
        <v>2</v>
      </c>
      <c r="O1617">
        <v>2</v>
      </c>
      <c r="P1617">
        <v>2</v>
      </c>
      <c r="Q1617">
        <v>2</v>
      </c>
    </row>
    <row r="1618" spans="5:17" x14ac:dyDescent="0.2">
      <c r="E1618" s="9" t="s">
        <v>24</v>
      </c>
      <c r="K1618" t="str">
        <v xml:space="preserve">that)
</v>
      </c>
      <c r="L1618" s="4" t="str">
        <f t="shared" si="24"/>
        <v xml:space="preserve">that  </v>
      </c>
      <c r="N1618" s="4" cm="1">
        <f t="array" ref="N1618">SUM(--(_xlfn.TEXTSPLIT($J$1387,, " ") = M1618))</f>
        <v>2</v>
      </c>
      <c r="O1618">
        <v>2</v>
      </c>
      <c r="P1618">
        <v>2</v>
      </c>
      <c r="Q1618">
        <v>2</v>
      </c>
    </row>
    <row r="1619" spans="5:17" x14ac:dyDescent="0.2">
      <c r="E1619" s="9" t="s">
        <v>24</v>
      </c>
      <c r="K1619" t="str">
        <v>Ooh,</v>
      </c>
      <c r="L1619" s="4" t="str">
        <f t="shared" si="24"/>
        <v xml:space="preserve">Ooh </v>
      </c>
      <c r="N1619" s="4" cm="1">
        <f t="array" ref="N1619">SUM(--(_xlfn.TEXTSPLIT($J$1387,, " ") = M1619))</f>
        <v>2</v>
      </c>
      <c r="O1619">
        <v>2</v>
      </c>
      <c r="P1619">
        <v>2</v>
      </c>
      <c r="Q1619">
        <v>2</v>
      </c>
    </row>
    <row r="1620" spans="5:17" x14ac:dyDescent="0.2">
      <c r="E1620" s="9" t="s">
        <v>24</v>
      </c>
      <c r="K1620" t="str">
        <v>my</v>
      </c>
      <c r="L1620" s="4" t="str">
        <f t="shared" si="24"/>
        <v>my</v>
      </c>
      <c r="N1620" s="4" cm="1">
        <f t="array" ref="N1620">SUM(--(_xlfn.TEXTSPLIT($J$1387,, " ") = M1620))</f>
        <v>2</v>
      </c>
      <c r="O1620">
        <v>2</v>
      </c>
      <c r="P1620">
        <v>2</v>
      </c>
      <c r="Q1620">
        <v>2</v>
      </c>
    </row>
    <row r="1621" spans="5:17" x14ac:dyDescent="0.2">
      <c r="E1621" s="9" t="s">
        <v>24</v>
      </c>
      <c r="K1621" t="str">
        <v>hallucination</v>
      </c>
      <c r="L1621" s="4" t="str">
        <f t="shared" si="24"/>
        <v>hallucination</v>
      </c>
      <c r="N1621" s="4" cm="1">
        <f t="array" ref="N1621">SUM(--(_xlfn.TEXTSPLIT($J$1387,, " ") = M1621))</f>
        <v>2</v>
      </c>
      <c r="O1621">
        <v>2</v>
      </c>
      <c r="P1621">
        <v>2</v>
      </c>
      <c r="Q1621">
        <v>2</v>
      </c>
    </row>
    <row r="1622" spans="5:17" x14ac:dyDescent="0.2">
      <c r="E1622" s="9" t="s">
        <v>24</v>
      </c>
      <c r="K1622" t="str">
        <v>I</v>
      </c>
      <c r="L1622" s="4" t="str">
        <f t="shared" si="24"/>
        <v>I</v>
      </c>
      <c r="N1622" s="4" cm="1">
        <f t="array" ref="N1622">SUM(--(_xlfn.TEXTSPLIT($J$1387,, " ") = M1622))</f>
        <v>2</v>
      </c>
      <c r="O1622">
        <v>2</v>
      </c>
      <c r="P1622">
        <v>2</v>
      </c>
      <c r="Q1622">
        <v>2</v>
      </c>
    </row>
    <row r="1623" spans="5:17" x14ac:dyDescent="0.2">
      <c r="E1623" s="9" t="s">
        <v>24</v>
      </c>
      <c r="K1623" t="str">
        <v>used</v>
      </c>
      <c r="L1623" s="4" t="str">
        <f t="shared" si="24"/>
        <v>used</v>
      </c>
      <c r="N1623" s="4" cm="1">
        <f t="array" ref="N1623">SUM(--(_xlfn.TEXTSPLIT($J$1387,, " ") = M1623))</f>
        <v>2</v>
      </c>
      <c r="O1623">
        <v>2</v>
      </c>
      <c r="P1623">
        <v>2</v>
      </c>
      <c r="Q1623">
        <v>2</v>
      </c>
    </row>
    <row r="1624" spans="5:17" x14ac:dyDescent="0.2">
      <c r="E1624" s="9" t="s">
        <v>24</v>
      </c>
      <c r="K1624" t="str">
        <v>to</v>
      </c>
      <c r="L1624" s="4" t="str">
        <f t="shared" si="24"/>
        <v>to</v>
      </c>
      <c r="N1624" s="4" cm="1">
        <f t="array" ref="N1624">SUM(--(_xlfn.TEXTSPLIT($J$1387,, " ") = M1624))</f>
        <v>2</v>
      </c>
      <c r="O1624">
        <v>2</v>
      </c>
      <c r="P1624">
        <v>2</v>
      </c>
      <c r="Q1624">
        <v>2</v>
      </c>
    </row>
    <row r="1625" spans="5:17" x14ac:dyDescent="0.2">
      <c r="E1625" s="9" t="s">
        <v>24</v>
      </c>
      <c r="K1625" t="str">
        <v>see
I</v>
      </c>
      <c r="L1625" s="4" t="str">
        <f t="shared" si="24"/>
        <v>see  I</v>
      </c>
      <c r="N1625" s="4" cm="1">
        <f t="array" ref="N1625">SUM(--(_xlfn.TEXTSPLIT($J$1387,, " ") = M1625))</f>
        <v>2</v>
      </c>
      <c r="O1625">
        <v>2</v>
      </c>
      <c r="P1625">
        <v>2</v>
      </c>
      <c r="Q1625">
        <v>2</v>
      </c>
    </row>
    <row r="1626" spans="5:17" x14ac:dyDescent="0.2">
      <c r="E1626" s="9" t="s">
        <v>24</v>
      </c>
      <c r="K1626" t="str">
        <v/>
      </c>
      <c r="L1626" s="4" t="str">
        <f t="shared" si="24"/>
        <v/>
      </c>
      <c r="N1626" s="4" cm="1">
        <f t="array" ref="N1626">SUM(--(_xlfn.TEXTSPLIT($J$1387,, " ") = M1626))</f>
        <v>2</v>
      </c>
      <c r="O1626">
        <v>2</v>
      </c>
      <c r="P1626">
        <v>2</v>
      </c>
      <c r="Q1626">
        <v>2</v>
      </c>
    </row>
    <row r="1627" spans="5:17" x14ac:dyDescent="0.2">
      <c r="E1627" s="9" t="s">
        <v>24</v>
      </c>
      <c r="K1627" t="str">
        <v>used</v>
      </c>
      <c r="L1627" s="4" t="str">
        <f t="shared" si="24"/>
        <v>used</v>
      </c>
      <c r="N1627" s="4" cm="1">
        <f t="array" ref="N1627">SUM(--(_xlfn.TEXTSPLIT($J$1387,, " ") = M1627))</f>
        <v>2</v>
      </c>
      <c r="O1627">
        <v>2</v>
      </c>
      <c r="P1627">
        <v>2</v>
      </c>
      <c r="Q1627">
        <v>2</v>
      </c>
    </row>
    <row r="1628" spans="5:17" x14ac:dyDescent="0.2">
      <c r="E1628" s="9" t="s">
        <v>24</v>
      </c>
      <c r="K1628" t="str">
        <v>to</v>
      </c>
      <c r="L1628" s="4" t="str">
        <f t="shared" si="24"/>
        <v>to</v>
      </c>
      <c r="N1628" s="4" cm="1">
        <f t="array" ref="N1628">SUM(--(_xlfn.TEXTSPLIT($J$1387,, " ") = M1628))</f>
        <v>2</v>
      </c>
      <c r="O1628">
        <v>2</v>
      </c>
      <c r="P1628">
        <v>2</v>
      </c>
      <c r="Q1628">
        <v>2</v>
      </c>
    </row>
    <row r="1629" spans="5:17" x14ac:dyDescent="0.2">
      <c r="E1629" s="9" t="s">
        <v>24</v>
      </c>
      <c r="K1629" t="str">
        <v xml:space="preserve">see
</v>
      </c>
      <c r="L1629" s="4" t="str">
        <f t="shared" si="24"/>
        <v xml:space="preserve">see </v>
      </c>
      <c r="N1629" s="4" cm="1">
        <f t="array" ref="N1629">SUM(--(_xlfn.TEXTSPLIT($J$1387,, " ") = M1629))</f>
        <v>2</v>
      </c>
      <c r="O1629">
        <v>2</v>
      </c>
      <c r="P1629">
        <v>2</v>
      </c>
      <c r="Q1629">
        <v>2</v>
      </c>
    </row>
    <row r="1630" spans="5:17" x14ac:dyDescent="0.2">
      <c r="E1630" s="9" t="s">
        <v>24</v>
      </c>
      <c r="K1630" t="str">
        <v>Sleep</v>
      </c>
      <c r="L1630" s="4" t="str">
        <f t="shared" si="24"/>
        <v>Sleep</v>
      </c>
      <c r="N1630" s="4" cm="1">
        <f t="array" ref="N1630">SUM(--(_xlfn.TEXTSPLIT($J$1387,, " ") = M1630))</f>
        <v>2</v>
      </c>
      <c r="O1630">
        <v>2</v>
      </c>
      <c r="P1630">
        <v>2</v>
      </c>
      <c r="Q1630">
        <v>2</v>
      </c>
    </row>
    <row r="1631" spans="5:17" x14ac:dyDescent="0.2">
      <c r="E1631" s="9" t="s">
        <v>24</v>
      </c>
      <c r="K1631" t="str">
        <v>I</v>
      </c>
      <c r="L1631" s="4" t="str">
        <f t="shared" si="24"/>
        <v>I</v>
      </c>
      <c r="N1631" s="4" cm="1">
        <f t="array" ref="N1631">SUM(--(_xlfn.TEXTSPLIT($J$1387,, " ") = M1631))</f>
        <v>2</v>
      </c>
      <c r="O1631">
        <v>2</v>
      </c>
      <c r="P1631">
        <v>2</v>
      </c>
      <c r="Q1631">
        <v>2</v>
      </c>
    </row>
    <row r="1632" spans="5:17" x14ac:dyDescent="0.2">
      <c r="E1632" s="9" t="s">
        <v>24</v>
      </c>
      <c r="K1632" t="str">
        <v xml:space="preserve">found
</v>
      </c>
      <c r="L1632" s="4" t="str">
        <f t="shared" si="24"/>
        <v xml:space="preserve">found  </v>
      </c>
      <c r="N1632" s="4" cm="1">
        <f t="array" ref="N1632">SUM(--(_xlfn.TEXTSPLIT($J$1387,, " ") = M1632))</f>
        <v>2</v>
      </c>
      <c r="O1632">
        <v>2</v>
      </c>
      <c r="P1632">
        <v>2</v>
      </c>
      <c r="Q1632">
        <v>2</v>
      </c>
    </row>
    <row r="1633" spans="5:17" x14ac:dyDescent="0.2">
      <c r="E1633" s="9" t="s">
        <v>24</v>
      </c>
      <c r="K1633" t="str">
        <v>(Oh-ooh)</v>
      </c>
      <c r="L1633" s="4" t="str">
        <f t="shared" si="24"/>
        <v xml:space="preserve"> Oh ooh </v>
      </c>
      <c r="N1633" s="4" cm="1">
        <f t="array" ref="N1633">SUM(--(_xlfn.TEXTSPLIT($J$1387,, " ") = M1633))</f>
        <v>2</v>
      </c>
      <c r="O1633">
        <v>2</v>
      </c>
      <c r="P1633">
        <v>2</v>
      </c>
      <c r="Q1633">
        <v>2</v>
      </c>
    </row>
    <row r="1634" spans="5:17" x14ac:dyDescent="0.2">
      <c r="E1634" s="9" t="s">
        <v>24</v>
      </c>
      <c r="K1634" t="str">
        <v>I</v>
      </c>
      <c r="L1634" s="4" t="str">
        <f t="shared" si="24"/>
        <v>I</v>
      </c>
      <c r="N1634" s="4" cm="1">
        <f t="array" ref="N1634">SUM(--(_xlfn.TEXTSPLIT($J$1387,, " ") = M1634))</f>
        <v>2</v>
      </c>
      <c r="O1634">
        <v>2</v>
      </c>
      <c r="P1634">
        <v>2</v>
      </c>
      <c r="Q1634">
        <v>2</v>
      </c>
    </row>
    <row r="1635" spans="5:17" x14ac:dyDescent="0.2">
      <c r="E1635" s="9" t="s">
        <v>24</v>
      </c>
      <c r="K1635" t="str">
        <v>wanna</v>
      </c>
      <c r="L1635" s="4" t="str">
        <f t="shared" si="24"/>
        <v>wanna</v>
      </c>
      <c r="N1635" s="4" cm="1">
        <f t="array" ref="N1635">SUM(--(_xlfn.TEXTSPLIT($J$1387,, " ") = M1635))</f>
        <v>2</v>
      </c>
      <c r="O1635">
        <v>2</v>
      </c>
      <c r="P1635">
        <v>2</v>
      </c>
      <c r="Q1635">
        <v>2</v>
      </c>
    </row>
    <row r="1636" spans="5:17" x14ac:dyDescent="0.2">
      <c r="E1636" s="9" t="s">
        <v>24</v>
      </c>
      <c r="K1636" t="str">
        <v>get</v>
      </c>
      <c r="L1636" s="4" t="str">
        <f t="shared" si="24"/>
        <v>get</v>
      </c>
      <c r="N1636" s="4" cm="1">
        <f t="array" ref="N1636">SUM(--(_xlfn.TEXTSPLIT($J$1387,, " ") = M1636))</f>
        <v>2</v>
      </c>
      <c r="O1636">
        <v>2</v>
      </c>
      <c r="P1636">
        <v>2</v>
      </c>
      <c r="Q1636">
        <v>2</v>
      </c>
    </row>
    <row r="1637" spans="5:17" x14ac:dyDescent="0.2">
      <c r="E1637" s="9" t="s">
        <v>24</v>
      </c>
      <c r="K1637" t="str">
        <v>out</v>
      </c>
      <c r="L1637" s="4" t="str">
        <f t="shared" si="24"/>
        <v>out</v>
      </c>
      <c r="N1637" s="4" cm="1">
        <f t="array" ref="N1637">SUM(--(_xlfn.TEXTSPLIT($J$1387,, " ") = M1637))</f>
        <v>2</v>
      </c>
      <c r="O1637">
        <v>2</v>
      </c>
      <c r="P1637">
        <v>2</v>
      </c>
      <c r="Q1637">
        <v>2</v>
      </c>
    </row>
    <row r="1638" spans="5:17" x14ac:dyDescent="0.2">
      <c r="E1638" s="9" t="s">
        <v>24</v>
      </c>
      <c r="K1638" t="str">
        <v xml:space="preserve">there
</v>
      </c>
      <c r="L1638" s="4" t="str">
        <f t="shared" si="24"/>
        <v xml:space="preserve">there </v>
      </c>
      <c r="N1638" s="4" cm="1">
        <f t="array" ref="N1638">SUM(--(_xlfn.TEXTSPLIT($J$1387,, " ") = M1638))</f>
        <v>2</v>
      </c>
      <c r="O1638">
        <v>2</v>
      </c>
      <c r="P1638">
        <v>2</v>
      </c>
      <c r="Q1638">
        <v>2</v>
      </c>
    </row>
    <row r="1639" spans="5:17" x14ac:dyDescent="0.2">
      <c r="E1639" s="9" t="s">
        <v>24</v>
      </c>
      <c r="K1639" t="str">
        <v>(Oh-ooh)</v>
      </c>
      <c r="L1639" s="4" t="str">
        <f t="shared" si="24"/>
        <v xml:space="preserve"> Oh ooh </v>
      </c>
      <c r="N1639" s="4" cm="1">
        <f t="array" ref="N1639">SUM(--(_xlfn.TEXTSPLIT($J$1387,, " ") = M1639))</f>
        <v>2</v>
      </c>
      <c r="O1639">
        <v>2</v>
      </c>
      <c r="P1639">
        <v>2</v>
      </c>
      <c r="Q1639">
        <v>2</v>
      </c>
    </row>
    <row r="1640" spans="5:17" x14ac:dyDescent="0.2">
      <c r="E1640" s="9" t="s">
        <v>24</v>
      </c>
      <c r="K1640" t="str">
        <v>But</v>
      </c>
      <c r="L1640" s="4" t="str">
        <f t="shared" si="24"/>
        <v>But</v>
      </c>
      <c r="N1640" s="4" cm="1">
        <f t="array" ref="N1640">SUM(--(_xlfn.TEXTSPLIT($J$1387,, " ") = M1640))</f>
        <v>2</v>
      </c>
      <c r="O1640">
        <v>2</v>
      </c>
      <c r="P1640">
        <v>2</v>
      </c>
      <c r="Q1640">
        <v>2</v>
      </c>
    </row>
    <row r="1641" spans="5:17" x14ac:dyDescent="0.2">
      <c r="E1641" s="9" t="s">
        <v>24</v>
      </c>
      <c r="K1641" t="str">
        <v>I</v>
      </c>
      <c r="L1641" s="4" t="str">
        <f t="shared" si="24"/>
        <v>I</v>
      </c>
      <c r="N1641" s="4" cm="1">
        <f t="array" ref="N1641">SUM(--(_xlfn.TEXTSPLIT($J$1387,, " ") = M1641))</f>
        <v>2</v>
      </c>
      <c r="O1641">
        <v>2</v>
      </c>
      <c r="P1641">
        <v>2</v>
      </c>
      <c r="Q1641">
        <v>2</v>
      </c>
    </row>
    <row r="1642" spans="5:17" x14ac:dyDescent="0.2">
      <c r="E1642" s="9" t="s">
        <v>24</v>
      </c>
      <c r="K1642" t="str">
        <v>don't</v>
      </c>
      <c r="L1642" s="4" t="str">
        <f t="shared" si="24"/>
        <v>don t</v>
      </c>
      <c r="N1642" s="4" cm="1">
        <f t="array" ref="N1642">SUM(--(_xlfn.TEXTSPLIT($J$1387,, " ") = M1642))</f>
        <v>2</v>
      </c>
      <c r="O1642">
        <v>2</v>
      </c>
      <c r="P1642">
        <v>2</v>
      </c>
      <c r="Q1642">
        <v>2</v>
      </c>
    </row>
    <row r="1643" spans="5:17" x14ac:dyDescent="0.2">
      <c r="E1643" s="9" t="s">
        <v>24</v>
      </c>
      <c r="K1643" t="str">
        <v xml:space="preserve">try
</v>
      </c>
      <c r="L1643" s="4" t="str">
        <f t="shared" si="24"/>
        <v xml:space="preserve">try </v>
      </c>
      <c r="N1643" s="4" cm="1">
        <f t="array" ref="N1643">SUM(--(_xlfn.TEXTSPLIT($J$1387,, " ") = M1643))</f>
        <v>2</v>
      </c>
      <c r="O1643">
        <v>2</v>
      </c>
      <c r="P1643">
        <v>2</v>
      </c>
      <c r="Q1643">
        <v>2</v>
      </c>
    </row>
    <row r="1644" spans="5:17" x14ac:dyDescent="0.2">
      <c r="E1644" s="9" t="s">
        <v>24</v>
      </c>
      <c r="K1644" t="str">
        <v>(Oh-ooh)</v>
      </c>
      <c r="L1644" s="4" t="str">
        <f t="shared" si="24"/>
        <v xml:space="preserve"> Oh ooh </v>
      </c>
      <c r="N1644" s="4" cm="1">
        <f t="array" ref="N1644">SUM(--(_xlfn.TEXTSPLIT($J$1387,, " ") = M1644))</f>
        <v>2</v>
      </c>
      <c r="O1644">
        <v>2</v>
      </c>
      <c r="P1644">
        <v>2</v>
      </c>
      <c r="Q1644">
        <v>2</v>
      </c>
    </row>
    <row r="1645" spans="5:17" x14ac:dyDescent="0.2">
      <c r="E1645" s="9" t="s">
        <v>24</v>
      </c>
      <c r="K1645" t="str">
        <v>I</v>
      </c>
      <c r="L1645" s="4" t="str">
        <f t="shared" ref="L1645:L1708" si="25">_xlfn.REGEXREPLACE(K1645, "[^A-Za-z ]", " ")</f>
        <v>I</v>
      </c>
      <c r="N1645" s="4" cm="1">
        <f t="array" ref="N1645">SUM(--(_xlfn.TEXTSPLIT($J$1387,, " ") = M1645))</f>
        <v>2</v>
      </c>
      <c r="O1645">
        <v>2</v>
      </c>
      <c r="P1645">
        <v>2</v>
      </c>
      <c r="Q1645">
        <v>2</v>
      </c>
    </row>
    <row r="1646" spans="5:17" x14ac:dyDescent="0.2">
      <c r="E1646" s="9" t="s">
        <v>24</v>
      </c>
      <c r="K1646" t="str">
        <v>wanna</v>
      </c>
      <c r="L1646" s="4" t="str">
        <f t="shared" si="25"/>
        <v>wanna</v>
      </c>
      <c r="N1646" s="4" cm="1">
        <f t="array" ref="N1646">SUM(--(_xlfn.TEXTSPLIT($J$1387,, " ") = M1646))</f>
        <v>2</v>
      </c>
      <c r="O1646">
        <v>2</v>
      </c>
      <c r="P1646">
        <v>2</v>
      </c>
      <c r="Q1646">
        <v>2</v>
      </c>
    </row>
    <row r="1647" spans="5:17" x14ac:dyDescent="0.2">
      <c r="E1647" s="9" t="s">
        <v>24</v>
      </c>
      <c r="K1647" t="str">
        <v>get</v>
      </c>
      <c r="L1647" s="4" t="str">
        <f t="shared" si="25"/>
        <v>get</v>
      </c>
      <c r="N1647" s="4" cm="1">
        <f t="array" ref="N1647">SUM(--(_xlfn.TEXTSPLIT($J$1387,, " ") = M1647))</f>
        <v>2</v>
      </c>
      <c r="O1647">
        <v>2</v>
      </c>
      <c r="P1647">
        <v>2</v>
      </c>
      <c r="Q1647">
        <v>2</v>
      </c>
    </row>
    <row r="1648" spans="5:17" x14ac:dyDescent="0.2">
      <c r="E1648" s="9" t="s">
        <v>24</v>
      </c>
      <c r="K1648" t="str">
        <v>out</v>
      </c>
      <c r="L1648" s="4" t="str">
        <f t="shared" si="25"/>
        <v>out</v>
      </c>
      <c r="N1648" s="4" cm="1">
        <f t="array" ref="N1648">SUM(--(_xlfn.TEXTSPLIT($J$1387,, " ") = M1648))</f>
        <v>2</v>
      </c>
      <c r="O1648">
        <v>2</v>
      </c>
      <c r="P1648">
        <v>2</v>
      </c>
      <c r="Q1648">
        <v>2</v>
      </c>
    </row>
    <row r="1649" spans="5:17" x14ac:dyDescent="0.2">
      <c r="E1649" s="9" t="s">
        <v>24</v>
      </c>
      <c r="K1649" t="str">
        <v xml:space="preserve">there
</v>
      </c>
      <c r="L1649" s="4" t="str">
        <f t="shared" si="25"/>
        <v xml:space="preserve">there </v>
      </c>
      <c r="N1649" s="4" cm="1">
        <f t="array" ref="N1649">SUM(--(_xlfn.TEXTSPLIT($J$1387,, " ") = M1649))</f>
        <v>2</v>
      </c>
      <c r="O1649">
        <v>2</v>
      </c>
      <c r="P1649">
        <v>2</v>
      </c>
      <c r="Q1649">
        <v>2</v>
      </c>
    </row>
    <row r="1650" spans="5:17" x14ac:dyDescent="0.2">
      <c r="E1650" s="9" t="s">
        <v>24</v>
      </c>
      <c r="K1650" t="str">
        <v>(Oh-ooh)</v>
      </c>
      <c r="L1650" s="4" t="str">
        <f t="shared" si="25"/>
        <v xml:space="preserve"> Oh ooh </v>
      </c>
      <c r="N1650" s="4" cm="1">
        <f t="array" ref="N1650">SUM(--(_xlfn.TEXTSPLIT($J$1387,, " ") = M1650))</f>
        <v>2</v>
      </c>
      <c r="O1650">
        <v>2</v>
      </c>
      <c r="P1650">
        <v>2</v>
      </c>
      <c r="Q1650">
        <v>2</v>
      </c>
    </row>
    <row r="1651" spans="5:17" x14ac:dyDescent="0.2">
      <c r="E1651" s="9" t="s">
        <v>24</v>
      </c>
      <c r="K1651" t="str">
        <v>But</v>
      </c>
      <c r="L1651" s="4" t="str">
        <f t="shared" si="25"/>
        <v>But</v>
      </c>
      <c r="N1651" s="4" cm="1">
        <f t="array" ref="N1651">SUM(--(_xlfn.TEXTSPLIT($J$1387,, " ") = M1651))</f>
        <v>2</v>
      </c>
      <c r="O1651">
        <v>2</v>
      </c>
      <c r="P1651">
        <v>2</v>
      </c>
      <c r="Q1651">
        <v>2</v>
      </c>
    </row>
    <row r="1652" spans="5:17" x14ac:dyDescent="0.2">
      <c r="E1652" s="9" t="s">
        <v>24</v>
      </c>
      <c r="K1652" t="str">
        <v>I</v>
      </c>
      <c r="L1652" s="4" t="str">
        <f t="shared" si="25"/>
        <v>I</v>
      </c>
      <c r="N1652" s="4" cm="1">
        <f t="array" ref="N1652">SUM(--(_xlfn.TEXTSPLIT($J$1387,, " ") = M1652))</f>
        <v>2</v>
      </c>
      <c r="O1652">
        <v>2</v>
      </c>
      <c r="P1652">
        <v>2</v>
      </c>
      <c r="Q1652">
        <v>2</v>
      </c>
    </row>
    <row r="1653" spans="5:17" x14ac:dyDescent="0.2">
      <c r="E1653" s="9" t="s">
        <v>24</v>
      </c>
      <c r="K1653" t="str">
        <v>don't</v>
      </c>
      <c r="L1653" s="4" t="str">
        <f t="shared" si="25"/>
        <v>don t</v>
      </c>
      <c r="N1653" s="4" cm="1">
        <f t="array" ref="N1653">SUM(--(_xlfn.TEXTSPLIT($J$1387,, " ") = M1653))</f>
        <v>2</v>
      </c>
      <c r="O1653">
        <v>2</v>
      </c>
      <c r="P1653">
        <v>2</v>
      </c>
      <c r="Q1653">
        <v>2</v>
      </c>
    </row>
    <row r="1654" spans="5:17" x14ac:dyDescent="0.2">
      <c r="E1654" s="9" t="s">
        <v>24</v>
      </c>
      <c r="K1654" t="str">
        <v xml:space="preserve">try
</v>
      </c>
      <c r="L1654" s="4" t="str">
        <f t="shared" si="25"/>
        <v xml:space="preserve">try  </v>
      </c>
      <c r="N1654" s="4" cm="1">
        <f t="array" ref="N1654">SUM(--(_xlfn.TEXTSPLIT($J$1387,, " ") = M1654))</f>
        <v>2</v>
      </c>
      <c r="O1654">
        <v>2</v>
      </c>
      <c r="P1654">
        <v>2</v>
      </c>
      <c r="Q1654">
        <v>2</v>
      </c>
    </row>
    <row r="1655" spans="5:17" x14ac:dyDescent="0.2">
      <c r="E1655" s="9" t="s">
        <v>24</v>
      </c>
      <c r="K1655" t="str">
        <v>I</v>
      </c>
      <c r="L1655" s="4" t="str">
        <f t="shared" si="25"/>
        <v>I</v>
      </c>
      <c r="N1655" s="4" cm="1">
        <f t="array" ref="N1655">SUM(--(_xlfn.TEXTSPLIT($J$1387,, " ") = M1655))</f>
        <v>2</v>
      </c>
      <c r="O1655">
        <v>2</v>
      </c>
      <c r="P1655">
        <v>2</v>
      </c>
      <c r="Q1655">
        <v>2</v>
      </c>
    </row>
    <row r="1656" spans="5:17" x14ac:dyDescent="0.2">
      <c r="E1656" s="9" t="s">
        <v>24</v>
      </c>
      <c r="K1656" t="str">
        <v>check</v>
      </c>
      <c r="L1656" s="4" t="str">
        <f t="shared" si="25"/>
        <v>check</v>
      </c>
      <c r="N1656" s="4" cm="1">
        <f t="array" ref="N1656">SUM(--(_xlfn.TEXTSPLIT($J$1387,, " ") = M1656))</f>
        <v>2</v>
      </c>
      <c r="O1656">
        <v>2</v>
      </c>
      <c r="P1656">
        <v>2</v>
      </c>
      <c r="Q1656">
        <v>2</v>
      </c>
    </row>
    <row r="1657" spans="5:17" x14ac:dyDescent="0.2">
      <c r="E1657" s="9" t="s">
        <v>24</v>
      </c>
      <c r="K1657" t="str">
        <v>the</v>
      </c>
      <c r="L1657" s="4" t="str">
        <f t="shared" si="25"/>
        <v>the</v>
      </c>
      <c r="N1657" s="4" cm="1">
        <f t="array" ref="N1657">SUM(--(_xlfn.TEXTSPLIT($J$1387,, " ") = M1657))</f>
        <v>2</v>
      </c>
      <c r="O1657">
        <v>2</v>
      </c>
      <c r="P1657">
        <v>2</v>
      </c>
      <c r="Q1657">
        <v>2</v>
      </c>
    </row>
    <row r="1658" spans="5:17" x14ac:dyDescent="0.2">
      <c r="E1658" s="9" t="s">
        <v>24</v>
      </c>
      <c r="K1658" t="str">
        <v>clock,</v>
      </c>
      <c r="L1658" s="4" t="str">
        <f t="shared" si="25"/>
        <v xml:space="preserve">clock </v>
      </c>
      <c r="N1658" s="4" cm="1">
        <f t="array" ref="N1658">SUM(--(_xlfn.TEXTSPLIT($J$1387,, " ") = M1658))</f>
        <v>2</v>
      </c>
      <c r="O1658">
        <v>2</v>
      </c>
      <c r="P1658">
        <v>2</v>
      </c>
      <c r="Q1658">
        <v>2</v>
      </c>
    </row>
    <row r="1659" spans="5:17" x14ac:dyDescent="0.2">
      <c r="E1659" s="9" t="s">
        <v>24</v>
      </c>
      <c r="K1659" t="str">
        <v>wondering</v>
      </c>
      <c r="L1659" s="4" t="str">
        <f t="shared" si="25"/>
        <v>wondering</v>
      </c>
      <c r="N1659" s="4" cm="1">
        <f t="array" ref="N1659">SUM(--(_xlfn.TEXTSPLIT($J$1387,, " ") = M1659))</f>
        <v>2</v>
      </c>
      <c r="O1659">
        <v>2</v>
      </c>
      <c r="P1659">
        <v>2</v>
      </c>
      <c r="Q1659">
        <v>2</v>
      </c>
    </row>
    <row r="1660" spans="5:17" x14ac:dyDescent="0.2">
      <c r="E1660" s="9" t="s">
        <v>24</v>
      </c>
      <c r="K1660" t="str">
        <v>what</v>
      </c>
      <c r="L1660" s="4" t="str">
        <f t="shared" si="25"/>
        <v>what</v>
      </c>
      <c r="N1660" s="4" cm="1">
        <f t="array" ref="N1660">SUM(--(_xlfn.TEXTSPLIT($J$1387,, " ") = M1660))</f>
        <v>2</v>
      </c>
      <c r="O1660">
        <v>2</v>
      </c>
      <c r="P1660">
        <v>2</v>
      </c>
      <c r="Q1660">
        <v>2</v>
      </c>
    </row>
    <row r="1661" spans="5:17" x14ac:dyDescent="0.2">
      <c r="E1661" s="9" t="s">
        <v>24</v>
      </c>
      <c r="K1661" t="str">
        <v>he'll</v>
      </c>
      <c r="L1661" s="4" t="str">
        <f t="shared" si="25"/>
        <v>he ll</v>
      </c>
      <c r="N1661" s="4" cm="1">
        <f t="array" ref="N1661">SUM(--(_xlfn.TEXTSPLIT($J$1387,, " ") = M1661))</f>
        <v>2</v>
      </c>
      <c r="O1661">
        <v>2</v>
      </c>
      <c r="P1661">
        <v>2</v>
      </c>
      <c r="Q1661">
        <v>2</v>
      </c>
    </row>
    <row r="1662" spans="5:17" x14ac:dyDescent="0.2">
      <c r="E1662" s="9" t="s">
        <v>24</v>
      </c>
      <c r="K1662" t="str">
        <v>pull</v>
      </c>
      <c r="L1662" s="4" t="str">
        <f t="shared" si="25"/>
        <v>pull</v>
      </c>
      <c r="N1662" s="4" cm="1">
        <f t="array" ref="N1662">SUM(--(_xlfn.TEXTSPLIT($J$1387,, " ") = M1662))</f>
        <v>2</v>
      </c>
      <c r="O1662">
        <v>2</v>
      </c>
      <c r="P1662">
        <v>2</v>
      </c>
      <c r="Q1662">
        <v>2</v>
      </c>
    </row>
    <row r="1663" spans="5:17" x14ac:dyDescent="0.2">
      <c r="E1663" s="9" t="s">
        <v>24</v>
      </c>
      <c r="K1663" t="str">
        <v>this</v>
      </c>
      <c r="L1663" s="4" t="str">
        <f t="shared" si="25"/>
        <v>this</v>
      </c>
      <c r="N1663" s="4" cm="1">
        <f t="array" ref="N1663">SUM(--(_xlfn.TEXTSPLIT($J$1387,, " ") = M1663))</f>
        <v>2</v>
      </c>
      <c r="O1663">
        <v>2</v>
      </c>
      <c r="P1663">
        <v>2</v>
      </c>
      <c r="Q1663">
        <v>2</v>
      </c>
    </row>
    <row r="1664" spans="5:17" x14ac:dyDescent="0.2">
      <c r="E1664" s="9" t="s">
        <v>24</v>
      </c>
      <c r="K1664" t="str">
        <v xml:space="preserve">time
</v>
      </c>
      <c r="L1664" s="4" t="str">
        <f t="shared" si="25"/>
        <v xml:space="preserve">time </v>
      </c>
      <c r="N1664" s="4" cm="1">
        <f t="array" ref="N1664">SUM(--(_xlfn.TEXTSPLIT($J$1387,, " ") = M1664))</f>
        <v>2</v>
      </c>
      <c r="O1664">
        <v>2</v>
      </c>
      <c r="P1664">
        <v>2</v>
      </c>
      <c r="Q1664">
        <v>2</v>
      </c>
    </row>
    <row r="1665" spans="5:17" x14ac:dyDescent="0.2">
      <c r="E1665" s="9" t="s">
        <v>24</v>
      </c>
      <c r="K1665" t="str">
        <v>I</v>
      </c>
      <c r="L1665" s="4" t="str">
        <f t="shared" si="25"/>
        <v>I</v>
      </c>
      <c r="N1665" s="4" cm="1">
        <f t="array" ref="N1665">SUM(--(_xlfn.TEXTSPLIT($J$1387,, " ") = M1665))</f>
        <v>2</v>
      </c>
      <c r="O1665">
        <v>2</v>
      </c>
      <c r="P1665">
        <v>2</v>
      </c>
      <c r="Q1665">
        <v>2</v>
      </c>
    </row>
    <row r="1666" spans="5:17" x14ac:dyDescent="0.2">
      <c r="E1666" s="9" t="s">
        <v>24</v>
      </c>
      <c r="K1666" t="str">
        <v>have</v>
      </c>
      <c r="L1666" s="4" t="str">
        <f t="shared" si="25"/>
        <v>have</v>
      </c>
      <c r="N1666" s="4" cm="1">
        <f t="array" ref="N1666">SUM(--(_xlfn.TEXTSPLIT($J$1387,, " ") = M1666))</f>
        <v>2</v>
      </c>
      <c r="O1666">
        <v>2</v>
      </c>
      <c r="P1666">
        <v>2</v>
      </c>
      <c r="Q1666">
        <v>2</v>
      </c>
    </row>
    <row r="1667" spans="5:17" x14ac:dyDescent="0.2">
      <c r="E1667" s="9" t="s">
        <v>24</v>
      </c>
      <c r="K1667" t="str">
        <v>a</v>
      </c>
      <c r="L1667" s="4" t="str">
        <f t="shared" si="25"/>
        <v>a</v>
      </c>
      <c r="N1667" s="4" cm="1">
        <f t="array" ref="N1667">SUM(--(_xlfn.TEXTSPLIT($J$1387,, " ") = M1667))</f>
        <v>2</v>
      </c>
      <c r="O1667">
        <v>2</v>
      </c>
      <c r="P1667">
        <v>2</v>
      </c>
      <c r="Q1667">
        <v>2</v>
      </c>
    </row>
    <row r="1668" spans="5:17" x14ac:dyDescent="0.2">
      <c r="E1668" s="9" t="s">
        <v>24</v>
      </c>
      <c r="K1668" t="str">
        <v>feeling</v>
      </c>
      <c r="L1668" s="4" t="str">
        <f t="shared" si="25"/>
        <v>feeling</v>
      </c>
      <c r="N1668" s="4" cm="1">
        <f t="array" ref="N1668">SUM(--(_xlfn.TEXTSPLIT($J$1387,, " ") = M1668))</f>
        <v>2</v>
      </c>
      <c r="O1668">
        <v>2</v>
      </c>
      <c r="P1668">
        <v>2</v>
      </c>
      <c r="Q1668">
        <v>2</v>
      </c>
    </row>
    <row r="1669" spans="5:17" x14ac:dyDescent="0.2">
      <c r="E1669" s="9" t="s">
        <v>24</v>
      </c>
      <c r="K1669" t="str">
        <v>that</v>
      </c>
      <c r="L1669" s="4" t="str">
        <f t="shared" si="25"/>
        <v>that</v>
      </c>
      <c r="N1669" s="4" cm="1">
        <f t="array" ref="N1669">SUM(--(_xlfn.TEXTSPLIT($J$1387,, " ") = M1669))</f>
        <v>2</v>
      </c>
      <c r="O1669">
        <v>2</v>
      </c>
      <c r="P1669">
        <v>2</v>
      </c>
      <c r="Q1669">
        <v>2</v>
      </c>
    </row>
    <row r="1670" spans="5:17" x14ac:dyDescent="0.2">
      <c r="E1670" s="9" t="s">
        <v>24</v>
      </c>
      <c r="K1670" t="str">
        <v>necromancer's</v>
      </c>
      <c r="L1670" s="4" t="str">
        <f t="shared" si="25"/>
        <v>necromancer s</v>
      </c>
      <c r="N1670" s="4" cm="1">
        <f t="array" ref="N1670">SUM(--(_xlfn.TEXTSPLIT($J$1387,, " ") = M1670))</f>
        <v>2</v>
      </c>
      <c r="O1670">
        <v>2</v>
      </c>
      <c r="P1670">
        <v>2</v>
      </c>
      <c r="Q1670">
        <v>2</v>
      </c>
    </row>
    <row r="1671" spans="5:17" x14ac:dyDescent="0.2">
      <c r="E1671" s="9" t="s">
        <v>24</v>
      </c>
      <c r="K1671" t="str">
        <v xml:space="preserve">outside
</v>
      </c>
      <c r="L1671" s="4" t="str">
        <f t="shared" si="25"/>
        <v xml:space="preserve">outside </v>
      </c>
      <c r="N1671" s="4" cm="1">
        <f t="array" ref="N1671">SUM(--(_xlfn.TEXTSPLIT($J$1387,, " ") = M1671))</f>
        <v>2</v>
      </c>
      <c r="O1671">
        <v>2</v>
      </c>
      <c r="P1671">
        <v>2</v>
      </c>
      <c r="Q1671">
        <v>2</v>
      </c>
    </row>
    <row r="1672" spans="5:17" x14ac:dyDescent="0.2">
      <c r="E1672" s="9" t="s">
        <v>24</v>
      </c>
      <c r="K1672" t="str">
        <v>And</v>
      </c>
      <c r="L1672" s="4" t="str">
        <f t="shared" si="25"/>
        <v>And</v>
      </c>
      <c r="N1672" s="4" cm="1">
        <f t="array" ref="N1672">SUM(--(_xlfn.TEXTSPLIT($J$1387,, " ") = M1672))</f>
        <v>2</v>
      </c>
      <c r="O1672">
        <v>2</v>
      </c>
      <c r="P1672">
        <v>2</v>
      </c>
      <c r="Q1672">
        <v>2</v>
      </c>
    </row>
    <row r="1673" spans="5:17" x14ac:dyDescent="0.2">
      <c r="E1673" s="9" t="s">
        <v>24</v>
      </c>
      <c r="K1673" t="str">
        <v>I'm</v>
      </c>
      <c r="L1673" s="4" t="str">
        <f t="shared" si="25"/>
        <v>I m</v>
      </c>
      <c r="N1673" s="4" cm="1">
        <f t="array" ref="N1673">SUM(--(_xlfn.TEXTSPLIT($J$1387,, " ") = M1673))</f>
        <v>2</v>
      </c>
      <c r="O1673">
        <v>2</v>
      </c>
      <c r="P1673">
        <v>2</v>
      </c>
      <c r="Q1673">
        <v>2</v>
      </c>
    </row>
    <row r="1674" spans="5:17" x14ac:dyDescent="0.2">
      <c r="E1674" s="9" t="s">
        <v>24</v>
      </c>
      <c r="K1674" t="str">
        <v>just</v>
      </c>
      <c r="L1674" s="4" t="str">
        <f t="shared" si="25"/>
        <v>just</v>
      </c>
      <c r="N1674" s="4" cm="1">
        <f t="array" ref="N1674">SUM(--(_xlfn.TEXTSPLIT($J$1387,, " ") = M1674))</f>
        <v>2</v>
      </c>
      <c r="O1674">
        <v>2</v>
      </c>
      <c r="P1674">
        <v>2</v>
      </c>
      <c r="Q1674">
        <v>2</v>
      </c>
    </row>
    <row r="1675" spans="5:17" x14ac:dyDescent="0.2">
      <c r="E1675" s="9" t="s">
        <v>24</v>
      </c>
      <c r="K1675" t="str">
        <v>tryin'</v>
      </c>
      <c r="L1675" s="4" t="str">
        <f t="shared" si="25"/>
        <v xml:space="preserve">tryin </v>
      </c>
      <c r="N1675" s="4" cm="1">
        <f t="array" ref="N1675">SUM(--(_xlfn.TEXTSPLIT($J$1387,, " ") = M1675))</f>
        <v>2</v>
      </c>
      <c r="O1675">
        <v>2</v>
      </c>
      <c r="P1675">
        <v>2</v>
      </c>
      <c r="Q1675">
        <v>2</v>
      </c>
    </row>
    <row r="1676" spans="5:17" x14ac:dyDescent="0.2">
      <c r="E1676" s="9" t="s">
        <v>24</v>
      </c>
      <c r="K1676" t="str">
        <v>to</v>
      </c>
      <c r="L1676" s="4" t="str">
        <f t="shared" si="25"/>
        <v>to</v>
      </c>
      <c r="N1676" s="4" cm="1">
        <f t="array" ref="N1676">SUM(--(_xlfn.TEXTSPLIT($J$1387,, " ") = M1676))</f>
        <v>2</v>
      </c>
      <c r="O1676">
        <v>2</v>
      </c>
      <c r="P1676">
        <v>2</v>
      </c>
      <c r="Q1676">
        <v>2</v>
      </c>
    </row>
    <row r="1677" spans="5:17" x14ac:dyDescent="0.2">
      <c r="E1677" s="9" t="s">
        <v>24</v>
      </c>
      <c r="K1677" t="str">
        <v>stay</v>
      </c>
      <c r="L1677" s="4" t="str">
        <f t="shared" si="25"/>
        <v>stay</v>
      </c>
      <c r="N1677" s="4" cm="1">
        <f t="array" ref="N1677">SUM(--(_xlfn.TEXTSPLIT($J$1387,, " ") = M1677))</f>
        <v>2</v>
      </c>
      <c r="O1677">
        <v>2</v>
      </c>
      <c r="P1677">
        <v>2</v>
      </c>
      <c r="Q1677">
        <v>2</v>
      </c>
    </row>
    <row r="1678" spans="5:17" x14ac:dyDescent="0.2">
      <c r="E1678" s="9" t="s">
        <v>24</v>
      </c>
      <c r="K1678" t="str">
        <v xml:space="preserve">quiet
</v>
      </c>
      <c r="L1678" s="4" t="str">
        <f t="shared" si="25"/>
        <v xml:space="preserve">quiet  </v>
      </c>
      <c r="N1678" s="4" cm="1">
        <f t="array" ref="N1678">SUM(--(_xlfn.TEXTSPLIT($J$1387,, " ") = M1678))</f>
        <v>2</v>
      </c>
      <c r="O1678">
        <v>2</v>
      </c>
      <c r="P1678">
        <v>2</v>
      </c>
      <c r="Q1678">
        <v>2</v>
      </c>
    </row>
    <row r="1679" spans="5:17" x14ac:dyDescent="0.2">
      <c r="E1679" s="9" t="s">
        <v>24</v>
      </c>
      <c r="K1679" t="str">
        <v>I</v>
      </c>
      <c r="L1679" s="4" t="str">
        <f t="shared" si="25"/>
        <v>I</v>
      </c>
      <c r="N1679" s="4" cm="1">
        <f t="array" ref="N1679">SUM(--(_xlfn.TEXTSPLIT($J$1387,, " ") = M1679))</f>
        <v>2</v>
      </c>
      <c r="O1679">
        <v>2</v>
      </c>
      <c r="P1679">
        <v>2</v>
      </c>
      <c r="Q1679">
        <v>2</v>
      </c>
    </row>
    <row r="1680" spans="5:17" x14ac:dyDescent="0.2">
      <c r="E1680" s="9" t="s">
        <v>24</v>
      </c>
      <c r="K1680" t="str">
        <v>don't</v>
      </c>
      <c r="L1680" s="4" t="str">
        <f t="shared" si="25"/>
        <v>don t</v>
      </c>
      <c r="N1680" s="4" cm="1">
        <f t="array" ref="N1680">SUM(--(_xlfn.TEXTSPLIT($J$1387,, " ") = M1680))</f>
        <v>2</v>
      </c>
      <c r="O1680">
        <v>2</v>
      </c>
      <c r="P1680">
        <v>2</v>
      </c>
      <c r="Q1680">
        <v>2</v>
      </c>
    </row>
    <row r="1681" spans="5:17" x14ac:dyDescent="0.2">
      <c r="E1681" s="9" t="s">
        <v>24</v>
      </c>
      <c r="K1681" t="str">
        <v>sleep</v>
      </c>
      <c r="L1681" s="4" t="str">
        <f t="shared" si="25"/>
        <v>sleep</v>
      </c>
      <c r="N1681" s="4" cm="1">
        <f t="array" ref="N1681">SUM(--(_xlfn.TEXTSPLIT($J$1387,, " ") = M1681))</f>
        <v>2</v>
      </c>
      <c r="O1681">
        <v>2</v>
      </c>
      <c r="P1681">
        <v>2</v>
      </c>
      <c r="Q1681">
        <v>2</v>
      </c>
    </row>
    <row r="1682" spans="5:17" x14ac:dyDescent="0.2">
      <c r="E1682" s="9" t="s">
        <v>24</v>
      </c>
      <c r="K1682" t="str">
        <v>much,</v>
      </c>
      <c r="L1682" s="4" t="str">
        <f t="shared" si="25"/>
        <v xml:space="preserve">much </v>
      </c>
      <c r="N1682" s="4" cm="1">
        <f t="array" ref="N1682">SUM(--(_xlfn.TEXTSPLIT($J$1387,, " ") = M1682))</f>
        <v>2</v>
      </c>
      <c r="O1682">
        <v>2</v>
      </c>
      <c r="P1682">
        <v>2</v>
      </c>
      <c r="Q1682">
        <v>2</v>
      </c>
    </row>
    <row r="1683" spans="5:17" x14ac:dyDescent="0.2">
      <c r="E1683" s="9" t="s">
        <v>24</v>
      </c>
      <c r="K1683" t="str">
        <v>that's</v>
      </c>
      <c r="L1683" s="4" t="str">
        <f t="shared" si="25"/>
        <v>that s</v>
      </c>
      <c r="N1683" s="4" cm="1">
        <f t="array" ref="N1683">SUM(--(_xlfn.TEXTSPLIT($J$1387,, " ") = M1683))</f>
        <v>2</v>
      </c>
      <c r="O1683">
        <v>2</v>
      </c>
      <c r="P1683">
        <v>2</v>
      </c>
      <c r="Q1683">
        <v>2</v>
      </c>
    </row>
    <row r="1684" spans="5:17" x14ac:dyDescent="0.2">
      <c r="E1684" s="9" t="s">
        <v>24</v>
      </c>
      <c r="K1684" t="str">
        <v>crazy,</v>
      </c>
      <c r="L1684" s="4" t="str">
        <f t="shared" si="25"/>
        <v xml:space="preserve">crazy </v>
      </c>
      <c r="N1684" s="4" cm="1">
        <f t="array" ref="N1684">SUM(--(_xlfn.TEXTSPLIT($J$1387,, " ") = M1684))</f>
        <v>2</v>
      </c>
      <c r="O1684">
        <v>2</v>
      </c>
      <c r="P1684">
        <v>2</v>
      </c>
      <c r="Q1684">
        <v>2</v>
      </c>
    </row>
    <row r="1685" spans="5:17" x14ac:dyDescent="0.2">
      <c r="E1685" s="9" t="s">
        <v>24</v>
      </c>
      <c r="K1685" t="str">
        <v>how'd</v>
      </c>
      <c r="L1685" s="4" t="str">
        <f t="shared" si="25"/>
        <v>how d</v>
      </c>
      <c r="N1685" s="4" cm="1">
        <f t="array" ref="N1685">SUM(--(_xlfn.TEXTSPLIT($J$1387,, " ") = M1685))</f>
        <v>2</v>
      </c>
      <c r="O1685">
        <v>2</v>
      </c>
      <c r="P1685">
        <v>2</v>
      </c>
      <c r="Q1685">
        <v>2</v>
      </c>
    </row>
    <row r="1686" spans="5:17" x14ac:dyDescent="0.2">
      <c r="E1686" s="9" t="s">
        <v>24</v>
      </c>
      <c r="K1686" t="str">
        <v>you</v>
      </c>
      <c r="L1686" s="4" t="str">
        <f t="shared" si="25"/>
        <v>you</v>
      </c>
      <c r="N1686" s="4" cm="1">
        <f t="array" ref="N1686">SUM(--(_xlfn.TEXTSPLIT($J$1387,, " ") = M1686))</f>
        <v>2</v>
      </c>
      <c r="O1686">
        <v>2</v>
      </c>
      <c r="P1686">
        <v>2</v>
      </c>
      <c r="Q1686">
        <v>2</v>
      </c>
    </row>
    <row r="1687" spans="5:17" x14ac:dyDescent="0.2">
      <c r="E1687" s="9" t="s">
        <v>24</v>
      </c>
      <c r="K1687" t="str">
        <v>know</v>
      </c>
      <c r="L1687" s="4" t="str">
        <f t="shared" si="25"/>
        <v>know</v>
      </c>
      <c r="N1687" s="4" cm="1">
        <f t="array" ref="N1687">SUM(--(_xlfn.TEXTSPLIT($J$1387,, " ") = M1687))</f>
        <v>2</v>
      </c>
      <c r="O1687">
        <v>2</v>
      </c>
      <c r="P1687">
        <v>2</v>
      </c>
      <c r="Q1687">
        <v>2</v>
      </c>
    </row>
    <row r="1688" spans="5:17" x14ac:dyDescent="0.2">
      <c r="E1688" s="9" t="s">
        <v>24</v>
      </c>
      <c r="K1688" t="str">
        <v>that?</v>
      </c>
      <c r="L1688" s="4" t="str">
        <f t="shared" si="25"/>
        <v xml:space="preserve">that </v>
      </c>
      <c r="N1688" s="4" cm="1">
        <f t="array" ref="N1688">SUM(--(_xlfn.TEXTSPLIT($J$1387,, " ") = M1688))</f>
        <v>2</v>
      </c>
      <c r="O1688">
        <v>2</v>
      </c>
      <c r="P1688">
        <v>2</v>
      </c>
      <c r="Q1688">
        <v>2</v>
      </c>
    </row>
    <row r="1689" spans="5:17" x14ac:dyDescent="0.2">
      <c r="E1689" s="9" t="s">
        <v>24</v>
      </c>
      <c r="K1689" t="str">
        <v xml:space="preserve">(That)
</v>
      </c>
      <c r="L1689" s="4" t="str">
        <f t="shared" si="25"/>
        <v xml:space="preserve"> That  </v>
      </c>
      <c r="N1689" s="4" cm="1">
        <f t="array" ref="N1689">SUM(--(_xlfn.TEXTSPLIT($J$1387,, " ") = M1689))</f>
        <v>2</v>
      </c>
      <c r="O1689">
        <v>2</v>
      </c>
      <c r="P1689">
        <v>2</v>
      </c>
      <c r="Q1689">
        <v>2</v>
      </c>
    </row>
    <row r="1690" spans="5:17" x14ac:dyDescent="0.2">
      <c r="E1690" s="9" t="s">
        <v>24</v>
      </c>
      <c r="K1690" t="str">
        <v>I</v>
      </c>
      <c r="L1690" s="4" t="str">
        <f t="shared" si="25"/>
        <v>I</v>
      </c>
      <c r="N1690" s="4" cm="1">
        <f t="array" ref="N1690">SUM(--(_xlfn.TEXTSPLIT($J$1387,, " ") = M1690))</f>
        <v>2</v>
      </c>
      <c r="O1690">
        <v>2</v>
      </c>
      <c r="P1690">
        <v>2</v>
      </c>
      <c r="Q1690">
        <v>2</v>
      </c>
    </row>
    <row r="1691" spans="5:17" x14ac:dyDescent="0.2">
      <c r="E1691" s="9" t="s">
        <v>24</v>
      </c>
      <c r="K1691" t="str">
        <v>keep</v>
      </c>
      <c r="L1691" s="4" t="str">
        <f t="shared" si="25"/>
        <v>keep</v>
      </c>
      <c r="N1691" s="4" cm="1">
        <f t="array" ref="N1691">SUM(--(_xlfn.TEXTSPLIT($J$1387,, " ") = M1691))</f>
        <v>2</v>
      </c>
      <c r="O1691">
        <v>2</v>
      </c>
      <c r="P1691">
        <v>2</v>
      </c>
      <c r="Q1691">
        <v>2</v>
      </c>
    </row>
    <row r="1692" spans="5:17" x14ac:dyDescent="0.2">
      <c r="E1692" s="9" t="s">
        <v>24</v>
      </c>
      <c r="K1692" t="str">
        <v>myself</v>
      </c>
      <c r="L1692" s="4" t="str">
        <f t="shared" si="25"/>
        <v>myself</v>
      </c>
      <c r="N1692" s="4" cm="1">
        <f t="array" ref="N1692">SUM(--(_xlfn.TEXTSPLIT($J$1387,, " ") = M1692))</f>
        <v>2</v>
      </c>
      <c r="O1692">
        <v>2</v>
      </c>
      <c r="P1692">
        <v>2</v>
      </c>
      <c r="Q1692">
        <v>2</v>
      </c>
    </row>
    <row r="1693" spans="5:17" x14ac:dyDescent="0.2">
      <c r="E1693" s="9" t="s">
        <v>24</v>
      </c>
      <c r="K1693" t="str">
        <v>up,</v>
      </c>
      <c r="L1693" s="4" t="str">
        <f t="shared" si="25"/>
        <v xml:space="preserve">up </v>
      </c>
      <c r="N1693" s="4" cm="1">
        <f t="array" ref="N1693">SUM(--(_xlfn.TEXTSPLIT($J$1387,, " ") = M1693))</f>
        <v>2</v>
      </c>
      <c r="O1693">
        <v>2</v>
      </c>
      <c r="P1693">
        <v>2</v>
      </c>
      <c r="Q1693">
        <v>2</v>
      </c>
    </row>
    <row r="1694" spans="5:17" x14ac:dyDescent="0.2">
      <c r="E1694" s="9" t="s">
        <v>24</v>
      </c>
      <c r="K1694" t="str">
        <v>that's</v>
      </c>
      <c r="L1694" s="4" t="str">
        <f t="shared" si="25"/>
        <v>that s</v>
      </c>
      <c r="N1694" s="4" cm="1">
        <f t="array" ref="N1694">SUM(--(_xlfn.TEXTSPLIT($J$1387,, " ") = M1694))</f>
        <v>2</v>
      </c>
      <c r="O1694">
        <v>2</v>
      </c>
      <c r="P1694">
        <v>2</v>
      </c>
      <c r="Q1694">
        <v>2</v>
      </c>
    </row>
    <row r="1695" spans="5:17" x14ac:dyDescent="0.2">
      <c r="E1695" s="9" t="s">
        <v>24</v>
      </c>
      <c r="K1695" t="str">
        <v>maybe</v>
      </c>
      <c r="L1695" s="4" t="str">
        <f t="shared" si="25"/>
        <v>maybe</v>
      </c>
      <c r="N1695" s="4" cm="1">
        <f t="array" ref="N1695">SUM(--(_xlfn.TEXTSPLIT($J$1387,, " ") = M1695))</f>
        <v>2</v>
      </c>
      <c r="O1695">
        <v>2</v>
      </c>
      <c r="P1695">
        <v>2</v>
      </c>
      <c r="Q1695">
        <v>2</v>
      </c>
    </row>
    <row r="1696" spans="5:17" x14ac:dyDescent="0.2">
      <c r="E1696" s="9" t="s">
        <v>24</v>
      </c>
      <c r="K1696" t="str">
        <v>how</v>
      </c>
      <c r="L1696" s="4" t="str">
        <f t="shared" si="25"/>
        <v>how</v>
      </c>
      <c r="N1696" s="4" cm="1">
        <f t="array" ref="N1696">SUM(--(_xlfn.TEXTSPLIT($J$1387,, " ") = M1696))</f>
        <v>2</v>
      </c>
      <c r="O1696">
        <v>2</v>
      </c>
      <c r="P1696">
        <v>2</v>
      </c>
      <c r="Q1696">
        <v>2</v>
      </c>
    </row>
    <row r="1697" spans="5:17" x14ac:dyDescent="0.2">
      <c r="E1697" s="9" t="s">
        <v>24</v>
      </c>
      <c r="K1697" t="str">
        <v>you</v>
      </c>
      <c r="L1697" s="4" t="str">
        <f t="shared" si="25"/>
        <v>you</v>
      </c>
      <c r="N1697" s="4" cm="1">
        <f t="array" ref="N1697">SUM(--(_xlfn.TEXTSPLIT($J$1387,, " ") = M1697))</f>
        <v>2</v>
      </c>
      <c r="O1697">
        <v>2</v>
      </c>
      <c r="P1697">
        <v>2</v>
      </c>
      <c r="Q1697">
        <v>2</v>
      </c>
    </row>
    <row r="1698" spans="5:17" x14ac:dyDescent="0.2">
      <c r="E1698" s="9" t="s">
        <v>24</v>
      </c>
      <c r="K1698" t="str">
        <v>know</v>
      </c>
      <c r="L1698" s="4" t="str">
        <f t="shared" si="25"/>
        <v>know</v>
      </c>
      <c r="N1698" s="4" cm="1">
        <f t="array" ref="N1698">SUM(--(_xlfn.TEXTSPLIT($J$1387,, " ") = M1698))</f>
        <v>2</v>
      </c>
      <c r="O1698">
        <v>2</v>
      </c>
      <c r="P1698">
        <v>2</v>
      </c>
      <c r="Q1698">
        <v>2</v>
      </c>
    </row>
    <row r="1699" spans="5:17" x14ac:dyDescent="0.2">
      <c r="E1699" s="9" t="s">
        <v>24</v>
      </c>
      <c r="K1699" t="str">
        <v>that</v>
      </c>
      <c r="L1699" s="4" t="str">
        <f t="shared" si="25"/>
        <v>that</v>
      </c>
      <c r="N1699" s="4" cm="1">
        <f t="array" ref="N1699">SUM(--(_xlfn.TEXTSPLIT($J$1387,, " ") = M1699))</f>
        <v>2</v>
      </c>
      <c r="O1699">
        <v>2</v>
      </c>
      <c r="P1699">
        <v>2</v>
      </c>
      <c r="Q1699">
        <v>2</v>
      </c>
    </row>
    <row r="1700" spans="5:17" x14ac:dyDescent="0.2">
      <c r="E1700" s="9" t="s">
        <v>24</v>
      </c>
      <c r="K1700" t="str">
        <v>(That,</v>
      </c>
      <c r="L1700" s="4" t="str">
        <f t="shared" si="25"/>
        <v xml:space="preserve"> That </v>
      </c>
      <c r="N1700" s="4" cm="1">
        <f t="array" ref="N1700">SUM(--(_xlfn.TEXTSPLIT($J$1387,, " ") = M1700))</f>
        <v>2</v>
      </c>
      <c r="O1700">
        <v>2</v>
      </c>
      <c r="P1700">
        <v>2</v>
      </c>
      <c r="Q1700">
        <v>2</v>
      </c>
    </row>
    <row r="1701" spans="5:17" x14ac:dyDescent="0.2">
      <c r="E1701" s="9" t="s">
        <v>24</v>
      </c>
      <c r="K1701" t="str">
        <v xml:space="preserve">that)
</v>
      </c>
      <c r="L1701" s="4" t="str">
        <f t="shared" si="25"/>
        <v xml:space="preserve">that  </v>
      </c>
      <c r="N1701" s="4" cm="1">
        <f t="array" ref="N1701">SUM(--(_xlfn.TEXTSPLIT($J$1387,, " ") = M1701))</f>
        <v>2</v>
      </c>
      <c r="O1701">
        <v>2</v>
      </c>
      <c r="P1701">
        <v>2</v>
      </c>
      <c r="Q1701">
        <v>2</v>
      </c>
    </row>
    <row r="1702" spans="5:17" x14ac:dyDescent="0.2">
      <c r="E1702" s="9" t="s">
        <v>24</v>
      </c>
      <c r="K1702" t="str">
        <v>Ooh,</v>
      </c>
      <c r="L1702" s="4" t="str">
        <f t="shared" si="25"/>
        <v xml:space="preserve">Ooh </v>
      </c>
      <c r="N1702" s="4" cm="1">
        <f t="array" ref="N1702">SUM(--(_xlfn.TEXTSPLIT($J$1387,, " ") = M1702))</f>
        <v>2</v>
      </c>
      <c r="O1702">
        <v>2</v>
      </c>
      <c r="P1702">
        <v>2</v>
      </c>
      <c r="Q1702">
        <v>2</v>
      </c>
    </row>
    <row r="1703" spans="5:17" x14ac:dyDescent="0.2">
      <c r="E1703" s="9" t="s">
        <v>24</v>
      </c>
      <c r="K1703" t="str">
        <v>promises</v>
      </c>
      <c r="L1703" s="4" t="str">
        <f t="shared" si="25"/>
        <v>promises</v>
      </c>
      <c r="N1703" s="4" cm="1">
        <f t="array" ref="N1703">SUM(--(_xlfn.TEXTSPLIT($J$1387,, " ") = M1703))</f>
        <v>2</v>
      </c>
      <c r="O1703">
        <v>2</v>
      </c>
      <c r="P1703">
        <v>2</v>
      </c>
      <c r="Q1703">
        <v>2</v>
      </c>
    </row>
    <row r="1704" spans="5:17" x14ac:dyDescent="0.2">
      <c r="E1704" s="9" t="s">
        <v>24</v>
      </c>
      <c r="K1704" t="str">
        <v>and</v>
      </c>
      <c r="L1704" s="4" t="str">
        <f t="shared" si="25"/>
        <v>and</v>
      </c>
      <c r="N1704" s="4" cm="1">
        <f t="array" ref="N1704">SUM(--(_xlfn.TEXTSPLIT($J$1387,, " ") = M1704))</f>
        <v>2</v>
      </c>
      <c r="O1704">
        <v>2</v>
      </c>
      <c r="P1704">
        <v>2</v>
      </c>
      <c r="Q1704">
        <v>2</v>
      </c>
    </row>
    <row r="1705" spans="5:17" x14ac:dyDescent="0.2">
      <c r="E1705" s="9" t="s">
        <v>24</v>
      </c>
      <c r="K1705" t="str">
        <v>contracts</v>
      </c>
      <c r="L1705" s="4" t="str">
        <f t="shared" si="25"/>
        <v>contracts</v>
      </c>
      <c r="N1705" s="4" cm="1">
        <f t="array" ref="N1705">SUM(--(_xlfn.TEXTSPLIT($J$1387,, " ") = M1705))</f>
        <v>2</v>
      </c>
      <c r="O1705">
        <v>2</v>
      </c>
      <c r="P1705">
        <v>2</v>
      </c>
      <c r="Q1705">
        <v>2</v>
      </c>
    </row>
    <row r="1706" spans="5:17" x14ac:dyDescent="0.2">
      <c r="E1706" s="9" t="s">
        <v>24</v>
      </c>
      <c r="K1706" t="str">
        <v>I</v>
      </c>
      <c r="L1706" s="4" t="str">
        <f t="shared" si="25"/>
        <v>I</v>
      </c>
      <c r="N1706" s="4" cm="1">
        <f t="array" ref="N1706">SUM(--(_xlfn.TEXTSPLIT($J$1387,, " ") = M1706))</f>
        <v>2</v>
      </c>
      <c r="O1706">
        <v>2</v>
      </c>
      <c r="P1706">
        <v>2</v>
      </c>
      <c r="Q1706">
        <v>2</v>
      </c>
    </row>
    <row r="1707" spans="5:17" x14ac:dyDescent="0.2">
      <c r="E1707" s="9" t="s">
        <v>24</v>
      </c>
      <c r="K1707" t="str">
        <v>used</v>
      </c>
      <c r="L1707" s="4" t="str">
        <f t="shared" si="25"/>
        <v>used</v>
      </c>
      <c r="N1707" s="4" cm="1">
        <f t="array" ref="N1707">SUM(--(_xlfn.TEXTSPLIT($J$1387,, " ") = M1707))</f>
        <v>2</v>
      </c>
      <c r="O1707">
        <v>2</v>
      </c>
      <c r="P1707">
        <v>2</v>
      </c>
      <c r="Q1707">
        <v>2</v>
      </c>
    </row>
    <row r="1708" spans="5:17" x14ac:dyDescent="0.2">
      <c r="E1708" s="9" t="s">
        <v>24</v>
      </c>
      <c r="K1708" t="str">
        <v>to</v>
      </c>
      <c r="L1708" s="4" t="str">
        <f t="shared" si="25"/>
        <v>to</v>
      </c>
      <c r="N1708" s="4" cm="1">
        <f t="array" ref="N1708">SUM(--(_xlfn.TEXTSPLIT($J$1387,, " ") = M1708))</f>
        <v>2</v>
      </c>
      <c r="O1708">
        <v>2</v>
      </c>
      <c r="P1708">
        <v>2</v>
      </c>
      <c r="Q1708">
        <v>2</v>
      </c>
    </row>
    <row r="1709" spans="5:17" x14ac:dyDescent="0.2">
      <c r="E1709" s="9" t="s">
        <v>24</v>
      </c>
      <c r="K1709" t="str">
        <v xml:space="preserve">keep
</v>
      </c>
      <c r="L1709" s="4" t="str">
        <f t="shared" ref="L1709:L1772" si="26">_xlfn.REGEXREPLACE(K1709, "[^A-Za-z ]", " ")</f>
        <v xml:space="preserve">keep </v>
      </c>
      <c r="N1709" s="4" cm="1">
        <f t="array" ref="N1709">SUM(--(_xlfn.TEXTSPLIT($J$1387,, " ") = M1709))</f>
        <v>2</v>
      </c>
      <c r="O1709">
        <v>2</v>
      </c>
      <c r="P1709">
        <v>2</v>
      </c>
      <c r="Q1709">
        <v>2</v>
      </c>
    </row>
    <row r="1710" spans="5:17" x14ac:dyDescent="0.2">
      <c r="E1710" s="9" t="s">
        <v>24</v>
      </c>
      <c r="K1710" t="str">
        <v>I</v>
      </c>
      <c r="L1710" s="4" t="str">
        <f t="shared" si="26"/>
        <v>I</v>
      </c>
      <c r="N1710" s="4" cm="1">
        <f t="array" ref="N1710">SUM(--(_xlfn.TEXTSPLIT($J$1387,, " ") = M1710))</f>
        <v>2</v>
      </c>
      <c r="O1710">
        <v>2</v>
      </c>
      <c r="P1710">
        <v>2</v>
      </c>
      <c r="Q1710">
        <v>2</v>
      </c>
    </row>
    <row r="1711" spans="5:17" x14ac:dyDescent="0.2">
      <c r="E1711" s="9" t="s">
        <v>24</v>
      </c>
      <c r="K1711" t="str">
        <v>don't</v>
      </c>
      <c r="L1711" s="4" t="str">
        <f t="shared" si="26"/>
        <v>don t</v>
      </c>
      <c r="N1711" s="4" cm="1">
        <f t="array" ref="N1711">SUM(--(_xlfn.TEXTSPLIT($J$1387,, " ") = M1711))</f>
        <v>2</v>
      </c>
      <c r="O1711">
        <v>2</v>
      </c>
      <c r="P1711">
        <v>2</v>
      </c>
      <c r="Q1711">
        <v>2</v>
      </c>
    </row>
    <row r="1712" spans="5:17" x14ac:dyDescent="0.2">
      <c r="E1712" s="9" t="s">
        <v>24</v>
      </c>
      <c r="K1712" t="str">
        <v>sleep</v>
      </c>
      <c r="L1712" s="4" t="str">
        <f t="shared" si="26"/>
        <v>sleep</v>
      </c>
      <c r="N1712" s="4" cm="1">
        <f t="array" ref="N1712">SUM(--(_xlfn.TEXTSPLIT($J$1387,, " ") = M1712))</f>
        <v>2</v>
      </c>
      <c r="O1712">
        <v>2</v>
      </c>
      <c r="P1712">
        <v>2</v>
      </c>
      <c r="Q1712">
        <v>2</v>
      </c>
    </row>
    <row r="1713" spans="5:17" x14ac:dyDescent="0.2">
      <c r="E1713" s="9" t="s">
        <v>24</v>
      </c>
      <c r="K1713" t="str">
        <v>much,</v>
      </c>
      <c r="L1713" s="4" t="str">
        <f t="shared" si="26"/>
        <v xml:space="preserve">much </v>
      </c>
      <c r="N1713" s="4" cm="1">
        <f t="array" ref="N1713">SUM(--(_xlfn.TEXTSPLIT($J$1387,, " ") = M1713))</f>
        <v>2</v>
      </c>
      <c r="O1713">
        <v>2</v>
      </c>
      <c r="P1713">
        <v>2</v>
      </c>
      <c r="Q1713">
        <v>2</v>
      </c>
    </row>
    <row r="1714" spans="5:17" x14ac:dyDescent="0.2">
      <c r="E1714" s="9" t="s">
        <v>24</v>
      </c>
      <c r="K1714" t="str">
        <v>that's</v>
      </c>
      <c r="L1714" s="4" t="str">
        <f t="shared" si="26"/>
        <v>that s</v>
      </c>
      <c r="N1714" s="4" cm="1">
        <f t="array" ref="N1714">SUM(--(_xlfn.TEXTSPLIT($J$1387,, " ") = M1714))</f>
        <v>2</v>
      </c>
      <c r="O1714">
        <v>2</v>
      </c>
      <c r="P1714">
        <v>2</v>
      </c>
      <c r="Q1714">
        <v>2</v>
      </c>
    </row>
    <row r="1715" spans="5:17" x14ac:dyDescent="0.2">
      <c r="E1715" s="9" t="s">
        <v>24</v>
      </c>
      <c r="K1715" t="str">
        <v>crazy,</v>
      </c>
      <c r="L1715" s="4" t="str">
        <f t="shared" si="26"/>
        <v xml:space="preserve">crazy </v>
      </c>
      <c r="N1715" s="4" cm="1">
        <f t="array" ref="N1715">SUM(--(_xlfn.TEXTSPLIT($J$1387,, " ") = M1715))</f>
        <v>2</v>
      </c>
      <c r="O1715">
        <v>2</v>
      </c>
      <c r="P1715">
        <v>2</v>
      </c>
      <c r="Q1715">
        <v>2</v>
      </c>
    </row>
    <row r="1716" spans="5:17" x14ac:dyDescent="0.2">
      <c r="E1716" s="9" t="s">
        <v>24</v>
      </c>
      <c r="K1716" t="str">
        <v>how'd</v>
      </c>
      <c r="L1716" s="4" t="str">
        <f t="shared" si="26"/>
        <v>how d</v>
      </c>
      <c r="N1716" s="4" cm="1">
        <f t="array" ref="N1716">SUM(--(_xlfn.TEXTSPLIT($J$1387,, " ") = M1716))</f>
        <v>2</v>
      </c>
      <c r="O1716">
        <v>2</v>
      </c>
      <c r="P1716">
        <v>2</v>
      </c>
      <c r="Q1716">
        <v>2</v>
      </c>
    </row>
    <row r="1717" spans="5:17" x14ac:dyDescent="0.2">
      <c r="E1717" s="9" t="s">
        <v>24</v>
      </c>
      <c r="K1717" t="str">
        <v>you</v>
      </c>
      <c r="L1717" s="4" t="str">
        <f t="shared" si="26"/>
        <v>you</v>
      </c>
      <c r="N1717" s="4" cm="1">
        <f t="array" ref="N1717">SUM(--(_xlfn.TEXTSPLIT($J$1387,, " ") = M1717))</f>
        <v>2</v>
      </c>
      <c r="O1717">
        <v>2</v>
      </c>
      <c r="P1717">
        <v>2</v>
      </c>
      <c r="Q1717">
        <v>2</v>
      </c>
    </row>
    <row r="1718" spans="5:17" x14ac:dyDescent="0.2">
      <c r="E1718" s="9" t="s">
        <v>24</v>
      </c>
      <c r="K1718" t="str">
        <v>know</v>
      </c>
      <c r="L1718" s="4" t="str">
        <f t="shared" si="26"/>
        <v>know</v>
      </c>
      <c r="N1718" s="4" cm="1">
        <f t="array" ref="N1718">SUM(--(_xlfn.TEXTSPLIT($J$1387,, " ") = M1718))</f>
        <v>2</v>
      </c>
      <c r="O1718">
        <v>2</v>
      </c>
      <c r="P1718">
        <v>2</v>
      </c>
      <c r="Q1718">
        <v>2</v>
      </c>
    </row>
    <row r="1719" spans="5:17" x14ac:dyDescent="0.2">
      <c r="E1719" s="9" t="s">
        <v>24</v>
      </c>
      <c r="K1719" t="str">
        <v>that?</v>
      </c>
      <c r="L1719" s="4" t="str">
        <f t="shared" si="26"/>
        <v xml:space="preserve">that </v>
      </c>
      <c r="N1719" s="4" cm="1">
        <f t="array" ref="N1719">SUM(--(_xlfn.TEXTSPLIT($J$1387,, " ") = M1719))</f>
        <v>2</v>
      </c>
      <c r="O1719">
        <v>2</v>
      </c>
      <c r="P1719">
        <v>2</v>
      </c>
      <c r="Q1719">
        <v>2</v>
      </c>
    </row>
    <row r="1720" spans="5:17" x14ac:dyDescent="0.2">
      <c r="E1720" s="9" t="s">
        <v>24</v>
      </c>
      <c r="K1720" t="str">
        <v xml:space="preserve">(That)
</v>
      </c>
      <c r="L1720" s="4" t="str">
        <f t="shared" si="26"/>
        <v xml:space="preserve"> That  </v>
      </c>
      <c r="N1720" s="4" cm="1">
        <f t="array" ref="N1720">SUM(--(_xlfn.TEXTSPLIT($J$1387,, " ") = M1720))</f>
        <v>2</v>
      </c>
      <c r="O1720">
        <v>2</v>
      </c>
      <c r="P1720">
        <v>2</v>
      </c>
      <c r="Q1720">
        <v>2</v>
      </c>
    </row>
    <row r="1721" spans="5:17" x14ac:dyDescent="0.2">
      <c r="E1721" s="9" t="s">
        <v>24</v>
      </c>
      <c r="K1721" t="str">
        <v>Keep</v>
      </c>
      <c r="L1721" s="4" t="str">
        <f t="shared" si="26"/>
        <v>Keep</v>
      </c>
      <c r="N1721" s="4" cm="1">
        <f t="array" ref="N1721">SUM(--(_xlfn.TEXTSPLIT($J$1387,, " ") = M1721))</f>
        <v>2</v>
      </c>
      <c r="O1721">
        <v>2</v>
      </c>
      <c r="P1721">
        <v>2</v>
      </c>
      <c r="Q1721">
        <v>2</v>
      </c>
    </row>
    <row r="1722" spans="5:17" x14ac:dyDescent="0.2">
      <c r="E1722" s="9" t="s">
        <v>24</v>
      </c>
      <c r="K1722" t="str">
        <v>myself</v>
      </c>
      <c r="L1722" s="4" t="str">
        <f t="shared" si="26"/>
        <v>myself</v>
      </c>
      <c r="N1722" s="4" cm="1">
        <f t="array" ref="N1722">SUM(--(_xlfn.TEXTSPLIT($J$1387,, " ") = M1722))</f>
        <v>2</v>
      </c>
      <c r="O1722">
        <v>2</v>
      </c>
      <c r="P1722">
        <v>2</v>
      </c>
      <c r="Q1722">
        <v>2</v>
      </c>
    </row>
    <row r="1723" spans="5:17" x14ac:dyDescent="0.2">
      <c r="E1723" s="9" t="s">
        <v>24</v>
      </c>
      <c r="K1723" t="str">
        <v>up,</v>
      </c>
      <c r="L1723" s="4" t="str">
        <f t="shared" si="26"/>
        <v xml:space="preserve">up </v>
      </c>
      <c r="N1723" s="4" cm="1">
        <f t="array" ref="N1723">SUM(--(_xlfn.TEXTSPLIT($J$1387,, " ") = M1723))</f>
        <v>2</v>
      </c>
      <c r="O1723">
        <v>2</v>
      </c>
      <c r="P1723">
        <v>2</v>
      </c>
      <c r="Q1723">
        <v>2</v>
      </c>
    </row>
    <row r="1724" spans="5:17" x14ac:dyDescent="0.2">
      <c r="E1724" s="9" t="s">
        <v>24</v>
      </c>
      <c r="K1724" t="str">
        <v>that's</v>
      </c>
      <c r="L1724" s="4" t="str">
        <f t="shared" si="26"/>
        <v>that s</v>
      </c>
      <c r="N1724" s="4" cm="1">
        <f t="array" ref="N1724">SUM(--(_xlfn.TEXTSPLIT($J$1387,, " ") = M1724))</f>
        <v>2</v>
      </c>
      <c r="O1724">
        <v>2</v>
      </c>
      <c r="P1724">
        <v>2</v>
      </c>
      <c r="Q1724">
        <v>2</v>
      </c>
    </row>
    <row r="1725" spans="5:17" x14ac:dyDescent="0.2">
      <c r="E1725" s="9" t="s">
        <v>24</v>
      </c>
      <c r="K1725" t="str">
        <v>maybe</v>
      </c>
      <c r="L1725" s="4" t="str">
        <f t="shared" si="26"/>
        <v>maybe</v>
      </c>
      <c r="N1725" s="4" cm="1">
        <f t="array" ref="N1725">SUM(--(_xlfn.TEXTSPLIT($J$1387,, " ") = M1725))</f>
        <v>2</v>
      </c>
      <c r="O1725">
        <v>2</v>
      </c>
      <c r="P1725">
        <v>2</v>
      </c>
      <c r="Q1725">
        <v>2</v>
      </c>
    </row>
    <row r="1726" spans="5:17" x14ac:dyDescent="0.2">
      <c r="E1726" s="9" t="s">
        <v>24</v>
      </c>
      <c r="K1726" t="str">
        <v>how</v>
      </c>
      <c r="L1726" s="4" t="str">
        <f t="shared" si="26"/>
        <v>how</v>
      </c>
      <c r="N1726" s="4" cm="1">
        <f t="array" ref="N1726">SUM(--(_xlfn.TEXTSPLIT($J$1387,, " ") = M1726))</f>
        <v>2</v>
      </c>
      <c r="O1726">
        <v>2</v>
      </c>
      <c r="P1726">
        <v>2</v>
      </c>
      <c r="Q1726">
        <v>2</v>
      </c>
    </row>
    <row r="1727" spans="5:17" x14ac:dyDescent="0.2">
      <c r="E1727" s="9" t="s">
        <v>24</v>
      </c>
      <c r="K1727" t="str">
        <v>you</v>
      </c>
      <c r="L1727" s="4" t="str">
        <f t="shared" si="26"/>
        <v>you</v>
      </c>
      <c r="N1727" s="4" cm="1">
        <f t="array" ref="N1727">SUM(--(_xlfn.TEXTSPLIT($J$1387,, " ") = M1727))</f>
        <v>2</v>
      </c>
      <c r="O1727">
        <v>2</v>
      </c>
      <c r="P1727">
        <v>2</v>
      </c>
      <c r="Q1727">
        <v>2</v>
      </c>
    </row>
    <row r="1728" spans="5:17" x14ac:dyDescent="0.2">
      <c r="E1728" s="9" t="s">
        <v>24</v>
      </c>
      <c r="K1728" t="str">
        <v>know</v>
      </c>
      <c r="L1728" s="4" t="str">
        <f t="shared" si="26"/>
        <v>know</v>
      </c>
      <c r="N1728" s="4" cm="1">
        <f t="array" ref="N1728">SUM(--(_xlfn.TEXTSPLIT($J$1387,, " ") = M1728))</f>
        <v>2</v>
      </c>
      <c r="O1728">
        <v>2</v>
      </c>
      <c r="P1728">
        <v>2</v>
      </c>
      <c r="Q1728">
        <v>2</v>
      </c>
    </row>
    <row r="1729" spans="5:17" x14ac:dyDescent="0.2">
      <c r="E1729" s="9" t="s">
        <v>24</v>
      </c>
      <c r="K1729" t="str">
        <v>that</v>
      </c>
      <c r="L1729" s="4" t="str">
        <f t="shared" si="26"/>
        <v>that</v>
      </c>
      <c r="N1729" s="4" cm="1">
        <f t="array" ref="N1729">SUM(--(_xlfn.TEXTSPLIT($J$1387,, " ") = M1729))</f>
        <v>2</v>
      </c>
      <c r="O1729">
        <v>2</v>
      </c>
      <c r="P1729">
        <v>2</v>
      </c>
      <c r="Q1729">
        <v>2</v>
      </c>
    </row>
    <row r="1730" spans="5:17" x14ac:dyDescent="0.2">
      <c r="E1730" s="9" t="s">
        <v>24</v>
      </c>
      <c r="K1730" t="str">
        <v>(That,</v>
      </c>
      <c r="L1730" s="4" t="str">
        <f t="shared" si="26"/>
        <v xml:space="preserve"> That </v>
      </c>
      <c r="N1730" s="4" cm="1">
        <f t="array" ref="N1730">SUM(--(_xlfn.TEXTSPLIT($J$1387,, " ") = M1730))</f>
        <v>2</v>
      </c>
      <c r="O1730">
        <v>2</v>
      </c>
      <c r="P1730">
        <v>2</v>
      </c>
      <c r="Q1730">
        <v>2</v>
      </c>
    </row>
    <row r="1731" spans="5:17" x14ac:dyDescent="0.2">
      <c r="E1731" s="9" t="s">
        <v>24</v>
      </c>
      <c r="K1731" t="str">
        <v xml:space="preserve">that)
</v>
      </c>
      <c r="L1731" s="4" t="str">
        <f t="shared" si="26"/>
        <v xml:space="preserve">that  </v>
      </c>
      <c r="N1731" s="4" cm="1">
        <f t="array" ref="N1731">SUM(--(_xlfn.TEXTSPLIT($J$1387,, " ") = M1731))</f>
        <v>2</v>
      </c>
      <c r="O1731">
        <v>2</v>
      </c>
      <c r="P1731">
        <v>2</v>
      </c>
      <c r="Q1731">
        <v>2</v>
      </c>
    </row>
    <row r="1732" spans="5:17" x14ac:dyDescent="0.2">
      <c r="E1732" s="9" t="s">
        <v>24</v>
      </c>
      <c r="K1732" t="str">
        <v>Ooh,</v>
      </c>
      <c r="L1732" s="4" t="str">
        <f t="shared" si="26"/>
        <v xml:space="preserve">Ooh </v>
      </c>
      <c r="N1732" s="4" cm="1">
        <f t="array" ref="N1732">SUM(--(_xlfn.TEXTSPLIT($J$1387,, " ") = M1732))</f>
        <v>2</v>
      </c>
      <c r="O1732">
        <v>2</v>
      </c>
      <c r="P1732">
        <v>2</v>
      </c>
      <c r="Q1732">
        <v>2</v>
      </c>
    </row>
    <row r="1733" spans="5:17" x14ac:dyDescent="0.2">
      <c r="E1733" s="9" t="s">
        <v>24</v>
      </c>
      <c r="K1733" t="str">
        <v>my</v>
      </c>
      <c r="L1733" s="4" t="str">
        <f t="shared" si="26"/>
        <v>my</v>
      </c>
      <c r="N1733" s="4" cm="1">
        <f t="array" ref="N1733">SUM(--(_xlfn.TEXTSPLIT($J$1387,, " ") = M1733))</f>
        <v>2</v>
      </c>
      <c r="O1733">
        <v>2</v>
      </c>
      <c r="P1733">
        <v>2</v>
      </c>
      <c r="Q1733">
        <v>2</v>
      </c>
    </row>
    <row r="1734" spans="5:17" x14ac:dyDescent="0.2">
      <c r="E1734" s="9" t="s">
        <v>24</v>
      </c>
      <c r="K1734" t="str">
        <v>hallucination</v>
      </c>
      <c r="L1734" s="4" t="str">
        <f t="shared" si="26"/>
        <v>hallucination</v>
      </c>
      <c r="N1734" s="4" cm="1">
        <f t="array" ref="N1734">SUM(--(_xlfn.TEXTSPLIT($J$1387,, " ") = M1734))</f>
        <v>2</v>
      </c>
      <c r="O1734">
        <v>2</v>
      </c>
      <c r="P1734">
        <v>2</v>
      </c>
      <c r="Q1734">
        <v>2</v>
      </c>
    </row>
    <row r="1735" spans="5:17" x14ac:dyDescent="0.2">
      <c r="E1735" s="9" t="s">
        <v>24</v>
      </c>
      <c r="K1735" t="str">
        <v>I</v>
      </c>
      <c r="L1735" s="4" t="str">
        <f t="shared" si="26"/>
        <v>I</v>
      </c>
      <c r="N1735" s="4" cm="1">
        <f t="array" ref="N1735">SUM(--(_xlfn.TEXTSPLIT($J$1387,, " ") = M1735))</f>
        <v>2</v>
      </c>
      <c r="O1735">
        <v>2</v>
      </c>
      <c r="P1735">
        <v>2</v>
      </c>
      <c r="Q1735">
        <v>2</v>
      </c>
    </row>
    <row r="1736" spans="5:17" x14ac:dyDescent="0.2">
      <c r="E1736" s="9" t="s">
        <v>24</v>
      </c>
      <c r="K1736" t="str">
        <v>used</v>
      </c>
      <c r="L1736" s="4" t="str">
        <f t="shared" si="26"/>
        <v>used</v>
      </c>
      <c r="N1736" s="4" cm="1">
        <f t="array" ref="N1736">SUM(--(_xlfn.TEXTSPLIT($J$1387,, " ") = M1736))</f>
        <v>2</v>
      </c>
      <c r="O1736">
        <v>2</v>
      </c>
      <c r="P1736">
        <v>2</v>
      </c>
      <c r="Q1736">
        <v>2</v>
      </c>
    </row>
    <row r="1737" spans="5:17" x14ac:dyDescent="0.2">
      <c r="E1737" s="9" t="s">
        <v>24</v>
      </c>
      <c r="K1737" t="str">
        <v>to</v>
      </c>
      <c r="L1737" s="4" t="str">
        <f t="shared" si="26"/>
        <v>to</v>
      </c>
      <c r="N1737" s="4" cm="1">
        <f t="array" ref="N1737">SUM(--(_xlfn.TEXTSPLIT($J$1387,, " ") = M1737))</f>
        <v>2</v>
      </c>
      <c r="O1737">
        <v>2</v>
      </c>
      <c r="P1737">
        <v>2</v>
      </c>
      <c r="Q1737">
        <v>2</v>
      </c>
    </row>
    <row r="1738" spans="5:17" x14ac:dyDescent="0.2">
      <c r="E1738" s="9" t="s">
        <v>24</v>
      </c>
      <c r="K1738" t="str">
        <v xml:space="preserve">see
</v>
      </c>
      <c r="L1738" s="4" t="str">
        <f t="shared" si="26"/>
        <v xml:space="preserve">see  </v>
      </c>
      <c r="N1738" s="4" cm="1">
        <f t="array" ref="N1738">SUM(--(_xlfn.TEXTSPLIT($J$1387,, " ") = M1738))</f>
        <v>2</v>
      </c>
      <c r="O1738">
        <v>2</v>
      </c>
      <c r="P1738">
        <v>2</v>
      </c>
      <c r="Q1738">
        <v>2</v>
      </c>
    </row>
    <row r="1739" spans="5:17" x14ac:dyDescent="0.2">
      <c r="E1739" s="9" t="s">
        <v>24</v>
      </c>
      <c r="K1739" t="str">
        <v>I</v>
      </c>
      <c r="L1739" s="4" t="str">
        <f t="shared" si="26"/>
        <v>I</v>
      </c>
      <c r="N1739" s="4" cm="1">
        <f t="array" ref="N1739">SUM(--(_xlfn.TEXTSPLIT($J$1387,, " ") = M1739))</f>
        <v>2</v>
      </c>
      <c r="O1739">
        <v>2</v>
      </c>
      <c r="P1739">
        <v>2</v>
      </c>
      <c r="Q1739">
        <v>2</v>
      </c>
    </row>
    <row r="1740" spans="5:17" x14ac:dyDescent="0.2">
      <c r="E1740" s="9" t="s">
        <v>24</v>
      </c>
      <c r="K1740" t="str">
        <v>used</v>
      </c>
      <c r="L1740" s="4" t="str">
        <f t="shared" si="26"/>
        <v>used</v>
      </c>
      <c r="N1740" s="4" cm="1">
        <f t="array" ref="N1740">SUM(--(_xlfn.TEXTSPLIT($J$1387,, " ") = M1740))</f>
        <v>2</v>
      </c>
      <c r="O1740">
        <v>1</v>
      </c>
      <c r="P1740">
        <v>2</v>
      </c>
      <c r="Q1740">
        <v>1</v>
      </c>
    </row>
    <row r="1741" spans="5:17" x14ac:dyDescent="0.2">
      <c r="E1741" s="9" t="s">
        <v>24</v>
      </c>
      <c r="K1741" t="str">
        <v>to</v>
      </c>
      <c r="L1741" s="4" t="str">
        <f t="shared" si="26"/>
        <v>to</v>
      </c>
      <c r="N1741" s="4" cm="1">
        <f t="array" ref="N1741">SUM(--(_xlfn.TEXTSPLIT($J$1387,, " ") = M1741))</f>
        <v>2</v>
      </c>
      <c r="O1741">
        <v>1</v>
      </c>
      <c r="P1741">
        <v>2</v>
      </c>
      <c r="Q1741">
        <v>1</v>
      </c>
    </row>
    <row r="1742" spans="5:17" x14ac:dyDescent="0.2">
      <c r="E1742" s="9" t="s">
        <v>24</v>
      </c>
      <c r="K1742" t="str">
        <v xml:space="preserve">see
</v>
      </c>
      <c r="L1742" s="4" t="str">
        <f t="shared" si="26"/>
        <v xml:space="preserve">see </v>
      </c>
      <c r="N1742" s="4" cm="1">
        <f t="array" ref="N1742">SUM(--(_xlfn.TEXTSPLIT($J$1387,, " ") = M1742))</f>
        <v>2</v>
      </c>
      <c r="O1742">
        <v>1</v>
      </c>
      <c r="P1742">
        <v>2</v>
      </c>
      <c r="Q1742">
        <v>1</v>
      </c>
    </row>
    <row r="1743" spans="5:17" x14ac:dyDescent="0.2">
      <c r="E1743" s="9" t="s">
        <v>24</v>
      </c>
      <c r="K1743" t="str">
        <v>I</v>
      </c>
      <c r="L1743" s="4" t="str">
        <f t="shared" si="26"/>
        <v>I</v>
      </c>
      <c r="N1743" s="4" cm="1">
        <f t="array" ref="N1743">SUM(--(_xlfn.TEXTSPLIT($J$1387,, " ") = M1743))</f>
        <v>2</v>
      </c>
      <c r="O1743">
        <v>1</v>
      </c>
      <c r="P1743">
        <v>2</v>
      </c>
      <c r="Q1743">
        <v>1</v>
      </c>
    </row>
    <row r="1744" spans="5:17" x14ac:dyDescent="0.2">
      <c r="E1744" s="9" t="s">
        <v>24</v>
      </c>
      <c r="K1744" t="str">
        <v>used</v>
      </c>
      <c r="L1744" s="4" t="str">
        <f t="shared" si="26"/>
        <v>used</v>
      </c>
      <c r="N1744" s="4" cm="1">
        <f t="array" ref="N1744">SUM(--(_xlfn.TEXTSPLIT($J$1387,, " ") = M1744))</f>
        <v>2</v>
      </c>
      <c r="O1744">
        <v>1</v>
      </c>
      <c r="P1744">
        <v>2</v>
      </c>
      <c r="Q1744">
        <v>1</v>
      </c>
    </row>
    <row r="1745" spans="5:17" x14ac:dyDescent="0.2">
      <c r="E1745" s="9" t="s">
        <v>24</v>
      </c>
      <c r="K1745" t="str">
        <v>to</v>
      </c>
      <c r="L1745" s="4" t="str">
        <f t="shared" si="26"/>
        <v>to</v>
      </c>
      <c r="N1745" s="4" cm="1">
        <f t="array" ref="N1745">SUM(--(_xlfn.TEXTSPLIT($J$1387,, " ") = M1745))</f>
        <v>2</v>
      </c>
      <c r="O1745">
        <v>1</v>
      </c>
      <c r="P1745">
        <v>2</v>
      </c>
      <c r="Q1745">
        <v>1</v>
      </c>
    </row>
    <row r="1746" spans="5:17" x14ac:dyDescent="0.2">
      <c r="E1746" s="9" t="s">
        <v>24</v>
      </c>
      <c r="K1746" t="str">
        <v xml:space="preserve">see
</v>
      </c>
      <c r="L1746" s="4" t="str">
        <f t="shared" si="26"/>
        <v xml:space="preserve">see </v>
      </c>
      <c r="N1746" s="4" cm="1">
        <f t="array" ref="N1746">SUM(--(_xlfn.TEXTSPLIT($J$1387,, " ") = M1746))</f>
        <v>2</v>
      </c>
      <c r="O1746">
        <v>1</v>
      </c>
      <c r="P1746">
        <v>2</v>
      </c>
      <c r="Q1746">
        <v>1</v>
      </c>
    </row>
    <row r="1747" spans="5:17" x14ac:dyDescent="0.2">
      <c r="E1747" s="9" t="s">
        <v>24</v>
      </c>
      <c r="K1747" t="str">
        <v>Ooh,</v>
      </c>
      <c r="L1747" s="4" t="str">
        <f t="shared" si="26"/>
        <v xml:space="preserve">Ooh </v>
      </c>
      <c r="N1747" s="4" cm="1">
        <f t="array" ref="N1747">SUM(--(_xlfn.TEXTSPLIT($J$1387,, " ") = M1747))</f>
        <v>2</v>
      </c>
      <c r="O1747">
        <v>1</v>
      </c>
      <c r="P1747">
        <v>2</v>
      </c>
      <c r="Q1747">
        <v>1</v>
      </c>
    </row>
    <row r="1748" spans="5:17" x14ac:dyDescent="0.2">
      <c r="E1748" s="9" t="s">
        <v>24</v>
      </c>
      <c r="K1748" t="str">
        <v>my</v>
      </c>
      <c r="L1748" s="4" t="str">
        <f t="shared" si="26"/>
        <v>my</v>
      </c>
      <c r="N1748" s="4" cm="1">
        <f t="array" ref="N1748">SUM(--(_xlfn.TEXTSPLIT($J$1387,, " ") = M1748))</f>
        <v>2</v>
      </c>
      <c r="O1748">
        <v>1</v>
      </c>
      <c r="P1748">
        <v>2</v>
      </c>
      <c r="Q1748">
        <v>1</v>
      </c>
    </row>
    <row r="1749" spans="5:17" x14ac:dyDescent="0.2">
      <c r="E1749" s="9" t="s">
        <v>24</v>
      </c>
      <c r="K1749" t="str">
        <v>hallucination</v>
      </c>
      <c r="L1749" s="4" t="str">
        <f t="shared" si="26"/>
        <v>hallucination</v>
      </c>
      <c r="N1749" s="4" cm="1">
        <f t="array" ref="N1749">SUM(--(_xlfn.TEXTSPLIT($J$1387,, " ") = M1749))</f>
        <v>2</v>
      </c>
      <c r="O1749">
        <v>1</v>
      </c>
      <c r="P1749">
        <v>2</v>
      </c>
      <c r="Q1749">
        <v>1</v>
      </c>
    </row>
    <row r="1750" spans="5:17" x14ac:dyDescent="0.2">
      <c r="E1750" s="9" t="s">
        <v>24</v>
      </c>
      <c r="K1750" t="str">
        <v>I</v>
      </c>
      <c r="L1750" s="4" t="str">
        <f t="shared" si="26"/>
        <v>I</v>
      </c>
      <c r="N1750" s="4" cm="1">
        <f t="array" ref="N1750">SUM(--(_xlfn.TEXTSPLIT($J$1387,, " ") = M1750))</f>
        <v>2</v>
      </c>
      <c r="O1750">
        <v>1</v>
      </c>
      <c r="P1750">
        <v>2</v>
      </c>
      <c r="Q1750">
        <v>1</v>
      </c>
    </row>
    <row r="1751" spans="5:17" x14ac:dyDescent="0.2">
      <c r="E1751" s="9" t="s">
        <v>24</v>
      </c>
      <c r="K1751" t="str">
        <v>used</v>
      </c>
      <c r="L1751" s="4" t="str">
        <f t="shared" si="26"/>
        <v>used</v>
      </c>
      <c r="N1751" s="4" cm="1">
        <f t="array" ref="N1751">SUM(--(_xlfn.TEXTSPLIT($J$1387,, " ") = M1751))</f>
        <v>2</v>
      </c>
      <c r="O1751">
        <v>1</v>
      </c>
      <c r="P1751">
        <v>2</v>
      </c>
      <c r="Q1751">
        <v>1</v>
      </c>
    </row>
    <row r="1752" spans="5:17" x14ac:dyDescent="0.2">
      <c r="E1752" s="9" t="s">
        <v>24</v>
      </c>
      <c r="K1752" t="str">
        <v>to</v>
      </c>
      <c r="L1752" s="4" t="str">
        <f t="shared" si="26"/>
        <v>to</v>
      </c>
      <c r="N1752" s="4" cm="1">
        <f t="array" ref="N1752">SUM(--(_xlfn.TEXTSPLIT($J$1387,, " ") = M1752))</f>
        <v>2</v>
      </c>
      <c r="O1752">
        <v>1</v>
      </c>
      <c r="P1752">
        <v>2</v>
      </c>
      <c r="Q1752">
        <v>1</v>
      </c>
    </row>
    <row r="1753" spans="5:17" x14ac:dyDescent="0.2">
      <c r="E1753" s="9" t="s">
        <v>24</v>
      </c>
      <c r="K1753" t="str">
        <v xml:space="preserve">see
</v>
      </c>
      <c r="L1753" s="4" t="str">
        <f t="shared" si="26"/>
        <v xml:space="preserve">see  </v>
      </c>
      <c r="N1753" s="4" cm="1">
        <f t="array" ref="N1753">SUM(--(_xlfn.TEXTSPLIT($J$1387,, " ") = M1753))</f>
        <v>2</v>
      </c>
      <c r="O1753">
        <v>1</v>
      </c>
      <c r="P1753">
        <v>2</v>
      </c>
      <c r="Q1753">
        <v>1</v>
      </c>
    </row>
    <row r="1754" spans="5:17" x14ac:dyDescent="0.2">
      <c r="E1754" s="9" t="s">
        <v>24</v>
      </c>
      <c r="K1754" t="str">
        <v>I</v>
      </c>
      <c r="L1754" s="4" t="str">
        <f t="shared" si="26"/>
        <v>I</v>
      </c>
      <c r="N1754" s="4" cm="1">
        <f t="array" ref="N1754">SUM(--(_xlfn.TEXTSPLIT($J$1387,, " ") = M1754))</f>
        <v>2</v>
      </c>
      <c r="O1754">
        <v>1</v>
      </c>
      <c r="P1754">
        <v>2</v>
      </c>
      <c r="Q1754">
        <v>1</v>
      </c>
    </row>
    <row r="1755" spans="5:17" x14ac:dyDescent="0.2">
      <c r="E1755" s="9" t="s">
        <v>24</v>
      </c>
      <c r="K1755" t="str">
        <v>used</v>
      </c>
      <c r="L1755" s="4" t="str">
        <f t="shared" si="26"/>
        <v>used</v>
      </c>
      <c r="N1755" s="4" cm="1">
        <f t="array" ref="N1755">SUM(--(_xlfn.TEXTSPLIT($J$1387,, " ") = M1755))</f>
        <v>2</v>
      </c>
      <c r="O1755">
        <v>1</v>
      </c>
      <c r="P1755">
        <v>2</v>
      </c>
      <c r="Q1755">
        <v>1</v>
      </c>
    </row>
    <row r="1756" spans="5:17" x14ac:dyDescent="0.2">
      <c r="E1756" s="9" t="s">
        <v>24</v>
      </c>
      <c r="K1756" t="str">
        <v>to</v>
      </c>
      <c r="L1756" s="4" t="str">
        <f t="shared" si="26"/>
        <v>to</v>
      </c>
      <c r="N1756" s="4" cm="1">
        <f t="array" ref="N1756">SUM(--(_xlfn.TEXTSPLIT($J$1387,, " ") = M1756))</f>
        <v>2</v>
      </c>
      <c r="O1756">
        <v>1</v>
      </c>
      <c r="P1756">
        <v>2</v>
      </c>
      <c r="Q1756">
        <v>1</v>
      </c>
    </row>
    <row r="1757" spans="5:17" x14ac:dyDescent="0.2">
      <c r="E1757" s="9" t="s">
        <v>24</v>
      </c>
      <c r="K1757" t="str">
        <v>see,</v>
      </c>
      <c r="L1757" s="4" t="str">
        <f t="shared" si="26"/>
        <v xml:space="preserve">see </v>
      </c>
      <c r="N1757" s="4" cm="1">
        <f t="array" ref="N1757">SUM(--(_xlfn.TEXTSPLIT($J$1387,, " ") = M1757))</f>
        <v>2</v>
      </c>
      <c r="O1757">
        <v>1</v>
      </c>
      <c r="P1757">
        <v>2</v>
      </c>
      <c r="Q1757">
        <v>1</v>
      </c>
    </row>
    <row r="1758" spans="5:17" x14ac:dyDescent="0.2">
      <c r="E1758" s="9" t="s">
        <v>24</v>
      </c>
      <c r="K1758" t="str">
        <v>it</v>
      </c>
      <c r="L1758" s="4" t="str">
        <f t="shared" si="26"/>
        <v>it</v>
      </c>
      <c r="N1758" s="4" cm="1">
        <f t="array" ref="N1758">SUM(--(_xlfn.TEXTSPLIT($J$1387,, " ") = M1758))</f>
        <v>2</v>
      </c>
      <c r="O1758">
        <v>1</v>
      </c>
      <c r="P1758">
        <v>2</v>
      </c>
      <c r="Q1758">
        <v>1</v>
      </c>
    </row>
    <row r="1759" spans="5:17" x14ac:dyDescent="0.2">
      <c r="E1759" s="9" t="s">
        <v>24</v>
      </c>
      <c r="K1759" t="str">
        <v>felt</v>
      </c>
      <c r="L1759" s="4" t="str">
        <f t="shared" si="26"/>
        <v>felt</v>
      </c>
      <c r="N1759" s="4" cm="1">
        <f t="array" ref="N1759">SUM(--(_xlfn.TEXTSPLIT($J$1387,, " ") = M1759))</f>
        <v>2</v>
      </c>
      <c r="O1759">
        <v>1</v>
      </c>
      <c r="P1759">
        <v>2</v>
      </c>
      <c r="Q1759">
        <v>1</v>
      </c>
    </row>
    <row r="1760" spans="5:17" x14ac:dyDescent="0.2">
      <c r="E1760" s="9" t="s">
        <v>24</v>
      </c>
      <c r="K1760" t="str">
        <v>so</v>
      </c>
      <c r="L1760" s="4" t="str">
        <f t="shared" si="26"/>
        <v>so</v>
      </c>
      <c r="N1760" s="4" cm="1">
        <f t="array" ref="N1760">SUM(--(_xlfn.TEXTSPLIT($J$1387,, " ") = M1760))</f>
        <v>2</v>
      </c>
      <c r="O1760">
        <v>1</v>
      </c>
      <c r="P1760">
        <v>2</v>
      </c>
      <c r="Q1760">
        <v>1</v>
      </c>
    </row>
    <row r="1761" spans="5:17" x14ac:dyDescent="0.2">
      <c r="E1761" s="9" t="s">
        <v>24</v>
      </c>
      <c r="K1761" t="str">
        <v xml:space="preserve">real
</v>
      </c>
      <c r="L1761" s="4" t="str">
        <f t="shared" si="26"/>
        <v xml:space="preserve">real </v>
      </c>
      <c r="N1761" s="4" cm="1">
        <f t="array" ref="N1761">SUM(--(_xlfn.TEXTSPLIT($J$1387,, " ") = M1761))</f>
        <v>2</v>
      </c>
      <c r="O1761">
        <v>1</v>
      </c>
      <c r="P1761">
        <v>2</v>
      </c>
      <c r="Q1761">
        <v>1</v>
      </c>
    </row>
    <row r="1762" spans="5:17" x14ac:dyDescent="0.2">
      <c r="E1762" s="9" t="s">
        <v>24</v>
      </c>
      <c r="K1762" t="str">
        <v>But</v>
      </c>
      <c r="L1762" s="4" t="str">
        <f t="shared" si="26"/>
        <v>But</v>
      </c>
      <c r="N1762" s="4" cm="1">
        <f t="array" ref="N1762">SUM(--(_xlfn.TEXTSPLIT($J$1387,, " ") = M1762))</f>
        <v>2</v>
      </c>
      <c r="O1762">
        <v>1</v>
      </c>
      <c r="P1762">
        <v>2</v>
      </c>
      <c r="Q1762">
        <v>1</v>
      </c>
    </row>
    <row r="1763" spans="5:17" x14ac:dyDescent="0.2">
      <c r="E1763" s="9" t="s">
        <v>24</v>
      </c>
      <c r="K1763" t="str">
        <v>now</v>
      </c>
      <c r="L1763" s="4" t="str">
        <f t="shared" si="26"/>
        <v>now</v>
      </c>
      <c r="N1763" s="4" cm="1">
        <f t="array" ref="N1763">SUM(--(_xlfn.TEXTSPLIT($J$1387,, " ") = M1763))</f>
        <v>2</v>
      </c>
      <c r="O1763">
        <v>1</v>
      </c>
      <c r="P1763">
        <v>2</v>
      </c>
      <c r="Q1763">
        <v>1</v>
      </c>
    </row>
    <row r="1764" spans="5:17" x14ac:dyDescent="0.2">
      <c r="E1764" s="9" t="s">
        <v>24</v>
      </c>
      <c r="K1764" t="str">
        <v>I</v>
      </c>
      <c r="L1764" s="4" t="str">
        <f t="shared" si="26"/>
        <v>I</v>
      </c>
      <c r="N1764" s="4" cm="1">
        <f t="array" ref="N1764">SUM(--(_xlfn.TEXTSPLIT($J$1387,, " ") = M1764))</f>
        <v>2</v>
      </c>
      <c r="O1764">
        <v>1</v>
      </c>
      <c r="P1764">
        <v>2</v>
      </c>
      <c r="Q1764">
        <v>1</v>
      </c>
    </row>
    <row r="1765" spans="5:17" x14ac:dyDescent="0.2">
      <c r="E1765" s="9" t="s">
        <v>24</v>
      </c>
      <c r="K1765" t="str">
        <v>plead,</v>
      </c>
      <c r="L1765" s="4" t="str">
        <f t="shared" si="26"/>
        <v xml:space="preserve">plead </v>
      </c>
      <c r="N1765" s="4" cm="1">
        <f t="array" ref="N1765">SUM(--(_xlfn.TEXTSPLIT($J$1387,, " ") = M1765))</f>
        <v>2</v>
      </c>
      <c r="O1765">
        <v>1</v>
      </c>
      <c r="P1765">
        <v>2</v>
      </c>
      <c r="Q1765">
        <v>1</v>
      </c>
    </row>
    <row r="1766" spans="5:17" x14ac:dyDescent="0.2">
      <c r="E1766" s="9" t="s">
        <v>24</v>
      </c>
      <c r="K1766" t="str">
        <v>just</v>
      </c>
      <c r="L1766" s="4" t="str">
        <f t="shared" si="26"/>
        <v>just</v>
      </c>
      <c r="N1766" s="4" cm="1">
        <f t="array" ref="N1766">SUM(--(_xlfn.TEXTSPLIT($J$1387,, " ") = M1766))</f>
        <v>2</v>
      </c>
      <c r="O1766">
        <v>1</v>
      </c>
      <c r="P1766">
        <v>2</v>
      </c>
      <c r="Q1766">
        <v>1</v>
      </c>
    </row>
    <row r="1767" spans="5:17" x14ac:dyDescent="0.2">
      <c r="E1767" s="9" t="s">
        <v>24</v>
      </c>
      <c r="K1767" t="str">
        <v>take</v>
      </c>
      <c r="L1767" s="4" t="str">
        <f t="shared" si="26"/>
        <v>take</v>
      </c>
      <c r="N1767" s="4" cm="1">
        <f t="array" ref="N1767">SUM(--(_xlfn.TEXTSPLIT($J$1387,, " ") = M1767))</f>
        <v>2</v>
      </c>
      <c r="O1767">
        <v>1</v>
      </c>
      <c r="P1767">
        <v>2</v>
      </c>
      <c r="Q1767">
        <v>1</v>
      </c>
    </row>
    <row r="1768" spans="5:17" x14ac:dyDescent="0.2">
      <c r="E1768" s="9" t="s">
        <v>24</v>
      </c>
      <c r="K1768" t="str">
        <v>the</v>
      </c>
      <c r="L1768" s="4" t="str">
        <f t="shared" si="26"/>
        <v>the</v>
      </c>
      <c r="N1768" s="4" cm="1">
        <f t="array" ref="N1768">SUM(--(_xlfn.TEXTSPLIT($J$1387,, " ") = M1768))</f>
        <v>2</v>
      </c>
      <c r="O1768">
        <v>1</v>
      </c>
      <c r="P1768">
        <v>2</v>
      </c>
      <c r="Q1768">
        <v>1</v>
      </c>
    </row>
    <row r="1769" spans="5:17" x14ac:dyDescent="0.2">
      <c r="E1769" s="9" t="s">
        <v>24</v>
      </c>
      <c r="K1769" t="str">
        <v xml:space="preserve">deal
</v>
      </c>
      <c r="L1769" s="4" t="str">
        <f t="shared" si="26"/>
        <v xml:space="preserve">deal </v>
      </c>
      <c r="N1769" s="4" cm="1">
        <f t="array" ref="N1769">SUM(--(_xlfn.TEXTSPLIT($J$1387,, " ") = M1769))</f>
        <v>2</v>
      </c>
      <c r="O1769">
        <v>1</v>
      </c>
      <c r="P1769">
        <v>2</v>
      </c>
      <c r="Q1769">
        <v>1</v>
      </c>
    </row>
    <row r="1770" spans="5:17" x14ac:dyDescent="0.2">
      <c r="E1770" s="9" t="s">
        <v>24</v>
      </c>
      <c r="K1770" t="str">
        <v>I</v>
      </c>
      <c r="L1770" s="4" t="str">
        <f t="shared" si="26"/>
        <v>I</v>
      </c>
      <c r="N1770" s="4" cm="1">
        <f t="array" ref="N1770">SUM(--(_xlfn.TEXTSPLIT($J$1387,, " ") = M1770))</f>
        <v>2</v>
      </c>
      <c r="O1770">
        <v>1</v>
      </c>
      <c r="P1770">
        <v>2</v>
      </c>
      <c r="Q1770">
        <v>1</v>
      </c>
    </row>
    <row r="1771" spans="5:17" x14ac:dyDescent="0.2">
      <c r="E1771" s="9" t="s">
        <v>24</v>
      </c>
      <c r="K1771" t="str">
        <v>promised</v>
      </c>
      <c r="L1771" s="4" t="str">
        <f t="shared" si="26"/>
        <v>promised</v>
      </c>
      <c r="N1771" s="4" cm="1">
        <f t="array" ref="N1771">SUM(--(_xlfn.TEXTSPLIT($J$1387,, " ") = M1771))</f>
        <v>2</v>
      </c>
      <c r="O1771">
        <v>1</v>
      </c>
      <c r="P1771">
        <v>2</v>
      </c>
      <c r="Q1771">
        <v>1</v>
      </c>
    </row>
    <row r="1772" spans="5:17" x14ac:dyDescent="0.2">
      <c r="E1772" s="9" t="s">
        <v>24</v>
      </c>
      <c r="K1772" t="str">
        <v>you</v>
      </c>
      <c r="L1772" s="4" t="str">
        <f t="shared" si="26"/>
        <v>you</v>
      </c>
      <c r="N1772" s="4" cm="1">
        <f t="array" ref="N1772">SUM(--(_xlfn.TEXTSPLIT($J$1387,, " ") = M1772))</f>
        <v>2</v>
      </c>
      <c r="O1772">
        <v>1</v>
      </c>
      <c r="P1772">
        <v>2</v>
      </c>
      <c r="Q1772">
        <v>1</v>
      </c>
    </row>
    <row r="1773" spans="5:17" x14ac:dyDescent="0.2">
      <c r="E1773" s="9" t="s">
        <v>24</v>
      </c>
      <c r="K1773" t="str">
        <v>a</v>
      </c>
      <c r="L1773" s="4" t="str">
        <f t="shared" ref="L1773:L1779" si="27">_xlfn.REGEXREPLACE(K1773, "[^A-Za-z ]", " ")</f>
        <v>a</v>
      </c>
      <c r="N1773" s="4" cm="1">
        <f t="array" ref="N1773">SUM(--(_xlfn.TEXTSPLIT($J$1387,, " ") = M1773))</f>
        <v>2</v>
      </c>
      <c r="O1773">
        <v>1</v>
      </c>
      <c r="P1773">
        <v>2</v>
      </c>
      <c r="Q1773">
        <v>1</v>
      </c>
    </row>
    <row r="1774" spans="5:17" x14ac:dyDescent="0.2">
      <c r="E1774" s="9" t="s">
        <v>24</v>
      </c>
      <c r="K1774" t="str">
        <v xml:space="preserve">contract
</v>
      </c>
      <c r="L1774" s="4" t="str">
        <f t="shared" si="27"/>
        <v xml:space="preserve">contract </v>
      </c>
      <c r="N1774" s="4" cm="1">
        <f t="array" ref="N1774">SUM(--(_xlfn.TEXTSPLIT($J$1387,, " ") = M1774))</f>
        <v>2</v>
      </c>
      <c r="O1774">
        <v>1</v>
      </c>
      <c r="P1774">
        <v>2</v>
      </c>
      <c r="Q1774">
        <v>1</v>
      </c>
    </row>
    <row r="1775" spans="5:17" x14ac:dyDescent="0.2">
      <c r="E1775" s="9" t="s">
        <v>24</v>
      </c>
      <c r="K1775" t="str">
        <v>I</v>
      </c>
      <c r="L1775" s="4" t="str">
        <f t="shared" si="27"/>
        <v>I</v>
      </c>
      <c r="N1775" s="4" cm="1">
        <f t="array" ref="N1775">SUM(--(_xlfn.TEXTSPLIT($J$1387,, " ") = M1775))</f>
        <v>2</v>
      </c>
      <c r="O1775">
        <v>1</v>
      </c>
      <c r="P1775">
        <v>2</v>
      </c>
      <c r="Q1775">
        <v>1</v>
      </c>
    </row>
    <row r="1776" spans="5:17" x14ac:dyDescent="0.2">
      <c r="E1776" s="9" t="s">
        <v>24</v>
      </c>
      <c r="K1776" t="str">
        <v>promised</v>
      </c>
      <c r="L1776" s="4" t="str">
        <f t="shared" si="27"/>
        <v>promised</v>
      </c>
      <c r="N1776" s="4" cm="1">
        <f t="array" ref="N1776">SUM(--(_xlfn.TEXTSPLIT($J$1387,, " ") = M1776))</f>
        <v>2</v>
      </c>
      <c r="O1776">
        <v>1</v>
      </c>
      <c r="P1776">
        <v>2</v>
      </c>
      <c r="Q1776">
        <v>1</v>
      </c>
    </row>
    <row r="1777" spans="1:19" x14ac:dyDescent="0.2">
      <c r="E1777" s="9" t="s">
        <v>24</v>
      </c>
      <c r="K1777" t="str">
        <v>you</v>
      </c>
      <c r="L1777" s="4" t="str">
        <f t="shared" si="27"/>
        <v>you</v>
      </c>
      <c r="N1777" s="4" cm="1">
        <f t="array" ref="N1777">SUM(--(_xlfn.TEXTSPLIT($J$1387,, " ") = M1777))</f>
        <v>2</v>
      </c>
      <c r="O1777">
        <v>1</v>
      </c>
      <c r="P1777">
        <v>2</v>
      </c>
      <c r="Q1777">
        <v>1</v>
      </c>
    </row>
    <row r="1778" spans="1:19" x14ac:dyDescent="0.2">
      <c r="E1778" s="9" t="s">
        <v>24</v>
      </c>
      <c r="K1778" t="str">
        <v>a</v>
      </c>
      <c r="L1778" s="4" t="str">
        <f t="shared" si="27"/>
        <v>a</v>
      </c>
      <c r="N1778" s="4" cm="1">
        <f t="array" ref="N1778">SUM(--(_xlfn.TEXTSPLIT($J$1387,, " ") = M1778))</f>
        <v>2</v>
      </c>
      <c r="O1778">
        <v>1</v>
      </c>
      <c r="P1778">
        <v>2</v>
      </c>
      <c r="Q1778">
        <v>1</v>
      </c>
    </row>
    <row r="1779" spans="1:19" x14ac:dyDescent="0.2">
      <c r="E1779" s="9" t="s">
        <v>24</v>
      </c>
      <c r="K1779" t="str">
        <v>contract</v>
      </c>
      <c r="L1779" s="4" t="str">
        <f t="shared" si="27"/>
        <v>contract</v>
      </c>
      <c r="N1779" s="4" cm="1">
        <f t="array" ref="N1779">SUM(--(_xlfn.TEXTSPLIT($J$1387,, " ") = M1779))</f>
        <v>2</v>
      </c>
      <c r="O1779">
        <v>1</v>
      </c>
      <c r="P1779">
        <v>2</v>
      </c>
      <c r="Q1779">
        <v>1</v>
      </c>
    </row>
    <row r="1780" spans="1:19" s="4" customFormat="1" x14ac:dyDescent="0.2">
      <c r="A1780" s="4">
        <v>6</v>
      </c>
      <c r="B1780" s="5">
        <v>45912</v>
      </c>
      <c r="C1780" s="6">
        <v>0.22638888888888889</v>
      </c>
      <c r="D1780" s="7">
        <v>326</v>
      </c>
      <c r="E1780" s="9" t="s">
        <v>26</v>
      </c>
      <c r="F1780" s="4">
        <v>6</v>
      </c>
      <c r="G1780" s="8" t="s">
        <v>15</v>
      </c>
      <c r="H1780" s="9" t="s">
        <v>27</v>
      </c>
      <c r="I1780" s="4">
        <v>1</v>
      </c>
      <c r="J1780" s="4" t="str">
        <f>_xlfn.TEXTJOIN(" ", TRUE, H1780:H2230)</f>
        <v xml:space="preserve"> You-ooh-ooh can have all I've made and all I've ever known
 You-ooh-ooh can have both my lungs if you ask me so
 Cause I-I-I want to be the one after your own heart
 And I-I-I might doubt the process like I doubted the start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Feeling like I'm nothing
 Feeling like I'm run down
 Was afraid of nothing
 Now I'm just ashamed how
 I hide my face from you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Oh, what have I become?
 Dirty and wretched one
 Am I unholy man?
 Have I forced your hand?
 Oh, woah-oh, woah-oh, mercy, yeah
 Oh, woah-oh, woah-oh, mercy, yeah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Downstairs (You can have), I feel better in the cellar (All I've made)
 Down there, need some shelter from the weather (All I've ever known)
 I wear (You can have) all of my heart on my sleeve (Both my lungs)
 I'll take what I believe, and I'm hiding it, yeah (If you ask me so, oh)
 And I'm hiding it, yeah ('Cause I want to be the one)
 And I'm hiding it, yeah (After your own heart)
 And I'm hiding it, yeah, oh (And I might doubt the process like I doubted the start)
 You can have all I've made and all I've ever known
 You can have both my lungs if you ask me so
 Cause I want to be the one after your own heart
 And I might doubt the process like I doubt the start</v>
      </c>
      <c r="K1780" s="4" t="str" cm="1">
        <f t="array" ref="K1780:K2231">_xlfn.TEXTSPLIT(J1780, ," ")</f>
        <v/>
      </c>
      <c r="L1780" s="4" t="str">
        <f>_xlfn.REGEXREPLACE(K1780, "[^A-Za-z ]", " ")</f>
        <v/>
      </c>
      <c r="M1780" s="4" t="str" cm="1">
        <f t="array" ref="M1780:M1899">_xlfn.UNIQUE(_xlfn.TEXTSPLIT(J1780, , " "))</f>
        <v/>
      </c>
      <c r="N1780" s="4" cm="1">
        <f t="array" ref="N1780">SUM(--(_xlfn.TEXTSPLIT($J$1780,, " ") = M1780))</f>
        <v>1</v>
      </c>
      <c r="O1780" cm="1">
        <f t="array" ref="O1780:O2231">_xlfn._xlws.SORT(N1780:N2231,, -1)</f>
        <v>31</v>
      </c>
      <c r="P1780" s="4" cm="1">
        <f t="array" ref="P1780:Q2231">_xlfn.SORTBY(N1780:O2231, O1780:O2231, -1)</f>
        <v>1</v>
      </c>
      <c r="Q1780" s="4">
        <v>31</v>
      </c>
      <c r="S1780" s="4" cm="1">
        <f t="array" ref="S1780">SUM(--(_xlfn.TEXTSPLIT($J$2,, " ") = R1780))</f>
        <v>4</v>
      </c>
    </row>
    <row r="1781" spans="1:19" x14ac:dyDescent="0.2">
      <c r="E1781" s="9" t="s">
        <v>26</v>
      </c>
      <c r="K1781" t="str">
        <v>You-ooh-ooh</v>
      </c>
      <c r="L1781" s="4" t="str">
        <f t="shared" ref="L1781:L1843" si="28">_xlfn.REGEXREPLACE(K1781, "[^A-Za-z ]", " ")</f>
        <v>You ooh ooh</v>
      </c>
      <c r="M1781" t="str">
        <v>You-ooh-ooh</v>
      </c>
      <c r="N1781" s="4" cm="1">
        <f t="array" ref="N1781">SUM(--(_xlfn.TEXTSPLIT($J$1780,, " ") = M1781))</f>
        <v>2</v>
      </c>
      <c r="O1781">
        <v>22</v>
      </c>
      <c r="P1781">
        <v>2</v>
      </c>
      <c r="Q1781">
        <v>22</v>
      </c>
    </row>
    <row r="1782" spans="1:19" x14ac:dyDescent="0.2">
      <c r="E1782" s="9" t="s">
        <v>26</v>
      </c>
      <c r="K1782" t="str">
        <v>can</v>
      </c>
      <c r="L1782" s="4" t="str">
        <f t="shared" si="28"/>
        <v>can</v>
      </c>
      <c r="M1782" t="str">
        <v>can</v>
      </c>
      <c r="N1782" s="4" cm="1">
        <f t="array" ref="N1782">SUM(--(_xlfn.TEXTSPLIT($J$1780,, " ") = M1782))</f>
        <v>6</v>
      </c>
      <c r="O1782">
        <v>18</v>
      </c>
      <c r="P1782">
        <v>6</v>
      </c>
      <c r="Q1782">
        <v>18</v>
      </c>
    </row>
    <row r="1783" spans="1:19" x14ac:dyDescent="0.2">
      <c r="E1783" s="9" t="s">
        <v>26</v>
      </c>
      <c r="K1783" t="str">
        <v>have</v>
      </c>
      <c r="L1783" s="4" t="str">
        <f t="shared" si="28"/>
        <v>have</v>
      </c>
      <c r="M1783" t="str">
        <v>have</v>
      </c>
      <c r="N1783" s="4" cm="1">
        <f t="array" ref="N1783">SUM(--(_xlfn.TEXTSPLIT($J$1780,, " ") = M1783))</f>
        <v>6</v>
      </c>
      <c r="O1783">
        <v>17</v>
      </c>
      <c r="P1783">
        <v>6</v>
      </c>
      <c r="Q1783">
        <v>17</v>
      </c>
    </row>
    <row r="1784" spans="1:19" x14ac:dyDescent="0.2">
      <c r="E1784" s="9" t="s">
        <v>26</v>
      </c>
      <c r="K1784" t="str">
        <v>all</v>
      </c>
      <c r="L1784" s="4" t="str">
        <f t="shared" si="28"/>
        <v>all</v>
      </c>
      <c r="M1784" t="str">
        <v>all</v>
      </c>
      <c r="N1784" s="4" cm="1">
        <f t="array" ref="N1784">SUM(--(_xlfn.TEXTSPLIT($J$1780,, " ") = M1784))</f>
        <v>11</v>
      </c>
      <c r="O1784">
        <v>15</v>
      </c>
      <c r="P1784">
        <v>11</v>
      </c>
      <c r="Q1784">
        <v>15</v>
      </c>
    </row>
    <row r="1785" spans="1:19" x14ac:dyDescent="0.2">
      <c r="E1785" s="9" t="s">
        <v>26</v>
      </c>
      <c r="K1785" t="str">
        <v>I've</v>
      </c>
      <c r="L1785" s="4" t="str">
        <f t="shared" si="28"/>
        <v>I ve</v>
      </c>
      <c r="M1785" t="str">
        <v>I've</v>
      </c>
      <c r="N1785" s="4" cm="1">
        <f t="array" ref="N1785">SUM(--(_xlfn.TEXTSPLIT($J$1780,, " ") = M1785))</f>
        <v>6</v>
      </c>
      <c r="O1785">
        <v>11</v>
      </c>
      <c r="P1785">
        <v>6</v>
      </c>
      <c r="Q1785">
        <v>11</v>
      </c>
    </row>
    <row r="1786" spans="1:19" x14ac:dyDescent="0.2">
      <c r="E1786" s="9" t="s">
        <v>26</v>
      </c>
      <c r="K1786" t="str">
        <v>made</v>
      </c>
      <c r="L1786" s="4" t="str">
        <f t="shared" si="28"/>
        <v>made</v>
      </c>
      <c r="M1786" t="str">
        <v>made</v>
      </c>
      <c r="N1786" s="4" cm="1">
        <f t="array" ref="N1786">SUM(--(_xlfn.TEXTSPLIT($J$1780,, " ") = M1786))</f>
        <v>2</v>
      </c>
      <c r="O1786">
        <v>10</v>
      </c>
      <c r="P1786">
        <v>2</v>
      </c>
      <c r="Q1786">
        <v>10</v>
      </c>
    </row>
    <row r="1787" spans="1:19" x14ac:dyDescent="0.2">
      <c r="E1787" s="9" t="s">
        <v>26</v>
      </c>
      <c r="K1787" t="str">
        <v>and</v>
      </c>
      <c r="L1787" s="4" t="str">
        <f t="shared" si="28"/>
        <v>and</v>
      </c>
      <c r="M1787" t="str">
        <v>and</v>
      </c>
      <c r="N1787" s="4" cm="1">
        <f t="array" ref="N1787">SUM(--(_xlfn.TEXTSPLIT($J$1780,, " ") = M1787))</f>
        <v>15</v>
      </c>
      <c r="O1787">
        <v>8</v>
      </c>
      <c r="P1787">
        <v>15</v>
      </c>
      <c r="Q1787">
        <v>8</v>
      </c>
    </row>
    <row r="1788" spans="1:19" x14ac:dyDescent="0.2">
      <c r="E1788" s="9" t="s">
        <v>26</v>
      </c>
      <c r="K1788" t="str">
        <v>all</v>
      </c>
      <c r="L1788" s="4" t="str">
        <f t="shared" si="28"/>
        <v>all</v>
      </c>
      <c r="M1788" t="str">
        <v>ever</v>
      </c>
      <c r="N1788" s="4" cm="1">
        <f t="array" ref="N1788">SUM(--(_xlfn.TEXTSPLIT($J$1780,, " ") = M1788))</f>
        <v>3</v>
      </c>
      <c r="O1788">
        <v>8</v>
      </c>
      <c r="P1788">
        <v>3</v>
      </c>
      <c r="Q1788">
        <v>8</v>
      </c>
    </row>
    <row r="1789" spans="1:19" x14ac:dyDescent="0.2">
      <c r="E1789" s="9" t="s">
        <v>26</v>
      </c>
      <c r="K1789" t="str">
        <v>I've</v>
      </c>
      <c r="L1789" s="4" t="str">
        <f t="shared" si="28"/>
        <v>I ve</v>
      </c>
      <c r="M1789" t="str">
        <v xml:space="preserve">known
</v>
      </c>
      <c r="N1789" s="4" cm="1">
        <f t="array" ref="N1789">SUM(--(_xlfn.TEXTSPLIT($J$1780,, " ") = M1789))</f>
        <v>2</v>
      </c>
      <c r="O1789">
        <v>8</v>
      </c>
      <c r="P1789">
        <v>2</v>
      </c>
      <c r="Q1789">
        <v>8</v>
      </c>
    </row>
    <row r="1790" spans="1:19" x14ac:dyDescent="0.2">
      <c r="E1790" s="9" t="s">
        <v>26</v>
      </c>
      <c r="K1790" t="str">
        <v>ever</v>
      </c>
      <c r="L1790" s="4" t="str">
        <f t="shared" si="28"/>
        <v>ever</v>
      </c>
      <c r="M1790" t="str">
        <v>both</v>
      </c>
      <c r="N1790" s="4" cm="1">
        <f t="array" ref="N1790">SUM(--(_xlfn.TEXTSPLIT($J$1780,, " ") = M1790))</f>
        <v>2</v>
      </c>
      <c r="O1790">
        <v>8</v>
      </c>
      <c r="P1790">
        <v>2</v>
      </c>
      <c r="Q1790">
        <v>8</v>
      </c>
    </row>
    <row r="1791" spans="1:19" x14ac:dyDescent="0.2">
      <c r="E1791" s="9" t="s">
        <v>26</v>
      </c>
      <c r="K1791" t="str">
        <v xml:space="preserve">known
</v>
      </c>
      <c r="L1791" s="4" t="str">
        <f t="shared" si="28"/>
        <v xml:space="preserve">known </v>
      </c>
      <c r="M1791" t="str">
        <v>my</v>
      </c>
      <c r="N1791" s="4" cm="1">
        <f t="array" ref="N1791">SUM(--(_xlfn.TEXTSPLIT($J$1780,, " ") = M1791))</f>
        <v>18</v>
      </c>
      <c r="O1791">
        <v>7</v>
      </c>
      <c r="P1791">
        <v>18</v>
      </c>
      <c r="Q1791">
        <v>7</v>
      </c>
    </row>
    <row r="1792" spans="1:19" x14ac:dyDescent="0.2">
      <c r="E1792" s="9" t="s">
        <v>26</v>
      </c>
      <c r="K1792" t="str">
        <v>You-ooh-ooh</v>
      </c>
      <c r="L1792" s="4" t="str">
        <f t="shared" si="28"/>
        <v>You ooh ooh</v>
      </c>
      <c r="M1792" t="str">
        <v>lungs</v>
      </c>
      <c r="N1792" s="4" cm="1">
        <f t="array" ref="N1792">SUM(--(_xlfn.TEXTSPLIT($J$1780,, " ") = M1792))</f>
        <v>2</v>
      </c>
      <c r="O1792">
        <v>7</v>
      </c>
      <c r="P1792">
        <v>2</v>
      </c>
      <c r="Q1792">
        <v>7</v>
      </c>
    </row>
    <row r="1793" spans="5:17" x14ac:dyDescent="0.2">
      <c r="E1793" s="9" t="s">
        <v>26</v>
      </c>
      <c r="K1793" t="str">
        <v>can</v>
      </c>
      <c r="L1793" s="4" t="str">
        <f t="shared" si="28"/>
        <v>can</v>
      </c>
      <c r="M1793" t="str">
        <v>if</v>
      </c>
      <c r="N1793" s="4" cm="1">
        <f t="array" ref="N1793">SUM(--(_xlfn.TEXTSPLIT($J$1780,, " ") = M1793))</f>
        <v>2</v>
      </c>
      <c r="O1793">
        <v>7</v>
      </c>
      <c r="P1793">
        <v>2</v>
      </c>
      <c r="Q1793">
        <v>7</v>
      </c>
    </row>
    <row r="1794" spans="5:17" x14ac:dyDescent="0.2">
      <c r="E1794" s="9" t="s">
        <v>26</v>
      </c>
      <c r="K1794" t="str">
        <v>have</v>
      </c>
      <c r="L1794" s="4" t="str">
        <f t="shared" si="28"/>
        <v>have</v>
      </c>
      <c r="M1794" t="str">
        <v>you</v>
      </c>
      <c r="N1794" s="4" cm="1">
        <f t="array" ref="N1794">SUM(--(_xlfn.TEXTSPLIT($J$1780,, " ") = M1794))</f>
        <v>5</v>
      </c>
      <c r="O1794">
        <v>7</v>
      </c>
      <c r="P1794">
        <v>5</v>
      </c>
      <c r="Q1794">
        <v>7</v>
      </c>
    </row>
    <row r="1795" spans="5:17" x14ac:dyDescent="0.2">
      <c r="E1795" s="9" t="s">
        <v>26</v>
      </c>
      <c r="K1795" t="str">
        <v>both</v>
      </c>
      <c r="L1795" s="4" t="str">
        <f t="shared" si="28"/>
        <v>both</v>
      </c>
      <c r="M1795" t="str">
        <v>ask</v>
      </c>
      <c r="N1795" s="4" cm="1">
        <f t="array" ref="N1795">SUM(--(_xlfn.TEXTSPLIT($J$1780,, " ") = M1795))</f>
        <v>3</v>
      </c>
      <c r="O1795">
        <v>7</v>
      </c>
      <c r="P1795">
        <v>3</v>
      </c>
      <c r="Q1795">
        <v>7</v>
      </c>
    </row>
    <row r="1796" spans="5:17" x14ac:dyDescent="0.2">
      <c r="E1796" s="9" t="s">
        <v>26</v>
      </c>
      <c r="K1796" t="str">
        <v>my</v>
      </c>
      <c r="L1796" s="4" t="str">
        <f t="shared" si="28"/>
        <v>my</v>
      </c>
      <c r="M1796" t="str">
        <v>me</v>
      </c>
      <c r="N1796" s="4" cm="1">
        <f t="array" ref="N1796">SUM(--(_xlfn.TEXTSPLIT($J$1780,, " ") = M1796))</f>
        <v>3</v>
      </c>
      <c r="O1796">
        <v>7</v>
      </c>
      <c r="P1796">
        <v>3</v>
      </c>
      <c r="Q1796">
        <v>7</v>
      </c>
    </row>
    <row r="1797" spans="5:17" x14ac:dyDescent="0.2">
      <c r="E1797" s="9" t="s">
        <v>26</v>
      </c>
      <c r="K1797" t="str">
        <v>lungs</v>
      </c>
      <c r="L1797" s="4" t="str">
        <f t="shared" si="28"/>
        <v>lungs</v>
      </c>
      <c r="M1797" t="str">
        <v xml:space="preserve">so
</v>
      </c>
      <c r="N1797" s="4" cm="1">
        <f t="array" ref="N1797">SUM(--(_xlfn.TEXTSPLIT($J$1780,, " ") = M1797))</f>
        <v>2</v>
      </c>
      <c r="O1797">
        <v>7</v>
      </c>
      <c r="P1797">
        <v>2</v>
      </c>
      <c r="Q1797">
        <v>7</v>
      </c>
    </row>
    <row r="1798" spans="5:17" x14ac:dyDescent="0.2">
      <c r="E1798" s="9" t="s">
        <v>26</v>
      </c>
      <c r="K1798" t="str">
        <v>if</v>
      </c>
      <c r="L1798" s="4" t="str">
        <f t="shared" si="28"/>
        <v>if</v>
      </c>
      <c r="M1798" t="str">
        <v>Cause</v>
      </c>
      <c r="N1798" s="4" cm="1">
        <f t="array" ref="N1798">SUM(--(_xlfn.TEXTSPLIT($J$1780,, " ") = M1798))</f>
        <v>2</v>
      </c>
      <c r="O1798">
        <v>7</v>
      </c>
      <c r="P1798">
        <v>2</v>
      </c>
      <c r="Q1798">
        <v>7</v>
      </c>
    </row>
    <row r="1799" spans="5:17" x14ac:dyDescent="0.2">
      <c r="E1799" s="9" t="s">
        <v>26</v>
      </c>
      <c r="K1799" t="str">
        <v>you</v>
      </c>
      <c r="L1799" s="4" t="str">
        <f t="shared" si="28"/>
        <v>you</v>
      </c>
      <c r="M1799" t="str">
        <v>I-I-I</v>
      </c>
      <c r="N1799" s="4" cm="1">
        <f t="array" ref="N1799">SUM(--(_xlfn.TEXTSPLIT($J$1780,, " ") = M1799))</f>
        <v>2</v>
      </c>
      <c r="O1799">
        <v>7</v>
      </c>
      <c r="P1799">
        <v>2</v>
      </c>
      <c r="Q1799">
        <v>7</v>
      </c>
    </row>
    <row r="1800" spans="5:17" x14ac:dyDescent="0.2">
      <c r="E1800" s="9" t="s">
        <v>26</v>
      </c>
      <c r="K1800" t="str">
        <v>ask</v>
      </c>
      <c r="L1800" s="4" t="str">
        <f t="shared" si="28"/>
        <v>ask</v>
      </c>
      <c r="M1800" t="str">
        <v>want</v>
      </c>
      <c r="N1800" s="4" cm="1">
        <f t="array" ref="N1800">SUM(--(_xlfn.TEXTSPLIT($J$1780,, " ") = M1800))</f>
        <v>3</v>
      </c>
      <c r="O1800">
        <v>7</v>
      </c>
      <c r="P1800">
        <v>3</v>
      </c>
      <c r="Q1800">
        <v>7</v>
      </c>
    </row>
    <row r="1801" spans="5:17" x14ac:dyDescent="0.2">
      <c r="E1801" s="9" t="s">
        <v>26</v>
      </c>
      <c r="K1801" t="str">
        <v>me</v>
      </c>
      <c r="L1801" s="4" t="str">
        <f t="shared" si="28"/>
        <v>me</v>
      </c>
      <c r="M1801" t="str">
        <v>to</v>
      </c>
      <c r="N1801" s="4" cm="1">
        <f t="array" ref="N1801">SUM(--(_xlfn.TEXTSPLIT($J$1780,, " ") = M1801))</f>
        <v>3</v>
      </c>
      <c r="O1801">
        <v>7</v>
      </c>
      <c r="P1801">
        <v>3</v>
      </c>
      <c r="Q1801">
        <v>7</v>
      </c>
    </row>
    <row r="1802" spans="5:17" x14ac:dyDescent="0.2">
      <c r="E1802" s="9" t="s">
        <v>26</v>
      </c>
      <c r="K1802" t="str">
        <v xml:space="preserve">so
</v>
      </c>
      <c r="L1802" s="4" t="str">
        <f t="shared" si="28"/>
        <v xml:space="preserve">so </v>
      </c>
      <c r="M1802" t="str">
        <v>be</v>
      </c>
      <c r="N1802" s="4" cm="1">
        <f t="array" ref="N1802">SUM(--(_xlfn.TEXTSPLIT($J$1780,, " ") = M1802))</f>
        <v>3</v>
      </c>
      <c r="O1802">
        <v>6</v>
      </c>
      <c r="P1802">
        <v>3</v>
      </c>
      <c r="Q1802">
        <v>6</v>
      </c>
    </row>
    <row r="1803" spans="5:17" x14ac:dyDescent="0.2">
      <c r="E1803" s="9" t="s">
        <v>26</v>
      </c>
      <c r="K1803" t="str">
        <v>Cause</v>
      </c>
      <c r="L1803" s="4" t="str">
        <f t="shared" si="28"/>
        <v>Cause</v>
      </c>
      <c r="M1803" t="str">
        <v>the</v>
      </c>
      <c r="N1803" s="4" cm="1">
        <f t="array" ref="N1803">SUM(--(_xlfn.TEXTSPLIT($J$1780,, " ") = M1803))</f>
        <v>22</v>
      </c>
      <c r="O1803">
        <v>6</v>
      </c>
      <c r="P1803">
        <v>22</v>
      </c>
      <c r="Q1803">
        <v>6</v>
      </c>
    </row>
    <row r="1804" spans="5:17" x14ac:dyDescent="0.2">
      <c r="E1804" s="9" t="s">
        <v>26</v>
      </c>
      <c r="K1804" t="str">
        <v>I-I-I</v>
      </c>
      <c r="L1804" s="4" t="str">
        <f t="shared" si="28"/>
        <v>I I I</v>
      </c>
      <c r="M1804" t="str">
        <v>one</v>
      </c>
      <c r="N1804" s="4" cm="1">
        <f t="array" ref="N1804">SUM(--(_xlfn.TEXTSPLIT($J$1780,, " ") = M1804))</f>
        <v>2</v>
      </c>
      <c r="O1804">
        <v>6</v>
      </c>
      <c r="P1804">
        <v>2</v>
      </c>
      <c r="Q1804">
        <v>6</v>
      </c>
    </row>
    <row r="1805" spans="5:17" x14ac:dyDescent="0.2">
      <c r="E1805" s="9" t="s">
        <v>26</v>
      </c>
      <c r="K1805" t="str">
        <v>want</v>
      </c>
      <c r="L1805" s="4" t="str">
        <f t="shared" si="28"/>
        <v>want</v>
      </c>
      <c r="M1805" t="str">
        <v>after</v>
      </c>
      <c r="N1805" s="4" cm="1">
        <f t="array" ref="N1805">SUM(--(_xlfn.TEXTSPLIT($J$1780,, " ") = M1805))</f>
        <v>2</v>
      </c>
      <c r="O1805">
        <v>6</v>
      </c>
      <c r="P1805">
        <v>2</v>
      </c>
      <c r="Q1805">
        <v>6</v>
      </c>
    </row>
    <row r="1806" spans="5:17" x14ac:dyDescent="0.2">
      <c r="E1806" s="9" t="s">
        <v>26</v>
      </c>
      <c r="K1806" t="str">
        <v>to</v>
      </c>
      <c r="L1806" s="4" t="str">
        <f t="shared" si="28"/>
        <v>to</v>
      </c>
      <c r="M1806" t="str">
        <v>your</v>
      </c>
      <c r="N1806" s="4" cm="1">
        <f t="array" ref="N1806">SUM(--(_xlfn.TEXTSPLIT($J$1780,, " ") = M1806))</f>
        <v>4</v>
      </c>
      <c r="O1806">
        <v>6</v>
      </c>
      <c r="P1806">
        <v>4</v>
      </c>
      <c r="Q1806">
        <v>6</v>
      </c>
    </row>
    <row r="1807" spans="5:17" x14ac:dyDescent="0.2">
      <c r="E1807" s="9" t="s">
        <v>26</v>
      </c>
      <c r="K1807" t="str">
        <v>be</v>
      </c>
      <c r="L1807" s="4" t="str">
        <f t="shared" si="28"/>
        <v>be</v>
      </c>
      <c r="M1807" t="str">
        <v>own</v>
      </c>
      <c r="N1807" s="4" cm="1">
        <f t="array" ref="N1807">SUM(--(_xlfn.TEXTSPLIT($J$1780,, " ") = M1807))</f>
        <v>3</v>
      </c>
      <c r="O1807">
        <v>6</v>
      </c>
      <c r="P1807">
        <v>3</v>
      </c>
      <c r="Q1807">
        <v>6</v>
      </c>
    </row>
    <row r="1808" spans="5:17" x14ac:dyDescent="0.2">
      <c r="E1808" s="9" t="s">
        <v>26</v>
      </c>
      <c r="K1808" t="str">
        <v>the</v>
      </c>
      <c r="L1808" s="4" t="str">
        <f t="shared" si="28"/>
        <v>the</v>
      </c>
      <c r="M1808" t="str">
        <v xml:space="preserve">heart
</v>
      </c>
      <c r="N1808" s="4" cm="1">
        <f t="array" ref="N1808">SUM(--(_xlfn.TEXTSPLIT($J$1780,, " ") = M1808))</f>
        <v>2</v>
      </c>
      <c r="O1808">
        <v>6</v>
      </c>
      <c r="P1808">
        <v>2</v>
      </c>
      <c r="Q1808">
        <v>6</v>
      </c>
    </row>
    <row r="1809" spans="5:17" x14ac:dyDescent="0.2">
      <c r="E1809" s="9" t="s">
        <v>26</v>
      </c>
      <c r="K1809" t="str">
        <v>one</v>
      </c>
      <c r="L1809" s="4" t="str">
        <f t="shared" si="28"/>
        <v>one</v>
      </c>
      <c r="M1809" t="str">
        <v>might</v>
      </c>
      <c r="N1809" s="4" cm="1">
        <f t="array" ref="N1809">SUM(--(_xlfn.TEXTSPLIT($J$1780,, " ") = M1809))</f>
        <v>3</v>
      </c>
      <c r="O1809">
        <v>6</v>
      </c>
      <c r="P1809">
        <v>3</v>
      </c>
      <c r="Q1809">
        <v>6</v>
      </c>
    </row>
    <row r="1810" spans="5:17" x14ac:dyDescent="0.2">
      <c r="E1810" s="9" t="s">
        <v>26</v>
      </c>
      <c r="K1810" t="str">
        <v>after</v>
      </c>
      <c r="L1810" s="4" t="str">
        <f t="shared" si="28"/>
        <v>after</v>
      </c>
      <c r="M1810" t="str">
        <v>doubt</v>
      </c>
      <c r="N1810" s="4" cm="1">
        <f t="array" ref="N1810">SUM(--(_xlfn.TEXTSPLIT($J$1780,, " ") = M1810))</f>
        <v>4</v>
      </c>
      <c r="O1810">
        <v>6</v>
      </c>
      <c r="P1810">
        <v>4</v>
      </c>
      <c r="Q1810">
        <v>6</v>
      </c>
    </row>
    <row r="1811" spans="5:17" x14ac:dyDescent="0.2">
      <c r="E1811" s="9" t="s">
        <v>26</v>
      </c>
      <c r="K1811" t="str">
        <v>your</v>
      </c>
      <c r="L1811" s="4" t="str">
        <f t="shared" si="28"/>
        <v>your</v>
      </c>
      <c r="M1811" t="str">
        <v>process</v>
      </c>
      <c r="N1811" s="4" cm="1">
        <f t="array" ref="N1811">SUM(--(_xlfn.TEXTSPLIT($J$1780,, " ") = M1811))</f>
        <v>3</v>
      </c>
      <c r="O1811">
        <v>5</v>
      </c>
      <c r="P1811">
        <v>3</v>
      </c>
      <c r="Q1811">
        <v>5</v>
      </c>
    </row>
    <row r="1812" spans="5:17" x14ac:dyDescent="0.2">
      <c r="E1812" s="9" t="s">
        <v>26</v>
      </c>
      <c r="K1812" t="str">
        <v>own</v>
      </c>
      <c r="L1812" s="4" t="str">
        <f t="shared" si="28"/>
        <v>own</v>
      </c>
      <c r="M1812" t="str">
        <v>like</v>
      </c>
      <c r="N1812" s="4" cm="1">
        <f t="array" ref="N1812">SUM(--(_xlfn.TEXTSPLIT($J$1780,, " ") = M1812))</f>
        <v>5</v>
      </c>
      <c r="O1812">
        <v>5</v>
      </c>
      <c r="P1812">
        <v>5</v>
      </c>
      <c r="Q1812">
        <v>5</v>
      </c>
    </row>
    <row r="1813" spans="5:17" x14ac:dyDescent="0.2">
      <c r="E1813" s="9" t="s">
        <v>26</v>
      </c>
      <c r="K1813" t="str">
        <v xml:space="preserve">heart
</v>
      </c>
      <c r="L1813" s="4" t="str">
        <f t="shared" si="28"/>
        <v xml:space="preserve">heart </v>
      </c>
      <c r="M1813" t="str">
        <v>I</v>
      </c>
      <c r="N1813" s="4" cm="1">
        <f t="array" ref="N1813">SUM(--(_xlfn.TEXTSPLIT($J$1780,, " ") = M1813))</f>
        <v>31</v>
      </c>
      <c r="O1813">
        <v>5</v>
      </c>
      <c r="P1813">
        <v>31</v>
      </c>
      <c r="Q1813">
        <v>5</v>
      </c>
    </row>
    <row r="1814" spans="5:17" x14ac:dyDescent="0.2">
      <c r="E1814" s="9" t="s">
        <v>26</v>
      </c>
      <c r="K1814" t="str">
        <v>And</v>
      </c>
      <c r="L1814" s="4" t="str">
        <f t="shared" si="28"/>
        <v>And</v>
      </c>
      <c r="M1814" t="str">
        <v>doubted</v>
      </c>
      <c r="N1814" s="4" cm="1">
        <f t="array" ref="N1814">SUM(--(_xlfn.TEXTSPLIT($J$1780,, " ") = M1814))</f>
        <v>2</v>
      </c>
      <c r="O1814">
        <v>5</v>
      </c>
      <c r="P1814">
        <v>2</v>
      </c>
      <c r="Q1814">
        <v>5</v>
      </c>
    </row>
    <row r="1815" spans="5:17" x14ac:dyDescent="0.2">
      <c r="E1815" s="9" t="s">
        <v>26</v>
      </c>
      <c r="K1815" t="str">
        <v>I-I-I</v>
      </c>
      <c r="L1815" s="4" t="str">
        <f t="shared" si="28"/>
        <v>I I I</v>
      </c>
      <c r="M1815" t="str">
        <v xml:space="preserve">start
</v>
      </c>
      <c r="N1815" s="4" cm="1">
        <f t="array" ref="N1815">SUM(--(_xlfn.TEXTSPLIT($J$1780,, " ") = M1815))</f>
        <v>1</v>
      </c>
      <c r="O1815">
        <v>4</v>
      </c>
      <c r="P1815">
        <v>1</v>
      </c>
      <c r="Q1815">
        <v>4</v>
      </c>
    </row>
    <row r="1816" spans="5:17" x14ac:dyDescent="0.2">
      <c r="E1816" s="9" t="s">
        <v>26</v>
      </c>
      <c r="K1816" t="str">
        <v>might</v>
      </c>
      <c r="L1816" s="4" t="str">
        <f t="shared" si="28"/>
        <v>might</v>
      </c>
      <c r="M1816" t="str">
        <v>So</v>
      </c>
      <c r="N1816" s="4" cm="1">
        <f t="array" ref="N1816">SUM(--(_xlfn.TEXTSPLIT($J$1780,, " ") = M1816))</f>
        <v>2</v>
      </c>
      <c r="O1816">
        <v>4</v>
      </c>
      <c r="P1816">
        <v>2</v>
      </c>
      <c r="Q1816">
        <v>4</v>
      </c>
    </row>
    <row r="1817" spans="5:17" x14ac:dyDescent="0.2">
      <c r="E1817" s="9" t="s">
        <v>26</v>
      </c>
      <c r="K1817" t="str">
        <v>doubt</v>
      </c>
      <c r="L1817" s="4" t="str">
        <f t="shared" si="28"/>
        <v>doubt</v>
      </c>
      <c r="M1817" t="str">
        <v>I'm</v>
      </c>
      <c r="N1817" s="4" cm="1">
        <f t="array" ref="N1817">SUM(--(_xlfn.TEXTSPLIT($J$1780,, " ") = M1817))</f>
        <v>17</v>
      </c>
      <c r="O1817">
        <v>4</v>
      </c>
      <c r="P1817">
        <v>17</v>
      </c>
      <c r="Q1817">
        <v>4</v>
      </c>
    </row>
    <row r="1818" spans="5:17" x14ac:dyDescent="0.2">
      <c r="E1818" s="9" t="s">
        <v>26</v>
      </c>
      <c r="K1818" t="str">
        <v>the</v>
      </c>
      <c r="L1818" s="4" t="str">
        <f t="shared" si="28"/>
        <v>the</v>
      </c>
      <c r="M1818" t="str">
        <v>begging</v>
      </c>
      <c r="N1818" s="4" cm="1">
        <f t="array" ref="N1818">SUM(--(_xlfn.TEXTSPLIT($J$1780,, " ") = M1818))</f>
        <v>4</v>
      </c>
      <c r="O1818">
        <v>4</v>
      </c>
      <c r="P1818">
        <v>4</v>
      </c>
      <c r="Q1818">
        <v>4</v>
      </c>
    </row>
    <row r="1819" spans="5:17" x14ac:dyDescent="0.2">
      <c r="E1819" s="9" t="s">
        <v>26</v>
      </c>
      <c r="K1819" t="str">
        <v>process</v>
      </c>
      <c r="L1819" s="4" t="str">
        <f t="shared" si="28"/>
        <v>process</v>
      </c>
      <c r="M1819" t="str">
        <v>oh,</v>
      </c>
      <c r="N1819" s="4" cm="1">
        <f t="array" ref="N1819">SUM(--(_xlfn.TEXTSPLIT($J$1780,, " ") = M1819))</f>
        <v>7</v>
      </c>
      <c r="O1819">
        <v>4</v>
      </c>
      <c r="P1819">
        <v>7</v>
      </c>
      <c r="Q1819">
        <v>4</v>
      </c>
    </row>
    <row r="1820" spans="5:17" x14ac:dyDescent="0.2">
      <c r="E1820" s="9" t="s">
        <v>26</v>
      </c>
      <c r="K1820" t="str">
        <v>like</v>
      </c>
      <c r="L1820" s="4" t="str">
        <f t="shared" si="28"/>
        <v>like</v>
      </c>
      <c r="M1820" t="str">
        <v>oh-oh,</v>
      </c>
      <c r="N1820" s="4" cm="1">
        <f t="array" ref="N1820">SUM(--(_xlfn.TEXTSPLIT($J$1780,, " ") = M1820))</f>
        <v>8</v>
      </c>
      <c r="O1820">
        <v>4</v>
      </c>
      <c r="P1820">
        <v>8</v>
      </c>
      <c r="Q1820">
        <v>4</v>
      </c>
    </row>
    <row r="1821" spans="5:17" x14ac:dyDescent="0.2">
      <c r="E1821" s="9" t="s">
        <v>26</v>
      </c>
      <c r="K1821" t="str">
        <v>I</v>
      </c>
      <c r="L1821" s="4" t="str">
        <f t="shared" si="28"/>
        <v>I</v>
      </c>
      <c r="M1821" t="str">
        <v xml:space="preserve">mercy
</v>
      </c>
      <c r="N1821" s="4" cm="1">
        <f t="array" ref="N1821">SUM(--(_xlfn.TEXTSPLIT($J$1780,, " ") = M1821))</f>
        <v>2</v>
      </c>
      <c r="O1821">
        <v>3</v>
      </c>
      <c r="P1821">
        <v>2</v>
      </c>
      <c r="Q1821">
        <v>3</v>
      </c>
    </row>
    <row r="1822" spans="5:17" x14ac:dyDescent="0.2">
      <c r="E1822" s="9" t="s">
        <v>26</v>
      </c>
      <c r="K1822" t="str">
        <v>doubted</v>
      </c>
      <c r="L1822" s="4" t="str">
        <f t="shared" si="28"/>
        <v>doubted</v>
      </c>
      <c r="M1822" t="str">
        <v xml:space="preserve">mercy
</v>
      </c>
      <c r="N1822" s="4" cm="1">
        <f t="array" ref="N1822">SUM(--(_xlfn.TEXTSPLIT($J$1780,, " ") = M1822))</f>
        <v>2</v>
      </c>
      <c r="O1822">
        <v>3</v>
      </c>
      <c r="P1822">
        <v>2</v>
      </c>
      <c r="Q1822">
        <v>3</v>
      </c>
    </row>
    <row r="1823" spans="5:17" x14ac:dyDescent="0.2">
      <c r="E1823" s="9" t="s">
        <v>26</v>
      </c>
      <c r="K1823" t="str">
        <v>the</v>
      </c>
      <c r="L1823" s="4" t="str">
        <f t="shared" si="28"/>
        <v>the</v>
      </c>
      <c r="M1823" t="str">
        <v>Downstairs,</v>
      </c>
      <c r="N1823" s="4" cm="1">
        <f t="array" ref="N1823">SUM(--(_xlfn.TEXTSPLIT($J$1780,, " ") = M1823))</f>
        <v>5</v>
      </c>
      <c r="O1823">
        <v>3</v>
      </c>
      <c r="P1823">
        <v>5</v>
      </c>
      <c r="Q1823">
        <v>3</v>
      </c>
    </row>
    <row r="1824" spans="5:17" x14ac:dyDescent="0.2">
      <c r="E1824" s="9" t="s">
        <v>26</v>
      </c>
      <c r="K1824" t="str">
        <v xml:space="preserve">start
</v>
      </c>
      <c r="L1824" s="4" t="str">
        <f t="shared" si="28"/>
        <v xml:space="preserve">start  </v>
      </c>
      <c r="M1824" t="str">
        <v>feel</v>
      </c>
      <c r="N1824" s="4" cm="1">
        <f t="array" ref="N1824">SUM(--(_xlfn.TEXTSPLIT($J$1780,, " ") = M1824))</f>
        <v>6</v>
      </c>
      <c r="O1824">
        <v>3</v>
      </c>
      <c r="P1824">
        <v>6</v>
      </c>
      <c r="Q1824">
        <v>3</v>
      </c>
    </row>
    <row r="1825" spans="5:17" x14ac:dyDescent="0.2">
      <c r="E1825" s="9" t="s">
        <v>26</v>
      </c>
      <c r="K1825" t="str">
        <v>So</v>
      </c>
      <c r="L1825" s="4" t="str">
        <f t="shared" si="28"/>
        <v>So</v>
      </c>
      <c r="M1825" t="str">
        <v>better</v>
      </c>
      <c r="N1825" s="4" cm="1">
        <f t="array" ref="N1825">SUM(--(_xlfn.TEXTSPLIT($J$1780,, " ") = M1825))</f>
        <v>6</v>
      </c>
      <c r="O1825">
        <v>3</v>
      </c>
      <c r="P1825">
        <v>6</v>
      </c>
      <c r="Q1825">
        <v>3</v>
      </c>
    </row>
    <row r="1826" spans="5:17" x14ac:dyDescent="0.2">
      <c r="E1826" s="9" t="s">
        <v>26</v>
      </c>
      <c r="K1826" t="str">
        <v>I'm</v>
      </c>
      <c r="L1826" s="4" t="str">
        <f t="shared" si="28"/>
        <v>I m</v>
      </c>
      <c r="M1826" t="str">
        <v>in</v>
      </c>
      <c r="N1826" s="4" cm="1">
        <f t="array" ref="N1826">SUM(--(_xlfn.TEXTSPLIT($J$1780,, " ") = M1826))</f>
        <v>6</v>
      </c>
      <c r="O1826">
        <v>3</v>
      </c>
      <c r="P1826">
        <v>6</v>
      </c>
      <c r="Q1826">
        <v>3</v>
      </c>
    </row>
    <row r="1827" spans="5:17" x14ac:dyDescent="0.2">
      <c r="E1827" s="9" t="s">
        <v>26</v>
      </c>
      <c r="K1827" t="str">
        <v>begging</v>
      </c>
      <c r="L1827" s="4" t="str">
        <f t="shared" si="28"/>
        <v>begging</v>
      </c>
      <c r="M1827" t="str">
        <v xml:space="preserve">cellar
</v>
      </c>
      <c r="N1827" s="4" cm="1">
        <f t="array" ref="N1827">SUM(--(_xlfn.TEXTSPLIT($J$1780,, " ") = M1827))</f>
        <v>5</v>
      </c>
      <c r="O1827">
        <v>3</v>
      </c>
      <c r="P1827">
        <v>5</v>
      </c>
      <c r="Q1827">
        <v>3</v>
      </c>
    </row>
    <row r="1828" spans="5:17" x14ac:dyDescent="0.2">
      <c r="E1828" s="9" t="s">
        <v>26</v>
      </c>
      <c r="K1828" t="str">
        <v>oh,</v>
      </c>
      <c r="L1828" s="4" t="str">
        <f t="shared" si="28"/>
        <v xml:space="preserve">oh </v>
      </c>
      <c r="M1828" t="str">
        <v>Down</v>
      </c>
      <c r="N1828" s="4" cm="1">
        <f t="array" ref="N1828">SUM(--(_xlfn.TEXTSPLIT($J$1780,, " ") = M1828))</f>
        <v>7</v>
      </c>
      <c r="O1828">
        <v>3</v>
      </c>
      <c r="P1828">
        <v>7</v>
      </c>
      <c r="Q1828">
        <v>3</v>
      </c>
    </row>
    <row r="1829" spans="5:17" x14ac:dyDescent="0.2">
      <c r="E1829" s="9" t="s">
        <v>26</v>
      </c>
      <c r="K1829" t="str">
        <v>oh-oh,</v>
      </c>
      <c r="L1829" s="4" t="str">
        <f t="shared" si="28"/>
        <v xml:space="preserve">oh oh </v>
      </c>
      <c r="M1829" t="str">
        <v>there,</v>
      </c>
      <c r="N1829" s="4" cm="1">
        <f t="array" ref="N1829">SUM(--(_xlfn.TEXTSPLIT($J$1780,, " ") = M1829))</f>
        <v>7</v>
      </c>
      <c r="O1829">
        <v>3</v>
      </c>
      <c r="P1829">
        <v>7</v>
      </c>
      <c r="Q1829">
        <v>3</v>
      </c>
    </row>
    <row r="1830" spans="5:17" x14ac:dyDescent="0.2">
      <c r="E1830" s="9" t="s">
        <v>26</v>
      </c>
      <c r="K1830" t="str">
        <v>oh-oh,</v>
      </c>
      <c r="L1830" s="4" t="str">
        <f t="shared" si="28"/>
        <v xml:space="preserve">oh oh </v>
      </c>
      <c r="M1830" t="str">
        <v>it's</v>
      </c>
      <c r="N1830" s="4" cm="1">
        <f t="array" ref="N1830">SUM(--(_xlfn.TEXTSPLIT($J$1780,, " ") = M1830))</f>
        <v>6</v>
      </c>
      <c r="O1830">
        <v>3</v>
      </c>
      <c r="P1830">
        <v>6</v>
      </c>
      <c r="Q1830">
        <v>3</v>
      </c>
    </row>
    <row r="1831" spans="5:17" x14ac:dyDescent="0.2">
      <c r="E1831" s="9" t="s">
        <v>26</v>
      </c>
      <c r="K1831" t="str">
        <v xml:space="preserve">mercy
</v>
      </c>
      <c r="L1831" s="4" t="str">
        <f t="shared" si="28"/>
        <v xml:space="preserve">mercy </v>
      </c>
      <c r="M1831" t="str">
        <v>some</v>
      </c>
      <c r="N1831" s="4" cm="1">
        <f t="array" ref="N1831">SUM(--(_xlfn.TEXTSPLIT($J$1780,, " ") = M1831))</f>
        <v>7</v>
      </c>
      <c r="O1831">
        <v>2</v>
      </c>
      <c r="P1831">
        <v>7</v>
      </c>
      <c r="Q1831">
        <v>2</v>
      </c>
    </row>
    <row r="1832" spans="5:17" x14ac:dyDescent="0.2">
      <c r="E1832" s="9" t="s">
        <v>26</v>
      </c>
      <c r="K1832" t="str">
        <v>I'm</v>
      </c>
      <c r="L1832" s="4" t="str">
        <f t="shared" si="28"/>
        <v>I m</v>
      </c>
      <c r="M1832" t="str">
        <v>shelter</v>
      </c>
      <c r="N1832" s="4" cm="1">
        <f t="array" ref="N1832">SUM(--(_xlfn.TEXTSPLIT($J$1780,, " ") = M1832))</f>
        <v>7</v>
      </c>
      <c r="O1832">
        <v>2</v>
      </c>
      <c r="P1832">
        <v>7</v>
      </c>
      <c r="Q1832">
        <v>2</v>
      </c>
    </row>
    <row r="1833" spans="5:17" x14ac:dyDescent="0.2">
      <c r="E1833" s="9" t="s">
        <v>26</v>
      </c>
      <c r="K1833" t="str">
        <v>begging</v>
      </c>
      <c r="L1833" s="4" t="str">
        <f t="shared" si="28"/>
        <v>begging</v>
      </c>
      <c r="M1833" t="str">
        <v>from</v>
      </c>
      <c r="N1833" s="4" cm="1">
        <f t="array" ref="N1833">SUM(--(_xlfn.TEXTSPLIT($J$1780,, " ") = M1833))</f>
        <v>8</v>
      </c>
      <c r="O1833">
        <v>2</v>
      </c>
      <c r="P1833">
        <v>8</v>
      </c>
      <c r="Q1833">
        <v>2</v>
      </c>
    </row>
    <row r="1834" spans="5:17" x14ac:dyDescent="0.2">
      <c r="E1834" s="9" t="s">
        <v>26</v>
      </c>
      <c r="K1834" t="str">
        <v>oh,</v>
      </c>
      <c r="L1834" s="4" t="str">
        <f t="shared" si="28"/>
        <v xml:space="preserve">oh </v>
      </c>
      <c r="M1834" t="str">
        <v xml:space="preserve">weather
</v>
      </c>
      <c r="N1834" s="4" cm="1">
        <f t="array" ref="N1834">SUM(--(_xlfn.TEXTSPLIT($J$1780,, " ") = M1834))</f>
        <v>6</v>
      </c>
      <c r="O1834">
        <v>2</v>
      </c>
      <c r="P1834">
        <v>6</v>
      </c>
      <c r="Q1834">
        <v>2</v>
      </c>
    </row>
    <row r="1835" spans="5:17" x14ac:dyDescent="0.2">
      <c r="E1835" s="9" t="s">
        <v>26</v>
      </c>
      <c r="K1835" t="str">
        <v>oh-oh,</v>
      </c>
      <c r="L1835" s="4" t="str">
        <f t="shared" si="28"/>
        <v xml:space="preserve">oh oh </v>
      </c>
      <c r="M1835" t="str">
        <v>wear</v>
      </c>
      <c r="N1835" s="4" cm="1">
        <f t="array" ref="N1835">SUM(--(_xlfn.TEXTSPLIT($J$1780,, " ") = M1835))</f>
        <v>7</v>
      </c>
      <c r="O1835">
        <v>2</v>
      </c>
      <c r="P1835">
        <v>7</v>
      </c>
      <c r="Q1835">
        <v>2</v>
      </c>
    </row>
    <row r="1836" spans="5:17" x14ac:dyDescent="0.2">
      <c r="E1836" s="9" t="s">
        <v>26</v>
      </c>
      <c r="K1836" t="str">
        <v>oh-oh,</v>
      </c>
      <c r="L1836" s="4" t="str">
        <f t="shared" si="28"/>
        <v xml:space="preserve">oh oh </v>
      </c>
      <c r="M1836" t="str">
        <v>of</v>
      </c>
      <c r="N1836" s="4" cm="1">
        <f t="array" ref="N1836">SUM(--(_xlfn.TEXTSPLIT($J$1780,, " ") = M1836))</f>
        <v>8</v>
      </c>
      <c r="O1836">
        <v>2</v>
      </c>
      <c r="P1836">
        <v>8</v>
      </c>
      <c r="Q1836">
        <v>2</v>
      </c>
    </row>
    <row r="1837" spans="5:17" x14ac:dyDescent="0.2">
      <c r="E1837" s="9" t="s">
        <v>26</v>
      </c>
      <c r="K1837" t="str">
        <v xml:space="preserve">mercy
</v>
      </c>
      <c r="L1837" s="4" t="str">
        <f t="shared" si="28"/>
        <v xml:space="preserve">mercy  </v>
      </c>
      <c r="M1837" t="str">
        <v>heart</v>
      </c>
      <c r="N1837" s="4" cm="1">
        <f t="array" ref="N1837">SUM(--(_xlfn.TEXTSPLIT($J$1780,, " ") = M1837))</f>
        <v>7</v>
      </c>
      <c r="O1837">
        <v>2</v>
      </c>
      <c r="P1837">
        <v>7</v>
      </c>
      <c r="Q1837">
        <v>2</v>
      </c>
    </row>
    <row r="1838" spans="5:17" x14ac:dyDescent="0.2">
      <c r="E1838" s="9" t="s">
        <v>26</v>
      </c>
      <c r="K1838" t="str">
        <v>Downstairs,</v>
      </c>
      <c r="L1838" s="4" t="str">
        <f t="shared" si="28"/>
        <v xml:space="preserve">Downstairs </v>
      </c>
      <c r="M1838" t="str">
        <v>on</v>
      </c>
      <c r="N1838" s="4" cm="1">
        <f t="array" ref="N1838">SUM(--(_xlfn.TEXTSPLIT($J$1780,, " ") = M1838))</f>
        <v>7</v>
      </c>
      <c r="O1838">
        <v>2</v>
      </c>
      <c r="P1838">
        <v>7</v>
      </c>
      <c r="Q1838">
        <v>2</v>
      </c>
    </row>
    <row r="1839" spans="5:17" x14ac:dyDescent="0.2">
      <c r="E1839" s="9" t="s">
        <v>26</v>
      </c>
      <c r="K1839" t="str">
        <v>I</v>
      </c>
      <c r="L1839" s="4" t="str">
        <f t="shared" si="28"/>
        <v>I</v>
      </c>
      <c r="M1839" t="str">
        <v xml:space="preserve">sleeve
</v>
      </c>
      <c r="N1839" s="4" cm="1">
        <f t="array" ref="N1839">SUM(--(_xlfn.TEXTSPLIT($J$1780,, " ") = M1839))</f>
        <v>6</v>
      </c>
      <c r="O1839">
        <v>2</v>
      </c>
      <c r="P1839">
        <v>6</v>
      </c>
      <c r="Q1839">
        <v>2</v>
      </c>
    </row>
    <row r="1840" spans="5:17" x14ac:dyDescent="0.2">
      <c r="E1840" s="9" t="s">
        <v>26</v>
      </c>
      <c r="K1840" t="str">
        <v>feel</v>
      </c>
      <c r="L1840" s="4" t="str">
        <f t="shared" si="28"/>
        <v>feel</v>
      </c>
      <c r="M1840" t="str">
        <v>I'll</v>
      </c>
      <c r="N1840" s="4" cm="1">
        <f t="array" ref="N1840">SUM(--(_xlfn.TEXTSPLIT($J$1780,, " ") = M1840))</f>
        <v>7</v>
      </c>
      <c r="O1840">
        <v>2</v>
      </c>
      <c r="P1840">
        <v>7</v>
      </c>
      <c r="Q1840">
        <v>2</v>
      </c>
    </row>
    <row r="1841" spans="5:17" x14ac:dyDescent="0.2">
      <c r="E1841" s="9" t="s">
        <v>26</v>
      </c>
      <c r="K1841" t="str">
        <v>better</v>
      </c>
      <c r="L1841" s="4" t="str">
        <f t="shared" si="28"/>
        <v>better</v>
      </c>
      <c r="M1841" t="str">
        <v>take</v>
      </c>
      <c r="N1841" s="4" cm="1">
        <f t="array" ref="N1841">SUM(--(_xlfn.TEXTSPLIT($J$1780,, " ") = M1841))</f>
        <v>7</v>
      </c>
      <c r="O1841">
        <v>2</v>
      </c>
      <c r="P1841">
        <v>7</v>
      </c>
      <c r="Q1841">
        <v>2</v>
      </c>
    </row>
    <row r="1842" spans="5:17" x14ac:dyDescent="0.2">
      <c r="E1842" s="9" t="s">
        <v>26</v>
      </c>
      <c r="K1842" t="str">
        <v>in</v>
      </c>
      <c r="L1842" s="4" t="str">
        <f t="shared" si="28"/>
        <v>in</v>
      </c>
      <c r="M1842" t="str">
        <v>what</v>
      </c>
      <c r="N1842" s="4" cm="1">
        <f t="array" ref="N1842">SUM(--(_xlfn.TEXTSPLIT($J$1780,, " ") = M1842))</f>
        <v>8</v>
      </c>
      <c r="O1842">
        <v>2</v>
      </c>
      <c r="P1842">
        <v>8</v>
      </c>
      <c r="Q1842">
        <v>2</v>
      </c>
    </row>
    <row r="1843" spans="5:17" x14ac:dyDescent="0.2">
      <c r="E1843" s="9" t="s">
        <v>26</v>
      </c>
      <c r="K1843" t="str">
        <v>the</v>
      </c>
      <c r="L1843" s="4" t="str">
        <f t="shared" si="28"/>
        <v>the</v>
      </c>
      <c r="M1843" t="str">
        <v>believe,</v>
      </c>
      <c r="N1843" s="4" cm="1">
        <f t="array" ref="N1843">SUM(--(_xlfn.TEXTSPLIT($J$1780,, " ") = M1843))</f>
        <v>7</v>
      </c>
      <c r="O1843">
        <v>2</v>
      </c>
      <c r="P1843">
        <v>7</v>
      </c>
      <c r="Q1843">
        <v>2</v>
      </c>
    </row>
    <row r="1844" spans="5:17" x14ac:dyDescent="0.2">
      <c r="E1844" s="9" t="s">
        <v>26</v>
      </c>
      <c r="K1844" t="str">
        <v xml:space="preserve">cellar
</v>
      </c>
      <c r="L1844" s="4" t="str">
        <f t="shared" ref="L1844:L1907" si="29">_xlfn.REGEXREPLACE(K1844, "[^A-Za-z ]", " ")</f>
        <v xml:space="preserve">cellar </v>
      </c>
      <c r="M1844" t="str">
        <v>hiding</v>
      </c>
      <c r="N1844" s="4" cm="1">
        <f t="array" ref="N1844">SUM(--(_xlfn.TEXTSPLIT($J$1780,, " ") = M1844))</f>
        <v>10</v>
      </c>
      <c r="O1844">
        <v>2</v>
      </c>
      <c r="P1844">
        <v>10</v>
      </c>
      <c r="Q1844">
        <v>2</v>
      </c>
    </row>
    <row r="1845" spans="5:17" x14ac:dyDescent="0.2">
      <c r="E1845" s="9" t="s">
        <v>26</v>
      </c>
      <c r="K1845" t="str">
        <v>Down</v>
      </c>
      <c r="L1845" s="4" t="str">
        <f t="shared" si="29"/>
        <v>Down</v>
      </c>
      <c r="M1845" t="str">
        <v xml:space="preserve">it
</v>
      </c>
      <c r="N1845" s="4" cm="1">
        <f t="array" ref="N1845">SUM(--(_xlfn.TEXTSPLIT($J$1780,, " ") = M1845))</f>
        <v>4</v>
      </c>
      <c r="O1845">
        <v>2</v>
      </c>
      <c r="P1845">
        <v>4</v>
      </c>
      <c r="Q1845">
        <v>2</v>
      </c>
    </row>
    <row r="1846" spans="5:17" x14ac:dyDescent="0.2">
      <c r="E1846" s="9" t="s">
        <v>26</v>
      </c>
      <c r="K1846" t="str">
        <v>there,</v>
      </c>
      <c r="L1846" s="4" t="str">
        <f t="shared" si="29"/>
        <v xml:space="preserve">there </v>
      </c>
      <c r="M1846" t="str">
        <v xml:space="preserve">it
</v>
      </c>
      <c r="N1846" s="4" cm="1">
        <f t="array" ref="N1846">SUM(--(_xlfn.TEXTSPLIT($J$1780,, " ") = M1846))</f>
        <v>2</v>
      </c>
      <c r="O1846">
        <v>2</v>
      </c>
      <c r="P1846">
        <v>2</v>
      </c>
      <c r="Q1846">
        <v>2</v>
      </c>
    </row>
    <row r="1847" spans="5:17" x14ac:dyDescent="0.2">
      <c r="E1847" s="9" t="s">
        <v>26</v>
      </c>
      <c r="K1847" t="str">
        <v>it's</v>
      </c>
      <c r="L1847" s="4" t="str">
        <f t="shared" si="29"/>
        <v>it s</v>
      </c>
      <c r="M1847" t="str">
        <v>Feeling</v>
      </c>
      <c r="N1847" s="4" cm="1">
        <f t="array" ref="N1847">SUM(--(_xlfn.TEXTSPLIT($J$1780,, " ") = M1847))</f>
        <v>2</v>
      </c>
      <c r="O1847">
        <v>2</v>
      </c>
      <c r="P1847">
        <v>2</v>
      </c>
      <c r="Q1847">
        <v>2</v>
      </c>
    </row>
    <row r="1848" spans="5:17" x14ac:dyDescent="0.2">
      <c r="E1848" s="9" t="s">
        <v>26</v>
      </c>
      <c r="K1848" t="str">
        <v>some</v>
      </c>
      <c r="L1848" s="4" t="str">
        <f t="shared" si="29"/>
        <v>some</v>
      </c>
      <c r="M1848" t="str">
        <v xml:space="preserve">nothing
</v>
      </c>
      <c r="N1848" s="4" cm="1">
        <f t="array" ref="N1848">SUM(--(_xlfn.TEXTSPLIT($J$1780,, " ") = M1848))</f>
        <v>2</v>
      </c>
      <c r="O1848">
        <v>2</v>
      </c>
      <c r="P1848">
        <v>2</v>
      </c>
      <c r="Q1848">
        <v>2</v>
      </c>
    </row>
    <row r="1849" spans="5:17" x14ac:dyDescent="0.2">
      <c r="E1849" s="9" t="s">
        <v>26</v>
      </c>
      <c r="K1849" t="str">
        <v>shelter</v>
      </c>
      <c r="L1849" s="4" t="str">
        <f t="shared" si="29"/>
        <v>shelter</v>
      </c>
      <c r="M1849" t="str">
        <v>run</v>
      </c>
      <c r="N1849" s="4" cm="1">
        <f t="array" ref="N1849">SUM(--(_xlfn.TEXTSPLIT($J$1780,, " ") = M1849))</f>
        <v>1</v>
      </c>
      <c r="O1849">
        <v>2</v>
      </c>
      <c r="P1849">
        <v>1</v>
      </c>
      <c r="Q1849">
        <v>2</v>
      </c>
    </row>
    <row r="1850" spans="5:17" x14ac:dyDescent="0.2">
      <c r="E1850" s="9" t="s">
        <v>26</v>
      </c>
      <c r="K1850" t="str">
        <v>from</v>
      </c>
      <c r="L1850" s="4" t="str">
        <f t="shared" si="29"/>
        <v>from</v>
      </c>
      <c r="M1850" t="str">
        <v xml:space="preserve">down
</v>
      </c>
      <c r="N1850" s="4" cm="1">
        <f t="array" ref="N1850">SUM(--(_xlfn.TEXTSPLIT($J$1780,, " ") = M1850))</f>
        <v>1</v>
      </c>
      <c r="O1850">
        <v>2</v>
      </c>
      <c r="P1850">
        <v>1</v>
      </c>
      <c r="Q1850">
        <v>2</v>
      </c>
    </row>
    <row r="1851" spans="5:17" x14ac:dyDescent="0.2">
      <c r="E1851" s="9" t="s">
        <v>26</v>
      </c>
      <c r="K1851" t="str">
        <v>the</v>
      </c>
      <c r="L1851" s="4" t="str">
        <f t="shared" si="29"/>
        <v>the</v>
      </c>
      <c r="M1851" t="str">
        <v>Was</v>
      </c>
      <c r="N1851" s="4" cm="1">
        <f t="array" ref="N1851">SUM(--(_xlfn.TEXTSPLIT($J$1780,, " ") = M1851))</f>
        <v>1</v>
      </c>
      <c r="O1851">
        <v>2</v>
      </c>
      <c r="P1851">
        <v>1</v>
      </c>
      <c r="Q1851">
        <v>2</v>
      </c>
    </row>
    <row r="1852" spans="5:17" x14ac:dyDescent="0.2">
      <c r="E1852" s="9" t="s">
        <v>26</v>
      </c>
      <c r="K1852" t="str">
        <v xml:space="preserve">weather
</v>
      </c>
      <c r="L1852" s="4" t="str">
        <f t="shared" si="29"/>
        <v xml:space="preserve">weather </v>
      </c>
      <c r="M1852" t="str">
        <v>afraid</v>
      </c>
      <c r="N1852" s="4" cm="1">
        <f t="array" ref="N1852">SUM(--(_xlfn.TEXTSPLIT($J$1780,, " ") = M1852))</f>
        <v>1</v>
      </c>
      <c r="O1852">
        <v>2</v>
      </c>
      <c r="P1852">
        <v>1</v>
      </c>
      <c r="Q1852">
        <v>2</v>
      </c>
    </row>
    <row r="1853" spans="5:17" x14ac:dyDescent="0.2">
      <c r="E1853" s="9" t="s">
        <v>26</v>
      </c>
      <c r="K1853" t="str">
        <v>I</v>
      </c>
      <c r="L1853" s="4" t="str">
        <f t="shared" si="29"/>
        <v>I</v>
      </c>
      <c r="M1853" t="str">
        <v>Now</v>
      </c>
      <c r="N1853" s="4" cm="1">
        <f t="array" ref="N1853">SUM(--(_xlfn.TEXTSPLIT($J$1780,, " ") = M1853))</f>
        <v>1</v>
      </c>
      <c r="O1853">
        <v>1</v>
      </c>
      <c r="P1853">
        <v>1</v>
      </c>
      <c r="Q1853">
        <v>1</v>
      </c>
    </row>
    <row r="1854" spans="5:17" x14ac:dyDescent="0.2">
      <c r="E1854" s="9" t="s">
        <v>26</v>
      </c>
      <c r="K1854" t="str">
        <v>wear</v>
      </c>
      <c r="L1854" s="4" t="str">
        <f t="shared" si="29"/>
        <v>wear</v>
      </c>
      <c r="M1854" t="str">
        <v>just</v>
      </c>
      <c r="N1854" s="4" cm="1">
        <f t="array" ref="N1854">SUM(--(_xlfn.TEXTSPLIT($J$1780,, " ") = M1854))</f>
        <v>1</v>
      </c>
      <c r="O1854">
        <v>1</v>
      </c>
      <c r="P1854">
        <v>1</v>
      </c>
      <c r="Q1854">
        <v>1</v>
      </c>
    </row>
    <row r="1855" spans="5:17" x14ac:dyDescent="0.2">
      <c r="E1855" s="9" t="s">
        <v>26</v>
      </c>
      <c r="K1855" t="str">
        <v>all</v>
      </c>
      <c r="L1855" s="4" t="str">
        <f t="shared" si="29"/>
        <v>all</v>
      </c>
      <c r="M1855" t="str">
        <v>ashamed</v>
      </c>
      <c r="N1855" s="4" cm="1">
        <f t="array" ref="N1855">SUM(--(_xlfn.TEXTSPLIT($J$1780,, " ") = M1855))</f>
        <v>1</v>
      </c>
      <c r="O1855">
        <v>1</v>
      </c>
      <c r="P1855">
        <v>1</v>
      </c>
      <c r="Q1855">
        <v>1</v>
      </c>
    </row>
    <row r="1856" spans="5:17" x14ac:dyDescent="0.2">
      <c r="E1856" s="9" t="s">
        <v>26</v>
      </c>
      <c r="K1856" t="str">
        <v>of</v>
      </c>
      <c r="L1856" s="4" t="str">
        <f t="shared" si="29"/>
        <v>of</v>
      </c>
      <c r="M1856" t="str">
        <v xml:space="preserve">how
</v>
      </c>
      <c r="N1856" s="4" cm="1">
        <f t="array" ref="N1856">SUM(--(_xlfn.TEXTSPLIT($J$1780,, " ") = M1856))</f>
        <v>1</v>
      </c>
      <c r="O1856">
        <v>1</v>
      </c>
      <c r="P1856">
        <v>1</v>
      </c>
      <c r="Q1856">
        <v>1</v>
      </c>
    </row>
    <row r="1857" spans="5:17" x14ac:dyDescent="0.2">
      <c r="E1857" s="9" t="s">
        <v>26</v>
      </c>
      <c r="K1857" t="str">
        <v>my</v>
      </c>
      <c r="L1857" s="4" t="str">
        <f t="shared" si="29"/>
        <v>my</v>
      </c>
      <c r="M1857" t="str">
        <v>hide</v>
      </c>
      <c r="N1857" s="4" cm="1">
        <f t="array" ref="N1857">SUM(--(_xlfn.TEXTSPLIT($J$1780,, " ") = M1857))</f>
        <v>1</v>
      </c>
      <c r="O1857">
        <v>1</v>
      </c>
      <c r="P1857">
        <v>1</v>
      </c>
      <c r="Q1857">
        <v>1</v>
      </c>
    </row>
    <row r="1858" spans="5:17" x14ac:dyDescent="0.2">
      <c r="E1858" s="9" t="s">
        <v>26</v>
      </c>
      <c r="K1858" t="str">
        <v>heart</v>
      </c>
      <c r="L1858" s="4" t="str">
        <f t="shared" si="29"/>
        <v>heart</v>
      </c>
      <c r="M1858" t="str">
        <v>face</v>
      </c>
      <c r="N1858" s="4" cm="1">
        <f t="array" ref="N1858">SUM(--(_xlfn.TEXTSPLIT($J$1780,, " ") = M1858))</f>
        <v>1</v>
      </c>
      <c r="O1858">
        <v>1</v>
      </c>
      <c r="P1858">
        <v>1</v>
      </c>
      <c r="Q1858">
        <v>1</v>
      </c>
    </row>
    <row r="1859" spans="5:17" x14ac:dyDescent="0.2">
      <c r="E1859" s="9" t="s">
        <v>26</v>
      </c>
      <c r="K1859" t="str">
        <v>on</v>
      </c>
      <c r="L1859" s="4" t="str">
        <f t="shared" si="29"/>
        <v>on</v>
      </c>
      <c r="M1859" t="str">
        <v xml:space="preserve">you
</v>
      </c>
      <c r="N1859" s="4" cm="1">
        <f t="array" ref="N1859">SUM(--(_xlfn.TEXTSPLIT($J$1780,, " ") = M1859))</f>
        <v>1</v>
      </c>
      <c r="O1859">
        <v>1</v>
      </c>
      <c r="P1859">
        <v>1</v>
      </c>
      <c r="Q1859">
        <v>1</v>
      </c>
    </row>
    <row r="1860" spans="5:17" x14ac:dyDescent="0.2">
      <c r="E1860" s="9" t="s">
        <v>26</v>
      </c>
      <c r="K1860" t="str">
        <v>my</v>
      </c>
      <c r="L1860" s="4" t="str">
        <f t="shared" si="29"/>
        <v>my</v>
      </c>
      <c r="M1860" t="str">
        <v xml:space="preserve">become?
</v>
      </c>
      <c r="N1860" s="4" cm="1">
        <f t="array" ref="N1860">SUM(--(_xlfn.TEXTSPLIT($J$1780,, " ") = M1860))</f>
        <v>1</v>
      </c>
      <c r="O1860">
        <v>1</v>
      </c>
      <c r="P1860">
        <v>1</v>
      </c>
      <c r="Q1860">
        <v>1</v>
      </c>
    </row>
    <row r="1861" spans="5:17" x14ac:dyDescent="0.2">
      <c r="E1861" s="9" t="s">
        <v>26</v>
      </c>
      <c r="K1861" t="str">
        <v xml:space="preserve">sleeve
</v>
      </c>
      <c r="L1861" s="4" t="str">
        <f t="shared" si="29"/>
        <v xml:space="preserve">sleeve </v>
      </c>
      <c r="M1861" t="str">
        <v>Dirty</v>
      </c>
      <c r="N1861" s="4" cm="1">
        <f t="array" ref="N1861">SUM(--(_xlfn.TEXTSPLIT($J$1780,, " ") = M1861))</f>
        <v>1</v>
      </c>
      <c r="O1861">
        <v>1</v>
      </c>
      <c r="P1861">
        <v>1</v>
      </c>
      <c r="Q1861">
        <v>1</v>
      </c>
    </row>
    <row r="1862" spans="5:17" x14ac:dyDescent="0.2">
      <c r="E1862" s="9" t="s">
        <v>26</v>
      </c>
      <c r="K1862" t="str">
        <v>I'll</v>
      </c>
      <c r="L1862" s="4" t="str">
        <f t="shared" si="29"/>
        <v>I ll</v>
      </c>
      <c r="M1862" t="str">
        <v>wretched</v>
      </c>
      <c r="N1862" s="4" cm="1">
        <f t="array" ref="N1862">SUM(--(_xlfn.TEXTSPLIT($J$1780,, " ") = M1862))</f>
        <v>1</v>
      </c>
      <c r="O1862">
        <v>1</v>
      </c>
      <c r="P1862">
        <v>1</v>
      </c>
      <c r="Q1862">
        <v>1</v>
      </c>
    </row>
    <row r="1863" spans="5:17" x14ac:dyDescent="0.2">
      <c r="E1863" s="9" t="s">
        <v>26</v>
      </c>
      <c r="K1863" t="str">
        <v>take</v>
      </c>
      <c r="L1863" s="4" t="str">
        <f t="shared" si="29"/>
        <v>take</v>
      </c>
      <c r="M1863" t="str">
        <v xml:space="preserve">one
</v>
      </c>
      <c r="N1863" s="4" cm="1">
        <f t="array" ref="N1863">SUM(--(_xlfn.TEXTSPLIT($J$1780,, " ") = M1863))</f>
        <v>1</v>
      </c>
      <c r="O1863">
        <v>1</v>
      </c>
      <c r="P1863">
        <v>1</v>
      </c>
      <c r="Q1863">
        <v>1</v>
      </c>
    </row>
    <row r="1864" spans="5:17" x14ac:dyDescent="0.2">
      <c r="E1864" s="9" t="s">
        <v>26</v>
      </c>
      <c r="K1864" t="str">
        <v>what</v>
      </c>
      <c r="L1864" s="4" t="str">
        <f t="shared" si="29"/>
        <v>what</v>
      </c>
      <c r="M1864" t="str">
        <v>Am</v>
      </c>
      <c r="N1864" s="4" cm="1">
        <f t="array" ref="N1864">SUM(--(_xlfn.TEXTSPLIT($J$1780,, " ") = M1864))</f>
        <v>1</v>
      </c>
      <c r="O1864">
        <v>1</v>
      </c>
      <c r="P1864">
        <v>1</v>
      </c>
      <c r="Q1864">
        <v>1</v>
      </c>
    </row>
    <row r="1865" spans="5:17" x14ac:dyDescent="0.2">
      <c r="E1865" s="9" t="s">
        <v>26</v>
      </c>
      <c r="K1865" t="str">
        <v>I</v>
      </c>
      <c r="L1865" s="4" t="str">
        <f t="shared" si="29"/>
        <v>I</v>
      </c>
      <c r="M1865" t="str">
        <v>unholy</v>
      </c>
      <c r="N1865" s="4" cm="1">
        <f t="array" ref="N1865">SUM(--(_xlfn.TEXTSPLIT($J$1780,, " ") = M1865))</f>
        <v>1</v>
      </c>
      <c r="O1865">
        <v>1</v>
      </c>
      <c r="P1865">
        <v>1</v>
      </c>
      <c r="Q1865">
        <v>1</v>
      </c>
    </row>
    <row r="1866" spans="5:17" x14ac:dyDescent="0.2">
      <c r="E1866" s="9" t="s">
        <v>26</v>
      </c>
      <c r="K1866" t="str">
        <v>believe,</v>
      </c>
      <c r="L1866" s="4" t="str">
        <f t="shared" si="29"/>
        <v xml:space="preserve">believe </v>
      </c>
      <c r="M1866" t="str">
        <v xml:space="preserve">man?
</v>
      </c>
      <c r="N1866" s="4" cm="1">
        <f t="array" ref="N1866">SUM(--(_xlfn.TEXTSPLIT($J$1780,, " ") = M1866))</f>
        <v>1</v>
      </c>
      <c r="O1866">
        <v>1</v>
      </c>
      <c r="P1866">
        <v>1</v>
      </c>
      <c r="Q1866">
        <v>1</v>
      </c>
    </row>
    <row r="1867" spans="5:17" x14ac:dyDescent="0.2">
      <c r="E1867" s="9" t="s">
        <v>26</v>
      </c>
      <c r="K1867" t="str">
        <v>and</v>
      </c>
      <c r="L1867" s="4" t="str">
        <f t="shared" si="29"/>
        <v>and</v>
      </c>
      <c r="M1867" t="str">
        <v>forced</v>
      </c>
      <c r="N1867" s="4" cm="1">
        <f t="array" ref="N1867">SUM(--(_xlfn.TEXTSPLIT($J$1780,, " ") = M1867))</f>
        <v>1</v>
      </c>
      <c r="O1867">
        <v>1</v>
      </c>
      <c r="P1867">
        <v>1</v>
      </c>
      <c r="Q1867">
        <v>1</v>
      </c>
    </row>
    <row r="1868" spans="5:17" x14ac:dyDescent="0.2">
      <c r="E1868" s="9" t="s">
        <v>26</v>
      </c>
      <c r="K1868" t="str">
        <v>I'm</v>
      </c>
      <c r="L1868" s="4" t="str">
        <f t="shared" si="29"/>
        <v>I m</v>
      </c>
      <c r="M1868" t="str">
        <v xml:space="preserve">hand?
</v>
      </c>
      <c r="N1868" s="4" cm="1">
        <f t="array" ref="N1868">SUM(--(_xlfn.TEXTSPLIT($J$1780,, " ") = M1868))</f>
        <v>1</v>
      </c>
      <c r="O1868">
        <v>1</v>
      </c>
      <c r="P1868">
        <v>1</v>
      </c>
      <c r="Q1868">
        <v>1</v>
      </c>
    </row>
    <row r="1869" spans="5:17" x14ac:dyDescent="0.2">
      <c r="E1869" s="9" t="s">
        <v>26</v>
      </c>
      <c r="K1869" t="str">
        <v>hiding</v>
      </c>
      <c r="L1869" s="4" t="str">
        <f t="shared" si="29"/>
        <v>hiding</v>
      </c>
      <c r="M1869" t="str">
        <v>woah-oh,</v>
      </c>
      <c r="N1869" s="4" cm="1">
        <f t="array" ref="N1869">SUM(--(_xlfn.TEXTSPLIT($J$1780,, " ") = M1869))</f>
        <v>4</v>
      </c>
      <c r="O1869">
        <v>1</v>
      </c>
      <c r="P1869">
        <v>4</v>
      </c>
      <c r="Q1869">
        <v>1</v>
      </c>
    </row>
    <row r="1870" spans="5:17" x14ac:dyDescent="0.2">
      <c r="E1870" s="9" t="s">
        <v>26</v>
      </c>
      <c r="K1870" t="str">
        <v xml:space="preserve">it
</v>
      </c>
      <c r="L1870" s="4" t="str">
        <f t="shared" si="29"/>
        <v xml:space="preserve">it </v>
      </c>
      <c r="M1870" t="str">
        <v>mercy,</v>
      </c>
      <c r="N1870" s="4" cm="1">
        <f t="array" ref="N1870">SUM(--(_xlfn.TEXTSPLIT($J$1780,, " ") = M1870))</f>
        <v>2</v>
      </c>
      <c r="O1870">
        <v>1</v>
      </c>
      <c r="P1870">
        <v>2</v>
      </c>
      <c r="Q1870">
        <v>1</v>
      </c>
    </row>
    <row r="1871" spans="5:17" x14ac:dyDescent="0.2">
      <c r="E1871" s="9" t="s">
        <v>26</v>
      </c>
      <c r="K1871" t="str">
        <v>Downstairs,</v>
      </c>
      <c r="L1871" s="4" t="str">
        <f t="shared" si="29"/>
        <v xml:space="preserve">Downstairs </v>
      </c>
      <c r="M1871" t="str">
        <v xml:space="preserve">yeah
</v>
      </c>
      <c r="N1871" s="4" cm="1">
        <f t="array" ref="N1871">SUM(--(_xlfn.TEXTSPLIT($J$1780,, " ") = M1871))</f>
        <v>1</v>
      </c>
      <c r="O1871">
        <v>1</v>
      </c>
      <c r="P1871">
        <v>1</v>
      </c>
      <c r="Q1871">
        <v>1</v>
      </c>
    </row>
    <row r="1872" spans="5:17" x14ac:dyDescent="0.2">
      <c r="E1872" s="9" t="s">
        <v>26</v>
      </c>
      <c r="K1872" t="str">
        <v>I</v>
      </c>
      <c r="L1872" s="4" t="str">
        <f t="shared" si="29"/>
        <v>I</v>
      </c>
      <c r="M1872" t="str">
        <v xml:space="preserve">yeah
</v>
      </c>
      <c r="N1872" s="4" cm="1">
        <f t="array" ref="N1872">SUM(--(_xlfn.TEXTSPLIT($J$1780,, " ") = M1872))</f>
        <v>1</v>
      </c>
      <c r="O1872">
        <v>1</v>
      </c>
      <c r="P1872">
        <v>1</v>
      </c>
      <c r="Q1872">
        <v>1</v>
      </c>
    </row>
    <row r="1873" spans="5:17" x14ac:dyDescent="0.2">
      <c r="E1873" s="9" t="s">
        <v>26</v>
      </c>
      <c r="K1873" t="str">
        <v>feel</v>
      </c>
      <c r="L1873" s="4" t="str">
        <f t="shared" si="29"/>
        <v>feel</v>
      </c>
      <c r="M1873" t="str">
        <v>Downstairs</v>
      </c>
      <c r="N1873" s="4" cm="1">
        <f t="array" ref="N1873">SUM(--(_xlfn.TEXTSPLIT($J$1780,, " ") = M1873))</f>
        <v>1</v>
      </c>
      <c r="O1873">
        <v>1</v>
      </c>
      <c r="P1873">
        <v>1</v>
      </c>
      <c r="Q1873">
        <v>1</v>
      </c>
    </row>
    <row r="1874" spans="5:17" x14ac:dyDescent="0.2">
      <c r="E1874" s="9" t="s">
        <v>26</v>
      </c>
      <c r="K1874" t="str">
        <v>better</v>
      </c>
      <c r="L1874" s="4" t="str">
        <f t="shared" si="29"/>
        <v>better</v>
      </c>
      <c r="M1874" t="str">
        <v>(You</v>
      </c>
      <c r="N1874" s="4" cm="1">
        <f t="array" ref="N1874">SUM(--(_xlfn.TEXTSPLIT($J$1780,, " ") = M1874))</f>
        <v>2</v>
      </c>
      <c r="O1874">
        <v>1</v>
      </c>
      <c r="P1874">
        <v>2</v>
      </c>
      <c r="Q1874">
        <v>1</v>
      </c>
    </row>
    <row r="1875" spans="5:17" x14ac:dyDescent="0.2">
      <c r="E1875" s="9" t="s">
        <v>26</v>
      </c>
      <c r="K1875" t="str">
        <v>in</v>
      </c>
      <c r="L1875" s="4" t="str">
        <f t="shared" si="29"/>
        <v>in</v>
      </c>
      <c r="M1875" t="str">
        <v>have),</v>
      </c>
      <c r="N1875" s="4" cm="1">
        <f t="array" ref="N1875">SUM(--(_xlfn.TEXTSPLIT($J$1780,, " ") = M1875))</f>
        <v>1</v>
      </c>
      <c r="O1875">
        <v>1</v>
      </c>
      <c r="P1875">
        <v>1</v>
      </c>
      <c r="Q1875">
        <v>1</v>
      </c>
    </row>
    <row r="1876" spans="5:17" x14ac:dyDescent="0.2">
      <c r="E1876" s="9" t="s">
        <v>26</v>
      </c>
      <c r="K1876" t="str">
        <v>the</v>
      </c>
      <c r="L1876" s="4" t="str">
        <f t="shared" si="29"/>
        <v>the</v>
      </c>
      <c r="M1876" t="str">
        <v>cellar</v>
      </c>
      <c r="N1876" s="4" cm="1">
        <f t="array" ref="N1876">SUM(--(_xlfn.TEXTSPLIT($J$1780,, " ") = M1876))</f>
        <v>1</v>
      </c>
      <c r="O1876">
        <v>1</v>
      </c>
      <c r="P1876">
        <v>1</v>
      </c>
      <c r="Q1876">
        <v>1</v>
      </c>
    </row>
    <row r="1877" spans="5:17" x14ac:dyDescent="0.2">
      <c r="E1877" s="9" t="s">
        <v>26</v>
      </c>
      <c r="K1877" t="str">
        <v xml:space="preserve">cellar
</v>
      </c>
      <c r="L1877" s="4" t="str">
        <f t="shared" si="29"/>
        <v xml:space="preserve">cellar </v>
      </c>
      <c r="M1877" t="str">
        <v>(All</v>
      </c>
      <c r="N1877" s="4" cm="1">
        <f t="array" ref="N1877">SUM(--(_xlfn.TEXTSPLIT($J$1780,, " ") = M1877))</f>
        <v>2</v>
      </c>
      <c r="O1877">
        <v>1</v>
      </c>
      <c r="P1877">
        <v>2</v>
      </c>
      <c r="Q1877">
        <v>1</v>
      </c>
    </row>
    <row r="1878" spans="5:17" x14ac:dyDescent="0.2">
      <c r="E1878" s="9" t="s">
        <v>26</v>
      </c>
      <c r="K1878" t="str">
        <v>Down</v>
      </c>
      <c r="L1878" s="4" t="str">
        <f t="shared" si="29"/>
        <v>Down</v>
      </c>
      <c r="M1878" t="str">
        <v xml:space="preserve">made)
</v>
      </c>
      <c r="N1878" s="4" cm="1">
        <f t="array" ref="N1878">SUM(--(_xlfn.TEXTSPLIT($J$1780,, " ") = M1878))</f>
        <v>1</v>
      </c>
      <c r="O1878">
        <v>1</v>
      </c>
      <c r="P1878">
        <v>1</v>
      </c>
      <c r="Q1878">
        <v>1</v>
      </c>
    </row>
    <row r="1879" spans="5:17" x14ac:dyDescent="0.2">
      <c r="E1879" s="9" t="s">
        <v>26</v>
      </c>
      <c r="K1879" t="str">
        <v>there,</v>
      </c>
      <c r="L1879" s="4" t="str">
        <f t="shared" si="29"/>
        <v xml:space="preserve">there </v>
      </c>
      <c r="M1879" t="str">
        <v>need</v>
      </c>
      <c r="N1879" s="4" cm="1">
        <f t="array" ref="N1879">SUM(--(_xlfn.TEXTSPLIT($J$1780,, " ") = M1879))</f>
        <v>1</v>
      </c>
      <c r="O1879">
        <v>1</v>
      </c>
      <c r="P1879">
        <v>1</v>
      </c>
      <c r="Q1879">
        <v>1</v>
      </c>
    </row>
    <row r="1880" spans="5:17" x14ac:dyDescent="0.2">
      <c r="E1880" s="9" t="s">
        <v>26</v>
      </c>
      <c r="K1880" t="str">
        <v>it's</v>
      </c>
      <c r="L1880" s="4" t="str">
        <f t="shared" si="29"/>
        <v>it s</v>
      </c>
      <c r="M1880" t="str">
        <v>weather</v>
      </c>
      <c r="N1880" s="4" cm="1">
        <f t="array" ref="N1880">SUM(--(_xlfn.TEXTSPLIT($J$1780,, " ") = M1880))</f>
        <v>1</v>
      </c>
      <c r="O1880">
        <v>1</v>
      </c>
      <c r="P1880">
        <v>1</v>
      </c>
      <c r="Q1880">
        <v>1</v>
      </c>
    </row>
    <row r="1881" spans="5:17" x14ac:dyDescent="0.2">
      <c r="E1881" s="9" t="s">
        <v>26</v>
      </c>
      <c r="K1881" t="str">
        <v>some</v>
      </c>
      <c r="L1881" s="4" t="str">
        <f t="shared" si="29"/>
        <v>some</v>
      </c>
      <c r="M1881" t="str">
        <v xml:space="preserve">known)
</v>
      </c>
      <c r="N1881" s="4" cm="1">
        <f t="array" ref="N1881">SUM(--(_xlfn.TEXTSPLIT($J$1780,, " ") = M1881))</f>
        <v>1</v>
      </c>
      <c r="O1881">
        <v>1</v>
      </c>
      <c r="P1881">
        <v>1</v>
      </c>
      <c r="Q1881">
        <v>1</v>
      </c>
    </row>
    <row r="1882" spans="5:17" x14ac:dyDescent="0.2">
      <c r="E1882" s="9" t="s">
        <v>26</v>
      </c>
      <c r="K1882" t="str">
        <v>shelter</v>
      </c>
      <c r="L1882" s="4" t="str">
        <f t="shared" si="29"/>
        <v>shelter</v>
      </c>
      <c r="M1882" t="str">
        <v>have)</v>
      </c>
      <c r="N1882" s="4" cm="1">
        <f t="array" ref="N1882">SUM(--(_xlfn.TEXTSPLIT($J$1780,, " ") = M1882))</f>
        <v>1</v>
      </c>
      <c r="O1882">
        <v>1</v>
      </c>
      <c r="P1882">
        <v>1</v>
      </c>
      <c r="Q1882">
        <v>1</v>
      </c>
    </row>
    <row r="1883" spans="5:17" x14ac:dyDescent="0.2">
      <c r="E1883" s="9" t="s">
        <v>26</v>
      </c>
      <c r="K1883" t="str">
        <v>from</v>
      </c>
      <c r="L1883" s="4" t="str">
        <f t="shared" si="29"/>
        <v>from</v>
      </c>
      <c r="M1883" t="str">
        <v>sleeve</v>
      </c>
      <c r="N1883" s="4" cm="1">
        <f t="array" ref="N1883">SUM(--(_xlfn.TEXTSPLIT($J$1780,, " ") = M1883))</f>
        <v>1</v>
      </c>
      <c r="O1883">
        <v>1</v>
      </c>
      <c r="P1883">
        <v>1</v>
      </c>
      <c r="Q1883">
        <v>1</v>
      </c>
    </row>
    <row r="1884" spans="5:17" x14ac:dyDescent="0.2">
      <c r="E1884" s="9" t="s">
        <v>26</v>
      </c>
      <c r="K1884" t="str">
        <v>the</v>
      </c>
      <c r="L1884" s="4" t="str">
        <f t="shared" si="29"/>
        <v>the</v>
      </c>
      <c r="M1884" t="str">
        <v>(Both</v>
      </c>
      <c r="N1884" s="4" cm="1">
        <f t="array" ref="N1884">SUM(--(_xlfn.TEXTSPLIT($J$1780,, " ") = M1884))</f>
        <v>1</v>
      </c>
      <c r="O1884">
        <v>1</v>
      </c>
      <c r="P1884">
        <v>1</v>
      </c>
      <c r="Q1884">
        <v>1</v>
      </c>
    </row>
    <row r="1885" spans="5:17" x14ac:dyDescent="0.2">
      <c r="E1885" s="9" t="s">
        <v>26</v>
      </c>
      <c r="K1885" t="str">
        <v xml:space="preserve">weather
</v>
      </c>
      <c r="L1885" s="4" t="str">
        <f t="shared" si="29"/>
        <v xml:space="preserve">weather </v>
      </c>
      <c r="M1885" t="str">
        <v xml:space="preserve">lungs)
</v>
      </c>
      <c r="N1885" s="4" cm="1">
        <f t="array" ref="N1885">SUM(--(_xlfn.TEXTSPLIT($J$1780,, " ") = M1885))</f>
        <v>1</v>
      </c>
      <c r="O1885">
        <v>1</v>
      </c>
      <c r="P1885">
        <v>1</v>
      </c>
      <c r="Q1885">
        <v>1</v>
      </c>
    </row>
    <row r="1886" spans="5:17" x14ac:dyDescent="0.2">
      <c r="E1886" s="9" t="s">
        <v>26</v>
      </c>
      <c r="K1886" t="str">
        <v>I</v>
      </c>
      <c r="L1886" s="4" t="str">
        <f t="shared" si="29"/>
        <v>I</v>
      </c>
      <c r="M1886" t="str">
        <v>it,</v>
      </c>
      <c r="N1886" s="4" cm="1">
        <f t="array" ref="N1886">SUM(--(_xlfn.TEXTSPLIT($J$1780,, " ") = M1886))</f>
        <v>4</v>
      </c>
      <c r="O1886">
        <v>1</v>
      </c>
      <c r="P1886">
        <v>4</v>
      </c>
      <c r="Q1886">
        <v>1</v>
      </c>
    </row>
    <row r="1887" spans="5:17" x14ac:dyDescent="0.2">
      <c r="E1887" s="9" t="s">
        <v>26</v>
      </c>
      <c r="K1887" t="str">
        <v>wear</v>
      </c>
      <c r="L1887" s="4" t="str">
        <f t="shared" si="29"/>
        <v>wear</v>
      </c>
      <c r="M1887" t="str">
        <v>yeah</v>
      </c>
      <c r="N1887" s="4" cm="1">
        <f t="array" ref="N1887">SUM(--(_xlfn.TEXTSPLIT($J$1780,, " ") = M1887))</f>
        <v>3</v>
      </c>
      <c r="O1887">
        <v>1</v>
      </c>
      <c r="P1887">
        <v>3</v>
      </c>
      <c r="Q1887">
        <v>1</v>
      </c>
    </row>
    <row r="1888" spans="5:17" x14ac:dyDescent="0.2">
      <c r="E1888" s="9" t="s">
        <v>26</v>
      </c>
      <c r="K1888" t="str">
        <v>all</v>
      </c>
      <c r="L1888" s="4" t="str">
        <f t="shared" si="29"/>
        <v>all</v>
      </c>
      <c r="M1888" t="str">
        <v>(If</v>
      </c>
      <c r="N1888" s="4" cm="1">
        <f t="array" ref="N1888">SUM(--(_xlfn.TEXTSPLIT($J$1780,, " ") = M1888))</f>
        <v>1</v>
      </c>
      <c r="O1888">
        <v>1</v>
      </c>
      <c r="P1888">
        <v>1</v>
      </c>
      <c r="Q1888">
        <v>1</v>
      </c>
    </row>
    <row r="1889" spans="5:17" x14ac:dyDescent="0.2">
      <c r="E1889" s="9" t="s">
        <v>26</v>
      </c>
      <c r="K1889" t="str">
        <v>of</v>
      </c>
      <c r="L1889" s="4" t="str">
        <f t="shared" si="29"/>
        <v>of</v>
      </c>
      <c r="M1889" t="str">
        <v>so,</v>
      </c>
      <c r="N1889" s="4" cm="1">
        <f t="array" ref="N1889">SUM(--(_xlfn.TEXTSPLIT($J$1780,, " ") = M1889))</f>
        <v>1</v>
      </c>
      <c r="O1889">
        <v>1</v>
      </c>
      <c r="P1889">
        <v>1</v>
      </c>
      <c r="Q1889">
        <v>1</v>
      </c>
    </row>
    <row r="1890" spans="5:17" x14ac:dyDescent="0.2">
      <c r="E1890" s="9" t="s">
        <v>26</v>
      </c>
      <c r="K1890" t="str">
        <v>my</v>
      </c>
      <c r="L1890" s="4" t="str">
        <f t="shared" si="29"/>
        <v>my</v>
      </c>
      <c r="M1890" t="str">
        <v xml:space="preserve">oh)
</v>
      </c>
      <c r="N1890" s="4" cm="1">
        <f t="array" ref="N1890">SUM(--(_xlfn.TEXTSPLIT($J$1780,, " ") = M1890))</f>
        <v>1</v>
      </c>
      <c r="O1890">
        <v>1</v>
      </c>
      <c r="P1890">
        <v>1</v>
      </c>
      <c r="Q1890">
        <v>1</v>
      </c>
    </row>
    <row r="1891" spans="5:17" x14ac:dyDescent="0.2">
      <c r="E1891" s="9" t="s">
        <v>26</v>
      </c>
      <c r="K1891" t="str">
        <v>heart</v>
      </c>
      <c r="L1891" s="4" t="str">
        <f t="shared" si="29"/>
        <v>heart</v>
      </c>
      <c r="M1891" t="str">
        <v>('Cause</v>
      </c>
      <c r="N1891" s="4" cm="1">
        <f t="array" ref="N1891">SUM(--(_xlfn.TEXTSPLIT($J$1780,, " ") = M1891))</f>
        <v>1</v>
      </c>
      <c r="O1891">
        <v>1</v>
      </c>
      <c r="P1891">
        <v>1</v>
      </c>
      <c r="Q1891">
        <v>1</v>
      </c>
    </row>
    <row r="1892" spans="5:17" x14ac:dyDescent="0.2">
      <c r="E1892" s="9" t="s">
        <v>26</v>
      </c>
      <c r="K1892" t="str">
        <v>on</v>
      </c>
      <c r="L1892" s="4" t="str">
        <f t="shared" si="29"/>
        <v>on</v>
      </c>
      <c r="M1892" t="str">
        <v xml:space="preserve">one)
</v>
      </c>
      <c r="N1892" s="4" cm="1">
        <f t="array" ref="N1892">SUM(--(_xlfn.TEXTSPLIT($J$1780,, " ") = M1892))</f>
        <v>1</v>
      </c>
      <c r="O1892">
        <v>1</v>
      </c>
      <c r="P1892">
        <v>1</v>
      </c>
      <c r="Q1892">
        <v>1</v>
      </c>
    </row>
    <row r="1893" spans="5:17" x14ac:dyDescent="0.2">
      <c r="E1893" s="9" t="s">
        <v>26</v>
      </c>
      <c r="K1893" t="str">
        <v>my</v>
      </c>
      <c r="L1893" s="4" t="str">
        <f t="shared" si="29"/>
        <v>my</v>
      </c>
      <c r="M1893" t="str">
        <v>(After</v>
      </c>
      <c r="N1893" s="4" cm="1">
        <f t="array" ref="N1893">SUM(--(_xlfn.TEXTSPLIT($J$1780,, " ") = M1893))</f>
        <v>1</v>
      </c>
      <c r="O1893">
        <v>1</v>
      </c>
      <c r="P1893">
        <v>1</v>
      </c>
      <c r="Q1893">
        <v>1</v>
      </c>
    </row>
    <row r="1894" spans="5:17" x14ac:dyDescent="0.2">
      <c r="E1894" s="9" t="s">
        <v>26</v>
      </c>
      <c r="K1894" t="str">
        <v xml:space="preserve">sleeve
</v>
      </c>
      <c r="L1894" s="4" t="str">
        <f t="shared" si="29"/>
        <v xml:space="preserve">sleeve </v>
      </c>
      <c r="M1894" t="str">
        <v xml:space="preserve">heart)
</v>
      </c>
      <c r="N1894" s="4" cm="1">
        <f t="array" ref="N1894">SUM(--(_xlfn.TEXTSPLIT($J$1780,, " ") = M1894))</f>
        <v>1</v>
      </c>
      <c r="O1894">
        <v>1</v>
      </c>
      <c r="P1894">
        <v>1</v>
      </c>
      <c r="Q1894">
        <v>1</v>
      </c>
    </row>
    <row r="1895" spans="5:17" x14ac:dyDescent="0.2">
      <c r="E1895" s="9" t="s">
        <v>26</v>
      </c>
      <c r="K1895" t="str">
        <v>I'll</v>
      </c>
      <c r="L1895" s="4" t="str">
        <f t="shared" si="29"/>
        <v>I ll</v>
      </c>
      <c r="M1895" t="str">
        <v>yeah,</v>
      </c>
      <c r="N1895" s="4" cm="1">
        <f t="array" ref="N1895">SUM(--(_xlfn.TEXTSPLIT($J$1780,, " ") = M1895))</f>
        <v>1</v>
      </c>
      <c r="O1895">
        <v>1</v>
      </c>
      <c r="P1895">
        <v>1</v>
      </c>
      <c r="Q1895">
        <v>1</v>
      </c>
    </row>
    <row r="1896" spans="5:17" x14ac:dyDescent="0.2">
      <c r="E1896" s="9" t="s">
        <v>26</v>
      </c>
      <c r="K1896" t="str">
        <v>take</v>
      </c>
      <c r="L1896" s="4" t="str">
        <f t="shared" si="29"/>
        <v>take</v>
      </c>
      <c r="M1896" t="str">
        <v>oh</v>
      </c>
      <c r="N1896" s="4" cm="1">
        <f t="array" ref="N1896">SUM(--(_xlfn.TEXTSPLIT($J$1780,, " ") = M1896))</f>
        <v>1</v>
      </c>
      <c r="O1896">
        <v>1</v>
      </c>
      <c r="P1896">
        <v>1</v>
      </c>
      <c r="Q1896">
        <v>1</v>
      </c>
    </row>
    <row r="1897" spans="5:17" x14ac:dyDescent="0.2">
      <c r="E1897" s="9" t="s">
        <v>26</v>
      </c>
      <c r="K1897" t="str">
        <v>what</v>
      </c>
      <c r="L1897" s="4" t="str">
        <f t="shared" si="29"/>
        <v>what</v>
      </c>
      <c r="M1897" t="str">
        <v>(And</v>
      </c>
      <c r="N1897" s="4" cm="1">
        <f t="array" ref="N1897">SUM(--(_xlfn.TEXTSPLIT($J$1780,, " ") = M1897))</f>
        <v>1</v>
      </c>
      <c r="O1897">
        <v>1</v>
      </c>
      <c r="P1897">
        <v>1</v>
      </c>
      <c r="Q1897">
        <v>1</v>
      </c>
    </row>
    <row r="1898" spans="5:17" x14ac:dyDescent="0.2">
      <c r="E1898" s="9" t="s">
        <v>26</v>
      </c>
      <c r="K1898" t="str">
        <v>I</v>
      </c>
      <c r="L1898" s="4" t="str">
        <f t="shared" si="29"/>
        <v>I</v>
      </c>
      <c r="M1898" t="str">
        <v xml:space="preserve">start)
</v>
      </c>
      <c r="N1898" s="4" cm="1">
        <f t="array" ref="N1898">SUM(--(_xlfn.TEXTSPLIT($J$1780,, " ") = M1898))</f>
        <v>1</v>
      </c>
      <c r="O1898">
        <v>1</v>
      </c>
      <c r="P1898">
        <v>1</v>
      </c>
      <c r="Q1898">
        <v>1</v>
      </c>
    </row>
    <row r="1899" spans="5:17" x14ac:dyDescent="0.2">
      <c r="E1899" s="9" t="s">
        <v>26</v>
      </c>
      <c r="K1899" t="str">
        <v>believe,</v>
      </c>
      <c r="L1899" s="4" t="str">
        <f t="shared" si="29"/>
        <v xml:space="preserve">believe </v>
      </c>
      <c r="M1899" t="str">
        <v>start</v>
      </c>
      <c r="N1899" s="4" cm="1">
        <f t="array" ref="N1899">SUM(--(_xlfn.TEXTSPLIT($J$1780,, " ") = M1899))</f>
        <v>1</v>
      </c>
      <c r="O1899">
        <v>1</v>
      </c>
      <c r="P1899">
        <v>1</v>
      </c>
      <c r="Q1899">
        <v>1</v>
      </c>
    </row>
    <row r="1900" spans="5:17" x14ac:dyDescent="0.2">
      <c r="E1900" s="9" t="s">
        <v>26</v>
      </c>
      <c r="K1900" t="str">
        <v>and</v>
      </c>
      <c r="L1900" s="4" t="str">
        <f t="shared" si="29"/>
        <v>and</v>
      </c>
      <c r="N1900" s="4" cm="1">
        <f t="array" ref="N1900">SUM(--(_xlfn.TEXTSPLIT($J$1780,, " ") = M1900))</f>
        <v>1</v>
      </c>
      <c r="O1900">
        <v>1</v>
      </c>
      <c r="P1900">
        <v>1</v>
      </c>
      <c r="Q1900">
        <v>1</v>
      </c>
    </row>
    <row r="1901" spans="5:17" x14ac:dyDescent="0.2">
      <c r="E1901" s="9" t="s">
        <v>26</v>
      </c>
      <c r="K1901" t="str">
        <v>I'm</v>
      </c>
      <c r="L1901" s="4" t="str">
        <f t="shared" si="29"/>
        <v>I m</v>
      </c>
      <c r="N1901" s="4" cm="1">
        <f t="array" ref="N1901">SUM(--(_xlfn.TEXTSPLIT($J$1780,, " ") = M1901))</f>
        <v>1</v>
      </c>
      <c r="O1901">
        <v>1</v>
      </c>
      <c r="P1901">
        <v>1</v>
      </c>
      <c r="Q1901">
        <v>1</v>
      </c>
    </row>
    <row r="1902" spans="5:17" x14ac:dyDescent="0.2">
      <c r="E1902" s="9" t="s">
        <v>26</v>
      </c>
      <c r="K1902" t="str">
        <v>hiding</v>
      </c>
      <c r="L1902" s="4" t="str">
        <f t="shared" si="29"/>
        <v>hiding</v>
      </c>
      <c r="N1902" s="4" cm="1">
        <f t="array" ref="N1902">SUM(--(_xlfn.TEXTSPLIT($J$1780,, " ") = M1902))</f>
        <v>1</v>
      </c>
      <c r="O1902">
        <v>1</v>
      </c>
      <c r="P1902">
        <v>1</v>
      </c>
      <c r="Q1902">
        <v>1</v>
      </c>
    </row>
    <row r="1903" spans="5:17" x14ac:dyDescent="0.2">
      <c r="E1903" s="9" t="s">
        <v>26</v>
      </c>
      <c r="K1903" t="str">
        <v xml:space="preserve">it
</v>
      </c>
      <c r="L1903" s="4" t="str">
        <f t="shared" si="29"/>
        <v xml:space="preserve">it  </v>
      </c>
      <c r="N1903" s="4" cm="1">
        <f t="array" ref="N1903">SUM(--(_xlfn.TEXTSPLIT($J$1780,, " ") = M1903))</f>
        <v>1</v>
      </c>
      <c r="O1903">
        <v>1</v>
      </c>
      <c r="P1903">
        <v>1</v>
      </c>
      <c r="Q1903">
        <v>1</v>
      </c>
    </row>
    <row r="1904" spans="5:17" x14ac:dyDescent="0.2">
      <c r="E1904" s="9" t="s">
        <v>26</v>
      </c>
      <c r="K1904" t="str">
        <v>Feeling</v>
      </c>
      <c r="L1904" s="4" t="str">
        <f t="shared" si="29"/>
        <v>Feeling</v>
      </c>
      <c r="N1904" s="4" cm="1">
        <f t="array" ref="N1904">SUM(--(_xlfn.TEXTSPLIT($J$1780,, " ") = M1904))</f>
        <v>1</v>
      </c>
      <c r="O1904">
        <v>1</v>
      </c>
      <c r="P1904">
        <v>1</v>
      </c>
      <c r="Q1904">
        <v>1</v>
      </c>
    </row>
    <row r="1905" spans="5:17" x14ac:dyDescent="0.2">
      <c r="E1905" s="9" t="s">
        <v>26</v>
      </c>
      <c r="K1905" t="str">
        <v>like</v>
      </c>
      <c r="L1905" s="4" t="str">
        <f t="shared" si="29"/>
        <v>like</v>
      </c>
      <c r="N1905" s="4" cm="1">
        <f t="array" ref="N1905">SUM(--(_xlfn.TEXTSPLIT($J$1780,, " ") = M1905))</f>
        <v>1</v>
      </c>
      <c r="O1905">
        <v>1</v>
      </c>
      <c r="P1905">
        <v>1</v>
      </c>
      <c r="Q1905">
        <v>1</v>
      </c>
    </row>
    <row r="1906" spans="5:17" x14ac:dyDescent="0.2">
      <c r="E1906" s="9" t="s">
        <v>26</v>
      </c>
      <c r="K1906" t="str">
        <v>I'm</v>
      </c>
      <c r="L1906" s="4" t="str">
        <f t="shared" si="29"/>
        <v>I m</v>
      </c>
      <c r="N1906" s="4" cm="1">
        <f t="array" ref="N1906">SUM(--(_xlfn.TEXTSPLIT($J$1780,, " ") = M1906))</f>
        <v>1</v>
      </c>
      <c r="O1906">
        <v>1</v>
      </c>
      <c r="P1906">
        <v>1</v>
      </c>
      <c r="Q1906">
        <v>1</v>
      </c>
    </row>
    <row r="1907" spans="5:17" x14ac:dyDescent="0.2">
      <c r="E1907" s="9" t="s">
        <v>26</v>
      </c>
      <c r="K1907" t="str">
        <v xml:space="preserve">nothing
</v>
      </c>
      <c r="L1907" s="4" t="str">
        <f t="shared" si="29"/>
        <v xml:space="preserve">nothing </v>
      </c>
      <c r="N1907" s="4" cm="1">
        <f t="array" ref="N1907">SUM(--(_xlfn.TEXTSPLIT($J$1780,, " ") = M1907))</f>
        <v>1</v>
      </c>
      <c r="O1907">
        <v>1</v>
      </c>
      <c r="P1907">
        <v>1</v>
      </c>
      <c r="Q1907">
        <v>1</v>
      </c>
    </row>
    <row r="1908" spans="5:17" x14ac:dyDescent="0.2">
      <c r="E1908" s="9" t="s">
        <v>26</v>
      </c>
      <c r="K1908" t="str">
        <v>Feeling</v>
      </c>
      <c r="L1908" s="4" t="str">
        <f t="shared" ref="L1908:L1971" si="30">_xlfn.REGEXREPLACE(K1908, "[^A-Za-z ]", " ")</f>
        <v>Feeling</v>
      </c>
      <c r="N1908" s="4" cm="1">
        <f t="array" ref="N1908">SUM(--(_xlfn.TEXTSPLIT($J$1780,, " ") = M1908))</f>
        <v>1</v>
      </c>
      <c r="O1908">
        <v>1</v>
      </c>
      <c r="P1908">
        <v>1</v>
      </c>
      <c r="Q1908">
        <v>1</v>
      </c>
    </row>
    <row r="1909" spans="5:17" x14ac:dyDescent="0.2">
      <c r="E1909" s="9" t="s">
        <v>26</v>
      </c>
      <c r="K1909" t="str">
        <v>like</v>
      </c>
      <c r="L1909" s="4" t="str">
        <f t="shared" si="30"/>
        <v>like</v>
      </c>
      <c r="N1909" s="4" cm="1">
        <f t="array" ref="N1909">SUM(--(_xlfn.TEXTSPLIT($J$1780,, " ") = M1909))</f>
        <v>1</v>
      </c>
      <c r="O1909">
        <v>1</v>
      </c>
      <c r="P1909">
        <v>1</v>
      </c>
      <c r="Q1909">
        <v>1</v>
      </c>
    </row>
    <row r="1910" spans="5:17" x14ac:dyDescent="0.2">
      <c r="E1910" s="9" t="s">
        <v>26</v>
      </c>
      <c r="K1910" t="str">
        <v>I'm</v>
      </c>
      <c r="L1910" s="4" t="str">
        <f t="shared" si="30"/>
        <v>I m</v>
      </c>
      <c r="N1910" s="4" cm="1">
        <f t="array" ref="N1910">SUM(--(_xlfn.TEXTSPLIT($J$1780,, " ") = M1910))</f>
        <v>1</v>
      </c>
      <c r="O1910">
        <v>1</v>
      </c>
      <c r="P1910">
        <v>1</v>
      </c>
      <c r="Q1910">
        <v>1</v>
      </c>
    </row>
    <row r="1911" spans="5:17" x14ac:dyDescent="0.2">
      <c r="E1911" s="9" t="s">
        <v>26</v>
      </c>
      <c r="K1911" t="str">
        <v>run</v>
      </c>
      <c r="L1911" s="4" t="str">
        <f t="shared" si="30"/>
        <v>run</v>
      </c>
      <c r="N1911" s="4" cm="1">
        <f t="array" ref="N1911">SUM(--(_xlfn.TEXTSPLIT($J$1780,, " ") = M1911))</f>
        <v>1</v>
      </c>
      <c r="O1911">
        <v>1</v>
      </c>
      <c r="P1911">
        <v>1</v>
      </c>
      <c r="Q1911">
        <v>1</v>
      </c>
    </row>
    <row r="1912" spans="5:17" x14ac:dyDescent="0.2">
      <c r="E1912" s="9" t="s">
        <v>26</v>
      </c>
      <c r="K1912" t="str">
        <v xml:space="preserve">down
</v>
      </c>
      <c r="L1912" s="4" t="str">
        <f t="shared" si="30"/>
        <v xml:space="preserve">down </v>
      </c>
      <c r="N1912" s="4" cm="1">
        <f t="array" ref="N1912">SUM(--(_xlfn.TEXTSPLIT($J$1780,, " ") = M1912))</f>
        <v>1</v>
      </c>
      <c r="O1912">
        <v>1</v>
      </c>
      <c r="P1912">
        <v>1</v>
      </c>
      <c r="Q1912">
        <v>1</v>
      </c>
    </row>
    <row r="1913" spans="5:17" x14ac:dyDescent="0.2">
      <c r="E1913" s="9" t="s">
        <v>26</v>
      </c>
      <c r="K1913" t="str">
        <v>Was</v>
      </c>
      <c r="L1913" s="4" t="str">
        <f t="shared" si="30"/>
        <v>Was</v>
      </c>
      <c r="N1913" s="4" cm="1">
        <f t="array" ref="N1913">SUM(--(_xlfn.TEXTSPLIT($J$1780,, " ") = M1913))</f>
        <v>1</v>
      </c>
      <c r="O1913">
        <v>1</v>
      </c>
      <c r="P1913">
        <v>1</v>
      </c>
      <c r="Q1913">
        <v>1</v>
      </c>
    </row>
    <row r="1914" spans="5:17" x14ac:dyDescent="0.2">
      <c r="E1914" s="9" t="s">
        <v>26</v>
      </c>
      <c r="K1914" t="str">
        <v>afraid</v>
      </c>
      <c r="L1914" s="4" t="str">
        <f t="shared" si="30"/>
        <v>afraid</v>
      </c>
      <c r="N1914" s="4" cm="1">
        <f t="array" ref="N1914">SUM(--(_xlfn.TEXTSPLIT($J$1780,, " ") = M1914))</f>
        <v>1</v>
      </c>
      <c r="O1914">
        <v>1</v>
      </c>
      <c r="P1914">
        <v>1</v>
      </c>
      <c r="Q1914">
        <v>1</v>
      </c>
    </row>
    <row r="1915" spans="5:17" x14ac:dyDescent="0.2">
      <c r="E1915" s="9" t="s">
        <v>26</v>
      </c>
      <c r="K1915" t="str">
        <v>of</v>
      </c>
      <c r="L1915" s="4" t="str">
        <f t="shared" si="30"/>
        <v>of</v>
      </c>
      <c r="N1915" s="4" cm="1">
        <f t="array" ref="N1915">SUM(--(_xlfn.TEXTSPLIT($J$1780,, " ") = M1915))</f>
        <v>1</v>
      </c>
      <c r="O1915">
        <v>1</v>
      </c>
      <c r="P1915">
        <v>1</v>
      </c>
      <c r="Q1915">
        <v>1</v>
      </c>
    </row>
    <row r="1916" spans="5:17" x14ac:dyDescent="0.2">
      <c r="E1916" s="9" t="s">
        <v>26</v>
      </c>
      <c r="K1916" t="str">
        <v xml:space="preserve">nothing
</v>
      </c>
      <c r="L1916" s="4" t="str">
        <f t="shared" si="30"/>
        <v xml:space="preserve">nothing </v>
      </c>
      <c r="N1916" s="4" cm="1">
        <f t="array" ref="N1916">SUM(--(_xlfn.TEXTSPLIT($J$1780,, " ") = M1916))</f>
        <v>1</v>
      </c>
      <c r="O1916">
        <v>1</v>
      </c>
      <c r="P1916">
        <v>1</v>
      </c>
      <c r="Q1916">
        <v>1</v>
      </c>
    </row>
    <row r="1917" spans="5:17" x14ac:dyDescent="0.2">
      <c r="E1917" s="9" t="s">
        <v>26</v>
      </c>
      <c r="K1917" t="str">
        <v>Now</v>
      </c>
      <c r="L1917" s="4" t="str">
        <f t="shared" si="30"/>
        <v>Now</v>
      </c>
      <c r="N1917" s="4" cm="1">
        <f t="array" ref="N1917">SUM(--(_xlfn.TEXTSPLIT($J$1780,, " ") = M1917))</f>
        <v>1</v>
      </c>
      <c r="O1917">
        <v>1</v>
      </c>
      <c r="P1917">
        <v>1</v>
      </c>
      <c r="Q1917">
        <v>1</v>
      </c>
    </row>
    <row r="1918" spans="5:17" x14ac:dyDescent="0.2">
      <c r="E1918" s="9" t="s">
        <v>26</v>
      </c>
      <c r="K1918" t="str">
        <v>I'm</v>
      </c>
      <c r="L1918" s="4" t="str">
        <f t="shared" si="30"/>
        <v>I m</v>
      </c>
      <c r="N1918" s="4" cm="1">
        <f t="array" ref="N1918">SUM(--(_xlfn.TEXTSPLIT($J$1780,, " ") = M1918))</f>
        <v>1</v>
      </c>
      <c r="O1918">
        <v>1</v>
      </c>
      <c r="P1918">
        <v>1</v>
      </c>
      <c r="Q1918">
        <v>1</v>
      </c>
    </row>
    <row r="1919" spans="5:17" x14ac:dyDescent="0.2">
      <c r="E1919" s="9" t="s">
        <v>26</v>
      </c>
      <c r="K1919" t="str">
        <v>just</v>
      </c>
      <c r="L1919" s="4" t="str">
        <f t="shared" si="30"/>
        <v>just</v>
      </c>
      <c r="N1919" s="4" cm="1">
        <f t="array" ref="N1919">SUM(--(_xlfn.TEXTSPLIT($J$1780,, " ") = M1919))</f>
        <v>1</v>
      </c>
      <c r="O1919">
        <v>1</v>
      </c>
      <c r="P1919">
        <v>1</v>
      </c>
      <c r="Q1919">
        <v>1</v>
      </c>
    </row>
    <row r="1920" spans="5:17" x14ac:dyDescent="0.2">
      <c r="E1920" s="9" t="s">
        <v>26</v>
      </c>
      <c r="K1920" t="str">
        <v>ashamed</v>
      </c>
      <c r="L1920" s="4" t="str">
        <f t="shared" si="30"/>
        <v>ashamed</v>
      </c>
      <c r="N1920" s="4" cm="1">
        <f t="array" ref="N1920">SUM(--(_xlfn.TEXTSPLIT($J$1780,, " ") = M1920))</f>
        <v>1</v>
      </c>
      <c r="O1920">
        <v>1</v>
      </c>
      <c r="P1920">
        <v>1</v>
      </c>
      <c r="Q1920">
        <v>1</v>
      </c>
    </row>
    <row r="1921" spans="5:17" x14ac:dyDescent="0.2">
      <c r="E1921" s="9" t="s">
        <v>26</v>
      </c>
      <c r="K1921" t="str">
        <v xml:space="preserve">how
</v>
      </c>
      <c r="L1921" s="4" t="str">
        <f t="shared" si="30"/>
        <v xml:space="preserve">how </v>
      </c>
      <c r="N1921" s="4" cm="1">
        <f t="array" ref="N1921">SUM(--(_xlfn.TEXTSPLIT($J$1780,, " ") = M1921))</f>
        <v>1</v>
      </c>
      <c r="O1921">
        <v>1</v>
      </c>
      <c r="P1921">
        <v>1</v>
      </c>
      <c r="Q1921">
        <v>1</v>
      </c>
    </row>
    <row r="1922" spans="5:17" x14ac:dyDescent="0.2">
      <c r="E1922" s="9" t="s">
        <v>26</v>
      </c>
      <c r="K1922" t="str">
        <v>I</v>
      </c>
      <c r="L1922" s="4" t="str">
        <f t="shared" si="30"/>
        <v>I</v>
      </c>
      <c r="N1922" s="4" cm="1">
        <f t="array" ref="N1922">SUM(--(_xlfn.TEXTSPLIT($J$1780,, " ") = M1922))</f>
        <v>1</v>
      </c>
      <c r="O1922">
        <v>1</v>
      </c>
      <c r="P1922">
        <v>1</v>
      </c>
      <c r="Q1922">
        <v>1</v>
      </c>
    </row>
    <row r="1923" spans="5:17" x14ac:dyDescent="0.2">
      <c r="E1923" s="9" t="s">
        <v>26</v>
      </c>
      <c r="K1923" t="str">
        <v>hide</v>
      </c>
      <c r="L1923" s="4" t="str">
        <f t="shared" si="30"/>
        <v>hide</v>
      </c>
      <c r="N1923" s="4" cm="1">
        <f t="array" ref="N1923">SUM(--(_xlfn.TEXTSPLIT($J$1780,, " ") = M1923))</f>
        <v>1</v>
      </c>
      <c r="O1923">
        <v>1</v>
      </c>
      <c r="P1923">
        <v>1</v>
      </c>
      <c r="Q1923">
        <v>1</v>
      </c>
    </row>
    <row r="1924" spans="5:17" x14ac:dyDescent="0.2">
      <c r="E1924" s="9" t="s">
        <v>26</v>
      </c>
      <c r="K1924" t="str">
        <v>my</v>
      </c>
      <c r="L1924" s="4" t="str">
        <f t="shared" si="30"/>
        <v>my</v>
      </c>
      <c r="N1924" s="4" cm="1">
        <f t="array" ref="N1924">SUM(--(_xlfn.TEXTSPLIT($J$1780,, " ") = M1924))</f>
        <v>1</v>
      </c>
      <c r="O1924">
        <v>1</v>
      </c>
      <c r="P1924">
        <v>1</v>
      </c>
      <c r="Q1924">
        <v>1</v>
      </c>
    </row>
    <row r="1925" spans="5:17" x14ac:dyDescent="0.2">
      <c r="E1925" s="9" t="s">
        <v>26</v>
      </c>
      <c r="K1925" t="str">
        <v>face</v>
      </c>
      <c r="L1925" s="4" t="str">
        <f t="shared" si="30"/>
        <v>face</v>
      </c>
      <c r="N1925" s="4" cm="1">
        <f t="array" ref="N1925">SUM(--(_xlfn.TEXTSPLIT($J$1780,, " ") = M1925))</f>
        <v>1</v>
      </c>
      <c r="O1925">
        <v>1</v>
      </c>
      <c r="P1925">
        <v>1</v>
      </c>
      <c r="Q1925">
        <v>1</v>
      </c>
    </row>
    <row r="1926" spans="5:17" x14ac:dyDescent="0.2">
      <c r="E1926" s="9" t="s">
        <v>26</v>
      </c>
      <c r="K1926" t="str">
        <v>from</v>
      </c>
      <c r="L1926" s="4" t="str">
        <f t="shared" si="30"/>
        <v>from</v>
      </c>
      <c r="N1926" s="4" cm="1">
        <f t="array" ref="N1926">SUM(--(_xlfn.TEXTSPLIT($J$1780,, " ") = M1926))</f>
        <v>1</v>
      </c>
      <c r="O1926">
        <v>1</v>
      </c>
      <c r="P1926">
        <v>1</v>
      </c>
      <c r="Q1926">
        <v>1</v>
      </c>
    </row>
    <row r="1927" spans="5:17" x14ac:dyDescent="0.2">
      <c r="E1927" s="9" t="s">
        <v>26</v>
      </c>
      <c r="K1927" t="str">
        <v xml:space="preserve">you
</v>
      </c>
      <c r="L1927" s="4" t="str">
        <f t="shared" si="30"/>
        <v xml:space="preserve">you  </v>
      </c>
      <c r="N1927" s="4" cm="1">
        <f t="array" ref="N1927">SUM(--(_xlfn.TEXTSPLIT($J$1780,, " ") = M1927))</f>
        <v>1</v>
      </c>
      <c r="O1927">
        <v>1</v>
      </c>
      <c r="P1927">
        <v>1</v>
      </c>
      <c r="Q1927">
        <v>1</v>
      </c>
    </row>
    <row r="1928" spans="5:17" x14ac:dyDescent="0.2">
      <c r="E1928" s="9" t="s">
        <v>26</v>
      </c>
      <c r="K1928" t="str">
        <v>So</v>
      </c>
      <c r="L1928" s="4" t="str">
        <f t="shared" si="30"/>
        <v>So</v>
      </c>
      <c r="N1928" s="4" cm="1">
        <f t="array" ref="N1928">SUM(--(_xlfn.TEXTSPLIT($J$1780,, " ") = M1928))</f>
        <v>1</v>
      </c>
      <c r="O1928">
        <v>1</v>
      </c>
      <c r="P1928">
        <v>1</v>
      </c>
      <c r="Q1928">
        <v>1</v>
      </c>
    </row>
    <row r="1929" spans="5:17" x14ac:dyDescent="0.2">
      <c r="E1929" s="9" t="s">
        <v>26</v>
      </c>
      <c r="K1929" t="str">
        <v>I'm</v>
      </c>
      <c r="L1929" s="4" t="str">
        <f t="shared" si="30"/>
        <v>I m</v>
      </c>
      <c r="N1929" s="4" cm="1">
        <f t="array" ref="N1929">SUM(--(_xlfn.TEXTSPLIT($J$1780,, " ") = M1929))</f>
        <v>1</v>
      </c>
      <c r="O1929">
        <v>1</v>
      </c>
      <c r="P1929">
        <v>1</v>
      </c>
      <c r="Q1929">
        <v>1</v>
      </c>
    </row>
    <row r="1930" spans="5:17" x14ac:dyDescent="0.2">
      <c r="E1930" s="9" t="s">
        <v>26</v>
      </c>
      <c r="K1930" t="str">
        <v>begging</v>
      </c>
      <c r="L1930" s="4" t="str">
        <f t="shared" si="30"/>
        <v>begging</v>
      </c>
      <c r="N1930" s="4" cm="1">
        <f t="array" ref="N1930">SUM(--(_xlfn.TEXTSPLIT($J$1780,, " ") = M1930))</f>
        <v>1</v>
      </c>
      <c r="O1930">
        <v>1</v>
      </c>
      <c r="P1930">
        <v>1</v>
      </c>
      <c r="Q1930">
        <v>1</v>
      </c>
    </row>
    <row r="1931" spans="5:17" x14ac:dyDescent="0.2">
      <c r="E1931" s="9" t="s">
        <v>26</v>
      </c>
      <c r="K1931" t="str">
        <v>oh,</v>
      </c>
      <c r="L1931" s="4" t="str">
        <f t="shared" si="30"/>
        <v xml:space="preserve">oh </v>
      </c>
      <c r="N1931" s="4" cm="1">
        <f t="array" ref="N1931">SUM(--(_xlfn.TEXTSPLIT($J$1780,, " ") = M1931))</f>
        <v>1</v>
      </c>
      <c r="O1931">
        <v>1</v>
      </c>
      <c r="P1931">
        <v>1</v>
      </c>
      <c r="Q1931">
        <v>1</v>
      </c>
    </row>
    <row r="1932" spans="5:17" x14ac:dyDescent="0.2">
      <c r="E1932" s="9" t="s">
        <v>26</v>
      </c>
      <c r="K1932" t="str">
        <v>oh-oh,</v>
      </c>
      <c r="L1932" s="4" t="str">
        <f t="shared" si="30"/>
        <v xml:space="preserve">oh oh </v>
      </c>
      <c r="N1932" s="4" cm="1">
        <f t="array" ref="N1932">SUM(--(_xlfn.TEXTSPLIT($J$1780,, " ") = M1932))</f>
        <v>1</v>
      </c>
      <c r="O1932">
        <v>1</v>
      </c>
      <c r="P1932">
        <v>1</v>
      </c>
      <c r="Q1932">
        <v>1</v>
      </c>
    </row>
    <row r="1933" spans="5:17" x14ac:dyDescent="0.2">
      <c r="E1933" s="9" t="s">
        <v>26</v>
      </c>
      <c r="K1933" t="str">
        <v>oh-oh,</v>
      </c>
      <c r="L1933" s="4" t="str">
        <f t="shared" si="30"/>
        <v xml:space="preserve">oh oh </v>
      </c>
      <c r="N1933" s="4" cm="1">
        <f t="array" ref="N1933">SUM(--(_xlfn.TEXTSPLIT($J$1780,, " ") = M1933))</f>
        <v>1</v>
      </c>
      <c r="O1933">
        <v>1</v>
      </c>
      <c r="P1933">
        <v>1</v>
      </c>
      <c r="Q1933">
        <v>1</v>
      </c>
    </row>
    <row r="1934" spans="5:17" x14ac:dyDescent="0.2">
      <c r="E1934" s="9" t="s">
        <v>26</v>
      </c>
      <c r="K1934" t="str">
        <v xml:space="preserve">mercy
</v>
      </c>
      <c r="L1934" s="4" t="str">
        <f t="shared" si="30"/>
        <v xml:space="preserve">mercy </v>
      </c>
      <c r="N1934" s="4" cm="1">
        <f t="array" ref="N1934">SUM(--(_xlfn.TEXTSPLIT($J$1780,, " ") = M1934))</f>
        <v>1</v>
      </c>
      <c r="O1934">
        <v>1</v>
      </c>
      <c r="P1934">
        <v>1</v>
      </c>
      <c r="Q1934">
        <v>1</v>
      </c>
    </row>
    <row r="1935" spans="5:17" x14ac:dyDescent="0.2">
      <c r="E1935" s="9" t="s">
        <v>26</v>
      </c>
      <c r="K1935" t="str">
        <v>I'm</v>
      </c>
      <c r="L1935" s="4" t="str">
        <f t="shared" si="30"/>
        <v>I m</v>
      </c>
      <c r="N1935" s="4" cm="1">
        <f t="array" ref="N1935">SUM(--(_xlfn.TEXTSPLIT($J$1780,, " ") = M1935))</f>
        <v>1</v>
      </c>
      <c r="O1935">
        <v>1</v>
      </c>
      <c r="P1935">
        <v>1</v>
      </c>
      <c r="Q1935">
        <v>1</v>
      </c>
    </row>
    <row r="1936" spans="5:17" x14ac:dyDescent="0.2">
      <c r="E1936" s="9" t="s">
        <v>26</v>
      </c>
      <c r="K1936" t="str">
        <v>begging</v>
      </c>
      <c r="L1936" s="4" t="str">
        <f t="shared" si="30"/>
        <v>begging</v>
      </c>
      <c r="N1936" s="4" cm="1">
        <f t="array" ref="N1936">SUM(--(_xlfn.TEXTSPLIT($J$1780,, " ") = M1936))</f>
        <v>1</v>
      </c>
      <c r="O1936">
        <v>1</v>
      </c>
      <c r="P1936">
        <v>1</v>
      </c>
      <c r="Q1936">
        <v>1</v>
      </c>
    </row>
    <row r="1937" spans="5:17" x14ac:dyDescent="0.2">
      <c r="E1937" s="9" t="s">
        <v>26</v>
      </c>
      <c r="K1937" t="str">
        <v>oh,</v>
      </c>
      <c r="L1937" s="4" t="str">
        <f t="shared" si="30"/>
        <v xml:space="preserve">oh </v>
      </c>
      <c r="N1937" s="4" cm="1">
        <f t="array" ref="N1937">SUM(--(_xlfn.TEXTSPLIT($J$1780,, " ") = M1937))</f>
        <v>1</v>
      </c>
      <c r="O1937">
        <v>1</v>
      </c>
      <c r="P1937">
        <v>1</v>
      </c>
      <c r="Q1937">
        <v>1</v>
      </c>
    </row>
    <row r="1938" spans="5:17" x14ac:dyDescent="0.2">
      <c r="E1938" s="9" t="s">
        <v>26</v>
      </c>
      <c r="K1938" t="str">
        <v>oh-oh,</v>
      </c>
      <c r="L1938" s="4" t="str">
        <f t="shared" si="30"/>
        <v xml:space="preserve">oh oh </v>
      </c>
      <c r="N1938" s="4" cm="1">
        <f t="array" ref="N1938">SUM(--(_xlfn.TEXTSPLIT($J$1780,, " ") = M1938))</f>
        <v>1</v>
      </c>
      <c r="O1938">
        <v>1</v>
      </c>
      <c r="P1938">
        <v>1</v>
      </c>
      <c r="Q1938">
        <v>1</v>
      </c>
    </row>
    <row r="1939" spans="5:17" x14ac:dyDescent="0.2">
      <c r="E1939" s="9" t="s">
        <v>26</v>
      </c>
      <c r="K1939" t="str">
        <v>oh-oh,</v>
      </c>
      <c r="L1939" s="4" t="str">
        <f t="shared" si="30"/>
        <v xml:space="preserve">oh oh </v>
      </c>
      <c r="N1939" s="4" cm="1">
        <f t="array" ref="N1939">SUM(--(_xlfn.TEXTSPLIT($J$1780,, " ") = M1939))</f>
        <v>1</v>
      </c>
      <c r="O1939">
        <v>1</v>
      </c>
      <c r="P1939">
        <v>1</v>
      </c>
      <c r="Q1939">
        <v>1</v>
      </c>
    </row>
    <row r="1940" spans="5:17" x14ac:dyDescent="0.2">
      <c r="E1940" s="9" t="s">
        <v>26</v>
      </c>
      <c r="K1940" t="str">
        <v xml:space="preserve">mercy
</v>
      </c>
      <c r="L1940" s="4" t="str">
        <f t="shared" si="30"/>
        <v xml:space="preserve">mercy  </v>
      </c>
      <c r="N1940" s="4" cm="1">
        <f t="array" ref="N1940">SUM(--(_xlfn.TEXTSPLIT($J$1780,, " ") = M1940))</f>
        <v>1</v>
      </c>
      <c r="O1940">
        <v>1</v>
      </c>
      <c r="P1940">
        <v>1</v>
      </c>
      <c r="Q1940">
        <v>1</v>
      </c>
    </row>
    <row r="1941" spans="5:17" x14ac:dyDescent="0.2">
      <c r="E1941" s="9" t="s">
        <v>26</v>
      </c>
      <c r="K1941" t="str">
        <v>Downstairs,</v>
      </c>
      <c r="L1941" s="4" t="str">
        <f t="shared" si="30"/>
        <v xml:space="preserve">Downstairs </v>
      </c>
      <c r="N1941" s="4" cm="1">
        <f t="array" ref="N1941">SUM(--(_xlfn.TEXTSPLIT($J$1780,, " ") = M1941))</f>
        <v>1</v>
      </c>
      <c r="O1941">
        <v>1</v>
      </c>
      <c r="P1941">
        <v>1</v>
      </c>
      <c r="Q1941">
        <v>1</v>
      </c>
    </row>
    <row r="1942" spans="5:17" x14ac:dyDescent="0.2">
      <c r="E1942" s="9" t="s">
        <v>26</v>
      </c>
      <c r="K1942" t="str">
        <v>I</v>
      </c>
      <c r="L1942" s="4" t="str">
        <f t="shared" si="30"/>
        <v>I</v>
      </c>
      <c r="N1942" s="4" cm="1">
        <f t="array" ref="N1942">SUM(--(_xlfn.TEXTSPLIT($J$1780,, " ") = M1942))</f>
        <v>1</v>
      </c>
      <c r="O1942">
        <v>1</v>
      </c>
      <c r="P1942">
        <v>1</v>
      </c>
      <c r="Q1942">
        <v>1</v>
      </c>
    </row>
    <row r="1943" spans="5:17" x14ac:dyDescent="0.2">
      <c r="E1943" s="9" t="s">
        <v>26</v>
      </c>
      <c r="K1943" t="str">
        <v>feel</v>
      </c>
      <c r="L1943" s="4" t="str">
        <f t="shared" si="30"/>
        <v>feel</v>
      </c>
      <c r="N1943" s="4" cm="1">
        <f t="array" ref="N1943">SUM(--(_xlfn.TEXTSPLIT($J$1780,, " ") = M1943))</f>
        <v>1</v>
      </c>
      <c r="O1943">
        <v>1</v>
      </c>
      <c r="P1943">
        <v>1</v>
      </c>
      <c r="Q1943">
        <v>1</v>
      </c>
    </row>
    <row r="1944" spans="5:17" x14ac:dyDescent="0.2">
      <c r="E1944" s="9" t="s">
        <v>26</v>
      </c>
      <c r="K1944" t="str">
        <v>better</v>
      </c>
      <c r="L1944" s="4" t="str">
        <f t="shared" si="30"/>
        <v>better</v>
      </c>
      <c r="N1944" s="4" cm="1">
        <f t="array" ref="N1944">SUM(--(_xlfn.TEXTSPLIT($J$1780,, " ") = M1944))</f>
        <v>1</v>
      </c>
      <c r="O1944">
        <v>1</v>
      </c>
      <c r="P1944">
        <v>1</v>
      </c>
      <c r="Q1944">
        <v>1</v>
      </c>
    </row>
    <row r="1945" spans="5:17" x14ac:dyDescent="0.2">
      <c r="E1945" s="9" t="s">
        <v>26</v>
      </c>
      <c r="K1945" t="str">
        <v>in</v>
      </c>
      <c r="L1945" s="4" t="str">
        <f t="shared" si="30"/>
        <v>in</v>
      </c>
      <c r="N1945" s="4" cm="1">
        <f t="array" ref="N1945">SUM(--(_xlfn.TEXTSPLIT($J$1780,, " ") = M1945))</f>
        <v>1</v>
      </c>
      <c r="O1945">
        <v>1</v>
      </c>
      <c r="P1945">
        <v>1</v>
      </c>
      <c r="Q1945">
        <v>1</v>
      </c>
    </row>
    <row r="1946" spans="5:17" x14ac:dyDescent="0.2">
      <c r="E1946" s="9" t="s">
        <v>26</v>
      </c>
      <c r="K1946" t="str">
        <v>the</v>
      </c>
      <c r="L1946" s="4" t="str">
        <f t="shared" si="30"/>
        <v>the</v>
      </c>
      <c r="N1946" s="4" cm="1">
        <f t="array" ref="N1946">SUM(--(_xlfn.TEXTSPLIT($J$1780,, " ") = M1946))</f>
        <v>1</v>
      </c>
      <c r="O1946">
        <v>1</v>
      </c>
      <c r="P1946">
        <v>1</v>
      </c>
      <c r="Q1946">
        <v>1</v>
      </c>
    </row>
    <row r="1947" spans="5:17" x14ac:dyDescent="0.2">
      <c r="E1947" s="9" t="s">
        <v>26</v>
      </c>
      <c r="K1947" t="str">
        <v xml:space="preserve">cellar
</v>
      </c>
      <c r="L1947" s="4" t="str">
        <f t="shared" si="30"/>
        <v xml:space="preserve">cellar </v>
      </c>
      <c r="N1947" s="4" cm="1">
        <f t="array" ref="N1947">SUM(--(_xlfn.TEXTSPLIT($J$1780,, " ") = M1947))</f>
        <v>1</v>
      </c>
      <c r="O1947">
        <v>1</v>
      </c>
      <c r="P1947">
        <v>1</v>
      </c>
      <c r="Q1947">
        <v>1</v>
      </c>
    </row>
    <row r="1948" spans="5:17" x14ac:dyDescent="0.2">
      <c r="E1948" s="9" t="s">
        <v>26</v>
      </c>
      <c r="K1948" t="str">
        <v>Down</v>
      </c>
      <c r="L1948" s="4" t="str">
        <f t="shared" si="30"/>
        <v>Down</v>
      </c>
      <c r="N1948" s="4" cm="1">
        <f t="array" ref="N1948">SUM(--(_xlfn.TEXTSPLIT($J$1780,, " ") = M1948))</f>
        <v>1</v>
      </c>
      <c r="O1948">
        <v>1</v>
      </c>
      <c r="P1948">
        <v>1</v>
      </c>
      <c r="Q1948">
        <v>1</v>
      </c>
    </row>
    <row r="1949" spans="5:17" x14ac:dyDescent="0.2">
      <c r="E1949" s="9" t="s">
        <v>26</v>
      </c>
      <c r="K1949" t="str">
        <v>there,</v>
      </c>
      <c r="L1949" s="4" t="str">
        <f t="shared" si="30"/>
        <v xml:space="preserve">there </v>
      </c>
      <c r="N1949" s="4" cm="1">
        <f t="array" ref="N1949">SUM(--(_xlfn.TEXTSPLIT($J$1780,, " ") = M1949))</f>
        <v>1</v>
      </c>
      <c r="O1949">
        <v>1</v>
      </c>
      <c r="P1949">
        <v>1</v>
      </c>
      <c r="Q1949">
        <v>1</v>
      </c>
    </row>
    <row r="1950" spans="5:17" x14ac:dyDescent="0.2">
      <c r="E1950" s="9" t="s">
        <v>26</v>
      </c>
      <c r="K1950" t="str">
        <v>it's</v>
      </c>
      <c r="L1950" s="4" t="str">
        <f t="shared" si="30"/>
        <v>it s</v>
      </c>
      <c r="N1950" s="4" cm="1">
        <f t="array" ref="N1950">SUM(--(_xlfn.TEXTSPLIT($J$1780,, " ") = M1950))</f>
        <v>1</v>
      </c>
      <c r="O1950">
        <v>1</v>
      </c>
      <c r="P1950">
        <v>1</v>
      </c>
      <c r="Q1950">
        <v>1</v>
      </c>
    </row>
    <row r="1951" spans="5:17" x14ac:dyDescent="0.2">
      <c r="E1951" s="9" t="s">
        <v>26</v>
      </c>
      <c r="K1951" t="str">
        <v>some</v>
      </c>
      <c r="L1951" s="4" t="str">
        <f t="shared" si="30"/>
        <v>some</v>
      </c>
      <c r="N1951" s="4" cm="1">
        <f t="array" ref="N1951">SUM(--(_xlfn.TEXTSPLIT($J$1780,, " ") = M1951))</f>
        <v>1</v>
      </c>
      <c r="O1951">
        <v>1</v>
      </c>
      <c r="P1951">
        <v>1</v>
      </c>
      <c r="Q1951">
        <v>1</v>
      </c>
    </row>
    <row r="1952" spans="5:17" x14ac:dyDescent="0.2">
      <c r="E1952" s="9" t="s">
        <v>26</v>
      </c>
      <c r="K1952" t="str">
        <v>shelter</v>
      </c>
      <c r="L1952" s="4" t="str">
        <f t="shared" si="30"/>
        <v>shelter</v>
      </c>
      <c r="N1952" s="4" cm="1">
        <f t="array" ref="N1952">SUM(--(_xlfn.TEXTSPLIT($J$1780,, " ") = M1952))</f>
        <v>1</v>
      </c>
      <c r="O1952">
        <v>1</v>
      </c>
      <c r="P1952">
        <v>1</v>
      </c>
      <c r="Q1952">
        <v>1</v>
      </c>
    </row>
    <row r="1953" spans="5:17" x14ac:dyDescent="0.2">
      <c r="E1953" s="9" t="s">
        <v>26</v>
      </c>
      <c r="K1953" t="str">
        <v>from</v>
      </c>
      <c r="L1953" s="4" t="str">
        <f t="shared" si="30"/>
        <v>from</v>
      </c>
      <c r="N1953" s="4" cm="1">
        <f t="array" ref="N1953">SUM(--(_xlfn.TEXTSPLIT($J$1780,, " ") = M1953))</f>
        <v>1</v>
      </c>
      <c r="O1953">
        <v>1</v>
      </c>
      <c r="P1953">
        <v>1</v>
      </c>
      <c r="Q1953">
        <v>1</v>
      </c>
    </row>
    <row r="1954" spans="5:17" x14ac:dyDescent="0.2">
      <c r="E1954" s="9" t="s">
        <v>26</v>
      </c>
      <c r="K1954" t="str">
        <v>the</v>
      </c>
      <c r="L1954" s="4" t="str">
        <f t="shared" si="30"/>
        <v>the</v>
      </c>
      <c r="N1954" s="4" cm="1">
        <f t="array" ref="N1954">SUM(--(_xlfn.TEXTSPLIT($J$1780,, " ") = M1954))</f>
        <v>1</v>
      </c>
      <c r="O1954">
        <v>1</v>
      </c>
      <c r="P1954">
        <v>1</v>
      </c>
      <c r="Q1954">
        <v>1</v>
      </c>
    </row>
    <row r="1955" spans="5:17" x14ac:dyDescent="0.2">
      <c r="E1955" s="9" t="s">
        <v>26</v>
      </c>
      <c r="K1955" t="str">
        <v xml:space="preserve">weather
</v>
      </c>
      <c r="L1955" s="4" t="str">
        <f t="shared" si="30"/>
        <v xml:space="preserve">weather </v>
      </c>
      <c r="N1955" s="4" cm="1">
        <f t="array" ref="N1955">SUM(--(_xlfn.TEXTSPLIT($J$1780,, " ") = M1955))</f>
        <v>1</v>
      </c>
      <c r="O1955">
        <v>1</v>
      </c>
      <c r="P1955">
        <v>1</v>
      </c>
      <c r="Q1955">
        <v>1</v>
      </c>
    </row>
    <row r="1956" spans="5:17" x14ac:dyDescent="0.2">
      <c r="E1956" s="9" t="s">
        <v>26</v>
      </c>
      <c r="K1956" t="str">
        <v>I</v>
      </c>
      <c r="L1956" s="4" t="str">
        <f t="shared" si="30"/>
        <v>I</v>
      </c>
      <c r="N1956" s="4" cm="1">
        <f t="array" ref="N1956">SUM(--(_xlfn.TEXTSPLIT($J$1780,, " ") = M1956))</f>
        <v>1</v>
      </c>
      <c r="O1956">
        <v>1</v>
      </c>
      <c r="P1956">
        <v>1</v>
      </c>
      <c r="Q1956">
        <v>1</v>
      </c>
    </row>
    <row r="1957" spans="5:17" x14ac:dyDescent="0.2">
      <c r="E1957" s="9" t="s">
        <v>26</v>
      </c>
      <c r="K1957" t="str">
        <v>wear</v>
      </c>
      <c r="L1957" s="4" t="str">
        <f t="shared" si="30"/>
        <v>wear</v>
      </c>
      <c r="N1957" s="4" cm="1">
        <f t="array" ref="N1957">SUM(--(_xlfn.TEXTSPLIT($J$1780,, " ") = M1957))</f>
        <v>1</v>
      </c>
      <c r="O1957">
        <v>1</v>
      </c>
      <c r="P1957">
        <v>1</v>
      </c>
      <c r="Q1957">
        <v>1</v>
      </c>
    </row>
    <row r="1958" spans="5:17" x14ac:dyDescent="0.2">
      <c r="E1958" s="9" t="s">
        <v>26</v>
      </c>
      <c r="K1958" t="str">
        <v>all</v>
      </c>
      <c r="L1958" s="4" t="str">
        <f t="shared" si="30"/>
        <v>all</v>
      </c>
      <c r="N1958" s="4" cm="1">
        <f t="array" ref="N1958">SUM(--(_xlfn.TEXTSPLIT($J$1780,, " ") = M1958))</f>
        <v>1</v>
      </c>
      <c r="O1958">
        <v>1</v>
      </c>
      <c r="P1958">
        <v>1</v>
      </c>
      <c r="Q1958">
        <v>1</v>
      </c>
    </row>
    <row r="1959" spans="5:17" x14ac:dyDescent="0.2">
      <c r="E1959" s="9" t="s">
        <v>26</v>
      </c>
      <c r="K1959" t="str">
        <v>of</v>
      </c>
      <c r="L1959" s="4" t="str">
        <f t="shared" si="30"/>
        <v>of</v>
      </c>
      <c r="N1959" s="4" cm="1">
        <f t="array" ref="N1959">SUM(--(_xlfn.TEXTSPLIT($J$1780,, " ") = M1959))</f>
        <v>1</v>
      </c>
      <c r="O1959">
        <v>1</v>
      </c>
      <c r="P1959">
        <v>1</v>
      </c>
      <c r="Q1959">
        <v>1</v>
      </c>
    </row>
    <row r="1960" spans="5:17" x14ac:dyDescent="0.2">
      <c r="E1960" s="9" t="s">
        <v>26</v>
      </c>
      <c r="K1960" t="str">
        <v>my</v>
      </c>
      <c r="L1960" s="4" t="str">
        <f t="shared" si="30"/>
        <v>my</v>
      </c>
      <c r="N1960" s="4" cm="1">
        <f t="array" ref="N1960">SUM(--(_xlfn.TEXTSPLIT($J$1780,, " ") = M1960))</f>
        <v>1</v>
      </c>
      <c r="O1960">
        <v>1</v>
      </c>
      <c r="P1960">
        <v>1</v>
      </c>
      <c r="Q1960">
        <v>1</v>
      </c>
    </row>
    <row r="1961" spans="5:17" x14ac:dyDescent="0.2">
      <c r="E1961" s="9" t="s">
        <v>26</v>
      </c>
      <c r="K1961" t="str">
        <v>heart</v>
      </c>
      <c r="L1961" s="4" t="str">
        <f t="shared" si="30"/>
        <v>heart</v>
      </c>
      <c r="N1961" s="4" cm="1">
        <f t="array" ref="N1961">SUM(--(_xlfn.TEXTSPLIT($J$1780,, " ") = M1961))</f>
        <v>1</v>
      </c>
      <c r="O1961">
        <v>1</v>
      </c>
      <c r="P1961">
        <v>1</v>
      </c>
      <c r="Q1961">
        <v>1</v>
      </c>
    </row>
    <row r="1962" spans="5:17" x14ac:dyDescent="0.2">
      <c r="E1962" s="9" t="s">
        <v>26</v>
      </c>
      <c r="K1962" t="str">
        <v>on</v>
      </c>
      <c r="L1962" s="4" t="str">
        <f t="shared" si="30"/>
        <v>on</v>
      </c>
      <c r="N1962" s="4" cm="1">
        <f t="array" ref="N1962">SUM(--(_xlfn.TEXTSPLIT($J$1780,, " ") = M1962))</f>
        <v>1</v>
      </c>
      <c r="O1962">
        <v>1</v>
      </c>
      <c r="P1962">
        <v>1</v>
      </c>
      <c r="Q1962">
        <v>1</v>
      </c>
    </row>
    <row r="1963" spans="5:17" x14ac:dyDescent="0.2">
      <c r="E1963" s="9" t="s">
        <v>26</v>
      </c>
      <c r="K1963" t="str">
        <v>my</v>
      </c>
      <c r="L1963" s="4" t="str">
        <f t="shared" si="30"/>
        <v>my</v>
      </c>
      <c r="N1963" s="4" cm="1">
        <f t="array" ref="N1963">SUM(--(_xlfn.TEXTSPLIT($J$1780,, " ") = M1963))</f>
        <v>1</v>
      </c>
      <c r="O1963">
        <v>1</v>
      </c>
      <c r="P1963">
        <v>1</v>
      </c>
      <c r="Q1963">
        <v>1</v>
      </c>
    </row>
    <row r="1964" spans="5:17" x14ac:dyDescent="0.2">
      <c r="E1964" s="9" t="s">
        <v>26</v>
      </c>
      <c r="K1964" t="str">
        <v xml:space="preserve">sleeve
</v>
      </c>
      <c r="L1964" s="4" t="str">
        <f t="shared" si="30"/>
        <v xml:space="preserve">sleeve </v>
      </c>
      <c r="N1964" s="4" cm="1">
        <f t="array" ref="N1964">SUM(--(_xlfn.TEXTSPLIT($J$1780,, " ") = M1964))</f>
        <v>1</v>
      </c>
      <c r="O1964">
        <v>1</v>
      </c>
      <c r="P1964">
        <v>1</v>
      </c>
      <c r="Q1964">
        <v>1</v>
      </c>
    </row>
    <row r="1965" spans="5:17" x14ac:dyDescent="0.2">
      <c r="E1965" s="9" t="s">
        <v>26</v>
      </c>
      <c r="K1965" t="str">
        <v>I'll</v>
      </c>
      <c r="L1965" s="4" t="str">
        <f t="shared" si="30"/>
        <v>I ll</v>
      </c>
      <c r="N1965" s="4" cm="1">
        <f t="array" ref="N1965">SUM(--(_xlfn.TEXTSPLIT($J$1780,, " ") = M1965))</f>
        <v>1</v>
      </c>
      <c r="O1965">
        <v>1</v>
      </c>
      <c r="P1965">
        <v>1</v>
      </c>
      <c r="Q1965">
        <v>1</v>
      </c>
    </row>
    <row r="1966" spans="5:17" x14ac:dyDescent="0.2">
      <c r="E1966" s="9" t="s">
        <v>26</v>
      </c>
      <c r="K1966" t="str">
        <v>take</v>
      </c>
      <c r="L1966" s="4" t="str">
        <f t="shared" si="30"/>
        <v>take</v>
      </c>
      <c r="N1966" s="4" cm="1">
        <f t="array" ref="N1966">SUM(--(_xlfn.TEXTSPLIT($J$1780,, " ") = M1966))</f>
        <v>1</v>
      </c>
      <c r="O1966">
        <v>1</v>
      </c>
      <c r="P1966">
        <v>1</v>
      </c>
      <c r="Q1966">
        <v>1</v>
      </c>
    </row>
    <row r="1967" spans="5:17" x14ac:dyDescent="0.2">
      <c r="E1967" s="9" t="s">
        <v>26</v>
      </c>
      <c r="K1967" t="str">
        <v>what</v>
      </c>
      <c r="L1967" s="4" t="str">
        <f t="shared" si="30"/>
        <v>what</v>
      </c>
      <c r="N1967" s="4" cm="1">
        <f t="array" ref="N1967">SUM(--(_xlfn.TEXTSPLIT($J$1780,, " ") = M1967))</f>
        <v>1</v>
      </c>
      <c r="O1967">
        <v>1</v>
      </c>
      <c r="P1967">
        <v>1</v>
      </c>
      <c r="Q1967">
        <v>1</v>
      </c>
    </row>
    <row r="1968" spans="5:17" x14ac:dyDescent="0.2">
      <c r="E1968" s="9" t="s">
        <v>26</v>
      </c>
      <c r="K1968" t="str">
        <v>I</v>
      </c>
      <c r="L1968" s="4" t="str">
        <f t="shared" si="30"/>
        <v>I</v>
      </c>
      <c r="N1968" s="4" cm="1">
        <f t="array" ref="N1968">SUM(--(_xlfn.TEXTSPLIT($J$1780,, " ") = M1968))</f>
        <v>1</v>
      </c>
      <c r="O1968">
        <v>1</v>
      </c>
      <c r="P1968">
        <v>1</v>
      </c>
      <c r="Q1968">
        <v>1</v>
      </c>
    </row>
    <row r="1969" spans="5:17" x14ac:dyDescent="0.2">
      <c r="E1969" s="9" t="s">
        <v>26</v>
      </c>
      <c r="K1969" t="str">
        <v>believe,</v>
      </c>
      <c r="L1969" s="4" t="str">
        <f t="shared" si="30"/>
        <v xml:space="preserve">believe </v>
      </c>
      <c r="N1969" s="4" cm="1">
        <f t="array" ref="N1969">SUM(--(_xlfn.TEXTSPLIT($J$1780,, " ") = M1969))</f>
        <v>1</v>
      </c>
      <c r="O1969">
        <v>1</v>
      </c>
      <c r="P1969">
        <v>1</v>
      </c>
      <c r="Q1969">
        <v>1</v>
      </c>
    </row>
    <row r="1970" spans="5:17" x14ac:dyDescent="0.2">
      <c r="E1970" s="9" t="s">
        <v>26</v>
      </c>
      <c r="K1970" t="str">
        <v>and</v>
      </c>
      <c r="L1970" s="4" t="str">
        <f t="shared" si="30"/>
        <v>and</v>
      </c>
      <c r="N1970" s="4" cm="1">
        <f t="array" ref="N1970">SUM(--(_xlfn.TEXTSPLIT($J$1780,, " ") = M1970))</f>
        <v>1</v>
      </c>
      <c r="O1970">
        <v>1</v>
      </c>
      <c r="P1970">
        <v>1</v>
      </c>
      <c r="Q1970">
        <v>1</v>
      </c>
    </row>
    <row r="1971" spans="5:17" x14ac:dyDescent="0.2">
      <c r="E1971" s="9" t="s">
        <v>26</v>
      </c>
      <c r="K1971" t="str">
        <v>I'm</v>
      </c>
      <c r="L1971" s="4" t="str">
        <f t="shared" si="30"/>
        <v>I m</v>
      </c>
      <c r="N1971" s="4" cm="1">
        <f t="array" ref="N1971">SUM(--(_xlfn.TEXTSPLIT($J$1780,, " ") = M1971))</f>
        <v>1</v>
      </c>
      <c r="O1971">
        <v>1</v>
      </c>
      <c r="P1971">
        <v>1</v>
      </c>
      <c r="Q1971">
        <v>1</v>
      </c>
    </row>
    <row r="1972" spans="5:17" x14ac:dyDescent="0.2">
      <c r="E1972" s="9" t="s">
        <v>26</v>
      </c>
      <c r="K1972" t="str">
        <v>hiding</v>
      </c>
      <c r="L1972" s="4" t="str">
        <f t="shared" ref="L1972:L2035" si="31">_xlfn.REGEXREPLACE(K1972, "[^A-Za-z ]", " ")</f>
        <v>hiding</v>
      </c>
      <c r="N1972" s="4" cm="1">
        <f t="array" ref="N1972">SUM(--(_xlfn.TEXTSPLIT($J$1780,, " ") = M1972))</f>
        <v>1</v>
      </c>
      <c r="O1972">
        <v>1</v>
      </c>
      <c r="P1972">
        <v>1</v>
      </c>
      <c r="Q1972">
        <v>1</v>
      </c>
    </row>
    <row r="1973" spans="5:17" x14ac:dyDescent="0.2">
      <c r="E1973" s="9" t="s">
        <v>26</v>
      </c>
      <c r="K1973" t="str">
        <v xml:space="preserve">it
</v>
      </c>
      <c r="L1973" s="4" t="str">
        <f t="shared" si="31"/>
        <v xml:space="preserve">it </v>
      </c>
      <c r="N1973" s="4" cm="1">
        <f t="array" ref="N1973">SUM(--(_xlfn.TEXTSPLIT($J$1780,, " ") = M1973))</f>
        <v>1</v>
      </c>
      <c r="O1973">
        <v>1</v>
      </c>
      <c r="P1973">
        <v>1</v>
      </c>
      <c r="Q1973">
        <v>1</v>
      </c>
    </row>
    <row r="1974" spans="5:17" x14ac:dyDescent="0.2">
      <c r="E1974" s="9" t="s">
        <v>26</v>
      </c>
      <c r="K1974" t="str">
        <v>Downstairs,</v>
      </c>
      <c r="L1974" s="4" t="str">
        <f t="shared" si="31"/>
        <v xml:space="preserve">Downstairs </v>
      </c>
      <c r="N1974" s="4" cm="1">
        <f t="array" ref="N1974">SUM(--(_xlfn.TEXTSPLIT($J$1780,, " ") = M1974))</f>
        <v>1</v>
      </c>
      <c r="O1974">
        <v>1</v>
      </c>
      <c r="P1974">
        <v>1</v>
      </c>
      <c r="Q1974">
        <v>1</v>
      </c>
    </row>
    <row r="1975" spans="5:17" x14ac:dyDescent="0.2">
      <c r="E1975" s="9" t="s">
        <v>26</v>
      </c>
      <c r="K1975" t="str">
        <v>I</v>
      </c>
      <c r="L1975" s="4" t="str">
        <f t="shared" si="31"/>
        <v>I</v>
      </c>
      <c r="N1975" s="4" cm="1">
        <f t="array" ref="N1975">SUM(--(_xlfn.TEXTSPLIT($J$1780,, " ") = M1975))</f>
        <v>1</v>
      </c>
      <c r="O1975">
        <v>1</v>
      </c>
      <c r="P1975">
        <v>1</v>
      </c>
      <c r="Q1975">
        <v>1</v>
      </c>
    </row>
    <row r="1976" spans="5:17" x14ac:dyDescent="0.2">
      <c r="E1976" s="9" t="s">
        <v>26</v>
      </c>
      <c r="K1976" t="str">
        <v>feel</v>
      </c>
      <c r="L1976" s="4" t="str">
        <f t="shared" si="31"/>
        <v>feel</v>
      </c>
      <c r="N1976" s="4" cm="1">
        <f t="array" ref="N1976">SUM(--(_xlfn.TEXTSPLIT($J$1780,, " ") = M1976))</f>
        <v>1</v>
      </c>
      <c r="O1976">
        <v>1</v>
      </c>
      <c r="P1976">
        <v>1</v>
      </c>
      <c r="Q1976">
        <v>1</v>
      </c>
    </row>
    <row r="1977" spans="5:17" x14ac:dyDescent="0.2">
      <c r="E1977" s="9" t="s">
        <v>26</v>
      </c>
      <c r="K1977" t="str">
        <v>better</v>
      </c>
      <c r="L1977" s="4" t="str">
        <f t="shared" si="31"/>
        <v>better</v>
      </c>
      <c r="N1977" s="4" cm="1">
        <f t="array" ref="N1977">SUM(--(_xlfn.TEXTSPLIT($J$1780,, " ") = M1977))</f>
        <v>1</v>
      </c>
      <c r="O1977">
        <v>1</v>
      </c>
      <c r="P1977">
        <v>1</v>
      </c>
      <c r="Q1977">
        <v>1</v>
      </c>
    </row>
    <row r="1978" spans="5:17" x14ac:dyDescent="0.2">
      <c r="E1978" s="9" t="s">
        <v>26</v>
      </c>
      <c r="K1978" t="str">
        <v>in</v>
      </c>
      <c r="L1978" s="4" t="str">
        <f t="shared" si="31"/>
        <v>in</v>
      </c>
      <c r="N1978" s="4" cm="1">
        <f t="array" ref="N1978">SUM(--(_xlfn.TEXTSPLIT($J$1780,, " ") = M1978))</f>
        <v>1</v>
      </c>
      <c r="O1978">
        <v>1</v>
      </c>
      <c r="P1978">
        <v>1</v>
      </c>
      <c r="Q1978">
        <v>1</v>
      </c>
    </row>
    <row r="1979" spans="5:17" x14ac:dyDescent="0.2">
      <c r="E1979" s="9" t="s">
        <v>26</v>
      </c>
      <c r="K1979" t="str">
        <v>the</v>
      </c>
      <c r="L1979" s="4" t="str">
        <f t="shared" si="31"/>
        <v>the</v>
      </c>
      <c r="N1979" s="4" cm="1">
        <f t="array" ref="N1979">SUM(--(_xlfn.TEXTSPLIT($J$1780,, " ") = M1979))</f>
        <v>1</v>
      </c>
      <c r="O1979">
        <v>1</v>
      </c>
      <c r="P1979">
        <v>1</v>
      </c>
      <c r="Q1979">
        <v>1</v>
      </c>
    </row>
    <row r="1980" spans="5:17" x14ac:dyDescent="0.2">
      <c r="E1980" s="9" t="s">
        <v>26</v>
      </c>
      <c r="K1980" t="str">
        <v xml:space="preserve">cellar
</v>
      </c>
      <c r="L1980" s="4" t="str">
        <f t="shared" si="31"/>
        <v xml:space="preserve">cellar </v>
      </c>
      <c r="N1980" s="4" cm="1">
        <f t="array" ref="N1980">SUM(--(_xlfn.TEXTSPLIT($J$1780,, " ") = M1980))</f>
        <v>1</v>
      </c>
      <c r="O1980">
        <v>1</v>
      </c>
      <c r="P1980">
        <v>1</v>
      </c>
      <c r="Q1980">
        <v>1</v>
      </c>
    </row>
    <row r="1981" spans="5:17" x14ac:dyDescent="0.2">
      <c r="E1981" s="9" t="s">
        <v>26</v>
      </c>
      <c r="K1981" t="str">
        <v>Down</v>
      </c>
      <c r="L1981" s="4" t="str">
        <f t="shared" si="31"/>
        <v>Down</v>
      </c>
      <c r="N1981" s="4" cm="1">
        <f t="array" ref="N1981">SUM(--(_xlfn.TEXTSPLIT($J$1780,, " ") = M1981))</f>
        <v>1</v>
      </c>
      <c r="O1981">
        <v>1</v>
      </c>
      <c r="P1981">
        <v>1</v>
      </c>
      <c r="Q1981">
        <v>1</v>
      </c>
    </row>
    <row r="1982" spans="5:17" x14ac:dyDescent="0.2">
      <c r="E1982" s="9" t="s">
        <v>26</v>
      </c>
      <c r="K1982" t="str">
        <v>there,</v>
      </c>
      <c r="L1982" s="4" t="str">
        <f t="shared" si="31"/>
        <v xml:space="preserve">there </v>
      </c>
      <c r="N1982" s="4" cm="1">
        <f t="array" ref="N1982">SUM(--(_xlfn.TEXTSPLIT($J$1780,, " ") = M1982))</f>
        <v>1</v>
      </c>
      <c r="O1982">
        <v>1</v>
      </c>
      <c r="P1982">
        <v>1</v>
      </c>
      <c r="Q1982">
        <v>1</v>
      </c>
    </row>
    <row r="1983" spans="5:17" x14ac:dyDescent="0.2">
      <c r="E1983" s="9" t="s">
        <v>26</v>
      </c>
      <c r="K1983" t="str">
        <v>it's</v>
      </c>
      <c r="L1983" s="4" t="str">
        <f t="shared" si="31"/>
        <v>it s</v>
      </c>
      <c r="N1983" s="4" cm="1">
        <f t="array" ref="N1983">SUM(--(_xlfn.TEXTSPLIT($J$1780,, " ") = M1983))</f>
        <v>1</v>
      </c>
      <c r="O1983">
        <v>1</v>
      </c>
      <c r="P1983">
        <v>1</v>
      </c>
      <c r="Q1983">
        <v>1</v>
      </c>
    </row>
    <row r="1984" spans="5:17" x14ac:dyDescent="0.2">
      <c r="E1984" s="9" t="s">
        <v>26</v>
      </c>
      <c r="K1984" t="str">
        <v>some</v>
      </c>
      <c r="L1984" s="4" t="str">
        <f t="shared" si="31"/>
        <v>some</v>
      </c>
      <c r="N1984" s="4" cm="1">
        <f t="array" ref="N1984">SUM(--(_xlfn.TEXTSPLIT($J$1780,, " ") = M1984))</f>
        <v>1</v>
      </c>
      <c r="O1984">
        <v>1</v>
      </c>
      <c r="P1984">
        <v>1</v>
      </c>
      <c r="Q1984">
        <v>1</v>
      </c>
    </row>
    <row r="1985" spans="5:17" x14ac:dyDescent="0.2">
      <c r="E1985" s="9" t="s">
        <v>26</v>
      </c>
      <c r="K1985" t="str">
        <v>shelter</v>
      </c>
      <c r="L1985" s="4" t="str">
        <f t="shared" si="31"/>
        <v>shelter</v>
      </c>
      <c r="N1985" s="4" cm="1">
        <f t="array" ref="N1985">SUM(--(_xlfn.TEXTSPLIT($J$1780,, " ") = M1985))</f>
        <v>1</v>
      </c>
      <c r="O1985">
        <v>1</v>
      </c>
      <c r="P1985">
        <v>1</v>
      </c>
      <c r="Q1985">
        <v>1</v>
      </c>
    </row>
    <row r="1986" spans="5:17" x14ac:dyDescent="0.2">
      <c r="E1986" s="9" t="s">
        <v>26</v>
      </c>
      <c r="K1986" t="str">
        <v>from</v>
      </c>
      <c r="L1986" s="4" t="str">
        <f t="shared" si="31"/>
        <v>from</v>
      </c>
      <c r="N1986" s="4" cm="1">
        <f t="array" ref="N1986">SUM(--(_xlfn.TEXTSPLIT($J$1780,, " ") = M1986))</f>
        <v>1</v>
      </c>
      <c r="O1986">
        <v>1</v>
      </c>
      <c r="P1986">
        <v>1</v>
      </c>
      <c r="Q1986">
        <v>1</v>
      </c>
    </row>
    <row r="1987" spans="5:17" x14ac:dyDescent="0.2">
      <c r="E1987" s="9" t="s">
        <v>26</v>
      </c>
      <c r="K1987" t="str">
        <v>the</v>
      </c>
      <c r="L1987" s="4" t="str">
        <f t="shared" si="31"/>
        <v>the</v>
      </c>
      <c r="N1987" s="4" cm="1">
        <f t="array" ref="N1987">SUM(--(_xlfn.TEXTSPLIT($J$1780,, " ") = M1987))</f>
        <v>1</v>
      </c>
      <c r="O1987">
        <v>1</v>
      </c>
      <c r="P1987">
        <v>1</v>
      </c>
      <c r="Q1987">
        <v>1</v>
      </c>
    </row>
    <row r="1988" spans="5:17" x14ac:dyDescent="0.2">
      <c r="E1988" s="9" t="s">
        <v>26</v>
      </c>
      <c r="K1988" t="str">
        <v xml:space="preserve">weather
</v>
      </c>
      <c r="L1988" s="4" t="str">
        <f t="shared" si="31"/>
        <v xml:space="preserve">weather </v>
      </c>
      <c r="N1988" s="4" cm="1">
        <f t="array" ref="N1988">SUM(--(_xlfn.TEXTSPLIT($J$1780,, " ") = M1988))</f>
        <v>1</v>
      </c>
      <c r="O1988">
        <v>1</v>
      </c>
      <c r="P1988">
        <v>1</v>
      </c>
      <c r="Q1988">
        <v>1</v>
      </c>
    </row>
    <row r="1989" spans="5:17" x14ac:dyDescent="0.2">
      <c r="E1989" s="9" t="s">
        <v>26</v>
      </c>
      <c r="K1989" t="str">
        <v>I</v>
      </c>
      <c r="L1989" s="4" t="str">
        <f t="shared" si="31"/>
        <v>I</v>
      </c>
      <c r="N1989" s="4" cm="1">
        <f t="array" ref="N1989">SUM(--(_xlfn.TEXTSPLIT($J$1780,, " ") = M1989))</f>
        <v>1</v>
      </c>
      <c r="O1989">
        <v>1</v>
      </c>
      <c r="P1989">
        <v>1</v>
      </c>
      <c r="Q1989">
        <v>1</v>
      </c>
    </row>
    <row r="1990" spans="5:17" x14ac:dyDescent="0.2">
      <c r="E1990" s="9" t="s">
        <v>26</v>
      </c>
      <c r="K1990" t="str">
        <v>wear</v>
      </c>
      <c r="L1990" s="4" t="str">
        <f t="shared" si="31"/>
        <v>wear</v>
      </c>
      <c r="N1990" s="4" cm="1">
        <f t="array" ref="N1990">SUM(--(_xlfn.TEXTSPLIT($J$1780,, " ") = M1990))</f>
        <v>1</v>
      </c>
      <c r="O1990">
        <v>1</v>
      </c>
      <c r="P1990">
        <v>1</v>
      </c>
      <c r="Q1990">
        <v>1</v>
      </c>
    </row>
    <row r="1991" spans="5:17" x14ac:dyDescent="0.2">
      <c r="E1991" s="9" t="s">
        <v>26</v>
      </c>
      <c r="K1991" t="str">
        <v>all</v>
      </c>
      <c r="L1991" s="4" t="str">
        <f t="shared" si="31"/>
        <v>all</v>
      </c>
      <c r="N1991" s="4" cm="1">
        <f t="array" ref="N1991">SUM(--(_xlfn.TEXTSPLIT($J$1780,, " ") = M1991))</f>
        <v>1</v>
      </c>
      <c r="O1991">
        <v>1</v>
      </c>
      <c r="P1991">
        <v>1</v>
      </c>
      <c r="Q1991">
        <v>1</v>
      </c>
    </row>
    <row r="1992" spans="5:17" x14ac:dyDescent="0.2">
      <c r="E1992" s="9" t="s">
        <v>26</v>
      </c>
      <c r="K1992" t="str">
        <v>of</v>
      </c>
      <c r="L1992" s="4" t="str">
        <f t="shared" si="31"/>
        <v>of</v>
      </c>
      <c r="N1992" s="4" cm="1">
        <f t="array" ref="N1992">SUM(--(_xlfn.TEXTSPLIT($J$1780,, " ") = M1992))</f>
        <v>1</v>
      </c>
      <c r="O1992">
        <v>1</v>
      </c>
      <c r="P1992">
        <v>1</v>
      </c>
      <c r="Q1992">
        <v>1</v>
      </c>
    </row>
    <row r="1993" spans="5:17" x14ac:dyDescent="0.2">
      <c r="E1993" s="9" t="s">
        <v>26</v>
      </c>
      <c r="K1993" t="str">
        <v>my</v>
      </c>
      <c r="L1993" s="4" t="str">
        <f t="shared" si="31"/>
        <v>my</v>
      </c>
      <c r="N1993" s="4" cm="1">
        <f t="array" ref="N1993">SUM(--(_xlfn.TEXTSPLIT($J$1780,, " ") = M1993))</f>
        <v>1</v>
      </c>
      <c r="O1993">
        <v>1</v>
      </c>
      <c r="P1993">
        <v>1</v>
      </c>
      <c r="Q1993">
        <v>1</v>
      </c>
    </row>
    <row r="1994" spans="5:17" x14ac:dyDescent="0.2">
      <c r="E1994" s="9" t="s">
        <v>26</v>
      </c>
      <c r="K1994" t="str">
        <v>heart</v>
      </c>
      <c r="L1994" s="4" t="str">
        <f t="shared" si="31"/>
        <v>heart</v>
      </c>
      <c r="N1994" s="4" cm="1">
        <f t="array" ref="N1994">SUM(--(_xlfn.TEXTSPLIT($J$1780,, " ") = M1994))</f>
        <v>1</v>
      </c>
      <c r="O1994">
        <v>1</v>
      </c>
      <c r="P1994">
        <v>1</v>
      </c>
      <c r="Q1994">
        <v>1</v>
      </c>
    </row>
    <row r="1995" spans="5:17" x14ac:dyDescent="0.2">
      <c r="E1995" s="9" t="s">
        <v>26</v>
      </c>
      <c r="K1995" t="str">
        <v>on</v>
      </c>
      <c r="L1995" s="4" t="str">
        <f t="shared" si="31"/>
        <v>on</v>
      </c>
      <c r="N1995" s="4" cm="1">
        <f t="array" ref="N1995">SUM(--(_xlfn.TEXTSPLIT($J$1780,, " ") = M1995))</f>
        <v>1</v>
      </c>
      <c r="O1995">
        <v>1</v>
      </c>
      <c r="P1995">
        <v>1</v>
      </c>
      <c r="Q1995">
        <v>1</v>
      </c>
    </row>
    <row r="1996" spans="5:17" x14ac:dyDescent="0.2">
      <c r="E1996" s="9" t="s">
        <v>26</v>
      </c>
      <c r="K1996" t="str">
        <v>my</v>
      </c>
      <c r="L1996" s="4" t="str">
        <f t="shared" si="31"/>
        <v>my</v>
      </c>
      <c r="N1996" s="4" cm="1">
        <f t="array" ref="N1996">SUM(--(_xlfn.TEXTSPLIT($J$1780,, " ") = M1996))</f>
        <v>1</v>
      </c>
      <c r="O1996">
        <v>1</v>
      </c>
      <c r="P1996">
        <v>1</v>
      </c>
      <c r="Q1996">
        <v>1</v>
      </c>
    </row>
    <row r="1997" spans="5:17" x14ac:dyDescent="0.2">
      <c r="E1997" s="9" t="s">
        <v>26</v>
      </c>
      <c r="K1997" t="str">
        <v xml:space="preserve">sleeve
</v>
      </c>
      <c r="L1997" s="4" t="str">
        <f t="shared" si="31"/>
        <v xml:space="preserve">sleeve </v>
      </c>
      <c r="N1997" s="4" cm="1">
        <f t="array" ref="N1997">SUM(--(_xlfn.TEXTSPLIT($J$1780,, " ") = M1997))</f>
        <v>1</v>
      </c>
      <c r="O1997">
        <v>1</v>
      </c>
      <c r="P1997">
        <v>1</v>
      </c>
      <c r="Q1997">
        <v>1</v>
      </c>
    </row>
    <row r="1998" spans="5:17" x14ac:dyDescent="0.2">
      <c r="E1998" s="9" t="s">
        <v>26</v>
      </c>
      <c r="K1998" t="str">
        <v>I'll</v>
      </c>
      <c r="L1998" s="4" t="str">
        <f t="shared" si="31"/>
        <v>I ll</v>
      </c>
      <c r="N1998" s="4" cm="1">
        <f t="array" ref="N1998">SUM(--(_xlfn.TEXTSPLIT($J$1780,, " ") = M1998))</f>
        <v>1</v>
      </c>
      <c r="O1998">
        <v>1</v>
      </c>
      <c r="P1998">
        <v>1</v>
      </c>
      <c r="Q1998">
        <v>1</v>
      </c>
    </row>
    <row r="1999" spans="5:17" x14ac:dyDescent="0.2">
      <c r="E1999" s="9" t="s">
        <v>26</v>
      </c>
      <c r="K1999" t="str">
        <v>take</v>
      </c>
      <c r="L1999" s="4" t="str">
        <f t="shared" si="31"/>
        <v>take</v>
      </c>
      <c r="N1999" s="4" cm="1">
        <f t="array" ref="N1999">SUM(--(_xlfn.TEXTSPLIT($J$1780,, " ") = M1999))</f>
        <v>1</v>
      </c>
      <c r="O1999">
        <v>1</v>
      </c>
      <c r="P1999">
        <v>1</v>
      </c>
      <c r="Q1999">
        <v>1</v>
      </c>
    </row>
    <row r="2000" spans="5:17" x14ac:dyDescent="0.2">
      <c r="E2000" s="9" t="s">
        <v>26</v>
      </c>
      <c r="K2000" t="str">
        <v>what</v>
      </c>
      <c r="L2000" s="4" t="str">
        <f t="shared" si="31"/>
        <v>what</v>
      </c>
      <c r="N2000" s="4" cm="1">
        <f t="array" ref="N2000">SUM(--(_xlfn.TEXTSPLIT($J$1780,, " ") = M2000))</f>
        <v>1</v>
      </c>
      <c r="O2000">
        <v>1</v>
      </c>
      <c r="P2000">
        <v>1</v>
      </c>
      <c r="Q2000">
        <v>1</v>
      </c>
    </row>
    <row r="2001" spans="5:17" x14ac:dyDescent="0.2">
      <c r="E2001" s="9" t="s">
        <v>26</v>
      </c>
      <c r="K2001" t="str">
        <v>I</v>
      </c>
      <c r="L2001" s="4" t="str">
        <f t="shared" si="31"/>
        <v>I</v>
      </c>
      <c r="N2001" s="4" cm="1">
        <f t="array" ref="N2001">SUM(--(_xlfn.TEXTSPLIT($J$1780,, " ") = M2001))</f>
        <v>1</v>
      </c>
      <c r="O2001">
        <v>1</v>
      </c>
      <c r="P2001">
        <v>1</v>
      </c>
      <c r="Q2001">
        <v>1</v>
      </c>
    </row>
    <row r="2002" spans="5:17" x14ac:dyDescent="0.2">
      <c r="E2002" s="9" t="s">
        <v>26</v>
      </c>
      <c r="K2002" t="str">
        <v>believe,</v>
      </c>
      <c r="L2002" s="4" t="str">
        <f t="shared" si="31"/>
        <v xml:space="preserve">believe </v>
      </c>
      <c r="N2002" s="4" cm="1">
        <f t="array" ref="N2002">SUM(--(_xlfn.TEXTSPLIT($J$1780,, " ") = M2002))</f>
        <v>1</v>
      </c>
      <c r="O2002">
        <v>1</v>
      </c>
      <c r="P2002">
        <v>1</v>
      </c>
      <c r="Q2002">
        <v>1</v>
      </c>
    </row>
    <row r="2003" spans="5:17" x14ac:dyDescent="0.2">
      <c r="E2003" s="9" t="s">
        <v>26</v>
      </c>
      <c r="K2003" t="str">
        <v>and</v>
      </c>
      <c r="L2003" s="4" t="str">
        <f t="shared" si="31"/>
        <v>and</v>
      </c>
      <c r="N2003" s="4" cm="1">
        <f t="array" ref="N2003">SUM(--(_xlfn.TEXTSPLIT($J$1780,, " ") = M2003))</f>
        <v>1</v>
      </c>
      <c r="O2003">
        <v>1</v>
      </c>
      <c r="P2003">
        <v>1</v>
      </c>
      <c r="Q2003">
        <v>1</v>
      </c>
    </row>
    <row r="2004" spans="5:17" x14ac:dyDescent="0.2">
      <c r="E2004" s="9" t="s">
        <v>26</v>
      </c>
      <c r="K2004" t="str">
        <v>I'm</v>
      </c>
      <c r="L2004" s="4" t="str">
        <f t="shared" si="31"/>
        <v>I m</v>
      </c>
      <c r="N2004" s="4" cm="1">
        <f t="array" ref="N2004">SUM(--(_xlfn.TEXTSPLIT($J$1780,, " ") = M2004))</f>
        <v>1</v>
      </c>
      <c r="O2004">
        <v>1</v>
      </c>
      <c r="P2004">
        <v>1</v>
      </c>
      <c r="Q2004">
        <v>1</v>
      </c>
    </row>
    <row r="2005" spans="5:17" x14ac:dyDescent="0.2">
      <c r="E2005" s="9" t="s">
        <v>26</v>
      </c>
      <c r="K2005" t="str">
        <v>hiding</v>
      </c>
      <c r="L2005" s="4" t="str">
        <f t="shared" si="31"/>
        <v>hiding</v>
      </c>
      <c r="N2005" s="4" cm="1">
        <f t="array" ref="N2005">SUM(--(_xlfn.TEXTSPLIT($J$1780,, " ") = M2005))</f>
        <v>1</v>
      </c>
      <c r="O2005">
        <v>1</v>
      </c>
      <c r="P2005">
        <v>1</v>
      </c>
      <c r="Q2005">
        <v>1</v>
      </c>
    </row>
    <row r="2006" spans="5:17" x14ac:dyDescent="0.2">
      <c r="E2006" s="9" t="s">
        <v>26</v>
      </c>
      <c r="K2006" t="str">
        <v xml:space="preserve">it
</v>
      </c>
      <c r="L2006" s="4" t="str">
        <f t="shared" si="31"/>
        <v xml:space="preserve">it  </v>
      </c>
      <c r="N2006" s="4" cm="1">
        <f t="array" ref="N2006">SUM(--(_xlfn.TEXTSPLIT($J$1780,, " ") = M2006))</f>
        <v>1</v>
      </c>
      <c r="O2006">
        <v>1</v>
      </c>
      <c r="P2006">
        <v>1</v>
      </c>
      <c r="Q2006">
        <v>1</v>
      </c>
    </row>
    <row r="2007" spans="5:17" x14ac:dyDescent="0.2">
      <c r="E2007" s="9" t="s">
        <v>26</v>
      </c>
      <c r="K2007" t="str">
        <v>Oh,</v>
      </c>
      <c r="L2007" s="4" t="str">
        <f t="shared" si="31"/>
        <v xml:space="preserve">Oh </v>
      </c>
      <c r="N2007" s="4" cm="1">
        <f t="array" ref="N2007">SUM(--(_xlfn.TEXTSPLIT($J$1780,, " ") = M2007))</f>
        <v>1</v>
      </c>
      <c r="O2007">
        <v>1</v>
      </c>
      <c r="P2007">
        <v>1</v>
      </c>
      <c r="Q2007">
        <v>1</v>
      </c>
    </row>
    <row r="2008" spans="5:17" x14ac:dyDescent="0.2">
      <c r="E2008" s="9" t="s">
        <v>26</v>
      </c>
      <c r="K2008" t="str">
        <v>what</v>
      </c>
      <c r="L2008" s="4" t="str">
        <f t="shared" si="31"/>
        <v>what</v>
      </c>
      <c r="N2008" s="4" cm="1">
        <f t="array" ref="N2008">SUM(--(_xlfn.TEXTSPLIT($J$1780,, " ") = M2008))</f>
        <v>1</v>
      </c>
      <c r="O2008">
        <v>1</v>
      </c>
      <c r="P2008">
        <v>1</v>
      </c>
      <c r="Q2008">
        <v>1</v>
      </c>
    </row>
    <row r="2009" spans="5:17" x14ac:dyDescent="0.2">
      <c r="E2009" s="9" t="s">
        <v>26</v>
      </c>
      <c r="K2009" t="str">
        <v>have</v>
      </c>
      <c r="L2009" s="4" t="str">
        <f t="shared" si="31"/>
        <v>have</v>
      </c>
      <c r="N2009" s="4" cm="1">
        <f t="array" ref="N2009">SUM(--(_xlfn.TEXTSPLIT($J$1780,, " ") = M2009))</f>
        <v>1</v>
      </c>
      <c r="O2009">
        <v>1</v>
      </c>
      <c r="P2009">
        <v>1</v>
      </c>
      <c r="Q2009">
        <v>1</v>
      </c>
    </row>
    <row r="2010" spans="5:17" x14ac:dyDescent="0.2">
      <c r="E2010" s="9" t="s">
        <v>26</v>
      </c>
      <c r="K2010" t="str">
        <v>I</v>
      </c>
      <c r="L2010" s="4" t="str">
        <f t="shared" si="31"/>
        <v>I</v>
      </c>
      <c r="N2010" s="4" cm="1">
        <f t="array" ref="N2010">SUM(--(_xlfn.TEXTSPLIT($J$1780,, " ") = M2010))</f>
        <v>1</v>
      </c>
      <c r="O2010">
        <v>1</v>
      </c>
      <c r="P2010">
        <v>1</v>
      </c>
      <c r="Q2010">
        <v>1</v>
      </c>
    </row>
    <row r="2011" spans="5:17" x14ac:dyDescent="0.2">
      <c r="E2011" s="9" t="s">
        <v>26</v>
      </c>
      <c r="K2011" t="str">
        <v xml:space="preserve">become?
</v>
      </c>
      <c r="L2011" s="4" t="str">
        <f t="shared" si="31"/>
        <v xml:space="preserve">become  </v>
      </c>
      <c r="N2011" s="4" cm="1">
        <f t="array" ref="N2011">SUM(--(_xlfn.TEXTSPLIT($J$1780,, " ") = M2011))</f>
        <v>1</v>
      </c>
      <c r="O2011">
        <v>1</v>
      </c>
      <c r="P2011">
        <v>1</v>
      </c>
      <c r="Q2011">
        <v>1</v>
      </c>
    </row>
    <row r="2012" spans="5:17" x14ac:dyDescent="0.2">
      <c r="E2012" s="9" t="s">
        <v>26</v>
      </c>
      <c r="K2012" t="str">
        <v>Dirty</v>
      </c>
      <c r="L2012" s="4" t="str">
        <f t="shared" si="31"/>
        <v>Dirty</v>
      </c>
      <c r="N2012" s="4" cm="1">
        <f t="array" ref="N2012">SUM(--(_xlfn.TEXTSPLIT($J$1780,, " ") = M2012))</f>
        <v>1</v>
      </c>
      <c r="O2012">
        <v>1</v>
      </c>
      <c r="P2012">
        <v>1</v>
      </c>
      <c r="Q2012">
        <v>1</v>
      </c>
    </row>
    <row r="2013" spans="5:17" x14ac:dyDescent="0.2">
      <c r="E2013" s="9" t="s">
        <v>26</v>
      </c>
      <c r="K2013" t="str">
        <v>and</v>
      </c>
      <c r="L2013" s="4" t="str">
        <f t="shared" si="31"/>
        <v>and</v>
      </c>
      <c r="N2013" s="4" cm="1">
        <f t="array" ref="N2013">SUM(--(_xlfn.TEXTSPLIT($J$1780,, " ") = M2013))</f>
        <v>1</v>
      </c>
      <c r="O2013">
        <v>1</v>
      </c>
      <c r="P2013">
        <v>1</v>
      </c>
      <c r="Q2013">
        <v>1</v>
      </c>
    </row>
    <row r="2014" spans="5:17" x14ac:dyDescent="0.2">
      <c r="E2014" s="9" t="s">
        <v>26</v>
      </c>
      <c r="K2014" t="str">
        <v>wretched</v>
      </c>
      <c r="L2014" s="4" t="str">
        <f t="shared" si="31"/>
        <v>wretched</v>
      </c>
      <c r="N2014" s="4" cm="1">
        <f t="array" ref="N2014">SUM(--(_xlfn.TEXTSPLIT($J$1780,, " ") = M2014))</f>
        <v>1</v>
      </c>
      <c r="O2014">
        <v>1</v>
      </c>
      <c r="P2014">
        <v>1</v>
      </c>
      <c r="Q2014">
        <v>1</v>
      </c>
    </row>
    <row r="2015" spans="5:17" x14ac:dyDescent="0.2">
      <c r="E2015" s="9" t="s">
        <v>26</v>
      </c>
      <c r="K2015" t="str">
        <v xml:space="preserve">one
</v>
      </c>
      <c r="L2015" s="4" t="str">
        <f t="shared" si="31"/>
        <v xml:space="preserve">one </v>
      </c>
      <c r="N2015" s="4" cm="1">
        <f t="array" ref="N2015">SUM(--(_xlfn.TEXTSPLIT($J$1780,, " ") = M2015))</f>
        <v>1</v>
      </c>
      <c r="O2015">
        <v>1</v>
      </c>
      <c r="P2015">
        <v>1</v>
      </c>
      <c r="Q2015">
        <v>1</v>
      </c>
    </row>
    <row r="2016" spans="5:17" x14ac:dyDescent="0.2">
      <c r="E2016" s="9" t="s">
        <v>26</v>
      </c>
      <c r="K2016" t="str">
        <v>Am</v>
      </c>
      <c r="L2016" s="4" t="str">
        <f t="shared" si="31"/>
        <v>Am</v>
      </c>
      <c r="N2016" s="4" cm="1">
        <f t="array" ref="N2016">SUM(--(_xlfn.TEXTSPLIT($J$1780,, " ") = M2016))</f>
        <v>1</v>
      </c>
      <c r="O2016">
        <v>1</v>
      </c>
      <c r="P2016">
        <v>1</v>
      </c>
      <c r="Q2016">
        <v>1</v>
      </c>
    </row>
    <row r="2017" spans="5:17" x14ac:dyDescent="0.2">
      <c r="E2017" s="9" t="s">
        <v>26</v>
      </c>
      <c r="K2017" t="str">
        <v>I</v>
      </c>
      <c r="L2017" s="4" t="str">
        <f t="shared" si="31"/>
        <v>I</v>
      </c>
      <c r="N2017" s="4" cm="1">
        <f t="array" ref="N2017">SUM(--(_xlfn.TEXTSPLIT($J$1780,, " ") = M2017))</f>
        <v>1</v>
      </c>
      <c r="O2017">
        <v>1</v>
      </c>
      <c r="P2017">
        <v>1</v>
      </c>
      <c r="Q2017">
        <v>1</v>
      </c>
    </row>
    <row r="2018" spans="5:17" x14ac:dyDescent="0.2">
      <c r="E2018" s="9" t="s">
        <v>26</v>
      </c>
      <c r="K2018" t="str">
        <v>unholy</v>
      </c>
      <c r="L2018" s="4" t="str">
        <f t="shared" si="31"/>
        <v>unholy</v>
      </c>
      <c r="N2018" s="4" cm="1">
        <f t="array" ref="N2018">SUM(--(_xlfn.TEXTSPLIT($J$1780,, " ") = M2018))</f>
        <v>1</v>
      </c>
      <c r="O2018">
        <v>1</v>
      </c>
      <c r="P2018">
        <v>1</v>
      </c>
      <c r="Q2018">
        <v>1</v>
      </c>
    </row>
    <row r="2019" spans="5:17" x14ac:dyDescent="0.2">
      <c r="E2019" s="9" t="s">
        <v>26</v>
      </c>
      <c r="K2019" t="str">
        <v xml:space="preserve">man?
</v>
      </c>
      <c r="L2019" s="4" t="str">
        <f t="shared" si="31"/>
        <v xml:space="preserve">man  </v>
      </c>
      <c r="N2019" s="4" cm="1">
        <f t="array" ref="N2019">SUM(--(_xlfn.TEXTSPLIT($J$1780,, " ") = M2019))</f>
        <v>1</v>
      </c>
      <c r="O2019">
        <v>1</v>
      </c>
      <c r="P2019">
        <v>1</v>
      </c>
      <c r="Q2019">
        <v>1</v>
      </c>
    </row>
    <row r="2020" spans="5:17" x14ac:dyDescent="0.2">
      <c r="E2020" s="9" t="s">
        <v>26</v>
      </c>
      <c r="K2020" t="str">
        <v>Have</v>
      </c>
      <c r="L2020" s="4" t="str">
        <f t="shared" si="31"/>
        <v>Have</v>
      </c>
      <c r="N2020" s="4" cm="1">
        <f t="array" ref="N2020">SUM(--(_xlfn.TEXTSPLIT($J$1780,, " ") = M2020))</f>
        <v>1</v>
      </c>
      <c r="O2020">
        <v>1</v>
      </c>
      <c r="P2020">
        <v>1</v>
      </c>
      <c r="Q2020">
        <v>1</v>
      </c>
    </row>
    <row r="2021" spans="5:17" x14ac:dyDescent="0.2">
      <c r="E2021" s="9" t="s">
        <v>26</v>
      </c>
      <c r="K2021" t="str">
        <v>I</v>
      </c>
      <c r="L2021" s="4" t="str">
        <f t="shared" si="31"/>
        <v>I</v>
      </c>
      <c r="N2021" s="4" cm="1">
        <f t="array" ref="N2021">SUM(--(_xlfn.TEXTSPLIT($J$1780,, " ") = M2021))</f>
        <v>1</v>
      </c>
      <c r="O2021">
        <v>1</v>
      </c>
      <c r="P2021">
        <v>1</v>
      </c>
      <c r="Q2021">
        <v>1</v>
      </c>
    </row>
    <row r="2022" spans="5:17" x14ac:dyDescent="0.2">
      <c r="E2022" s="9" t="s">
        <v>26</v>
      </c>
      <c r="K2022" t="str">
        <v>forced</v>
      </c>
      <c r="L2022" s="4" t="str">
        <f t="shared" si="31"/>
        <v>forced</v>
      </c>
      <c r="N2022" s="4" cm="1">
        <f t="array" ref="N2022">SUM(--(_xlfn.TEXTSPLIT($J$1780,, " ") = M2022))</f>
        <v>1</v>
      </c>
      <c r="O2022">
        <v>1</v>
      </c>
      <c r="P2022">
        <v>1</v>
      </c>
      <c r="Q2022">
        <v>1</v>
      </c>
    </row>
    <row r="2023" spans="5:17" x14ac:dyDescent="0.2">
      <c r="E2023" s="9" t="s">
        <v>26</v>
      </c>
      <c r="K2023" t="str">
        <v>your</v>
      </c>
      <c r="L2023" s="4" t="str">
        <f t="shared" si="31"/>
        <v>your</v>
      </c>
      <c r="N2023" s="4" cm="1">
        <f t="array" ref="N2023">SUM(--(_xlfn.TEXTSPLIT($J$1780,, " ") = M2023))</f>
        <v>1</v>
      </c>
      <c r="O2023">
        <v>1</v>
      </c>
      <c r="P2023">
        <v>1</v>
      </c>
      <c r="Q2023">
        <v>1</v>
      </c>
    </row>
    <row r="2024" spans="5:17" x14ac:dyDescent="0.2">
      <c r="E2024" s="9" t="s">
        <v>26</v>
      </c>
      <c r="K2024" t="str">
        <v xml:space="preserve">hand?
</v>
      </c>
      <c r="L2024" s="4" t="str">
        <f t="shared" si="31"/>
        <v xml:space="preserve">hand   </v>
      </c>
      <c r="N2024" s="4" cm="1">
        <f t="array" ref="N2024">SUM(--(_xlfn.TEXTSPLIT($J$1780,, " ") = M2024))</f>
        <v>1</v>
      </c>
      <c r="O2024">
        <v>1</v>
      </c>
      <c r="P2024">
        <v>1</v>
      </c>
      <c r="Q2024">
        <v>1</v>
      </c>
    </row>
    <row r="2025" spans="5:17" x14ac:dyDescent="0.2">
      <c r="E2025" s="9" t="s">
        <v>26</v>
      </c>
      <c r="K2025" t="str">
        <v>Oh,</v>
      </c>
      <c r="L2025" s="4" t="str">
        <f t="shared" si="31"/>
        <v xml:space="preserve">Oh </v>
      </c>
      <c r="N2025" s="4" cm="1">
        <f t="array" ref="N2025">SUM(--(_xlfn.TEXTSPLIT($J$1780,, " ") = M2025))</f>
        <v>1</v>
      </c>
      <c r="O2025">
        <v>1</v>
      </c>
      <c r="P2025">
        <v>1</v>
      </c>
      <c r="Q2025">
        <v>1</v>
      </c>
    </row>
    <row r="2026" spans="5:17" x14ac:dyDescent="0.2">
      <c r="E2026" s="9" t="s">
        <v>26</v>
      </c>
      <c r="K2026" t="str">
        <v>woah-oh,</v>
      </c>
      <c r="L2026" s="4" t="str">
        <f t="shared" si="31"/>
        <v xml:space="preserve">woah oh </v>
      </c>
      <c r="N2026" s="4" cm="1">
        <f t="array" ref="N2026">SUM(--(_xlfn.TEXTSPLIT($J$1780,, " ") = M2026))</f>
        <v>1</v>
      </c>
      <c r="O2026">
        <v>1</v>
      </c>
      <c r="P2026">
        <v>1</v>
      </c>
      <c r="Q2026">
        <v>1</v>
      </c>
    </row>
    <row r="2027" spans="5:17" x14ac:dyDescent="0.2">
      <c r="E2027" s="9" t="s">
        <v>26</v>
      </c>
      <c r="K2027" t="str">
        <v>woah-oh,</v>
      </c>
      <c r="L2027" s="4" t="str">
        <f t="shared" si="31"/>
        <v xml:space="preserve">woah oh </v>
      </c>
      <c r="N2027" s="4" cm="1">
        <f t="array" ref="N2027">SUM(--(_xlfn.TEXTSPLIT($J$1780,, " ") = M2027))</f>
        <v>1</v>
      </c>
      <c r="O2027">
        <v>1</v>
      </c>
      <c r="P2027">
        <v>1</v>
      </c>
      <c r="Q2027">
        <v>1</v>
      </c>
    </row>
    <row r="2028" spans="5:17" x14ac:dyDescent="0.2">
      <c r="E2028" s="9" t="s">
        <v>26</v>
      </c>
      <c r="K2028" t="str">
        <v>mercy,</v>
      </c>
      <c r="L2028" s="4" t="str">
        <f t="shared" si="31"/>
        <v xml:space="preserve">mercy </v>
      </c>
      <c r="N2028" s="4" cm="1">
        <f t="array" ref="N2028">SUM(--(_xlfn.TEXTSPLIT($J$1780,, " ") = M2028))</f>
        <v>1</v>
      </c>
      <c r="O2028">
        <v>1</v>
      </c>
      <c r="P2028">
        <v>1</v>
      </c>
      <c r="Q2028">
        <v>1</v>
      </c>
    </row>
    <row r="2029" spans="5:17" x14ac:dyDescent="0.2">
      <c r="E2029" s="9" t="s">
        <v>26</v>
      </c>
      <c r="K2029" t="str">
        <v xml:space="preserve">yeah
</v>
      </c>
      <c r="L2029" s="4" t="str">
        <f t="shared" si="31"/>
        <v xml:space="preserve">yeah </v>
      </c>
      <c r="N2029" s="4" cm="1">
        <f t="array" ref="N2029">SUM(--(_xlfn.TEXTSPLIT($J$1780,, " ") = M2029))</f>
        <v>1</v>
      </c>
      <c r="O2029">
        <v>1</v>
      </c>
      <c r="P2029">
        <v>1</v>
      </c>
      <c r="Q2029">
        <v>1</v>
      </c>
    </row>
    <row r="2030" spans="5:17" x14ac:dyDescent="0.2">
      <c r="E2030" s="9" t="s">
        <v>26</v>
      </c>
      <c r="K2030" t="str">
        <v>Oh,</v>
      </c>
      <c r="L2030" s="4" t="str">
        <f t="shared" si="31"/>
        <v xml:space="preserve">Oh </v>
      </c>
      <c r="N2030" s="4" cm="1">
        <f t="array" ref="N2030">SUM(--(_xlfn.TEXTSPLIT($J$1780,, " ") = M2030))</f>
        <v>1</v>
      </c>
      <c r="O2030">
        <v>1</v>
      </c>
      <c r="P2030">
        <v>1</v>
      </c>
      <c r="Q2030">
        <v>1</v>
      </c>
    </row>
    <row r="2031" spans="5:17" x14ac:dyDescent="0.2">
      <c r="E2031" s="9" t="s">
        <v>26</v>
      </c>
      <c r="K2031" t="str">
        <v>woah-oh,</v>
      </c>
      <c r="L2031" s="4" t="str">
        <f t="shared" si="31"/>
        <v xml:space="preserve">woah oh </v>
      </c>
      <c r="N2031" s="4" cm="1">
        <f t="array" ref="N2031">SUM(--(_xlfn.TEXTSPLIT($J$1780,, " ") = M2031))</f>
        <v>1</v>
      </c>
      <c r="O2031">
        <v>1</v>
      </c>
      <c r="P2031">
        <v>1</v>
      </c>
      <c r="Q2031">
        <v>1</v>
      </c>
    </row>
    <row r="2032" spans="5:17" x14ac:dyDescent="0.2">
      <c r="E2032" s="9" t="s">
        <v>26</v>
      </c>
      <c r="K2032" t="str">
        <v>woah-oh,</v>
      </c>
      <c r="L2032" s="4" t="str">
        <f t="shared" si="31"/>
        <v xml:space="preserve">woah oh </v>
      </c>
      <c r="N2032" s="4" cm="1">
        <f t="array" ref="N2032">SUM(--(_xlfn.TEXTSPLIT($J$1780,, " ") = M2032))</f>
        <v>1</v>
      </c>
      <c r="O2032">
        <v>1</v>
      </c>
      <c r="P2032">
        <v>1</v>
      </c>
      <c r="Q2032">
        <v>1</v>
      </c>
    </row>
    <row r="2033" spans="5:17" x14ac:dyDescent="0.2">
      <c r="E2033" s="9" t="s">
        <v>26</v>
      </c>
      <c r="K2033" t="str">
        <v>mercy,</v>
      </c>
      <c r="L2033" s="4" t="str">
        <f t="shared" si="31"/>
        <v xml:space="preserve">mercy </v>
      </c>
      <c r="N2033" s="4" cm="1">
        <f t="array" ref="N2033">SUM(--(_xlfn.TEXTSPLIT($J$1780,, " ") = M2033))</f>
        <v>1</v>
      </c>
      <c r="O2033">
        <v>1</v>
      </c>
      <c r="P2033">
        <v>1</v>
      </c>
      <c r="Q2033">
        <v>1</v>
      </c>
    </row>
    <row r="2034" spans="5:17" x14ac:dyDescent="0.2">
      <c r="E2034" s="9" t="s">
        <v>26</v>
      </c>
      <c r="K2034" t="str">
        <v xml:space="preserve">yeah
</v>
      </c>
      <c r="L2034" s="4" t="str">
        <f t="shared" si="31"/>
        <v xml:space="preserve">yeah  </v>
      </c>
      <c r="N2034" s="4" cm="1">
        <f t="array" ref="N2034">SUM(--(_xlfn.TEXTSPLIT($J$1780,, " ") = M2034))</f>
        <v>1</v>
      </c>
      <c r="O2034">
        <v>1</v>
      </c>
      <c r="P2034">
        <v>1</v>
      </c>
      <c r="Q2034">
        <v>1</v>
      </c>
    </row>
    <row r="2035" spans="5:17" x14ac:dyDescent="0.2">
      <c r="E2035" s="9" t="s">
        <v>26</v>
      </c>
      <c r="K2035" t="str">
        <v>Down</v>
      </c>
      <c r="L2035" s="4" t="str">
        <f t="shared" si="31"/>
        <v>Down</v>
      </c>
      <c r="N2035" s="4" cm="1">
        <f t="array" ref="N2035">SUM(--(_xlfn.TEXTSPLIT($J$1780,, " ") = M2035))</f>
        <v>1</v>
      </c>
      <c r="O2035">
        <v>1</v>
      </c>
      <c r="P2035">
        <v>1</v>
      </c>
      <c r="Q2035">
        <v>1</v>
      </c>
    </row>
    <row r="2036" spans="5:17" x14ac:dyDescent="0.2">
      <c r="E2036" s="9" t="s">
        <v>26</v>
      </c>
      <c r="K2036" t="str">
        <v>there,</v>
      </c>
      <c r="L2036" s="4" t="str">
        <f t="shared" ref="L2036:L2099" si="32">_xlfn.REGEXREPLACE(K2036, "[^A-Za-z ]", " ")</f>
        <v xml:space="preserve">there </v>
      </c>
      <c r="N2036" s="4" cm="1">
        <f t="array" ref="N2036">SUM(--(_xlfn.TEXTSPLIT($J$1780,, " ") = M2036))</f>
        <v>1</v>
      </c>
      <c r="O2036">
        <v>1</v>
      </c>
      <c r="P2036">
        <v>1</v>
      </c>
      <c r="Q2036">
        <v>1</v>
      </c>
    </row>
    <row r="2037" spans="5:17" x14ac:dyDescent="0.2">
      <c r="E2037" s="9" t="s">
        <v>26</v>
      </c>
      <c r="K2037" t="str">
        <v>it's</v>
      </c>
      <c r="L2037" s="4" t="str">
        <f t="shared" si="32"/>
        <v>it s</v>
      </c>
      <c r="N2037" s="4" cm="1">
        <f t="array" ref="N2037">SUM(--(_xlfn.TEXTSPLIT($J$1780,, " ") = M2037))</f>
        <v>1</v>
      </c>
      <c r="O2037">
        <v>1</v>
      </c>
      <c r="P2037">
        <v>1</v>
      </c>
      <c r="Q2037">
        <v>1</v>
      </c>
    </row>
    <row r="2038" spans="5:17" x14ac:dyDescent="0.2">
      <c r="E2038" s="9" t="s">
        <v>26</v>
      </c>
      <c r="K2038" t="str">
        <v>some</v>
      </c>
      <c r="L2038" s="4" t="str">
        <f t="shared" si="32"/>
        <v>some</v>
      </c>
      <c r="N2038" s="4" cm="1">
        <f t="array" ref="N2038">SUM(--(_xlfn.TEXTSPLIT($J$1780,, " ") = M2038))</f>
        <v>1</v>
      </c>
      <c r="O2038">
        <v>1</v>
      </c>
      <c r="P2038">
        <v>1</v>
      </c>
      <c r="Q2038">
        <v>1</v>
      </c>
    </row>
    <row r="2039" spans="5:17" x14ac:dyDescent="0.2">
      <c r="E2039" s="9" t="s">
        <v>26</v>
      </c>
      <c r="K2039" t="str">
        <v>shelter</v>
      </c>
      <c r="L2039" s="4" t="str">
        <f t="shared" si="32"/>
        <v>shelter</v>
      </c>
      <c r="N2039" s="4" cm="1">
        <f t="array" ref="N2039">SUM(--(_xlfn.TEXTSPLIT($J$1780,, " ") = M2039))</f>
        <v>1</v>
      </c>
      <c r="O2039">
        <v>1</v>
      </c>
      <c r="P2039">
        <v>1</v>
      </c>
      <c r="Q2039">
        <v>1</v>
      </c>
    </row>
    <row r="2040" spans="5:17" x14ac:dyDescent="0.2">
      <c r="E2040" s="9" t="s">
        <v>26</v>
      </c>
      <c r="K2040" t="str">
        <v>from</v>
      </c>
      <c r="L2040" s="4" t="str">
        <f t="shared" si="32"/>
        <v>from</v>
      </c>
      <c r="N2040" s="4" cm="1">
        <f t="array" ref="N2040">SUM(--(_xlfn.TEXTSPLIT($J$1780,, " ") = M2040))</f>
        <v>1</v>
      </c>
      <c r="O2040">
        <v>1</v>
      </c>
      <c r="P2040">
        <v>1</v>
      </c>
      <c r="Q2040">
        <v>1</v>
      </c>
    </row>
    <row r="2041" spans="5:17" x14ac:dyDescent="0.2">
      <c r="E2041" s="9" t="s">
        <v>26</v>
      </c>
      <c r="K2041" t="str">
        <v>the</v>
      </c>
      <c r="L2041" s="4" t="str">
        <f t="shared" si="32"/>
        <v>the</v>
      </c>
      <c r="N2041" s="4" cm="1">
        <f t="array" ref="N2041">SUM(--(_xlfn.TEXTSPLIT($J$1780,, " ") = M2041))</f>
        <v>1</v>
      </c>
      <c r="O2041">
        <v>1</v>
      </c>
      <c r="P2041">
        <v>1</v>
      </c>
      <c r="Q2041">
        <v>1</v>
      </c>
    </row>
    <row r="2042" spans="5:17" x14ac:dyDescent="0.2">
      <c r="E2042" s="9" t="s">
        <v>26</v>
      </c>
      <c r="K2042" t="str">
        <v xml:space="preserve">weather
</v>
      </c>
      <c r="L2042" s="4" t="str">
        <f t="shared" si="32"/>
        <v xml:space="preserve">weather </v>
      </c>
      <c r="N2042" s="4" cm="1">
        <f t="array" ref="N2042">SUM(--(_xlfn.TEXTSPLIT($J$1780,, " ") = M2042))</f>
        <v>1</v>
      </c>
      <c r="O2042">
        <v>1</v>
      </c>
      <c r="P2042">
        <v>1</v>
      </c>
      <c r="Q2042">
        <v>1</v>
      </c>
    </row>
    <row r="2043" spans="5:17" x14ac:dyDescent="0.2">
      <c r="E2043" s="9" t="s">
        <v>26</v>
      </c>
      <c r="K2043" t="str">
        <v>I</v>
      </c>
      <c r="L2043" s="4" t="str">
        <f t="shared" si="32"/>
        <v>I</v>
      </c>
      <c r="N2043" s="4" cm="1">
        <f t="array" ref="N2043">SUM(--(_xlfn.TEXTSPLIT($J$1780,, " ") = M2043))</f>
        <v>1</v>
      </c>
      <c r="O2043">
        <v>1</v>
      </c>
      <c r="P2043">
        <v>1</v>
      </c>
      <c r="Q2043">
        <v>1</v>
      </c>
    </row>
    <row r="2044" spans="5:17" x14ac:dyDescent="0.2">
      <c r="E2044" s="9" t="s">
        <v>26</v>
      </c>
      <c r="K2044" t="str">
        <v>wear</v>
      </c>
      <c r="L2044" s="4" t="str">
        <f t="shared" si="32"/>
        <v>wear</v>
      </c>
      <c r="N2044" s="4" cm="1">
        <f t="array" ref="N2044">SUM(--(_xlfn.TEXTSPLIT($J$1780,, " ") = M2044))</f>
        <v>1</v>
      </c>
      <c r="O2044">
        <v>1</v>
      </c>
      <c r="P2044">
        <v>1</v>
      </c>
      <c r="Q2044">
        <v>1</v>
      </c>
    </row>
    <row r="2045" spans="5:17" x14ac:dyDescent="0.2">
      <c r="E2045" s="9" t="s">
        <v>26</v>
      </c>
      <c r="K2045" t="str">
        <v>all</v>
      </c>
      <c r="L2045" s="4" t="str">
        <f t="shared" si="32"/>
        <v>all</v>
      </c>
      <c r="N2045" s="4" cm="1">
        <f t="array" ref="N2045">SUM(--(_xlfn.TEXTSPLIT($J$1780,, " ") = M2045))</f>
        <v>1</v>
      </c>
      <c r="O2045">
        <v>1</v>
      </c>
      <c r="P2045">
        <v>1</v>
      </c>
      <c r="Q2045">
        <v>1</v>
      </c>
    </row>
    <row r="2046" spans="5:17" x14ac:dyDescent="0.2">
      <c r="E2046" s="9" t="s">
        <v>26</v>
      </c>
      <c r="K2046" t="str">
        <v>of</v>
      </c>
      <c r="L2046" s="4" t="str">
        <f t="shared" si="32"/>
        <v>of</v>
      </c>
      <c r="N2046" s="4" cm="1">
        <f t="array" ref="N2046">SUM(--(_xlfn.TEXTSPLIT($J$1780,, " ") = M2046))</f>
        <v>1</v>
      </c>
      <c r="O2046">
        <v>1</v>
      </c>
      <c r="P2046">
        <v>1</v>
      </c>
      <c r="Q2046">
        <v>1</v>
      </c>
    </row>
    <row r="2047" spans="5:17" x14ac:dyDescent="0.2">
      <c r="E2047" s="9" t="s">
        <v>26</v>
      </c>
      <c r="K2047" t="str">
        <v>my</v>
      </c>
      <c r="L2047" s="4" t="str">
        <f t="shared" si="32"/>
        <v>my</v>
      </c>
      <c r="N2047" s="4" cm="1">
        <f t="array" ref="N2047">SUM(--(_xlfn.TEXTSPLIT($J$1780,, " ") = M2047))</f>
        <v>1</v>
      </c>
      <c r="O2047">
        <v>1</v>
      </c>
      <c r="P2047">
        <v>1</v>
      </c>
      <c r="Q2047">
        <v>1</v>
      </c>
    </row>
    <row r="2048" spans="5:17" x14ac:dyDescent="0.2">
      <c r="E2048" s="9" t="s">
        <v>26</v>
      </c>
      <c r="K2048" t="str">
        <v>heart</v>
      </c>
      <c r="L2048" s="4" t="str">
        <f t="shared" si="32"/>
        <v>heart</v>
      </c>
      <c r="N2048" s="4" cm="1">
        <f t="array" ref="N2048">SUM(--(_xlfn.TEXTSPLIT($J$1780,, " ") = M2048))</f>
        <v>1</v>
      </c>
      <c r="O2048">
        <v>1</v>
      </c>
      <c r="P2048">
        <v>1</v>
      </c>
      <c r="Q2048">
        <v>1</v>
      </c>
    </row>
    <row r="2049" spans="5:17" x14ac:dyDescent="0.2">
      <c r="E2049" s="9" t="s">
        <v>26</v>
      </c>
      <c r="K2049" t="str">
        <v>on</v>
      </c>
      <c r="L2049" s="4" t="str">
        <f t="shared" si="32"/>
        <v>on</v>
      </c>
      <c r="N2049" s="4" cm="1">
        <f t="array" ref="N2049">SUM(--(_xlfn.TEXTSPLIT($J$1780,, " ") = M2049))</f>
        <v>1</v>
      </c>
      <c r="O2049">
        <v>1</v>
      </c>
      <c r="P2049">
        <v>1</v>
      </c>
      <c r="Q2049">
        <v>1</v>
      </c>
    </row>
    <row r="2050" spans="5:17" x14ac:dyDescent="0.2">
      <c r="E2050" s="9" t="s">
        <v>26</v>
      </c>
      <c r="K2050" t="str">
        <v>my</v>
      </c>
      <c r="L2050" s="4" t="str">
        <f t="shared" si="32"/>
        <v>my</v>
      </c>
      <c r="N2050" s="4" cm="1">
        <f t="array" ref="N2050">SUM(--(_xlfn.TEXTSPLIT($J$1780,, " ") = M2050))</f>
        <v>1</v>
      </c>
      <c r="O2050">
        <v>1</v>
      </c>
      <c r="P2050">
        <v>1</v>
      </c>
      <c r="Q2050">
        <v>1</v>
      </c>
    </row>
    <row r="2051" spans="5:17" x14ac:dyDescent="0.2">
      <c r="E2051" s="9" t="s">
        <v>26</v>
      </c>
      <c r="K2051" t="str">
        <v xml:space="preserve">sleeve
</v>
      </c>
      <c r="L2051" s="4" t="str">
        <f t="shared" si="32"/>
        <v xml:space="preserve">sleeve </v>
      </c>
      <c r="N2051" s="4" cm="1">
        <f t="array" ref="N2051">SUM(--(_xlfn.TEXTSPLIT($J$1780,, " ") = M2051))</f>
        <v>1</v>
      </c>
      <c r="O2051">
        <v>1</v>
      </c>
      <c r="P2051">
        <v>1</v>
      </c>
      <c r="Q2051">
        <v>1</v>
      </c>
    </row>
    <row r="2052" spans="5:17" x14ac:dyDescent="0.2">
      <c r="E2052" s="9" t="s">
        <v>26</v>
      </c>
      <c r="K2052" t="str">
        <v>I'll</v>
      </c>
      <c r="L2052" s="4" t="str">
        <f t="shared" si="32"/>
        <v>I ll</v>
      </c>
      <c r="N2052" s="4" cm="1">
        <f t="array" ref="N2052">SUM(--(_xlfn.TEXTSPLIT($J$1780,, " ") = M2052))</f>
        <v>1</v>
      </c>
      <c r="O2052">
        <v>1</v>
      </c>
      <c r="P2052">
        <v>1</v>
      </c>
      <c r="Q2052">
        <v>1</v>
      </c>
    </row>
    <row r="2053" spans="5:17" x14ac:dyDescent="0.2">
      <c r="E2053" s="9" t="s">
        <v>26</v>
      </c>
      <c r="K2053" t="str">
        <v>take</v>
      </c>
      <c r="L2053" s="4" t="str">
        <f t="shared" si="32"/>
        <v>take</v>
      </c>
      <c r="N2053" s="4" cm="1">
        <f t="array" ref="N2053">SUM(--(_xlfn.TEXTSPLIT($J$1780,, " ") = M2053))</f>
        <v>1</v>
      </c>
      <c r="O2053">
        <v>1</v>
      </c>
      <c r="P2053">
        <v>1</v>
      </c>
      <c r="Q2053">
        <v>1</v>
      </c>
    </row>
    <row r="2054" spans="5:17" x14ac:dyDescent="0.2">
      <c r="E2054" s="9" t="s">
        <v>26</v>
      </c>
      <c r="K2054" t="str">
        <v>what</v>
      </c>
      <c r="L2054" s="4" t="str">
        <f t="shared" si="32"/>
        <v>what</v>
      </c>
      <c r="N2054" s="4" cm="1">
        <f t="array" ref="N2054">SUM(--(_xlfn.TEXTSPLIT($J$1780,, " ") = M2054))</f>
        <v>1</v>
      </c>
      <c r="O2054">
        <v>1</v>
      </c>
      <c r="P2054">
        <v>1</v>
      </c>
      <c r="Q2054">
        <v>1</v>
      </c>
    </row>
    <row r="2055" spans="5:17" x14ac:dyDescent="0.2">
      <c r="E2055" s="9" t="s">
        <v>26</v>
      </c>
      <c r="K2055" t="str">
        <v>I</v>
      </c>
      <c r="L2055" s="4" t="str">
        <f t="shared" si="32"/>
        <v>I</v>
      </c>
      <c r="N2055" s="4" cm="1">
        <f t="array" ref="N2055">SUM(--(_xlfn.TEXTSPLIT($J$1780,, " ") = M2055))</f>
        <v>1</v>
      </c>
      <c r="O2055">
        <v>1</v>
      </c>
      <c r="P2055">
        <v>1</v>
      </c>
      <c r="Q2055">
        <v>1</v>
      </c>
    </row>
    <row r="2056" spans="5:17" x14ac:dyDescent="0.2">
      <c r="E2056" s="9" t="s">
        <v>26</v>
      </c>
      <c r="K2056" t="str">
        <v>believe,</v>
      </c>
      <c r="L2056" s="4" t="str">
        <f t="shared" si="32"/>
        <v xml:space="preserve">believe </v>
      </c>
      <c r="N2056" s="4" cm="1">
        <f t="array" ref="N2056">SUM(--(_xlfn.TEXTSPLIT($J$1780,, " ") = M2056))</f>
        <v>1</v>
      </c>
      <c r="O2056">
        <v>1</v>
      </c>
      <c r="P2056">
        <v>1</v>
      </c>
      <c r="Q2056">
        <v>1</v>
      </c>
    </row>
    <row r="2057" spans="5:17" x14ac:dyDescent="0.2">
      <c r="E2057" s="9" t="s">
        <v>26</v>
      </c>
      <c r="K2057" t="str">
        <v>and</v>
      </c>
      <c r="L2057" s="4" t="str">
        <f t="shared" si="32"/>
        <v>and</v>
      </c>
      <c r="N2057" s="4" cm="1">
        <f t="array" ref="N2057">SUM(--(_xlfn.TEXTSPLIT($J$1780,, " ") = M2057))</f>
        <v>1</v>
      </c>
      <c r="O2057">
        <v>1</v>
      </c>
      <c r="P2057">
        <v>1</v>
      </c>
      <c r="Q2057">
        <v>1</v>
      </c>
    </row>
    <row r="2058" spans="5:17" x14ac:dyDescent="0.2">
      <c r="E2058" s="9" t="s">
        <v>26</v>
      </c>
      <c r="K2058" t="str">
        <v>I'm</v>
      </c>
      <c r="L2058" s="4" t="str">
        <f t="shared" si="32"/>
        <v>I m</v>
      </c>
      <c r="N2058" s="4" cm="1">
        <f t="array" ref="N2058">SUM(--(_xlfn.TEXTSPLIT($J$1780,, " ") = M2058))</f>
        <v>1</v>
      </c>
      <c r="O2058">
        <v>1</v>
      </c>
      <c r="P2058">
        <v>1</v>
      </c>
      <c r="Q2058">
        <v>1</v>
      </c>
    </row>
    <row r="2059" spans="5:17" x14ac:dyDescent="0.2">
      <c r="E2059" s="9" t="s">
        <v>26</v>
      </c>
      <c r="K2059" t="str">
        <v>hiding</v>
      </c>
      <c r="L2059" s="4" t="str">
        <f t="shared" si="32"/>
        <v>hiding</v>
      </c>
      <c r="N2059" s="4" cm="1">
        <f t="array" ref="N2059">SUM(--(_xlfn.TEXTSPLIT($J$1780,, " ") = M2059))</f>
        <v>1</v>
      </c>
      <c r="O2059">
        <v>1</v>
      </c>
      <c r="P2059">
        <v>1</v>
      </c>
      <c r="Q2059">
        <v>1</v>
      </c>
    </row>
    <row r="2060" spans="5:17" x14ac:dyDescent="0.2">
      <c r="E2060" s="9" t="s">
        <v>26</v>
      </c>
      <c r="K2060" t="str">
        <v xml:space="preserve">it
</v>
      </c>
      <c r="L2060" s="4" t="str">
        <f t="shared" si="32"/>
        <v xml:space="preserve">it </v>
      </c>
      <c r="N2060" s="4" cm="1">
        <f t="array" ref="N2060">SUM(--(_xlfn.TEXTSPLIT($J$1780,, " ") = M2060))</f>
        <v>1</v>
      </c>
      <c r="O2060">
        <v>1</v>
      </c>
      <c r="P2060">
        <v>1</v>
      </c>
      <c r="Q2060">
        <v>1</v>
      </c>
    </row>
    <row r="2061" spans="5:17" x14ac:dyDescent="0.2">
      <c r="E2061" s="9" t="s">
        <v>26</v>
      </c>
      <c r="K2061" t="str">
        <v>Downstairs,</v>
      </c>
      <c r="L2061" s="4" t="str">
        <f t="shared" si="32"/>
        <v xml:space="preserve">Downstairs </v>
      </c>
      <c r="N2061" s="4" cm="1">
        <f t="array" ref="N2061">SUM(--(_xlfn.TEXTSPLIT($J$1780,, " ") = M2061))</f>
        <v>1</v>
      </c>
      <c r="O2061">
        <v>1</v>
      </c>
      <c r="P2061">
        <v>1</v>
      </c>
      <c r="Q2061">
        <v>1</v>
      </c>
    </row>
    <row r="2062" spans="5:17" x14ac:dyDescent="0.2">
      <c r="E2062" s="9" t="s">
        <v>26</v>
      </c>
      <c r="K2062" t="str">
        <v>I</v>
      </c>
      <c r="L2062" s="4" t="str">
        <f t="shared" si="32"/>
        <v>I</v>
      </c>
      <c r="N2062" s="4" cm="1">
        <f t="array" ref="N2062">SUM(--(_xlfn.TEXTSPLIT($J$1780,, " ") = M2062))</f>
        <v>1</v>
      </c>
      <c r="O2062">
        <v>1</v>
      </c>
      <c r="P2062">
        <v>1</v>
      </c>
      <c r="Q2062">
        <v>1</v>
      </c>
    </row>
    <row r="2063" spans="5:17" x14ac:dyDescent="0.2">
      <c r="E2063" s="9" t="s">
        <v>26</v>
      </c>
      <c r="K2063" t="str">
        <v>feel</v>
      </c>
      <c r="L2063" s="4" t="str">
        <f t="shared" si="32"/>
        <v>feel</v>
      </c>
      <c r="N2063" s="4" cm="1">
        <f t="array" ref="N2063">SUM(--(_xlfn.TEXTSPLIT($J$1780,, " ") = M2063))</f>
        <v>1</v>
      </c>
      <c r="O2063">
        <v>1</v>
      </c>
      <c r="P2063">
        <v>1</v>
      </c>
      <c r="Q2063">
        <v>1</v>
      </c>
    </row>
    <row r="2064" spans="5:17" x14ac:dyDescent="0.2">
      <c r="E2064" s="9" t="s">
        <v>26</v>
      </c>
      <c r="K2064" t="str">
        <v>better</v>
      </c>
      <c r="L2064" s="4" t="str">
        <f t="shared" si="32"/>
        <v>better</v>
      </c>
      <c r="N2064" s="4" cm="1">
        <f t="array" ref="N2064">SUM(--(_xlfn.TEXTSPLIT($J$1780,, " ") = M2064))</f>
        <v>1</v>
      </c>
      <c r="O2064">
        <v>1</v>
      </c>
      <c r="P2064">
        <v>1</v>
      </c>
      <c r="Q2064">
        <v>1</v>
      </c>
    </row>
    <row r="2065" spans="5:17" x14ac:dyDescent="0.2">
      <c r="E2065" s="9" t="s">
        <v>26</v>
      </c>
      <c r="K2065" t="str">
        <v>in</v>
      </c>
      <c r="L2065" s="4" t="str">
        <f t="shared" si="32"/>
        <v>in</v>
      </c>
      <c r="N2065" s="4" cm="1">
        <f t="array" ref="N2065">SUM(--(_xlfn.TEXTSPLIT($J$1780,, " ") = M2065))</f>
        <v>1</v>
      </c>
      <c r="O2065">
        <v>1</v>
      </c>
      <c r="P2065">
        <v>1</v>
      </c>
      <c r="Q2065">
        <v>1</v>
      </c>
    </row>
    <row r="2066" spans="5:17" x14ac:dyDescent="0.2">
      <c r="E2066" s="9" t="s">
        <v>26</v>
      </c>
      <c r="K2066" t="str">
        <v>the</v>
      </c>
      <c r="L2066" s="4" t="str">
        <f t="shared" si="32"/>
        <v>the</v>
      </c>
      <c r="N2066" s="4" cm="1">
        <f t="array" ref="N2066">SUM(--(_xlfn.TEXTSPLIT($J$1780,, " ") = M2066))</f>
        <v>1</v>
      </c>
      <c r="O2066">
        <v>1</v>
      </c>
      <c r="P2066">
        <v>1</v>
      </c>
      <c r="Q2066">
        <v>1</v>
      </c>
    </row>
    <row r="2067" spans="5:17" x14ac:dyDescent="0.2">
      <c r="E2067" s="9" t="s">
        <v>26</v>
      </c>
      <c r="K2067" t="str">
        <v xml:space="preserve">cellar
</v>
      </c>
      <c r="L2067" s="4" t="str">
        <f t="shared" si="32"/>
        <v xml:space="preserve">cellar </v>
      </c>
      <c r="N2067" s="4" cm="1">
        <f t="array" ref="N2067">SUM(--(_xlfn.TEXTSPLIT($J$1780,, " ") = M2067))</f>
        <v>1</v>
      </c>
      <c r="O2067">
        <v>1</v>
      </c>
      <c r="P2067">
        <v>1</v>
      </c>
      <c r="Q2067">
        <v>1</v>
      </c>
    </row>
    <row r="2068" spans="5:17" x14ac:dyDescent="0.2">
      <c r="E2068" s="9" t="s">
        <v>26</v>
      </c>
      <c r="K2068" t="str">
        <v>Down</v>
      </c>
      <c r="L2068" s="4" t="str">
        <f t="shared" si="32"/>
        <v>Down</v>
      </c>
      <c r="N2068" s="4" cm="1">
        <f t="array" ref="N2068">SUM(--(_xlfn.TEXTSPLIT($J$1780,, " ") = M2068))</f>
        <v>1</v>
      </c>
      <c r="O2068">
        <v>1</v>
      </c>
      <c r="P2068">
        <v>1</v>
      </c>
      <c r="Q2068">
        <v>1</v>
      </c>
    </row>
    <row r="2069" spans="5:17" x14ac:dyDescent="0.2">
      <c r="E2069" s="9" t="s">
        <v>26</v>
      </c>
      <c r="K2069" t="str">
        <v>there,</v>
      </c>
      <c r="L2069" s="4" t="str">
        <f t="shared" si="32"/>
        <v xml:space="preserve">there </v>
      </c>
      <c r="N2069" s="4" cm="1">
        <f t="array" ref="N2069">SUM(--(_xlfn.TEXTSPLIT($J$1780,, " ") = M2069))</f>
        <v>1</v>
      </c>
      <c r="O2069">
        <v>1</v>
      </c>
      <c r="P2069">
        <v>1</v>
      </c>
      <c r="Q2069">
        <v>1</v>
      </c>
    </row>
    <row r="2070" spans="5:17" x14ac:dyDescent="0.2">
      <c r="E2070" s="9" t="s">
        <v>26</v>
      </c>
      <c r="K2070" t="str">
        <v>it's</v>
      </c>
      <c r="L2070" s="4" t="str">
        <f t="shared" si="32"/>
        <v>it s</v>
      </c>
      <c r="N2070" s="4" cm="1">
        <f t="array" ref="N2070">SUM(--(_xlfn.TEXTSPLIT($J$1780,, " ") = M2070))</f>
        <v>1</v>
      </c>
      <c r="O2070">
        <v>1</v>
      </c>
      <c r="P2070">
        <v>1</v>
      </c>
      <c r="Q2070">
        <v>1</v>
      </c>
    </row>
    <row r="2071" spans="5:17" x14ac:dyDescent="0.2">
      <c r="E2071" s="9" t="s">
        <v>26</v>
      </c>
      <c r="K2071" t="str">
        <v>some</v>
      </c>
      <c r="L2071" s="4" t="str">
        <f t="shared" si="32"/>
        <v>some</v>
      </c>
      <c r="N2071" s="4" cm="1">
        <f t="array" ref="N2071">SUM(--(_xlfn.TEXTSPLIT($J$1780,, " ") = M2071))</f>
        <v>1</v>
      </c>
      <c r="O2071">
        <v>1</v>
      </c>
      <c r="P2071">
        <v>1</v>
      </c>
      <c r="Q2071">
        <v>1</v>
      </c>
    </row>
    <row r="2072" spans="5:17" x14ac:dyDescent="0.2">
      <c r="E2072" s="9" t="s">
        <v>26</v>
      </c>
      <c r="K2072" t="str">
        <v>shelter</v>
      </c>
      <c r="L2072" s="4" t="str">
        <f t="shared" si="32"/>
        <v>shelter</v>
      </c>
      <c r="N2072" s="4" cm="1">
        <f t="array" ref="N2072">SUM(--(_xlfn.TEXTSPLIT($J$1780,, " ") = M2072))</f>
        <v>1</v>
      </c>
      <c r="O2072">
        <v>1</v>
      </c>
      <c r="P2072">
        <v>1</v>
      </c>
      <c r="Q2072">
        <v>1</v>
      </c>
    </row>
    <row r="2073" spans="5:17" x14ac:dyDescent="0.2">
      <c r="E2073" s="9" t="s">
        <v>26</v>
      </c>
      <c r="K2073" t="str">
        <v>from</v>
      </c>
      <c r="L2073" s="4" t="str">
        <f t="shared" si="32"/>
        <v>from</v>
      </c>
      <c r="N2073" s="4" cm="1">
        <f t="array" ref="N2073">SUM(--(_xlfn.TEXTSPLIT($J$1780,, " ") = M2073))</f>
        <v>1</v>
      </c>
      <c r="O2073">
        <v>1</v>
      </c>
      <c r="P2073">
        <v>1</v>
      </c>
      <c r="Q2073">
        <v>1</v>
      </c>
    </row>
    <row r="2074" spans="5:17" x14ac:dyDescent="0.2">
      <c r="E2074" s="9" t="s">
        <v>26</v>
      </c>
      <c r="K2074" t="str">
        <v>the</v>
      </c>
      <c r="L2074" s="4" t="str">
        <f t="shared" si="32"/>
        <v>the</v>
      </c>
      <c r="N2074" s="4" cm="1">
        <f t="array" ref="N2074">SUM(--(_xlfn.TEXTSPLIT($J$1780,, " ") = M2074))</f>
        <v>1</v>
      </c>
      <c r="O2074">
        <v>1</v>
      </c>
      <c r="P2074">
        <v>1</v>
      </c>
      <c r="Q2074">
        <v>1</v>
      </c>
    </row>
    <row r="2075" spans="5:17" x14ac:dyDescent="0.2">
      <c r="E2075" s="9" t="s">
        <v>26</v>
      </c>
      <c r="K2075" t="str">
        <v xml:space="preserve">weather
</v>
      </c>
      <c r="L2075" s="4" t="str">
        <f t="shared" si="32"/>
        <v xml:space="preserve">weather </v>
      </c>
      <c r="N2075" s="4" cm="1">
        <f t="array" ref="N2075">SUM(--(_xlfn.TEXTSPLIT($J$1780,, " ") = M2075))</f>
        <v>1</v>
      </c>
      <c r="O2075">
        <v>1</v>
      </c>
      <c r="P2075">
        <v>1</v>
      </c>
      <c r="Q2075">
        <v>1</v>
      </c>
    </row>
    <row r="2076" spans="5:17" x14ac:dyDescent="0.2">
      <c r="E2076" s="9" t="s">
        <v>26</v>
      </c>
      <c r="K2076" t="str">
        <v>I</v>
      </c>
      <c r="L2076" s="4" t="str">
        <f t="shared" si="32"/>
        <v>I</v>
      </c>
      <c r="N2076" s="4" cm="1">
        <f t="array" ref="N2076">SUM(--(_xlfn.TEXTSPLIT($J$1780,, " ") = M2076))</f>
        <v>1</v>
      </c>
      <c r="O2076">
        <v>1</v>
      </c>
      <c r="P2076">
        <v>1</v>
      </c>
      <c r="Q2076">
        <v>1</v>
      </c>
    </row>
    <row r="2077" spans="5:17" x14ac:dyDescent="0.2">
      <c r="E2077" s="9" t="s">
        <v>26</v>
      </c>
      <c r="K2077" t="str">
        <v>wear</v>
      </c>
      <c r="L2077" s="4" t="str">
        <f t="shared" si="32"/>
        <v>wear</v>
      </c>
      <c r="N2077" s="4" cm="1">
        <f t="array" ref="N2077">SUM(--(_xlfn.TEXTSPLIT($J$1780,, " ") = M2077))</f>
        <v>1</v>
      </c>
      <c r="O2077">
        <v>1</v>
      </c>
      <c r="P2077">
        <v>1</v>
      </c>
      <c r="Q2077">
        <v>1</v>
      </c>
    </row>
    <row r="2078" spans="5:17" x14ac:dyDescent="0.2">
      <c r="E2078" s="9" t="s">
        <v>26</v>
      </c>
      <c r="K2078" t="str">
        <v>all</v>
      </c>
      <c r="L2078" s="4" t="str">
        <f t="shared" si="32"/>
        <v>all</v>
      </c>
      <c r="N2078" s="4" cm="1">
        <f t="array" ref="N2078">SUM(--(_xlfn.TEXTSPLIT($J$1780,, " ") = M2078))</f>
        <v>1</v>
      </c>
      <c r="O2078">
        <v>1</v>
      </c>
      <c r="P2078">
        <v>1</v>
      </c>
      <c r="Q2078">
        <v>1</v>
      </c>
    </row>
    <row r="2079" spans="5:17" x14ac:dyDescent="0.2">
      <c r="E2079" s="9" t="s">
        <v>26</v>
      </c>
      <c r="K2079" t="str">
        <v>of</v>
      </c>
      <c r="L2079" s="4" t="str">
        <f t="shared" si="32"/>
        <v>of</v>
      </c>
      <c r="N2079" s="4" cm="1">
        <f t="array" ref="N2079">SUM(--(_xlfn.TEXTSPLIT($J$1780,, " ") = M2079))</f>
        <v>1</v>
      </c>
      <c r="O2079">
        <v>1</v>
      </c>
      <c r="P2079">
        <v>1</v>
      </c>
      <c r="Q2079">
        <v>1</v>
      </c>
    </row>
    <row r="2080" spans="5:17" x14ac:dyDescent="0.2">
      <c r="E2080" s="9" t="s">
        <v>26</v>
      </c>
      <c r="K2080" t="str">
        <v>my</v>
      </c>
      <c r="L2080" s="4" t="str">
        <f t="shared" si="32"/>
        <v>my</v>
      </c>
      <c r="N2080" s="4" cm="1">
        <f t="array" ref="N2080">SUM(--(_xlfn.TEXTSPLIT($J$1780,, " ") = M2080))</f>
        <v>1</v>
      </c>
      <c r="O2080">
        <v>1</v>
      </c>
      <c r="P2080">
        <v>1</v>
      </c>
      <c r="Q2080">
        <v>1</v>
      </c>
    </row>
    <row r="2081" spans="5:17" x14ac:dyDescent="0.2">
      <c r="E2081" s="9" t="s">
        <v>26</v>
      </c>
      <c r="K2081" t="str">
        <v>heart</v>
      </c>
      <c r="L2081" s="4" t="str">
        <f t="shared" si="32"/>
        <v>heart</v>
      </c>
      <c r="N2081" s="4" cm="1">
        <f t="array" ref="N2081">SUM(--(_xlfn.TEXTSPLIT($J$1780,, " ") = M2081))</f>
        <v>1</v>
      </c>
      <c r="O2081">
        <v>1</v>
      </c>
      <c r="P2081">
        <v>1</v>
      </c>
      <c r="Q2081">
        <v>1</v>
      </c>
    </row>
    <row r="2082" spans="5:17" x14ac:dyDescent="0.2">
      <c r="E2082" s="9" t="s">
        <v>26</v>
      </c>
      <c r="K2082" t="str">
        <v>on</v>
      </c>
      <c r="L2082" s="4" t="str">
        <f t="shared" si="32"/>
        <v>on</v>
      </c>
      <c r="N2082" s="4" cm="1">
        <f t="array" ref="N2082">SUM(--(_xlfn.TEXTSPLIT($J$1780,, " ") = M2082))</f>
        <v>1</v>
      </c>
      <c r="O2082">
        <v>1</v>
      </c>
      <c r="P2082">
        <v>1</v>
      </c>
      <c r="Q2082">
        <v>1</v>
      </c>
    </row>
    <row r="2083" spans="5:17" x14ac:dyDescent="0.2">
      <c r="E2083" s="9" t="s">
        <v>26</v>
      </c>
      <c r="K2083" t="str">
        <v>my</v>
      </c>
      <c r="L2083" s="4" t="str">
        <f t="shared" si="32"/>
        <v>my</v>
      </c>
      <c r="N2083" s="4" cm="1">
        <f t="array" ref="N2083">SUM(--(_xlfn.TEXTSPLIT($J$1780,, " ") = M2083))</f>
        <v>1</v>
      </c>
      <c r="O2083">
        <v>1</v>
      </c>
      <c r="P2083">
        <v>1</v>
      </c>
      <c r="Q2083">
        <v>1</v>
      </c>
    </row>
    <row r="2084" spans="5:17" x14ac:dyDescent="0.2">
      <c r="E2084" s="9" t="s">
        <v>26</v>
      </c>
      <c r="K2084" t="str">
        <v xml:space="preserve">sleeve
</v>
      </c>
      <c r="L2084" s="4" t="str">
        <f t="shared" si="32"/>
        <v xml:space="preserve">sleeve </v>
      </c>
      <c r="N2084" s="4" cm="1">
        <f t="array" ref="N2084">SUM(--(_xlfn.TEXTSPLIT($J$1780,, " ") = M2084))</f>
        <v>1</v>
      </c>
      <c r="O2084">
        <v>1</v>
      </c>
      <c r="P2084">
        <v>1</v>
      </c>
      <c r="Q2084">
        <v>1</v>
      </c>
    </row>
    <row r="2085" spans="5:17" x14ac:dyDescent="0.2">
      <c r="E2085" s="9" t="s">
        <v>26</v>
      </c>
      <c r="K2085" t="str">
        <v>I'll</v>
      </c>
      <c r="L2085" s="4" t="str">
        <f t="shared" si="32"/>
        <v>I ll</v>
      </c>
      <c r="N2085" s="4" cm="1">
        <f t="array" ref="N2085">SUM(--(_xlfn.TEXTSPLIT($J$1780,, " ") = M2085))</f>
        <v>1</v>
      </c>
      <c r="O2085">
        <v>1</v>
      </c>
      <c r="P2085">
        <v>1</v>
      </c>
      <c r="Q2085">
        <v>1</v>
      </c>
    </row>
    <row r="2086" spans="5:17" x14ac:dyDescent="0.2">
      <c r="E2086" s="9" t="s">
        <v>26</v>
      </c>
      <c r="K2086" t="str">
        <v>take</v>
      </c>
      <c r="L2086" s="4" t="str">
        <f t="shared" si="32"/>
        <v>take</v>
      </c>
      <c r="N2086" s="4" cm="1">
        <f t="array" ref="N2086">SUM(--(_xlfn.TEXTSPLIT($J$1780,, " ") = M2086))</f>
        <v>1</v>
      </c>
      <c r="O2086">
        <v>1</v>
      </c>
      <c r="P2086">
        <v>1</v>
      </c>
      <c r="Q2086">
        <v>1</v>
      </c>
    </row>
    <row r="2087" spans="5:17" x14ac:dyDescent="0.2">
      <c r="E2087" s="9" t="s">
        <v>26</v>
      </c>
      <c r="K2087" t="str">
        <v>what</v>
      </c>
      <c r="L2087" s="4" t="str">
        <f t="shared" si="32"/>
        <v>what</v>
      </c>
      <c r="N2087" s="4" cm="1">
        <f t="array" ref="N2087">SUM(--(_xlfn.TEXTSPLIT($J$1780,, " ") = M2087))</f>
        <v>1</v>
      </c>
      <c r="O2087">
        <v>1</v>
      </c>
      <c r="P2087">
        <v>1</v>
      </c>
      <c r="Q2087">
        <v>1</v>
      </c>
    </row>
    <row r="2088" spans="5:17" x14ac:dyDescent="0.2">
      <c r="E2088" s="9" t="s">
        <v>26</v>
      </c>
      <c r="K2088" t="str">
        <v>I</v>
      </c>
      <c r="L2088" s="4" t="str">
        <f t="shared" si="32"/>
        <v>I</v>
      </c>
      <c r="N2088" s="4" cm="1">
        <f t="array" ref="N2088">SUM(--(_xlfn.TEXTSPLIT($J$1780,, " ") = M2088))</f>
        <v>1</v>
      </c>
      <c r="O2088">
        <v>1</v>
      </c>
      <c r="P2088">
        <v>1</v>
      </c>
      <c r="Q2088">
        <v>1</v>
      </c>
    </row>
    <row r="2089" spans="5:17" x14ac:dyDescent="0.2">
      <c r="E2089" s="9" t="s">
        <v>26</v>
      </c>
      <c r="K2089" t="str">
        <v>believe,</v>
      </c>
      <c r="L2089" s="4" t="str">
        <f t="shared" si="32"/>
        <v xml:space="preserve">believe </v>
      </c>
      <c r="N2089" s="4" cm="1">
        <f t="array" ref="N2089">SUM(--(_xlfn.TEXTSPLIT($J$1780,, " ") = M2089))</f>
        <v>1</v>
      </c>
      <c r="O2089">
        <v>1</v>
      </c>
      <c r="P2089">
        <v>1</v>
      </c>
      <c r="Q2089">
        <v>1</v>
      </c>
    </row>
    <row r="2090" spans="5:17" x14ac:dyDescent="0.2">
      <c r="E2090" s="9" t="s">
        <v>26</v>
      </c>
      <c r="K2090" t="str">
        <v>and</v>
      </c>
      <c r="L2090" s="4" t="str">
        <f t="shared" si="32"/>
        <v>and</v>
      </c>
      <c r="N2090" s="4" cm="1">
        <f t="array" ref="N2090">SUM(--(_xlfn.TEXTSPLIT($J$1780,, " ") = M2090))</f>
        <v>1</v>
      </c>
      <c r="O2090">
        <v>1</v>
      </c>
      <c r="P2090">
        <v>1</v>
      </c>
      <c r="Q2090">
        <v>1</v>
      </c>
    </row>
    <row r="2091" spans="5:17" x14ac:dyDescent="0.2">
      <c r="E2091" s="9" t="s">
        <v>26</v>
      </c>
      <c r="K2091" t="str">
        <v>I'm</v>
      </c>
      <c r="L2091" s="4" t="str">
        <f t="shared" si="32"/>
        <v>I m</v>
      </c>
      <c r="N2091" s="4" cm="1">
        <f t="array" ref="N2091">SUM(--(_xlfn.TEXTSPLIT($J$1780,, " ") = M2091))</f>
        <v>1</v>
      </c>
      <c r="O2091">
        <v>1</v>
      </c>
      <c r="P2091">
        <v>1</v>
      </c>
      <c r="Q2091">
        <v>1</v>
      </c>
    </row>
    <row r="2092" spans="5:17" x14ac:dyDescent="0.2">
      <c r="E2092" s="9" t="s">
        <v>26</v>
      </c>
      <c r="K2092" t="str">
        <v>hiding</v>
      </c>
      <c r="L2092" s="4" t="str">
        <f t="shared" si="32"/>
        <v>hiding</v>
      </c>
      <c r="N2092" s="4" cm="1">
        <f t="array" ref="N2092">SUM(--(_xlfn.TEXTSPLIT($J$1780,, " ") = M2092))</f>
        <v>1</v>
      </c>
      <c r="O2092">
        <v>1</v>
      </c>
      <c r="P2092">
        <v>1</v>
      </c>
      <c r="Q2092">
        <v>1</v>
      </c>
    </row>
    <row r="2093" spans="5:17" x14ac:dyDescent="0.2">
      <c r="E2093" s="9" t="s">
        <v>26</v>
      </c>
      <c r="K2093" t="str">
        <v xml:space="preserve">it
</v>
      </c>
      <c r="L2093" s="4" t="str">
        <f t="shared" si="32"/>
        <v xml:space="preserve">it </v>
      </c>
      <c r="N2093" s="4" cm="1">
        <f t="array" ref="N2093">SUM(--(_xlfn.TEXTSPLIT($J$1780,, " ") = M2093))</f>
        <v>1</v>
      </c>
      <c r="O2093">
        <v>1</v>
      </c>
      <c r="P2093">
        <v>1</v>
      </c>
      <c r="Q2093">
        <v>1</v>
      </c>
    </row>
    <row r="2094" spans="5:17" x14ac:dyDescent="0.2">
      <c r="E2094" s="9" t="s">
        <v>26</v>
      </c>
      <c r="K2094" t="str">
        <v>Downstairs</v>
      </c>
      <c r="L2094" s="4" t="str">
        <f t="shared" si="32"/>
        <v>Downstairs</v>
      </c>
      <c r="N2094" s="4" cm="1">
        <f t="array" ref="N2094">SUM(--(_xlfn.TEXTSPLIT($J$1780,, " ") = M2094))</f>
        <v>1</v>
      </c>
      <c r="O2094">
        <v>1</v>
      </c>
      <c r="P2094">
        <v>1</v>
      </c>
      <c r="Q2094">
        <v>1</v>
      </c>
    </row>
    <row r="2095" spans="5:17" x14ac:dyDescent="0.2">
      <c r="E2095" s="9" t="s">
        <v>26</v>
      </c>
      <c r="K2095" t="str">
        <v>(You</v>
      </c>
      <c r="L2095" s="4" t="str">
        <f t="shared" si="32"/>
        <v xml:space="preserve"> You</v>
      </c>
      <c r="N2095" s="4" cm="1">
        <f t="array" ref="N2095">SUM(--(_xlfn.TEXTSPLIT($J$1780,, " ") = M2095))</f>
        <v>1</v>
      </c>
      <c r="O2095">
        <v>1</v>
      </c>
      <c r="P2095">
        <v>1</v>
      </c>
      <c r="Q2095">
        <v>1</v>
      </c>
    </row>
    <row r="2096" spans="5:17" x14ac:dyDescent="0.2">
      <c r="E2096" s="9" t="s">
        <v>26</v>
      </c>
      <c r="K2096" t="str">
        <v>can</v>
      </c>
      <c r="L2096" s="4" t="str">
        <f t="shared" si="32"/>
        <v>can</v>
      </c>
      <c r="N2096" s="4" cm="1">
        <f t="array" ref="N2096">SUM(--(_xlfn.TEXTSPLIT($J$1780,, " ") = M2096))</f>
        <v>1</v>
      </c>
      <c r="O2096">
        <v>1</v>
      </c>
      <c r="P2096">
        <v>1</v>
      </c>
      <c r="Q2096">
        <v>1</v>
      </c>
    </row>
    <row r="2097" spans="5:17" x14ac:dyDescent="0.2">
      <c r="E2097" s="9" t="s">
        <v>26</v>
      </c>
      <c r="K2097" t="str">
        <v>have),</v>
      </c>
      <c r="L2097" s="4" t="str">
        <f t="shared" si="32"/>
        <v xml:space="preserve">have  </v>
      </c>
      <c r="N2097" s="4" cm="1">
        <f t="array" ref="N2097">SUM(--(_xlfn.TEXTSPLIT($J$1780,, " ") = M2097))</f>
        <v>1</v>
      </c>
      <c r="O2097">
        <v>1</v>
      </c>
      <c r="P2097">
        <v>1</v>
      </c>
      <c r="Q2097">
        <v>1</v>
      </c>
    </row>
    <row r="2098" spans="5:17" x14ac:dyDescent="0.2">
      <c r="E2098" s="9" t="s">
        <v>26</v>
      </c>
      <c r="K2098" t="str">
        <v>I</v>
      </c>
      <c r="L2098" s="4" t="str">
        <f t="shared" si="32"/>
        <v>I</v>
      </c>
      <c r="N2098" s="4" cm="1">
        <f t="array" ref="N2098">SUM(--(_xlfn.TEXTSPLIT($J$1780,, " ") = M2098))</f>
        <v>1</v>
      </c>
      <c r="O2098">
        <v>1</v>
      </c>
      <c r="P2098">
        <v>1</v>
      </c>
      <c r="Q2098">
        <v>1</v>
      </c>
    </row>
    <row r="2099" spans="5:17" x14ac:dyDescent="0.2">
      <c r="E2099" s="9" t="s">
        <v>26</v>
      </c>
      <c r="K2099" t="str">
        <v>feel</v>
      </c>
      <c r="L2099" s="4" t="str">
        <f t="shared" si="32"/>
        <v>feel</v>
      </c>
      <c r="N2099" s="4" cm="1">
        <f t="array" ref="N2099">SUM(--(_xlfn.TEXTSPLIT($J$1780,, " ") = M2099))</f>
        <v>1</v>
      </c>
      <c r="O2099">
        <v>1</v>
      </c>
      <c r="P2099">
        <v>1</v>
      </c>
      <c r="Q2099">
        <v>1</v>
      </c>
    </row>
    <row r="2100" spans="5:17" x14ac:dyDescent="0.2">
      <c r="E2100" s="9" t="s">
        <v>26</v>
      </c>
      <c r="K2100" t="str">
        <v>better</v>
      </c>
      <c r="L2100" s="4" t="str">
        <f t="shared" ref="L2100:L2163" si="33">_xlfn.REGEXREPLACE(K2100, "[^A-Za-z ]", " ")</f>
        <v>better</v>
      </c>
      <c r="N2100" s="4" cm="1">
        <f t="array" ref="N2100">SUM(--(_xlfn.TEXTSPLIT($J$1780,, " ") = M2100))</f>
        <v>1</v>
      </c>
      <c r="O2100">
        <v>1</v>
      </c>
      <c r="P2100">
        <v>1</v>
      </c>
      <c r="Q2100">
        <v>1</v>
      </c>
    </row>
    <row r="2101" spans="5:17" x14ac:dyDescent="0.2">
      <c r="E2101" s="9" t="s">
        <v>26</v>
      </c>
      <c r="K2101" t="str">
        <v>in</v>
      </c>
      <c r="L2101" s="4" t="str">
        <f t="shared" si="33"/>
        <v>in</v>
      </c>
      <c r="N2101" s="4" cm="1">
        <f t="array" ref="N2101">SUM(--(_xlfn.TEXTSPLIT($J$1780,, " ") = M2101))</f>
        <v>1</v>
      </c>
      <c r="O2101">
        <v>1</v>
      </c>
      <c r="P2101">
        <v>1</v>
      </c>
      <c r="Q2101">
        <v>1</v>
      </c>
    </row>
    <row r="2102" spans="5:17" x14ac:dyDescent="0.2">
      <c r="E2102" s="9" t="s">
        <v>26</v>
      </c>
      <c r="K2102" t="str">
        <v>the</v>
      </c>
      <c r="L2102" s="4" t="str">
        <f t="shared" si="33"/>
        <v>the</v>
      </c>
      <c r="N2102" s="4" cm="1">
        <f t="array" ref="N2102">SUM(--(_xlfn.TEXTSPLIT($J$1780,, " ") = M2102))</f>
        <v>1</v>
      </c>
      <c r="O2102">
        <v>1</v>
      </c>
      <c r="P2102">
        <v>1</v>
      </c>
      <c r="Q2102">
        <v>1</v>
      </c>
    </row>
    <row r="2103" spans="5:17" x14ac:dyDescent="0.2">
      <c r="E2103" s="9" t="s">
        <v>26</v>
      </c>
      <c r="K2103" t="str">
        <v>cellar</v>
      </c>
      <c r="L2103" s="4" t="str">
        <f t="shared" si="33"/>
        <v>cellar</v>
      </c>
      <c r="N2103" s="4" cm="1">
        <f t="array" ref="N2103">SUM(--(_xlfn.TEXTSPLIT($J$1780,, " ") = M2103))</f>
        <v>1</v>
      </c>
      <c r="O2103">
        <v>1</v>
      </c>
      <c r="P2103">
        <v>1</v>
      </c>
      <c r="Q2103">
        <v>1</v>
      </c>
    </row>
    <row r="2104" spans="5:17" x14ac:dyDescent="0.2">
      <c r="E2104" s="9" t="s">
        <v>26</v>
      </c>
      <c r="K2104" t="str">
        <v>(All</v>
      </c>
      <c r="L2104" s="4" t="str">
        <f t="shared" si="33"/>
        <v xml:space="preserve"> All</v>
      </c>
      <c r="N2104" s="4" cm="1">
        <f t="array" ref="N2104">SUM(--(_xlfn.TEXTSPLIT($J$1780,, " ") = M2104))</f>
        <v>1</v>
      </c>
      <c r="O2104">
        <v>1</v>
      </c>
      <c r="P2104">
        <v>1</v>
      </c>
      <c r="Q2104">
        <v>1</v>
      </c>
    </row>
    <row r="2105" spans="5:17" x14ac:dyDescent="0.2">
      <c r="E2105" s="9" t="s">
        <v>26</v>
      </c>
      <c r="K2105" t="str">
        <v>I've</v>
      </c>
      <c r="L2105" s="4" t="str">
        <f t="shared" si="33"/>
        <v>I ve</v>
      </c>
      <c r="N2105" s="4" cm="1">
        <f t="array" ref="N2105">SUM(--(_xlfn.TEXTSPLIT($J$1780,, " ") = M2105))</f>
        <v>1</v>
      </c>
      <c r="O2105">
        <v>1</v>
      </c>
      <c r="P2105">
        <v>1</v>
      </c>
      <c r="Q2105">
        <v>1</v>
      </c>
    </row>
    <row r="2106" spans="5:17" x14ac:dyDescent="0.2">
      <c r="E2106" s="9" t="s">
        <v>26</v>
      </c>
      <c r="K2106" t="str">
        <v xml:space="preserve">made)
</v>
      </c>
      <c r="L2106" s="4" t="str">
        <f t="shared" si="33"/>
        <v xml:space="preserve">made  </v>
      </c>
      <c r="N2106" s="4" cm="1">
        <f t="array" ref="N2106">SUM(--(_xlfn.TEXTSPLIT($J$1780,, " ") = M2106))</f>
        <v>1</v>
      </c>
      <c r="O2106">
        <v>1</v>
      </c>
      <c r="P2106">
        <v>1</v>
      </c>
      <c r="Q2106">
        <v>1</v>
      </c>
    </row>
    <row r="2107" spans="5:17" x14ac:dyDescent="0.2">
      <c r="E2107" s="9" t="s">
        <v>26</v>
      </c>
      <c r="K2107" t="str">
        <v>Down</v>
      </c>
      <c r="L2107" s="4" t="str">
        <f t="shared" si="33"/>
        <v>Down</v>
      </c>
      <c r="N2107" s="4" cm="1">
        <f t="array" ref="N2107">SUM(--(_xlfn.TEXTSPLIT($J$1780,, " ") = M2107))</f>
        <v>1</v>
      </c>
      <c r="O2107">
        <v>1</v>
      </c>
      <c r="P2107">
        <v>1</v>
      </c>
      <c r="Q2107">
        <v>1</v>
      </c>
    </row>
    <row r="2108" spans="5:17" x14ac:dyDescent="0.2">
      <c r="E2108" s="9" t="s">
        <v>26</v>
      </c>
      <c r="K2108" t="str">
        <v>there,</v>
      </c>
      <c r="L2108" s="4" t="str">
        <f t="shared" si="33"/>
        <v xml:space="preserve">there </v>
      </c>
      <c r="N2108" s="4" cm="1">
        <f t="array" ref="N2108">SUM(--(_xlfn.TEXTSPLIT($J$1780,, " ") = M2108))</f>
        <v>1</v>
      </c>
      <c r="O2108">
        <v>1</v>
      </c>
      <c r="P2108">
        <v>1</v>
      </c>
      <c r="Q2108">
        <v>1</v>
      </c>
    </row>
    <row r="2109" spans="5:17" x14ac:dyDescent="0.2">
      <c r="E2109" s="9" t="s">
        <v>26</v>
      </c>
      <c r="K2109" t="str">
        <v>need</v>
      </c>
      <c r="L2109" s="4" t="str">
        <f t="shared" si="33"/>
        <v>need</v>
      </c>
      <c r="N2109" s="4" cm="1">
        <f t="array" ref="N2109">SUM(--(_xlfn.TEXTSPLIT($J$1780,, " ") = M2109))</f>
        <v>1</v>
      </c>
      <c r="O2109">
        <v>1</v>
      </c>
      <c r="P2109">
        <v>1</v>
      </c>
      <c r="Q2109">
        <v>1</v>
      </c>
    </row>
    <row r="2110" spans="5:17" x14ac:dyDescent="0.2">
      <c r="E2110" s="9" t="s">
        <v>26</v>
      </c>
      <c r="K2110" t="str">
        <v>some</v>
      </c>
      <c r="L2110" s="4" t="str">
        <f t="shared" si="33"/>
        <v>some</v>
      </c>
      <c r="N2110" s="4" cm="1">
        <f t="array" ref="N2110">SUM(--(_xlfn.TEXTSPLIT($J$1780,, " ") = M2110))</f>
        <v>1</v>
      </c>
      <c r="O2110">
        <v>1</v>
      </c>
      <c r="P2110">
        <v>1</v>
      </c>
      <c r="Q2110">
        <v>1</v>
      </c>
    </row>
    <row r="2111" spans="5:17" x14ac:dyDescent="0.2">
      <c r="E2111" s="9" t="s">
        <v>26</v>
      </c>
      <c r="K2111" t="str">
        <v>shelter</v>
      </c>
      <c r="L2111" s="4" t="str">
        <f t="shared" si="33"/>
        <v>shelter</v>
      </c>
      <c r="N2111" s="4" cm="1">
        <f t="array" ref="N2111">SUM(--(_xlfn.TEXTSPLIT($J$1780,, " ") = M2111))</f>
        <v>1</v>
      </c>
      <c r="O2111">
        <v>1</v>
      </c>
      <c r="P2111">
        <v>1</v>
      </c>
      <c r="Q2111">
        <v>1</v>
      </c>
    </row>
    <row r="2112" spans="5:17" x14ac:dyDescent="0.2">
      <c r="E2112" s="9" t="s">
        <v>26</v>
      </c>
      <c r="K2112" t="str">
        <v>from</v>
      </c>
      <c r="L2112" s="4" t="str">
        <f t="shared" si="33"/>
        <v>from</v>
      </c>
      <c r="N2112" s="4" cm="1">
        <f t="array" ref="N2112">SUM(--(_xlfn.TEXTSPLIT($J$1780,, " ") = M2112))</f>
        <v>1</v>
      </c>
      <c r="O2112">
        <v>1</v>
      </c>
      <c r="P2112">
        <v>1</v>
      </c>
      <c r="Q2112">
        <v>1</v>
      </c>
    </row>
    <row r="2113" spans="5:17" x14ac:dyDescent="0.2">
      <c r="E2113" s="9" t="s">
        <v>26</v>
      </c>
      <c r="K2113" t="str">
        <v>the</v>
      </c>
      <c r="L2113" s="4" t="str">
        <f t="shared" si="33"/>
        <v>the</v>
      </c>
      <c r="N2113" s="4" cm="1">
        <f t="array" ref="N2113">SUM(--(_xlfn.TEXTSPLIT($J$1780,, " ") = M2113))</f>
        <v>1</v>
      </c>
      <c r="O2113">
        <v>1</v>
      </c>
      <c r="P2113">
        <v>1</v>
      </c>
      <c r="Q2113">
        <v>1</v>
      </c>
    </row>
    <row r="2114" spans="5:17" x14ac:dyDescent="0.2">
      <c r="E2114" s="9" t="s">
        <v>26</v>
      </c>
      <c r="K2114" t="str">
        <v>weather</v>
      </c>
      <c r="L2114" s="4" t="str">
        <f t="shared" si="33"/>
        <v>weather</v>
      </c>
      <c r="N2114" s="4" cm="1">
        <f t="array" ref="N2114">SUM(--(_xlfn.TEXTSPLIT($J$1780,, " ") = M2114))</f>
        <v>1</v>
      </c>
      <c r="O2114">
        <v>1</v>
      </c>
      <c r="P2114">
        <v>1</v>
      </c>
      <c r="Q2114">
        <v>1</v>
      </c>
    </row>
    <row r="2115" spans="5:17" x14ac:dyDescent="0.2">
      <c r="E2115" s="9" t="s">
        <v>26</v>
      </c>
      <c r="K2115" t="str">
        <v>(All</v>
      </c>
      <c r="L2115" s="4" t="str">
        <f t="shared" si="33"/>
        <v xml:space="preserve"> All</v>
      </c>
      <c r="N2115" s="4" cm="1">
        <f t="array" ref="N2115">SUM(--(_xlfn.TEXTSPLIT($J$1780,, " ") = M2115))</f>
        <v>1</v>
      </c>
      <c r="O2115">
        <v>1</v>
      </c>
      <c r="P2115">
        <v>1</v>
      </c>
      <c r="Q2115">
        <v>1</v>
      </c>
    </row>
    <row r="2116" spans="5:17" x14ac:dyDescent="0.2">
      <c r="E2116" s="9" t="s">
        <v>26</v>
      </c>
      <c r="K2116" t="str">
        <v>I've</v>
      </c>
      <c r="L2116" s="4" t="str">
        <f t="shared" si="33"/>
        <v>I ve</v>
      </c>
      <c r="N2116" s="4" cm="1">
        <f t="array" ref="N2116">SUM(--(_xlfn.TEXTSPLIT($J$1780,, " ") = M2116))</f>
        <v>1</v>
      </c>
      <c r="O2116">
        <v>1</v>
      </c>
      <c r="P2116">
        <v>1</v>
      </c>
      <c r="Q2116">
        <v>1</v>
      </c>
    </row>
    <row r="2117" spans="5:17" x14ac:dyDescent="0.2">
      <c r="E2117" s="9" t="s">
        <v>26</v>
      </c>
      <c r="K2117" t="str">
        <v>ever</v>
      </c>
      <c r="L2117" s="4" t="str">
        <f t="shared" si="33"/>
        <v>ever</v>
      </c>
      <c r="N2117" s="4" cm="1">
        <f t="array" ref="N2117">SUM(--(_xlfn.TEXTSPLIT($J$1780,, " ") = M2117))</f>
        <v>1</v>
      </c>
      <c r="O2117">
        <v>1</v>
      </c>
      <c r="P2117">
        <v>1</v>
      </c>
      <c r="Q2117">
        <v>1</v>
      </c>
    </row>
    <row r="2118" spans="5:17" x14ac:dyDescent="0.2">
      <c r="E2118" s="9" t="s">
        <v>26</v>
      </c>
      <c r="K2118" t="str">
        <v xml:space="preserve">known)
</v>
      </c>
      <c r="L2118" s="4" t="str">
        <f t="shared" si="33"/>
        <v xml:space="preserve">known  </v>
      </c>
      <c r="N2118" s="4" cm="1">
        <f t="array" ref="N2118">SUM(--(_xlfn.TEXTSPLIT($J$1780,, " ") = M2118))</f>
        <v>1</v>
      </c>
      <c r="O2118">
        <v>1</v>
      </c>
      <c r="P2118">
        <v>1</v>
      </c>
      <c r="Q2118">
        <v>1</v>
      </c>
    </row>
    <row r="2119" spans="5:17" x14ac:dyDescent="0.2">
      <c r="E2119" s="9" t="s">
        <v>26</v>
      </c>
      <c r="K2119" t="str">
        <v>I</v>
      </c>
      <c r="L2119" s="4" t="str">
        <f t="shared" si="33"/>
        <v>I</v>
      </c>
      <c r="N2119" s="4" cm="1">
        <f t="array" ref="N2119">SUM(--(_xlfn.TEXTSPLIT($J$1780,, " ") = M2119))</f>
        <v>1</v>
      </c>
      <c r="O2119">
        <v>1</v>
      </c>
      <c r="P2119">
        <v>1</v>
      </c>
      <c r="Q2119">
        <v>1</v>
      </c>
    </row>
    <row r="2120" spans="5:17" x14ac:dyDescent="0.2">
      <c r="E2120" s="9" t="s">
        <v>26</v>
      </c>
      <c r="K2120" t="str">
        <v>wear</v>
      </c>
      <c r="L2120" s="4" t="str">
        <f t="shared" si="33"/>
        <v>wear</v>
      </c>
      <c r="N2120" s="4" cm="1">
        <f t="array" ref="N2120">SUM(--(_xlfn.TEXTSPLIT($J$1780,, " ") = M2120))</f>
        <v>1</v>
      </c>
      <c r="O2120">
        <v>1</v>
      </c>
      <c r="P2120">
        <v>1</v>
      </c>
      <c r="Q2120">
        <v>1</v>
      </c>
    </row>
    <row r="2121" spans="5:17" x14ac:dyDescent="0.2">
      <c r="E2121" s="9" t="s">
        <v>26</v>
      </c>
      <c r="K2121" t="str">
        <v>(You</v>
      </c>
      <c r="L2121" s="4" t="str">
        <f t="shared" si="33"/>
        <v xml:space="preserve"> You</v>
      </c>
      <c r="N2121" s="4" cm="1">
        <f t="array" ref="N2121">SUM(--(_xlfn.TEXTSPLIT($J$1780,, " ") = M2121))</f>
        <v>1</v>
      </c>
      <c r="O2121">
        <v>1</v>
      </c>
      <c r="P2121">
        <v>1</v>
      </c>
      <c r="Q2121">
        <v>1</v>
      </c>
    </row>
    <row r="2122" spans="5:17" x14ac:dyDescent="0.2">
      <c r="E2122" s="9" t="s">
        <v>26</v>
      </c>
      <c r="K2122" t="str">
        <v>can</v>
      </c>
      <c r="L2122" s="4" t="str">
        <f t="shared" si="33"/>
        <v>can</v>
      </c>
      <c r="N2122" s="4" cm="1">
        <f t="array" ref="N2122">SUM(--(_xlfn.TEXTSPLIT($J$1780,, " ") = M2122))</f>
        <v>1</v>
      </c>
      <c r="O2122">
        <v>1</v>
      </c>
      <c r="P2122">
        <v>1</v>
      </c>
      <c r="Q2122">
        <v>1</v>
      </c>
    </row>
    <row r="2123" spans="5:17" x14ac:dyDescent="0.2">
      <c r="E2123" s="9" t="s">
        <v>26</v>
      </c>
      <c r="K2123" t="str">
        <v>have)</v>
      </c>
      <c r="L2123" s="4" t="str">
        <f t="shared" si="33"/>
        <v xml:space="preserve">have </v>
      </c>
      <c r="N2123" s="4" cm="1">
        <f t="array" ref="N2123">SUM(--(_xlfn.TEXTSPLIT($J$1780,, " ") = M2123))</f>
        <v>1</v>
      </c>
      <c r="O2123">
        <v>1</v>
      </c>
      <c r="P2123">
        <v>1</v>
      </c>
      <c r="Q2123">
        <v>1</v>
      </c>
    </row>
    <row r="2124" spans="5:17" x14ac:dyDescent="0.2">
      <c r="E2124" s="9" t="s">
        <v>26</v>
      </c>
      <c r="K2124" t="str">
        <v>all</v>
      </c>
      <c r="L2124" s="4" t="str">
        <f t="shared" si="33"/>
        <v>all</v>
      </c>
      <c r="N2124" s="4" cm="1">
        <f t="array" ref="N2124">SUM(--(_xlfn.TEXTSPLIT($J$1780,, " ") = M2124))</f>
        <v>1</v>
      </c>
      <c r="O2124">
        <v>1</v>
      </c>
      <c r="P2124">
        <v>1</v>
      </c>
      <c r="Q2124">
        <v>1</v>
      </c>
    </row>
    <row r="2125" spans="5:17" x14ac:dyDescent="0.2">
      <c r="E2125" s="9" t="s">
        <v>26</v>
      </c>
      <c r="K2125" t="str">
        <v>of</v>
      </c>
      <c r="L2125" s="4" t="str">
        <f t="shared" si="33"/>
        <v>of</v>
      </c>
      <c r="N2125" s="4" cm="1">
        <f t="array" ref="N2125">SUM(--(_xlfn.TEXTSPLIT($J$1780,, " ") = M2125))</f>
        <v>1</v>
      </c>
      <c r="O2125">
        <v>1</v>
      </c>
      <c r="P2125">
        <v>1</v>
      </c>
      <c r="Q2125">
        <v>1</v>
      </c>
    </row>
    <row r="2126" spans="5:17" x14ac:dyDescent="0.2">
      <c r="E2126" s="9" t="s">
        <v>26</v>
      </c>
      <c r="K2126" t="str">
        <v>my</v>
      </c>
      <c r="L2126" s="4" t="str">
        <f t="shared" si="33"/>
        <v>my</v>
      </c>
      <c r="N2126" s="4" cm="1">
        <f t="array" ref="N2126">SUM(--(_xlfn.TEXTSPLIT($J$1780,, " ") = M2126))</f>
        <v>1</v>
      </c>
      <c r="O2126">
        <v>1</v>
      </c>
      <c r="P2126">
        <v>1</v>
      </c>
      <c r="Q2126">
        <v>1</v>
      </c>
    </row>
    <row r="2127" spans="5:17" x14ac:dyDescent="0.2">
      <c r="E2127" s="9" t="s">
        <v>26</v>
      </c>
      <c r="K2127" t="str">
        <v>heart</v>
      </c>
      <c r="L2127" s="4" t="str">
        <f t="shared" si="33"/>
        <v>heart</v>
      </c>
      <c r="N2127" s="4" cm="1">
        <f t="array" ref="N2127">SUM(--(_xlfn.TEXTSPLIT($J$1780,, " ") = M2127))</f>
        <v>1</v>
      </c>
      <c r="O2127">
        <v>1</v>
      </c>
      <c r="P2127">
        <v>1</v>
      </c>
      <c r="Q2127">
        <v>1</v>
      </c>
    </row>
    <row r="2128" spans="5:17" x14ac:dyDescent="0.2">
      <c r="E2128" s="9" t="s">
        <v>26</v>
      </c>
      <c r="K2128" t="str">
        <v>on</v>
      </c>
      <c r="L2128" s="4" t="str">
        <f t="shared" si="33"/>
        <v>on</v>
      </c>
      <c r="N2128" s="4" cm="1">
        <f t="array" ref="N2128">SUM(--(_xlfn.TEXTSPLIT($J$1780,, " ") = M2128))</f>
        <v>1</v>
      </c>
      <c r="O2128">
        <v>1</v>
      </c>
      <c r="P2128">
        <v>1</v>
      </c>
      <c r="Q2128">
        <v>1</v>
      </c>
    </row>
    <row r="2129" spans="5:17" x14ac:dyDescent="0.2">
      <c r="E2129" s="9" t="s">
        <v>26</v>
      </c>
      <c r="K2129" t="str">
        <v>my</v>
      </c>
      <c r="L2129" s="4" t="str">
        <f t="shared" si="33"/>
        <v>my</v>
      </c>
      <c r="N2129" s="4" cm="1">
        <f t="array" ref="N2129">SUM(--(_xlfn.TEXTSPLIT($J$1780,, " ") = M2129))</f>
        <v>1</v>
      </c>
      <c r="O2129">
        <v>1</v>
      </c>
      <c r="P2129">
        <v>1</v>
      </c>
      <c r="Q2129">
        <v>1</v>
      </c>
    </row>
    <row r="2130" spans="5:17" x14ac:dyDescent="0.2">
      <c r="E2130" s="9" t="s">
        <v>26</v>
      </c>
      <c r="K2130" t="str">
        <v>sleeve</v>
      </c>
      <c r="L2130" s="4" t="str">
        <f t="shared" si="33"/>
        <v>sleeve</v>
      </c>
      <c r="N2130" s="4" cm="1">
        <f t="array" ref="N2130">SUM(--(_xlfn.TEXTSPLIT($J$1780,, " ") = M2130))</f>
        <v>1</v>
      </c>
      <c r="O2130">
        <v>1</v>
      </c>
      <c r="P2130">
        <v>1</v>
      </c>
      <c r="Q2130">
        <v>1</v>
      </c>
    </row>
    <row r="2131" spans="5:17" x14ac:dyDescent="0.2">
      <c r="E2131" s="9" t="s">
        <v>26</v>
      </c>
      <c r="K2131" t="str">
        <v>(Both</v>
      </c>
      <c r="L2131" s="4" t="str">
        <f t="shared" si="33"/>
        <v xml:space="preserve"> Both</v>
      </c>
      <c r="N2131" s="4" cm="1">
        <f t="array" ref="N2131">SUM(--(_xlfn.TEXTSPLIT($J$1780,, " ") = M2131))</f>
        <v>1</v>
      </c>
      <c r="O2131">
        <v>1</v>
      </c>
      <c r="P2131">
        <v>1</v>
      </c>
      <c r="Q2131">
        <v>1</v>
      </c>
    </row>
    <row r="2132" spans="5:17" x14ac:dyDescent="0.2">
      <c r="E2132" s="9" t="s">
        <v>26</v>
      </c>
      <c r="K2132" t="str">
        <v>my</v>
      </c>
      <c r="L2132" s="4" t="str">
        <f t="shared" si="33"/>
        <v>my</v>
      </c>
      <c r="N2132" s="4" cm="1">
        <f t="array" ref="N2132">SUM(--(_xlfn.TEXTSPLIT($J$1780,, " ") = M2132))</f>
        <v>1</v>
      </c>
      <c r="O2132">
        <v>1</v>
      </c>
      <c r="P2132">
        <v>1</v>
      </c>
      <c r="Q2132">
        <v>1</v>
      </c>
    </row>
    <row r="2133" spans="5:17" x14ac:dyDescent="0.2">
      <c r="E2133" s="9" t="s">
        <v>26</v>
      </c>
      <c r="K2133" t="str">
        <v xml:space="preserve">lungs)
</v>
      </c>
      <c r="L2133" s="4" t="str">
        <f t="shared" si="33"/>
        <v xml:space="preserve">lungs  </v>
      </c>
      <c r="N2133" s="4" cm="1">
        <f t="array" ref="N2133">SUM(--(_xlfn.TEXTSPLIT($J$1780,, " ") = M2133))</f>
        <v>1</v>
      </c>
      <c r="O2133">
        <v>1</v>
      </c>
      <c r="P2133">
        <v>1</v>
      </c>
      <c r="Q2133">
        <v>1</v>
      </c>
    </row>
    <row r="2134" spans="5:17" x14ac:dyDescent="0.2">
      <c r="E2134" s="9" t="s">
        <v>26</v>
      </c>
      <c r="K2134" t="str">
        <v>I'll</v>
      </c>
      <c r="L2134" s="4" t="str">
        <f t="shared" si="33"/>
        <v>I ll</v>
      </c>
      <c r="N2134" s="4" cm="1">
        <f t="array" ref="N2134">SUM(--(_xlfn.TEXTSPLIT($J$1780,, " ") = M2134))</f>
        <v>1</v>
      </c>
      <c r="O2134">
        <v>1</v>
      </c>
      <c r="P2134">
        <v>1</v>
      </c>
      <c r="Q2134">
        <v>1</v>
      </c>
    </row>
    <row r="2135" spans="5:17" x14ac:dyDescent="0.2">
      <c r="E2135" s="9" t="s">
        <v>26</v>
      </c>
      <c r="K2135" t="str">
        <v>take</v>
      </c>
      <c r="L2135" s="4" t="str">
        <f t="shared" si="33"/>
        <v>take</v>
      </c>
      <c r="N2135" s="4" cm="1">
        <f t="array" ref="N2135">SUM(--(_xlfn.TEXTSPLIT($J$1780,, " ") = M2135))</f>
        <v>1</v>
      </c>
      <c r="O2135">
        <v>1</v>
      </c>
      <c r="P2135">
        <v>1</v>
      </c>
      <c r="Q2135">
        <v>1</v>
      </c>
    </row>
    <row r="2136" spans="5:17" x14ac:dyDescent="0.2">
      <c r="E2136" s="9" t="s">
        <v>26</v>
      </c>
      <c r="K2136" t="str">
        <v>what</v>
      </c>
      <c r="L2136" s="4" t="str">
        <f t="shared" si="33"/>
        <v>what</v>
      </c>
      <c r="N2136" s="4" cm="1">
        <f t="array" ref="N2136">SUM(--(_xlfn.TEXTSPLIT($J$1780,, " ") = M2136))</f>
        <v>1</v>
      </c>
      <c r="O2136">
        <v>1</v>
      </c>
      <c r="P2136">
        <v>1</v>
      </c>
      <c r="Q2136">
        <v>1</v>
      </c>
    </row>
    <row r="2137" spans="5:17" x14ac:dyDescent="0.2">
      <c r="E2137" s="9" t="s">
        <v>26</v>
      </c>
      <c r="K2137" t="str">
        <v>I</v>
      </c>
      <c r="L2137" s="4" t="str">
        <f t="shared" si="33"/>
        <v>I</v>
      </c>
      <c r="N2137" s="4" cm="1">
        <f t="array" ref="N2137">SUM(--(_xlfn.TEXTSPLIT($J$1780,, " ") = M2137))</f>
        <v>1</v>
      </c>
      <c r="O2137">
        <v>1</v>
      </c>
      <c r="P2137">
        <v>1</v>
      </c>
      <c r="Q2137">
        <v>1</v>
      </c>
    </row>
    <row r="2138" spans="5:17" x14ac:dyDescent="0.2">
      <c r="E2138" s="9" t="s">
        <v>26</v>
      </c>
      <c r="K2138" t="str">
        <v>believe,</v>
      </c>
      <c r="L2138" s="4" t="str">
        <f t="shared" si="33"/>
        <v xml:space="preserve">believe </v>
      </c>
      <c r="N2138" s="4" cm="1">
        <f t="array" ref="N2138">SUM(--(_xlfn.TEXTSPLIT($J$1780,, " ") = M2138))</f>
        <v>1</v>
      </c>
      <c r="O2138">
        <v>1</v>
      </c>
      <c r="P2138">
        <v>1</v>
      </c>
      <c r="Q2138">
        <v>1</v>
      </c>
    </row>
    <row r="2139" spans="5:17" x14ac:dyDescent="0.2">
      <c r="E2139" s="9" t="s">
        <v>26</v>
      </c>
      <c r="K2139" t="str">
        <v>and</v>
      </c>
      <c r="L2139" s="4" t="str">
        <f t="shared" si="33"/>
        <v>and</v>
      </c>
      <c r="N2139" s="4" cm="1">
        <f t="array" ref="N2139">SUM(--(_xlfn.TEXTSPLIT($J$1780,, " ") = M2139))</f>
        <v>1</v>
      </c>
      <c r="O2139">
        <v>1</v>
      </c>
      <c r="P2139">
        <v>1</v>
      </c>
      <c r="Q2139">
        <v>1</v>
      </c>
    </row>
    <row r="2140" spans="5:17" x14ac:dyDescent="0.2">
      <c r="E2140" s="9" t="s">
        <v>26</v>
      </c>
      <c r="K2140" t="str">
        <v>I'm</v>
      </c>
      <c r="L2140" s="4" t="str">
        <f t="shared" si="33"/>
        <v>I m</v>
      </c>
      <c r="N2140" s="4" cm="1">
        <f t="array" ref="N2140">SUM(--(_xlfn.TEXTSPLIT($J$1780,, " ") = M2140))</f>
        <v>1</v>
      </c>
      <c r="O2140">
        <v>1</v>
      </c>
      <c r="P2140">
        <v>1</v>
      </c>
      <c r="Q2140">
        <v>1</v>
      </c>
    </row>
    <row r="2141" spans="5:17" x14ac:dyDescent="0.2">
      <c r="E2141" s="9" t="s">
        <v>26</v>
      </c>
      <c r="K2141" t="str">
        <v>hiding</v>
      </c>
      <c r="L2141" s="4" t="str">
        <f t="shared" si="33"/>
        <v>hiding</v>
      </c>
      <c r="N2141" s="4" cm="1">
        <f t="array" ref="N2141">SUM(--(_xlfn.TEXTSPLIT($J$1780,, " ") = M2141))</f>
        <v>1</v>
      </c>
      <c r="O2141">
        <v>1</v>
      </c>
      <c r="P2141">
        <v>1</v>
      </c>
      <c r="Q2141">
        <v>1</v>
      </c>
    </row>
    <row r="2142" spans="5:17" x14ac:dyDescent="0.2">
      <c r="E2142" s="9" t="s">
        <v>26</v>
      </c>
      <c r="K2142" t="str">
        <v>it,</v>
      </c>
      <c r="L2142" s="4" t="str">
        <f t="shared" si="33"/>
        <v xml:space="preserve">it </v>
      </c>
      <c r="N2142" s="4" cm="1">
        <f t="array" ref="N2142">SUM(--(_xlfn.TEXTSPLIT($J$1780,, " ") = M2142))</f>
        <v>1</v>
      </c>
      <c r="O2142">
        <v>1</v>
      </c>
      <c r="P2142">
        <v>1</v>
      </c>
      <c r="Q2142">
        <v>1</v>
      </c>
    </row>
    <row r="2143" spans="5:17" x14ac:dyDescent="0.2">
      <c r="E2143" s="9" t="s">
        <v>26</v>
      </c>
      <c r="K2143" t="str">
        <v>yeah</v>
      </c>
      <c r="L2143" s="4" t="str">
        <f t="shared" si="33"/>
        <v>yeah</v>
      </c>
      <c r="N2143" s="4" cm="1">
        <f t="array" ref="N2143">SUM(--(_xlfn.TEXTSPLIT($J$1780,, " ") = M2143))</f>
        <v>1</v>
      </c>
      <c r="O2143">
        <v>1</v>
      </c>
      <c r="P2143">
        <v>1</v>
      </c>
      <c r="Q2143">
        <v>1</v>
      </c>
    </row>
    <row r="2144" spans="5:17" x14ac:dyDescent="0.2">
      <c r="E2144" s="9" t="s">
        <v>26</v>
      </c>
      <c r="K2144" t="str">
        <v>(If</v>
      </c>
      <c r="L2144" s="4" t="str">
        <f t="shared" si="33"/>
        <v xml:space="preserve"> If</v>
      </c>
      <c r="N2144" s="4" cm="1">
        <f t="array" ref="N2144">SUM(--(_xlfn.TEXTSPLIT($J$1780,, " ") = M2144))</f>
        <v>1</v>
      </c>
      <c r="O2144">
        <v>1</v>
      </c>
      <c r="P2144">
        <v>1</v>
      </c>
      <c r="Q2144">
        <v>1</v>
      </c>
    </row>
    <row r="2145" spans="5:17" x14ac:dyDescent="0.2">
      <c r="E2145" s="9" t="s">
        <v>26</v>
      </c>
      <c r="K2145" t="str">
        <v>you</v>
      </c>
      <c r="L2145" s="4" t="str">
        <f t="shared" si="33"/>
        <v>you</v>
      </c>
      <c r="N2145" s="4" cm="1">
        <f t="array" ref="N2145">SUM(--(_xlfn.TEXTSPLIT($J$1780,, " ") = M2145))</f>
        <v>1</v>
      </c>
      <c r="O2145">
        <v>1</v>
      </c>
      <c r="P2145">
        <v>1</v>
      </c>
      <c r="Q2145">
        <v>1</v>
      </c>
    </row>
    <row r="2146" spans="5:17" x14ac:dyDescent="0.2">
      <c r="E2146" s="9" t="s">
        <v>26</v>
      </c>
      <c r="K2146" t="str">
        <v>ask</v>
      </c>
      <c r="L2146" s="4" t="str">
        <f t="shared" si="33"/>
        <v>ask</v>
      </c>
      <c r="N2146" s="4" cm="1">
        <f t="array" ref="N2146">SUM(--(_xlfn.TEXTSPLIT($J$1780,, " ") = M2146))</f>
        <v>1</v>
      </c>
      <c r="O2146">
        <v>1</v>
      </c>
      <c r="P2146">
        <v>1</v>
      </c>
      <c r="Q2146">
        <v>1</v>
      </c>
    </row>
    <row r="2147" spans="5:17" x14ac:dyDescent="0.2">
      <c r="E2147" s="9" t="s">
        <v>26</v>
      </c>
      <c r="K2147" t="str">
        <v>me</v>
      </c>
      <c r="L2147" s="4" t="str">
        <f t="shared" si="33"/>
        <v>me</v>
      </c>
      <c r="N2147" s="4" cm="1">
        <f t="array" ref="N2147">SUM(--(_xlfn.TEXTSPLIT($J$1780,, " ") = M2147))</f>
        <v>1</v>
      </c>
      <c r="O2147">
        <v>1</v>
      </c>
      <c r="P2147">
        <v>1</v>
      </c>
      <c r="Q2147">
        <v>1</v>
      </c>
    </row>
    <row r="2148" spans="5:17" x14ac:dyDescent="0.2">
      <c r="E2148" s="9" t="s">
        <v>26</v>
      </c>
      <c r="K2148" t="str">
        <v>so,</v>
      </c>
      <c r="L2148" s="4" t="str">
        <f t="shared" si="33"/>
        <v xml:space="preserve">so </v>
      </c>
      <c r="N2148" s="4" cm="1">
        <f t="array" ref="N2148">SUM(--(_xlfn.TEXTSPLIT($J$1780,, " ") = M2148))</f>
        <v>1</v>
      </c>
      <c r="O2148">
        <v>1</v>
      </c>
      <c r="P2148">
        <v>1</v>
      </c>
      <c r="Q2148">
        <v>1</v>
      </c>
    </row>
    <row r="2149" spans="5:17" x14ac:dyDescent="0.2">
      <c r="E2149" s="9" t="s">
        <v>26</v>
      </c>
      <c r="K2149" t="str">
        <v xml:space="preserve">oh)
</v>
      </c>
      <c r="L2149" s="4" t="str">
        <f t="shared" si="33"/>
        <v xml:space="preserve">oh  </v>
      </c>
      <c r="N2149" s="4" cm="1">
        <f t="array" ref="N2149">SUM(--(_xlfn.TEXTSPLIT($J$1780,, " ") = M2149))</f>
        <v>1</v>
      </c>
      <c r="O2149">
        <v>1</v>
      </c>
      <c r="P2149">
        <v>1</v>
      </c>
      <c r="Q2149">
        <v>1</v>
      </c>
    </row>
    <row r="2150" spans="5:17" x14ac:dyDescent="0.2">
      <c r="E2150" s="9" t="s">
        <v>26</v>
      </c>
      <c r="K2150" t="str">
        <v>And</v>
      </c>
      <c r="L2150" s="4" t="str">
        <f t="shared" si="33"/>
        <v>And</v>
      </c>
      <c r="N2150" s="4" cm="1">
        <f t="array" ref="N2150">SUM(--(_xlfn.TEXTSPLIT($J$1780,, " ") = M2150))</f>
        <v>1</v>
      </c>
      <c r="O2150">
        <v>1</v>
      </c>
      <c r="P2150">
        <v>1</v>
      </c>
      <c r="Q2150">
        <v>1</v>
      </c>
    </row>
    <row r="2151" spans="5:17" x14ac:dyDescent="0.2">
      <c r="E2151" s="9" t="s">
        <v>26</v>
      </c>
      <c r="K2151" t="str">
        <v>I'm</v>
      </c>
      <c r="L2151" s="4" t="str">
        <f t="shared" si="33"/>
        <v>I m</v>
      </c>
      <c r="N2151" s="4" cm="1">
        <f t="array" ref="N2151">SUM(--(_xlfn.TEXTSPLIT($J$1780,, " ") = M2151))</f>
        <v>1</v>
      </c>
      <c r="O2151">
        <v>1</v>
      </c>
      <c r="P2151">
        <v>1</v>
      </c>
      <c r="Q2151">
        <v>1</v>
      </c>
    </row>
    <row r="2152" spans="5:17" x14ac:dyDescent="0.2">
      <c r="E2152" s="9" t="s">
        <v>26</v>
      </c>
      <c r="K2152" t="str">
        <v>hiding</v>
      </c>
      <c r="L2152" s="4" t="str">
        <f t="shared" si="33"/>
        <v>hiding</v>
      </c>
      <c r="N2152" s="4" cm="1">
        <f t="array" ref="N2152">SUM(--(_xlfn.TEXTSPLIT($J$1780,, " ") = M2152))</f>
        <v>1</v>
      </c>
      <c r="O2152">
        <v>1</v>
      </c>
      <c r="P2152">
        <v>1</v>
      </c>
      <c r="Q2152">
        <v>1</v>
      </c>
    </row>
    <row r="2153" spans="5:17" x14ac:dyDescent="0.2">
      <c r="E2153" s="9" t="s">
        <v>26</v>
      </c>
      <c r="K2153" t="str">
        <v>it,</v>
      </c>
      <c r="L2153" s="4" t="str">
        <f t="shared" si="33"/>
        <v xml:space="preserve">it </v>
      </c>
      <c r="N2153" s="4" cm="1">
        <f t="array" ref="N2153">SUM(--(_xlfn.TEXTSPLIT($J$1780,, " ") = M2153))</f>
        <v>1</v>
      </c>
      <c r="O2153">
        <v>1</v>
      </c>
      <c r="P2153">
        <v>1</v>
      </c>
      <c r="Q2153">
        <v>1</v>
      </c>
    </row>
    <row r="2154" spans="5:17" x14ac:dyDescent="0.2">
      <c r="E2154" s="9" t="s">
        <v>26</v>
      </c>
      <c r="K2154" t="str">
        <v>yeah</v>
      </c>
      <c r="L2154" s="4" t="str">
        <f t="shared" si="33"/>
        <v>yeah</v>
      </c>
      <c r="N2154" s="4" cm="1">
        <f t="array" ref="N2154">SUM(--(_xlfn.TEXTSPLIT($J$1780,, " ") = M2154))</f>
        <v>1</v>
      </c>
      <c r="O2154">
        <v>1</v>
      </c>
      <c r="P2154">
        <v>1</v>
      </c>
      <c r="Q2154">
        <v>1</v>
      </c>
    </row>
    <row r="2155" spans="5:17" x14ac:dyDescent="0.2">
      <c r="E2155" s="9" t="s">
        <v>26</v>
      </c>
      <c r="K2155" t="str">
        <v>('Cause</v>
      </c>
      <c r="L2155" s="4" t="str">
        <f t="shared" si="33"/>
        <v xml:space="preserve">  Cause</v>
      </c>
      <c r="N2155" s="4" cm="1">
        <f t="array" ref="N2155">SUM(--(_xlfn.TEXTSPLIT($J$1780,, " ") = M2155))</f>
        <v>1</v>
      </c>
      <c r="O2155">
        <v>1</v>
      </c>
      <c r="P2155">
        <v>1</v>
      </c>
      <c r="Q2155">
        <v>1</v>
      </c>
    </row>
    <row r="2156" spans="5:17" x14ac:dyDescent="0.2">
      <c r="E2156" s="9" t="s">
        <v>26</v>
      </c>
      <c r="K2156" t="str">
        <v>I</v>
      </c>
      <c r="L2156" s="4" t="str">
        <f t="shared" si="33"/>
        <v>I</v>
      </c>
      <c r="N2156" s="4" cm="1">
        <f t="array" ref="N2156">SUM(--(_xlfn.TEXTSPLIT($J$1780,, " ") = M2156))</f>
        <v>1</v>
      </c>
      <c r="O2156">
        <v>1</v>
      </c>
      <c r="P2156">
        <v>1</v>
      </c>
      <c r="Q2156">
        <v>1</v>
      </c>
    </row>
    <row r="2157" spans="5:17" x14ac:dyDescent="0.2">
      <c r="E2157" s="9" t="s">
        <v>26</v>
      </c>
      <c r="K2157" t="str">
        <v>want</v>
      </c>
      <c r="L2157" s="4" t="str">
        <f t="shared" si="33"/>
        <v>want</v>
      </c>
      <c r="N2157" s="4" cm="1">
        <f t="array" ref="N2157">SUM(--(_xlfn.TEXTSPLIT($J$1780,, " ") = M2157))</f>
        <v>1</v>
      </c>
      <c r="O2157">
        <v>1</v>
      </c>
      <c r="P2157">
        <v>1</v>
      </c>
      <c r="Q2157">
        <v>1</v>
      </c>
    </row>
    <row r="2158" spans="5:17" x14ac:dyDescent="0.2">
      <c r="E2158" s="9" t="s">
        <v>26</v>
      </c>
      <c r="K2158" t="str">
        <v>to</v>
      </c>
      <c r="L2158" s="4" t="str">
        <f t="shared" si="33"/>
        <v>to</v>
      </c>
      <c r="N2158" s="4" cm="1">
        <f t="array" ref="N2158">SUM(--(_xlfn.TEXTSPLIT($J$1780,, " ") = M2158))</f>
        <v>1</v>
      </c>
      <c r="O2158">
        <v>1</v>
      </c>
      <c r="P2158">
        <v>1</v>
      </c>
      <c r="Q2158">
        <v>1</v>
      </c>
    </row>
    <row r="2159" spans="5:17" x14ac:dyDescent="0.2">
      <c r="E2159" s="9" t="s">
        <v>26</v>
      </c>
      <c r="K2159" t="str">
        <v>be</v>
      </c>
      <c r="L2159" s="4" t="str">
        <f t="shared" si="33"/>
        <v>be</v>
      </c>
      <c r="N2159" s="4" cm="1">
        <f t="array" ref="N2159">SUM(--(_xlfn.TEXTSPLIT($J$1780,, " ") = M2159))</f>
        <v>1</v>
      </c>
      <c r="O2159">
        <v>1</v>
      </c>
      <c r="P2159">
        <v>1</v>
      </c>
      <c r="Q2159">
        <v>1</v>
      </c>
    </row>
    <row r="2160" spans="5:17" x14ac:dyDescent="0.2">
      <c r="E2160" s="9" t="s">
        <v>26</v>
      </c>
      <c r="K2160" t="str">
        <v>the</v>
      </c>
      <c r="L2160" s="4" t="str">
        <f t="shared" si="33"/>
        <v>the</v>
      </c>
      <c r="N2160" s="4" cm="1">
        <f t="array" ref="N2160">SUM(--(_xlfn.TEXTSPLIT($J$1780,, " ") = M2160))</f>
        <v>1</v>
      </c>
      <c r="O2160">
        <v>1</v>
      </c>
      <c r="P2160">
        <v>1</v>
      </c>
      <c r="Q2160">
        <v>1</v>
      </c>
    </row>
    <row r="2161" spans="5:17" x14ac:dyDescent="0.2">
      <c r="E2161" s="9" t="s">
        <v>26</v>
      </c>
      <c r="K2161" t="str">
        <v xml:space="preserve">one)
</v>
      </c>
      <c r="L2161" s="4" t="str">
        <f t="shared" si="33"/>
        <v xml:space="preserve">one  </v>
      </c>
      <c r="N2161" s="4" cm="1">
        <f t="array" ref="N2161">SUM(--(_xlfn.TEXTSPLIT($J$1780,, " ") = M2161))</f>
        <v>1</v>
      </c>
      <c r="O2161">
        <v>1</v>
      </c>
      <c r="P2161">
        <v>1</v>
      </c>
      <c r="Q2161">
        <v>1</v>
      </c>
    </row>
    <row r="2162" spans="5:17" x14ac:dyDescent="0.2">
      <c r="E2162" s="9" t="s">
        <v>26</v>
      </c>
      <c r="K2162" t="str">
        <v>And</v>
      </c>
      <c r="L2162" s="4" t="str">
        <f t="shared" si="33"/>
        <v>And</v>
      </c>
      <c r="N2162" s="4" cm="1">
        <f t="array" ref="N2162">SUM(--(_xlfn.TEXTSPLIT($J$1780,, " ") = M2162))</f>
        <v>1</v>
      </c>
      <c r="O2162">
        <v>1</v>
      </c>
      <c r="P2162">
        <v>1</v>
      </c>
      <c r="Q2162">
        <v>1</v>
      </c>
    </row>
    <row r="2163" spans="5:17" x14ac:dyDescent="0.2">
      <c r="E2163" s="9" t="s">
        <v>26</v>
      </c>
      <c r="K2163" t="str">
        <v>I'm</v>
      </c>
      <c r="L2163" s="4" t="str">
        <f t="shared" si="33"/>
        <v>I m</v>
      </c>
      <c r="N2163" s="4" cm="1">
        <f t="array" ref="N2163">SUM(--(_xlfn.TEXTSPLIT($J$1780,, " ") = M2163))</f>
        <v>1</v>
      </c>
      <c r="O2163">
        <v>1</v>
      </c>
      <c r="P2163">
        <v>1</v>
      </c>
      <c r="Q2163">
        <v>1</v>
      </c>
    </row>
    <row r="2164" spans="5:17" x14ac:dyDescent="0.2">
      <c r="E2164" s="9" t="s">
        <v>26</v>
      </c>
      <c r="K2164" t="str">
        <v>hiding</v>
      </c>
      <c r="L2164" s="4" t="str">
        <f t="shared" ref="L2164:L2227" si="34">_xlfn.REGEXREPLACE(K2164, "[^A-Za-z ]", " ")</f>
        <v>hiding</v>
      </c>
      <c r="N2164" s="4" cm="1">
        <f t="array" ref="N2164">SUM(--(_xlfn.TEXTSPLIT($J$1780,, " ") = M2164))</f>
        <v>1</v>
      </c>
      <c r="O2164">
        <v>1</v>
      </c>
      <c r="P2164">
        <v>1</v>
      </c>
      <c r="Q2164">
        <v>1</v>
      </c>
    </row>
    <row r="2165" spans="5:17" x14ac:dyDescent="0.2">
      <c r="E2165" s="9" t="s">
        <v>26</v>
      </c>
      <c r="K2165" t="str">
        <v>it,</v>
      </c>
      <c r="L2165" s="4" t="str">
        <f t="shared" si="34"/>
        <v xml:space="preserve">it </v>
      </c>
      <c r="N2165" s="4" cm="1">
        <f t="array" ref="N2165">SUM(--(_xlfn.TEXTSPLIT($J$1780,, " ") = M2165))</f>
        <v>1</v>
      </c>
      <c r="O2165">
        <v>1</v>
      </c>
      <c r="P2165">
        <v>1</v>
      </c>
      <c r="Q2165">
        <v>1</v>
      </c>
    </row>
    <row r="2166" spans="5:17" x14ac:dyDescent="0.2">
      <c r="E2166" s="9" t="s">
        <v>26</v>
      </c>
      <c r="K2166" t="str">
        <v>yeah</v>
      </c>
      <c r="L2166" s="4" t="str">
        <f t="shared" si="34"/>
        <v>yeah</v>
      </c>
      <c r="N2166" s="4" cm="1">
        <f t="array" ref="N2166">SUM(--(_xlfn.TEXTSPLIT($J$1780,, " ") = M2166))</f>
        <v>1</v>
      </c>
      <c r="O2166">
        <v>1</v>
      </c>
      <c r="P2166">
        <v>1</v>
      </c>
      <c r="Q2166">
        <v>1</v>
      </c>
    </row>
    <row r="2167" spans="5:17" x14ac:dyDescent="0.2">
      <c r="E2167" s="9" t="s">
        <v>26</v>
      </c>
      <c r="K2167" t="str">
        <v>(After</v>
      </c>
      <c r="L2167" s="4" t="str">
        <f t="shared" si="34"/>
        <v xml:space="preserve"> After</v>
      </c>
      <c r="N2167" s="4" cm="1">
        <f t="array" ref="N2167">SUM(--(_xlfn.TEXTSPLIT($J$1780,, " ") = M2167))</f>
        <v>1</v>
      </c>
      <c r="O2167">
        <v>1</v>
      </c>
      <c r="P2167">
        <v>1</v>
      </c>
      <c r="Q2167">
        <v>1</v>
      </c>
    </row>
    <row r="2168" spans="5:17" x14ac:dyDescent="0.2">
      <c r="E2168" s="9" t="s">
        <v>26</v>
      </c>
      <c r="K2168" t="str">
        <v>your</v>
      </c>
      <c r="L2168" s="4" t="str">
        <f t="shared" si="34"/>
        <v>your</v>
      </c>
      <c r="N2168" s="4" cm="1">
        <f t="array" ref="N2168">SUM(--(_xlfn.TEXTSPLIT($J$1780,, " ") = M2168))</f>
        <v>1</v>
      </c>
      <c r="O2168">
        <v>1</v>
      </c>
      <c r="P2168">
        <v>1</v>
      </c>
      <c r="Q2168">
        <v>1</v>
      </c>
    </row>
    <row r="2169" spans="5:17" x14ac:dyDescent="0.2">
      <c r="E2169" s="9" t="s">
        <v>26</v>
      </c>
      <c r="K2169" t="str">
        <v>own</v>
      </c>
      <c r="L2169" s="4" t="str">
        <f t="shared" si="34"/>
        <v>own</v>
      </c>
      <c r="N2169" s="4" cm="1">
        <f t="array" ref="N2169">SUM(--(_xlfn.TEXTSPLIT($J$1780,, " ") = M2169))</f>
        <v>1</v>
      </c>
      <c r="O2169">
        <v>1</v>
      </c>
      <c r="P2169">
        <v>1</v>
      </c>
      <c r="Q2169">
        <v>1</v>
      </c>
    </row>
    <row r="2170" spans="5:17" x14ac:dyDescent="0.2">
      <c r="E2170" s="9" t="s">
        <v>26</v>
      </c>
      <c r="K2170" t="str">
        <v xml:space="preserve">heart)
</v>
      </c>
      <c r="L2170" s="4" t="str">
        <f t="shared" si="34"/>
        <v xml:space="preserve">heart  </v>
      </c>
      <c r="N2170" s="4" cm="1">
        <f t="array" ref="N2170">SUM(--(_xlfn.TEXTSPLIT($J$1780,, " ") = M2170))</f>
        <v>1</v>
      </c>
      <c r="O2170">
        <v>1</v>
      </c>
      <c r="P2170">
        <v>1</v>
      </c>
      <c r="Q2170">
        <v>1</v>
      </c>
    </row>
    <row r="2171" spans="5:17" x14ac:dyDescent="0.2">
      <c r="E2171" s="9" t="s">
        <v>26</v>
      </c>
      <c r="K2171" t="str">
        <v>And</v>
      </c>
      <c r="L2171" s="4" t="str">
        <f t="shared" si="34"/>
        <v>And</v>
      </c>
      <c r="N2171" s="4" cm="1">
        <f t="array" ref="N2171">SUM(--(_xlfn.TEXTSPLIT($J$1780,, " ") = M2171))</f>
        <v>1</v>
      </c>
      <c r="O2171">
        <v>1</v>
      </c>
      <c r="P2171">
        <v>1</v>
      </c>
      <c r="Q2171">
        <v>1</v>
      </c>
    </row>
    <row r="2172" spans="5:17" x14ac:dyDescent="0.2">
      <c r="E2172" s="9" t="s">
        <v>26</v>
      </c>
      <c r="K2172" t="str">
        <v>I'm</v>
      </c>
      <c r="L2172" s="4" t="str">
        <f t="shared" si="34"/>
        <v>I m</v>
      </c>
      <c r="N2172" s="4" cm="1">
        <f t="array" ref="N2172">SUM(--(_xlfn.TEXTSPLIT($J$1780,, " ") = M2172))</f>
        <v>1</v>
      </c>
      <c r="O2172">
        <v>1</v>
      </c>
      <c r="P2172">
        <v>1</v>
      </c>
      <c r="Q2172">
        <v>1</v>
      </c>
    </row>
    <row r="2173" spans="5:17" x14ac:dyDescent="0.2">
      <c r="E2173" s="9" t="s">
        <v>26</v>
      </c>
      <c r="K2173" t="str">
        <v>hiding</v>
      </c>
      <c r="L2173" s="4" t="str">
        <f t="shared" si="34"/>
        <v>hiding</v>
      </c>
      <c r="N2173" s="4" cm="1">
        <f t="array" ref="N2173">SUM(--(_xlfn.TEXTSPLIT($J$1780,, " ") = M2173))</f>
        <v>1</v>
      </c>
      <c r="O2173">
        <v>1</v>
      </c>
      <c r="P2173">
        <v>1</v>
      </c>
      <c r="Q2173">
        <v>1</v>
      </c>
    </row>
    <row r="2174" spans="5:17" x14ac:dyDescent="0.2">
      <c r="E2174" s="9" t="s">
        <v>26</v>
      </c>
      <c r="K2174" t="str">
        <v>it,</v>
      </c>
      <c r="L2174" s="4" t="str">
        <f t="shared" si="34"/>
        <v xml:space="preserve">it </v>
      </c>
      <c r="N2174" s="4" cm="1">
        <f t="array" ref="N2174">SUM(--(_xlfn.TEXTSPLIT($J$1780,, " ") = M2174))</f>
        <v>1</v>
      </c>
      <c r="O2174">
        <v>1</v>
      </c>
      <c r="P2174">
        <v>1</v>
      </c>
      <c r="Q2174">
        <v>1</v>
      </c>
    </row>
    <row r="2175" spans="5:17" x14ac:dyDescent="0.2">
      <c r="E2175" s="9" t="s">
        <v>26</v>
      </c>
      <c r="K2175" t="str">
        <v>yeah,</v>
      </c>
      <c r="L2175" s="4" t="str">
        <f t="shared" si="34"/>
        <v xml:space="preserve">yeah </v>
      </c>
      <c r="N2175" s="4" cm="1">
        <f t="array" ref="N2175">SUM(--(_xlfn.TEXTSPLIT($J$1780,, " ") = M2175))</f>
        <v>1</v>
      </c>
      <c r="O2175">
        <v>1</v>
      </c>
      <c r="P2175">
        <v>1</v>
      </c>
      <c r="Q2175">
        <v>1</v>
      </c>
    </row>
    <row r="2176" spans="5:17" x14ac:dyDescent="0.2">
      <c r="E2176" s="9" t="s">
        <v>26</v>
      </c>
      <c r="K2176" t="str">
        <v>oh</v>
      </c>
      <c r="L2176" s="4" t="str">
        <f t="shared" si="34"/>
        <v>oh</v>
      </c>
      <c r="N2176" s="4" cm="1">
        <f t="array" ref="N2176">SUM(--(_xlfn.TEXTSPLIT($J$1780,, " ") = M2176))</f>
        <v>1</v>
      </c>
      <c r="O2176">
        <v>1</v>
      </c>
      <c r="P2176">
        <v>1</v>
      </c>
      <c r="Q2176">
        <v>1</v>
      </c>
    </row>
    <row r="2177" spans="5:17" x14ac:dyDescent="0.2">
      <c r="E2177" s="9" t="s">
        <v>26</v>
      </c>
      <c r="K2177" t="str">
        <v>(And</v>
      </c>
      <c r="L2177" s="4" t="str">
        <f t="shared" si="34"/>
        <v xml:space="preserve"> And</v>
      </c>
      <c r="N2177" s="4" cm="1">
        <f t="array" ref="N2177">SUM(--(_xlfn.TEXTSPLIT($J$1780,, " ") = M2177))</f>
        <v>1</v>
      </c>
      <c r="O2177">
        <v>1</v>
      </c>
      <c r="P2177">
        <v>1</v>
      </c>
      <c r="Q2177">
        <v>1</v>
      </c>
    </row>
    <row r="2178" spans="5:17" x14ac:dyDescent="0.2">
      <c r="E2178" s="9" t="s">
        <v>26</v>
      </c>
      <c r="K2178" t="str">
        <v>I</v>
      </c>
      <c r="L2178" s="4" t="str">
        <f t="shared" si="34"/>
        <v>I</v>
      </c>
      <c r="N2178" s="4" cm="1">
        <f t="array" ref="N2178">SUM(--(_xlfn.TEXTSPLIT($J$1780,, " ") = M2178))</f>
        <v>1</v>
      </c>
      <c r="O2178">
        <v>1</v>
      </c>
      <c r="P2178">
        <v>1</v>
      </c>
      <c r="Q2178">
        <v>1</v>
      </c>
    </row>
    <row r="2179" spans="5:17" x14ac:dyDescent="0.2">
      <c r="E2179" s="9" t="s">
        <v>26</v>
      </c>
      <c r="K2179" t="str">
        <v>might</v>
      </c>
      <c r="L2179" s="4" t="str">
        <f t="shared" si="34"/>
        <v>might</v>
      </c>
      <c r="N2179" s="4" cm="1">
        <f t="array" ref="N2179">SUM(--(_xlfn.TEXTSPLIT($J$1780,, " ") = M2179))</f>
        <v>1</v>
      </c>
      <c r="O2179">
        <v>1</v>
      </c>
      <c r="P2179">
        <v>1</v>
      </c>
      <c r="Q2179">
        <v>1</v>
      </c>
    </row>
    <row r="2180" spans="5:17" x14ac:dyDescent="0.2">
      <c r="E2180" s="9" t="s">
        <v>26</v>
      </c>
      <c r="K2180" t="str">
        <v>doubt</v>
      </c>
      <c r="L2180" s="4" t="str">
        <f t="shared" si="34"/>
        <v>doubt</v>
      </c>
      <c r="N2180" s="4" cm="1">
        <f t="array" ref="N2180">SUM(--(_xlfn.TEXTSPLIT($J$1780,, " ") = M2180))</f>
        <v>1</v>
      </c>
      <c r="O2180">
        <v>1</v>
      </c>
      <c r="P2180">
        <v>1</v>
      </c>
      <c r="Q2180">
        <v>1</v>
      </c>
    </row>
    <row r="2181" spans="5:17" x14ac:dyDescent="0.2">
      <c r="E2181" s="9" t="s">
        <v>26</v>
      </c>
      <c r="K2181" t="str">
        <v>the</v>
      </c>
      <c r="L2181" s="4" t="str">
        <f t="shared" si="34"/>
        <v>the</v>
      </c>
      <c r="N2181" s="4" cm="1">
        <f t="array" ref="N2181">SUM(--(_xlfn.TEXTSPLIT($J$1780,, " ") = M2181))</f>
        <v>1</v>
      </c>
      <c r="O2181">
        <v>1</v>
      </c>
      <c r="P2181">
        <v>1</v>
      </c>
      <c r="Q2181">
        <v>1</v>
      </c>
    </row>
    <row r="2182" spans="5:17" x14ac:dyDescent="0.2">
      <c r="E2182" s="9" t="s">
        <v>26</v>
      </c>
      <c r="K2182" t="str">
        <v>process</v>
      </c>
      <c r="L2182" s="4" t="str">
        <f t="shared" si="34"/>
        <v>process</v>
      </c>
      <c r="N2182" s="4" cm="1">
        <f t="array" ref="N2182">SUM(--(_xlfn.TEXTSPLIT($J$1780,, " ") = M2182))</f>
        <v>1</v>
      </c>
      <c r="O2182">
        <v>1</v>
      </c>
      <c r="P2182">
        <v>1</v>
      </c>
      <c r="Q2182">
        <v>1</v>
      </c>
    </row>
    <row r="2183" spans="5:17" x14ac:dyDescent="0.2">
      <c r="E2183" s="9" t="s">
        <v>26</v>
      </c>
      <c r="K2183" t="str">
        <v>like</v>
      </c>
      <c r="L2183" s="4" t="str">
        <f t="shared" si="34"/>
        <v>like</v>
      </c>
      <c r="N2183" s="4" cm="1">
        <f t="array" ref="N2183">SUM(--(_xlfn.TEXTSPLIT($J$1780,, " ") = M2183))</f>
        <v>1</v>
      </c>
      <c r="O2183">
        <v>1</v>
      </c>
      <c r="P2183">
        <v>1</v>
      </c>
      <c r="Q2183">
        <v>1</v>
      </c>
    </row>
    <row r="2184" spans="5:17" x14ac:dyDescent="0.2">
      <c r="E2184" s="9" t="s">
        <v>26</v>
      </c>
      <c r="K2184" t="str">
        <v>I</v>
      </c>
      <c r="L2184" s="4" t="str">
        <f t="shared" si="34"/>
        <v>I</v>
      </c>
      <c r="N2184" s="4" cm="1">
        <f t="array" ref="N2184">SUM(--(_xlfn.TEXTSPLIT($J$1780,, " ") = M2184))</f>
        <v>1</v>
      </c>
      <c r="O2184">
        <v>1</v>
      </c>
      <c r="P2184">
        <v>1</v>
      </c>
      <c r="Q2184">
        <v>1</v>
      </c>
    </row>
    <row r="2185" spans="5:17" x14ac:dyDescent="0.2">
      <c r="E2185" s="9" t="s">
        <v>26</v>
      </c>
      <c r="K2185" t="str">
        <v>doubted</v>
      </c>
      <c r="L2185" s="4" t="str">
        <f t="shared" si="34"/>
        <v>doubted</v>
      </c>
      <c r="N2185" s="4" cm="1">
        <f t="array" ref="N2185">SUM(--(_xlfn.TEXTSPLIT($J$1780,, " ") = M2185))</f>
        <v>1</v>
      </c>
      <c r="O2185">
        <v>1</v>
      </c>
      <c r="P2185">
        <v>1</v>
      </c>
      <c r="Q2185">
        <v>1</v>
      </c>
    </row>
    <row r="2186" spans="5:17" x14ac:dyDescent="0.2">
      <c r="E2186" s="9" t="s">
        <v>26</v>
      </c>
      <c r="K2186" t="str">
        <v>the</v>
      </c>
      <c r="L2186" s="4" t="str">
        <f t="shared" si="34"/>
        <v>the</v>
      </c>
      <c r="N2186" s="4" cm="1">
        <f t="array" ref="N2186">SUM(--(_xlfn.TEXTSPLIT($J$1780,, " ") = M2186))</f>
        <v>1</v>
      </c>
      <c r="O2186">
        <v>1</v>
      </c>
      <c r="P2186">
        <v>1</v>
      </c>
      <c r="Q2186">
        <v>1</v>
      </c>
    </row>
    <row r="2187" spans="5:17" x14ac:dyDescent="0.2">
      <c r="E2187" s="9" t="s">
        <v>26</v>
      </c>
      <c r="K2187" t="str">
        <v xml:space="preserve">start)
</v>
      </c>
      <c r="L2187" s="4" t="str">
        <f t="shared" si="34"/>
        <v xml:space="preserve">start   </v>
      </c>
      <c r="N2187" s="4" cm="1">
        <f t="array" ref="N2187">SUM(--(_xlfn.TEXTSPLIT($J$1780,, " ") = M2187))</f>
        <v>1</v>
      </c>
      <c r="O2187">
        <v>1</v>
      </c>
      <c r="P2187">
        <v>1</v>
      </c>
      <c r="Q2187">
        <v>1</v>
      </c>
    </row>
    <row r="2188" spans="5:17" x14ac:dyDescent="0.2">
      <c r="E2188" s="9" t="s">
        <v>26</v>
      </c>
      <c r="K2188" t="str">
        <v>You</v>
      </c>
      <c r="L2188" s="4" t="str">
        <f t="shared" si="34"/>
        <v>You</v>
      </c>
      <c r="N2188" s="4" cm="1">
        <f t="array" ref="N2188">SUM(--(_xlfn.TEXTSPLIT($J$1780,, " ") = M2188))</f>
        <v>1</v>
      </c>
      <c r="O2188">
        <v>1</v>
      </c>
      <c r="P2188">
        <v>1</v>
      </c>
      <c r="Q2188">
        <v>1</v>
      </c>
    </row>
    <row r="2189" spans="5:17" x14ac:dyDescent="0.2">
      <c r="E2189" s="9" t="s">
        <v>26</v>
      </c>
      <c r="K2189" t="str">
        <v>can</v>
      </c>
      <c r="L2189" s="4" t="str">
        <f t="shared" si="34"/>
        <v>can</v>
      </c>
      <c r="N2189" s="4" cm="1">
        <f t="array" ref="N2189">SUM(--(_xlfn.TEXTSPLIT($J$1780,, " ") = M2189))</f>
        <v>1</v>
      </c>
      <c r="O2189">
        <v>1</v>
      </c>
      <c r="P2189">
        <v>1</v>
      </c>
      <c r="Q2189">
        <v>1</v>
      </c>
    </row>
    <row r="2190" spans="5:17" x14ac:dyDescent="0.2">
      <c r="E2190" s="9" t="s">
        <v>26</v>
      </c>
      <c r="K2190" t="str">
        <v>have</v>
      </c>
      <c r="L2190" s="4" t="str">
        <f t="shared" si="34"/>
        <v>have</v>
      </c>
      <c r="N2190" s="4" cm="1">
        <f t="array" ref="N2190">SUM(--(_xlfn.TEXTSPLIT($J$1780,, " ") = M2190))</f>
        <v>1</v>
      </c>
      <c r="O2190">
        <v>1</v>
      </c>
      <c r="P2190">
        <v>1</v>
      </c>
      <c r="Q2190">
        <v>1</v>
      </c>
    </row>
    <row r="2191" spans="5:17" x14ac:dyDescent="0.2">
      <c r="E2191" s="9" t="s">
        <v>26</v>
      </c>
      <c r="K2191" t="str">
        <v>all</v>
      </c>
      <c r="L2191" s="4" t="str">
        <f t="shared" si="34"/>
        <v>all</v>
      </c>
      <c r="N2191" s="4" cm="1">
        <f t="array" ref="N2191">SUM(--(_xlfn.TEXTSPLIT($J$1780,, " ") = M2191))</f>
        <v>1</v>
      </c>
      <c r="O2191">
        <v>1</v>
      </c>
      <c r="P2191">
        <v>1</v>
      </c>
      <c r="Q2191">
        <v>1</v>
      </c>
    </row>
    <row r="2192" spans="5:17" x14ac:dyDescent="0.2">
      <c r="E2192" s="9" t="s">
        <v>26</v>
      </c>
      <c r="K2192" t="str">
        <v>I've</v>
      </c>
      <c r="L2192" s="4" t="str">
        <f t="shared" si="34"/>
        <v>I ve</v>
      </c>
      <c r="N2192" s="4" cm="1">
        <f t="array" ref="N2192">SUM(--(_xlfn.TEXTSPLIT($J$1780,, " ") = M2192))</f>
        <v>1</v>
      </c>
      <c r="O2192">
        <v>1</v>
      </c>
      <c r="P2192">
        <v>1</v>
      </c>
      <c r="Q2192">
        <v>1</v>
      </c>
    </row>
    <row r="2193" spans="5:17" x14ac:dyDescent="0.2">
      <c r="E2193" s="9" t="s">
        <v>26</v>
      </c>
      <c r="K2193" t="str">
        <v>made</v>
      </c>
      <c r="L2193" s="4" t="str">
        <f t="shared" si="34"/>
        <v>made</v>
      </c>
      <c r="N2193" s="4" cm="1">
        <f t="array" ref="N2193">SUM(--(_xlfn.TEXTSPLIT($J$1780,, " ") = M2193))</f>
        <v>1</v>
      </c>
      <c r="O2193">
        <v>1</v>
      </c>
      <c r="P2193">
        <v>1</v>
      </c>
      <c r="Q2193">
        <v>1</v>
      </c>
    </row>
    <row r="2194" spans="5:17" x14ac:dyDescent="0.2">
      <c r="E2194" s="9" t="s">
        <v>26</v>
      </c>
      <c r="K2194" t="str">
        <v>and</v>
      </c>
      <c r="L2194" s="4" t="str">
        <f t="shared" si="34"/>
        <v>and</v>
      </c>
      <c r="N2194" s="4" cm="1">
        <f t="array" ref="N2194">SUM(--(_xlfn.TEXTSPLIT($J$1780,, " ") = M2194))</f>
        <v>1</v>
      </c>
      <c r="O2194">
        <v>1</v>
      </c>
      <c r="P2194">
        <v>1</v>
      </c>
      <c r="Q2194">
        <v>1</v>
      </c>
    </row>
    <row r="2195" spans="5:17" x14ac:dyDescent="0.2">
      <c r="E2195" s="9" t="s">
        <v>26</v>
      </c>
      <c r="K2195" t="str">
        <v>all</v>
      </c>
      <c r="L2195" s="4" t="str">
        <f t="shared" si="34"/>
        <v>all</v>
      </c>
      <c r="N2195" s="4" cm="1">
        <f t="array" ref="N2195">SUM(--(_xlfn.TEXTSPLIT($J$1780,, " ") = M2195))</f>
        <v>1</v>
      </c>
      <c r="O2195">
        <v>1</v>
      </c>
      <c r="P2195">
        <v>1</v>
      </c>
      <c r="Q2195">
        <v>1</v>
      </c>
    </row>
    <row r="2196" spans="5:17" x14ac:dyDescent="0.2">
      <c r="E2196" s="9" t="s">
        <v>26</v>
      </c>
      <c r="K2196" t="str">
        <v>I've</v>
      </c>
      <c r="L2196" s="4" t="str">
        <f t="shared" si="34"/>
        <v>I ve</v>
      </c>
      <c r="N2196" s="4" cm="1">
        <f t="array" ref="N2196">SUM(--(_xlfn.TEXTSPLIT($J$1780,, " ") = M2196))</f>
        <v>1</v>
      </c>
      <c r="O2196">
        <v>1</v>
      </c>
      <c r="P2196">
        <v>1</v>
      </c>
      <c r="Q2196">
        <v>1</v>
      </c>
    </row>
    <row r="2197" spans="5:17" x14ac:dyDescent="0.2">
      <c r="E2197" s="9" t="s">
        <v>26</v>
      </c>
      <c r="K2197" t="str">
        <v>ever</v>
      </c>
      <c r="L2197" s="4" t="str">
        <f t="shared" si="34"/>
        <v>ever</v>
      </c>
      <c r="N2197" s="4" cm="1">
        <f t="array" ref="N2197">SUM(--(_xlfn.TEXTSPLIT($J$1780,, " ") = M2197))</f>
        <v>1</v>
      </c>
      <c r="O2197">
        <v>1</v>
      </c>
      <c r="P2197">
        <v>1</v>
      </c>
      <c r="Q2197">
        <v>1</v>
      </c>
    </row>
    <row r="2198" spans="5:17" x14ac:dyDescent="0.2">
      <c r="E2198" s="9" t="s">
        <v>26</v>
      </c>
      <c r="K2198" t="str">
        <v xml:space="preserve">known
</v>
      </c>
      <c r="L2198" s="4" t="str">
        <f t="shared" si="34"/>
        <v xml:space="preserve">known </v>
      </c>
      <c r="N2198" s="4" cm="1">
        <f t="array" ref="N2198">SUM(--(_xlfn.TEXTSPLIT($J$1780,, " ") = M2198))</f>
        <v>1</v>
      </c>
      <c r="O2198">
        <v>1</v>
      </c>
      <c r="P2198">
        <v>1</v>
      </c>
      <c r="Q2198">
        <v>1</v>
      </c>
    </row>
    <row r="2199" spans="5:17" x14ac:dyDescent="0.2">
      <c r="E2199" s="9" t="s">
        <v>26</v>
      </c>
      <c r="K2199" t="str">
        <v>You</v>
      </c>
      <c r="L2199" s="4" t="str">
        <f t="shared" si="34"/>
        <v>You</v>
      </c>
      <c r="N2199" s="4" cm="1">
        <f t="array" ref="N2199">SUM(--(_xlfn.TEXTSPLIT($J$1780,, " ") = M2199))</f>
        <v>1</v>
      </c>
      <c r="O2199">
        <v>1</v>
      </c>
      <c r="P2199">
        <v>1</v>
      </c>
      <c r="Q2199">
        <v>1</v>
      </c>
    </row>
    <row r="2200" spans="5:17" x14ac:dyDescent="0.2">
      <c r="E2200" s="9" t="s">
        <v>26</v>
      </c>
      <c r="K2200" t="str">
        <v>can</v>
      </c>
      <c r="L2200" s="4" t="str">
        <f t="shared" si="34"/>
        <v>can</v>
      </c>
      <c r="N2200" s="4" cm="1">
        <f t="array" ref="N2200">SUM(--(_xlfn.TEXTSPLIT($J$1780,, " ") = M2200))</f>
        <v>1</v>
      </c>
      <c r="O2200">
        <v>1</v>
      </c>
      <c r="P2200">
        <v>1</v>
      </c>
      <c r="Q2200">
        <v>1</v>
      </c>
    </row>
    <row r="2201" spans="5:17" x14ac:dyDescent="0.2">
      <c r="E2201" s="9" t="s">
        <v>26</v>
      </c>
      <c r="K2201" t="str">
        <v>have</v>
      </c>
      <c r="L2201" s="4" t="str">
        <f t="shared" si="34"/>
        <v>have</v>
      </c>
      <c r="N2201" s="4" cm="1">
        <f t="array" ref="N2201">SUM(--(_xlfn.TEXTSPLIT($J$1780,, " ") = M2201))</f>
        <v>1</v>
      </c>
      <c r="O2201">
        <v>1</v>
      </c>
      <c r="P2201">
        <v>1</v>
      </c>
      <c r="Q2201">
        <v>1</v>
      </c>
    </row>
    <row r="2202" spans="5:17" x14ac:dyDescent="0.2">
      <c r="E2202" s="9" t="s">
        <v>26</v>
      </c>
      <c r="K2202" t="str">
        <v>both</v>
      </c>
      <c r="L2202" s="4" t="str">
        <f t="shared" si="34"/>
        <v>both</v>
      </c>
      <c r="N2202" s="4" cm="1">
        <f t="array" ref="N2202">SUM(--(_xlfn.TEXTSPLIT($J$1780,, " ") = M2202))</f>
        <v>1</v>
      </c>
      <c r="O2202">
        <v>1</v>
      </c>
      <c r="P2202">
        <v>1</v>
      </c>
      <c r="Q2202">
        <v>1</v>
      </c>
    </row>
    <row r="2203" spans="5:17" x14ac:dyDescent="0.2">
      <c r="E2203" s="9" t="s">
        <v>26</v>
      </c>
      <c r="K2203" t="str">
        <v>my</v>
      </c>
      <c r="L2203" s="4" t="str">
        <f t="shared" si="34"/>
        <v>my</v>
      </c>
      <c r="N2203" s="4" cm="1">
        <f t="array" ref="N2203">SUM(--(_xlfn.TEXTSPLIT($J$1780,, " ") = M2203))</f>
        <v>1</v>
      </c>
      <c r="O2203">
        <v>1</v>
      </c>
      <c r="P2203">
        <v>1</v>
      </c>
      <c r="Q2203">
        <v>1</v>
      </c>
    </row>
    <row r="2204" spans="5:17" x14ac:dyDescent="0.2">
      <c r="E2204" s="9" t="s">
        <v>26</v>
      </c>
      <c r="K2204" t="str">
        <v>lungs</v>
      </c>
      <c r="L2204" s="4" t="str">
        <f t="shared" si="34"/>
        <v>lungs</v>
      </c>
      <c r="N2204" s="4" cm="1">
        <f t="array" ref="N2204">SUM(--(_xlfn.TEXTSPLIT($J$1780,, " ") = M2204))</f>
        <v>1</v>
      </c>
      <c r="O2204">
        <v>1</v>
      </c>
      <c r="P2204">
        <v>1</v>
      </c>
      <c r="Q2204">
        <v>1</v>
      </c>
    </row>
    <row r="2205" spans="5:17" x14ac:dyDescent="0.2">
      <c r="E2205" s="9" t="s">
        <v>26</v>
      </c>
      <c r="K2205" t="str">
        <v>if</v>
      </c>
      <c r="L2205" s="4" t="str">
        <f t="shared" si="34"/>
        <v>if</v>
      </c>
      <c r="N2205" s="4" cm="1">
        <f t="array" ref="N2205">SUM(--(_xlfn.TEXTSPLIT($J$1780,, " ") = M2205))</f>
        <v>1</v>
      </c>
      <c r="O2205">
        <v>1</v>
      </c>
      <c r="P2205">
        <v>1</v>
      </c>
      <c r="Q2205">
        <v>1</v>
      </c>
    </row>
    <row r="2206" spans="5:17" x14ac:dyDescent="0.2">
      <c r="E2206" s="9" t="s">
        <v>26</v>
      </c>
      <c r="K2206" t="str">
        <v>you</v>
      </c>
      <c r="L2206" s="4" t="str">
        <f t="shared" si="34"/>
        <v>you</v>
      </c>
      <c r="N2206" s="4" cm="1">
        <f t="array" ref="N2206">SUM(--(_xlfn.TEXTSPLIT($J$1780,, " ") = M2206))</f>
        <v>1</v>
      </c>
      <c r="O2206">
        <v>1</v>
      </c>
      <c r="P2206">
        <v>1</v>
      </c>
      <c r="Q2206">
        <v>1</v>
      </c>
    </row>
    <row r="2207" spans="5:17" x14ac:dyDescent="0.2">
      <c r="E2207" s="9" t="s">
        <v>26</v>
      </c>
      <c r="K2207" t="str">
        <v>ask</v>
      </c>
      <c r="L2207" s="4" t="str">
        <f t="shared" si="34"/>
        <v>ask</v>
      </c>
      <c r="N2207" s="4" cm="1">
        <f t="array" ref="N2207">SUM(--(_xlfn.TEXTSPLIT($J$1780,, " ") = M2207))</f>
        <v>1</v>
      </c>
      <c r="O2207">
        <v>1</v>
      </c>
      <c r="P2207">
        <v>1</v>
      </c>
      <c r="Q2207">
        <v>1</v>
      </c>
    </row>
    <row r="2208" spans="5:17" x14ac:dyDescent="0.2">
      <c r="E2208" s="9" t="s">
        <v>26</v>
      </c>
      <c r="K2208" t="str">
        <v>me</v>
      </c>
      <c r="L2208" s="4" t="str">
        <f t="shared" si="34"/>
        <v>me</v>
      </c>
      <c r="N2208" s="4" cm="1">
        <f t="array" ref="N2208">SUM(--(_xlfn.TEXTSPLIT($J$1780,, " ") = M2208))</f>
        <v>1</v>
      </c>
      <c r="O2208">
        <v>1</v>
      </c>
      <c r="P2208">
        <v>1</v>
      </c>
      <c r="Q2208">
        <v>1</v>
      </c>
    </row>
    <row r="2209" spans="5:17" x14ac:dyDescent="0.2">
      <c r="E2209" s="9" t="s">
        <v>26</v>
      </c>
      <c r="K2209" t="str">
        <v xml:space="preserve">so
</v>
      </c>
      <c r="L2209" s="4" t="str">
        <f t="shared" si="34"/>
        <v xml:space="preserve">so </v>
      </c>
      <c r="N2209" s="4" cm="1">
        <f t="array" ref="N2209">SUM(--(_xlfn.TEXTSPLIT($J$1780,, " ") = M2209))</f>
        <v>1</v>
      </c>
      <c r="O2209">
        <v>1</v>
      </c>
      <c r="P2209">
        <v>1</v>
      </c>
      <c r="Q2209">
        <v>1</v>
      </c>
    </row>
    <row r="2210" spans="5:17" x14ac:dyDescent="0.2">
      <c r="E2210" s="9" t="s">
        <v>26</v>
      </c>
      <c r="K2210" t="str">
        <v>Cause</v>
      </c>
      <c r="L2210" s="4" t="str">
        <f t="shared" si="34"/>
        <v>Cause</v>
      </c>
      <c r="N2210" s="4" cm="1">
        <f t="array" ref="N2210">SUM(--(_xlfn.TEXTSPLIT($J$1780,, " ") = M2210))</f>
        <v>1</v>
      </c>
      <c r="O2210">
        <v>1</v>
      </c>
      <c r="P2210">
        <v>1</v>
      </c>
      <c r="Q2210">
        <v>1</v>
      </c>
    </row>
    <row r="2211" spans="5:17" x14ac:dyDescent="0.2">
      <c r="E2211" s="9" t="s">
        <v>26</v>
      </c>
      <c r="K2211" t="str">
        <v>I</v>
      </c>
      <c r="L2211" s="4" t="str">
        <f t="shared" si="34"/>
        <v>I</v>
      </c>
      <c r="N2211" s="4" cm="1">
        <f t="array" ref="N2211">SUM(--(_xlfn.TEXTSPLIT($J$1780,, " ") = M2211))</f>
        <v>1</v>
      </c>
      <c r="O2211">
        <v>1</v>
      </c>
      <c r="P2211">
        <v>1</v>
      </c>
      <c r="Q2211">
        <v>1</v>
      </c>
    </row>
    <row r="2212" spans="5:17" x14ac:dyDescent="0.2">
      <c r="E2212" s="9" t="s">
        <v>26</v>
      </c>
      <c r="K2212" t="str">
        <v>want</v>
      </c>
      <c r="L2212" s="4" t="str">
        <f t="shared" si="34"/>
        <v>want</v>
      </c>
      <c r="N2212" s="4" cm="1">
        <f t="array" ref="N2212">SUM(--(_xlfn.TEXTSPLIT($J$1780,, " ") = M2212))</f>
        <v>1</v>
      </c>
      <c r="O2212">
        <v>1</v>
      </c>
      <c r="P2212">
        <v>1</v>
      </c>
      <c r="Q2212">
        <v>1</v>
      </c>
    </row>
    <row r="2213" spans="5:17" x14ac:dyDescent="0.2">
      <c r="E2213" s="9" t="s">
        <v>26</v>
      </c>
      <c r="K2213" t="str">
        <v>to</v>
      </c>
      <c r="L2213" s="4" t="str">
        <f t="shared" si="34"/>
        <v>to</v>
      </c>
      <c r="N2213" s="4" cm="1">
        <f t="array" ref="N2213">SUM(--(_xlfn.TEXTSPLIT($J$1780,, " ") = M2213))</f>
        <v>1</v>
      </c>
      <c r="O2213">
        <v>1</v>
      </c>
      <c r="P2213">
        <v>1</v>
      </c>
      <c r="Q2213">
        <v>1</v>
      </c>
    </row>
    <row r="2214" spans="5:17" x14ac:dyDescent="0.2">
      <c r="E2214" s="9" t="s">
        <v>26</v>
      </c>
      <c r="K2214" t="str">
        <v>be</v>
      </c>
      <c r="L2214" s="4" t="str">
        <f t="shared" si="34"/>
        <v>be</v>
      </c>
      <c r="N2214" s="4" cm="1">
        <f t="array" ref="N2214">SUM(--(_xlfn.TEXTSPLIT($J$1780,, " ") = M2214))</f>
        <v>1</v>
      </c>
      <c r="O2214">
        <v>1</v>
      </c>
      <c r="P2214">
        <v>1</v>
      </c>
      <c r="Q2214">
        <v>1</v>
      </c>
    </row>
    <row r="2215" spans="5:17" x14ac:dyDescent="0.2">
      <c r="E2215" s="9" t="s">
        <v>26</v>
      </c>
      <c r="K2215" t="str">
        <v>the</v>
      </c>
      <c r="L2215" s="4" t="str">
        <f t="shared" si="34"/>
        <v>the</v>
      </c>
      <c r="N2215" s="4" cm="1">
        <f t="array" ref="N2215">SUM(--(_xlfn.TEXTSPLIT($J$1780,, " ") = M2215))</f>
        <v>1</v>
      </c>
      <c r="O2215">
        <v>1</v>
      </c>
      <c r="P2215">
        <v>1</v>
      </c>
      <c r="Q2215">
        <v>1</v>
      </c>
    </row>
    <row r="2216" spans="5:17" x14ac:dyDescent="0.2">
      <c r="E2216" s="9" t="s">
        <v>26</v>
      </c>
      <c r="K2216" t="str">
        <v>one</v>
      </c>
      <c r="L2216" s="4" t="str">
        <f t="shared" si="34"/>
        <v>one</v>
      </c>
      <c r="N2216" s="4" cm="1">
        <f t="array" ref="N2216">SUM(--(_xlfn.TEXTSPLIT($J$1780,, " ") = M2216))</f>
        <v>1</v>
      </c>
      <c r="O2216">
        <v>1</v>
      </c>
      <c r="P2216">
        <v>1</v>
      </c>
      <c r="Q2216">
        <v>1</v>
      </c>
    </row>
    <row r="2217" spans="5:17" x14ac:dyDescent="0.2">
      <c r="E2217" s="9" t="s">
        <v>26</v>
      </c>
      <c r="K2217" t="str">
        <v>after</v>
      </c>
      <c r="L2217" s="4" t="str">
        <f t="shared" si="34"/>
        <v>after</v>
      </c>
      <c r="N2217" s="4" cm="1">
        <f t="array" ref="N2217">SUM(--(_xlfn.TEXTSPLIT($J$1780,, " ") = M2217))</f>
        <v>1</v>
      </c>
      <c r="O2217">
        <v>1</v>
      </c>
      <c r="P2217">
        <v>1</v>
      </c>
      <c r="Q2217">
        <v>1</v>
      </c>
    </row>
    <row r="2218" spans="5:17" x14ac:dyDescent="0.2">
      <c r="E2218" s="9" t="s">
        <v>26</v>
      </c>
      <c r="K2218" t="str">
        <v>your</v>
      </c>
      <c r="L2218" s="4" t="str">
        <f t="shared" si="34"/>
        <v>your</v>
      </c>
      <c r="N2218" s="4" cm="1">
        <f t="array" ref="N2218">SUM(--(_xlfn.TEXTSPLIT($J$1780,, " ") = M2218))</f>
        <v>1</v>
      </c>
      <c r="O2218">
        <v>1</v>
      </c>
      <c r="P2218">
        <v>1</v>
      </c>
      <c r="Q2218">
        <v>1</v>
      </c>
    </row>
    <row r="2219" spans="5:17" x14ac:dyDescent="0.2">
      <c r="E2219" s="9" t="s">
        <v>26</v>
      </c>
      <c r="K2219" t="str">
        <v>own</v>
      </c>
      <c r="L2219" s="4" t="str">
        <f t="shared" si="34"/>
        <v>own</v>
      </c>
      <c r="N2219" s="4" cm="1">
        <f t="array" ref="N2219">SUM(--(_xlfn.TEXTSPLIT($J$1780,, " ") = M2219))</f>
        <v>1</v>
      </c>
      <c r="O2219">
        <v>1</v>
      </c>
      <c r="P2219">
        <v>1</v>
      </c>
      <c r="Q2219">
        <v>1</v>
      </c>
    </row>
    <row r="2220" spans="5:17" x14ac:dyDescent="0.2">
      <c r="E2220" s="9" t="s">
        <v>26</v>
      </c>
      <c r="K2220" t="str">
        <v xml:space="preserve">heart
</v>
      </c>
      <c r="L2220" s="4" t="str">
        <f t="shared" si="34"/>
        <v xml:space="preserve">heart </v>
      </c>
      <c r="N2220" s="4" cm="1">
        <f t="array" ref="N2220">SUM(--(_xlfn.TEXTSPLIT($J$1780,, " ") = M2220))</f>
        <v>1</v>
      </c>
      <c r="O2220">
        <v>1</v>
      </c>
      <c r="P2220">
        <v>1</v>
      </c>
      <c r="Q2220">
        <v>1</v>
      </c>
    </row>
    <row r="2221" spans="5:17" x14ac:dyDescent="0.2">
      <c r="E2221" s="9" t="s">
        <v>26</v>
      </c>
      <c r="K2221" t="str">
        <v>And</v>
      </c>
      <c r="L2221" s="4" t="str">
        <f t="shared" si="34"/>
        <v>And</v>
      </c>
      <c r="N2221" s="4" cm="1">
        <f t="array" ref="N2221">SUM(--(_xlfn.TEXTSPLIT($J$1780,, " ") = M2221))</f>
        <v>1</v>
      </c>
      <c r="O2221">
        <v>1</v>
      </c>
      <c r="P2221">
        <v>1</v>
      </c>
      <c r="Q2221">
        <v>1</v>
      </c>
    </row>
    <row r="2222" spans="5:17" x14ac:dyDescent="0.2">
      <c r="E2222" s="9" t="s">
        <v>26</v>
      </c>
      <c r="K2222" t="str">
        <v>I</v>
      </c>
      <c r="L2222" s="4" t="str">
        <f t="shared" si="34"/>
        <v>I</v>
      </c>
      <c r="N2222" s="4" cm="1">
        <f t="array" ref="N2222">SUM(--(_xlfn.TEXTSPLIT($J$1780,, " ") = M2222))</f>
        <v>1</v>
      </c>
      <c r="O2222">
        <v>1</v>
      </c>
      <c r="P2222">
        <v>1</v>
      </c>
      <c r="Q2222">
        <v>1</v>
      </c>
    </row>
    <row r="2223" spans="5:17" x14ac:dyDescent="0.2">
      <c r="E2223" s="9" t="s">
        <v>26</v>
      </c>
      <c r="K2223" t="str">
        <v>might</v>
      </c>
      <c r="L2223" s="4" t="str">
        <f t="shared" si="34"/>
        <v>might</v>
      </c>
      <c r="N2223" s="4" cm="1">
        <f t="array" ref="N2223">SUM(--(_xlfn.TEXTSPLIT($J$1780,, " ") = M2223))</f>
        <v>1</v>
      </c>
      <c r="O2223">
        <v>1</v>
      </c>
      <c r="P2223">
        <v>1</v>
      </c>
      <c r="Q2223">
        <v>1</v>
      </c>
    </row>
    <row r="2224" spans="5:17" x14ac:dyDescent="0.2">
      <c r="E2224" s="9" t="s">
        <v>26</v>
      </c>
      <c r="K2224" t="str">
        <v>doubt</v>
      </c>
      <c r="L2224" s="4" t="str">
        <f t="shared" si="34"/>
        <v>doubt</v>
      </c>
      <c r="N2224" s="4" cm="1">
        <f t="array" ref="N2224">SUM(--(_xlfn.TEXTSPLIT($J$1780,, " ") = M2224))</f>
        <v>1</v>
      </c>
      <c r="O2224">
        <v>1</v>
      </c>
      <c r="P2224">
        <v>1</v>
      </c>
      <c r="Q2224">
        <v>1</v>
      </c>
    </row>
    <row r="2225" spans="1:19" x14ac:dyDescent="0.2">
      <c r="E2225" s="9" t="s">
        <v>26</v>
      </c>
      <c r="K2225" t="str">
        <v>the</v>
      </c>
      <c r="L2225" s="4" t="str">
        <f t="shared" si="34"/>
        <v>the</v>
      </c>
      <c r="N2225" s="4" cm="1">
        <f t="array" ref="N2225">SUM(--(_xlfn.TEXTSPLIT($J$1780,, " ") = M2225))</f>
        <v>1</v>
      </c>
      <c r="O2225">
        <v>1</v>
      </c>
      <c r="P2225">
        <v>1</v>
      </c>
      <c r="Q2225">
        <v>1</v>
      </c>
    </row>
    <row r="2226" spans="1:19" x14ac:dyDescent="0.2">
      <c r="E2226" s="9" t="s">
        <v>26</v>
      </c>
      <c r="K2226" t="str">
        <v>process</v>
      </c>
      <c r="L2226" s="4" t="str">
        <f t="shared" si="34"/>
        <v>process</v>
      </c>
      <c r="N2226" s="4" cm="1">
        <f t="array" ref="N2226">SUM(--(_xlfn.TEXTSPLIT($J$1780,, " ") = M2226))</f>
        <v>1</v>
      </c>
      <c r="O2226">
        <v>1</v>
      </c>
      <c r="P2226">
        <v>1</v>
      </c>
      <c r="Q2226">
        <v>1</v>
      </c>
    </row>
    <row r="2227" spans="1:19" x14ac:dyDescent="0.2">
      <c r="E2227" s="9" t="s">
        <v>26</v>
      </c>
      <c r="K2227" t="str">
        <v>like</v>
      </c>
      <c r="L2227" s="4" t="str">
        <f t="shared" si="34"/>
        <v>like</v>
      </c>
      <c r="N2227" s="4" cm="1">
        <f t="array" ref="N2227">SUM(--(_xlfn.TEXTSPLIT($J$1780,, " ") = M2227))</f>
        <v>1</v>
      </c>
      <c r="O2227">
        <v>1</v>
      </c>
      <c r="P2227">
        <v>1</v>
      </c>
      <c r="Q2227">
        <v>1</v>
      </c>
    </row>
    <row r="2228" spans="1:19" x14ac:dyDescent="0.2">
      <c r="E2228" s="9" t="s">
        <v>26</v>
      </c>
      <c r="K2228" t="str">
        <v>I</v>
      </c>
      <c r="L2228" s="4" t="str">
        <f t="shared" ref="L2228:L2231" si="35">_xlfn.REGEXREPLACE(K2228, "[^A-Za-z ]", " ")</f>
        <v>I</v>
      </c>
      <c r="N2228" s="4" cm="1">
        <f t="array" ref="N2228">SUM(--(_xlfn.TEXTSPLIT($J$1780,, " ") = M2228))</f>
        <v>1</v>
      </c>
      <c r="O2228">
        <v>1</v>
      </c>
      <c r="P2228">
        <v>1</v>
      </c>
      <c r="Q2228">
        <v>1</v>
      </c>
    </row>
    <row r="2229" spans="1:19" x14ac:dyDescent="0.2">
      <c r="E2229" s="9" t="s">
        <v>26</v>
      </c>
      <c r="K2229" t="str">
        <v>doubt</v>
      </c>
      <c r="L2229" s="4" t="str">
        <f t="shared" si="35"/>
        <v>doubt</v>
      </c>
      <c r="N2229" s="4" cm="1">
        <f t="array" ref="N2229">SUM(--(_xlfn.TEXTSPLIT($J$1780,, " ") = M2229))</f>
        <v>1</v>
      </c>
      <c r="O2229">
        <v>1</v>
      </c>
      <c r="P2229">
        <v>1</v>
      </c>
      <c r="Q2229">
        <v>1</v>
      </c>
    </row>
    <row r="2230" spans="1:19" x14ac:dyDescent="0.2">
      <c r="E2230" s="9" t="s">
        <v>26</v>
      </c>
      <c r="K2230" t="str">
        <v>the</v>
      </c>
      <c r="L2230" s="4" t="str">
        <f t="shared" si="35"/>
        <v>the</v>
      </c>
      <c r="N2230" s="4" cm="1">
        <f t="array" ref="N2230">SUM(--(_xlfn.TEXTSPLIT($J$1780,, " ") = M2230))</f>
        <v>1</v>
      </c>
      <c r="O2230">
        <v>1</v>
      </c>
      <c r="P2230">
        <v>1</v>
      </c>
      <c r="Q2230">
        <v>1</v>
      </c>
    </row>
    <row r="2231" spans="1:19" x14ac:dyDescent="0.2">
      <c r="E2231" s="9" t="s">
        <v>26</v>
      </c>
      <c r="K2231" t="str">
        <v>start</v>
      </c>
      <c r="L2231" s="4" t="str">
        <f t="shared" si="35"/>
        <v>start</v>
      </c>
      <c r="N2231" s="4" cm="1">
        <f t="array" ref="N2231">SUM(--(_xlfn.TEXTSPLIT($J$1780,, " ") = M2231))</f>
        <v>1</v>
      </c>
      <c r="O2231">
        <v>1</v>
      </c>
      <c r="P2231">
        <v>1</v>
      </c>
      <c r="Q2231">
        <v>1</v>
      </c>
    </row>
    <row r="2232" spans="1:19" s="4" customFormat="1" x14ac:dyDescent="0.2">
      <c r="A2232" s="4">
        <v>7</v>
      </c>
      <c r="B2232" s="5">
        <v>45912</v>
      </c>
      <c r="C2232" s="6">
        <v>0.16458333333333333</v>
      </c>
      <c r="D2232" s="7">
        <v>237</v>
      </c>
      <c r="E2232" s="9" t="s">
        <v>28</v>
      </c>
      <c r="F2232" s="4">
        <v>7</v>
      </c>
      <c r="G2232" s="8" t="s">
        <v>15</v>
      </c>
      <c r="H2232" s="9" t="s">
        <v>29</v>
      </c>
      <c r="I2232" s="4">
        <v>1</v>
      </c>
      <c r="J2232" s="4" t="str">
        <f>_xlfn.TEXTJOIN(" ", TRUE, H2232:H2682)</f>
        <v>They keep me company
 The robots and machines in my room
 An understanding
 The beeps and tones they make
 The only advice I take, the inside jokes are landing
 Now I'm waitin'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The half-drawn blinds casting lines on the floor as my metal friend flashes in time
 The daisy-chained power strips generating
 A newfound loneliness, I'm waiting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I wasn't lookin' for love this year
 But my robot told me that I shouldn't fear
 When I met you, I found you safe and warm
 Then the robot voices would reassure me</v>
      </c>
      <c r="K2232" s="4" t="str" cm="1">
        <f t="array" ref="K2232:K2447">_xlfn.TEXTSPLIT(J2232, ," ")</f>
        <v>They</v>
      </c>
      <c r="L2232" s="4" t="str">
        <f>_xlfn.REGEXREPLACE(K2232, "[^A-Za-z ]", " ")</f>
        <v>They</v>
      </c>
      <c r="M2232" s="4" t="str" cm="1">
        <f t="array" ref="M2232:M2320">_xlfn.UNIQUE(_xlfn.TEXTSPLIT(J2232, , " "))</f>
        <v>They</v>
      </c>
      <c r="N2232" s="4" cm="1">
        <f t="array" ref="N2232">SUM(--(_xlfn.TEXTSPLIT($J$2232,, " ") = M2232))</f>
        <v>2</v>
      </c>
      <c r="O2232" cm="1">
        <f t="array" ref="O2232:O2447">_xlfn._xlws.SORT(N2232:N2447,, -1)</f>
        <v>16</v>
      </c>
      <c r="P2232" s="4" cm="1">
        <f t="array" ref="P2232:Q2447">_xlfn.SORTBY(N2232:O2447, O2232:O2447, -1)</f>
        <v>2</v>
      </c>
      <c r="Q2232" s="4">
        <v>16</v>
      </c>
      <c r="S2232" s="4" cm="1">
        <f t="array" ref="S2232">SUM(--(_xlfn.TEXTSPLIT($J$2,, " ") = R2232))</f>
        <v>4</v>
      </c>
    </row>
    <row r="2233" spans="1:19" x14ac:dyDescent="0.2">
      <c r="E2233" s="9" t="s">
        <v>28</v>
      </c>
      <c r="K2233" t="str">
        <v>keep</v>
      </c>
      <c r="L2233" s="4" t="str">
        <f t="shared" ref="L2233:L2296" si="36">_xlfn.REGEXREPLACE(K2233, "[^A-Za-z ]", " ")</f>
        <v>keep</v>
      </c>
      <c r="M2233" t="str">
        <v>keep</v>
      </c>
      <c r="N2233" s="4" cm="1">
        <f t="array" ref="N2233">SUM(--(_xlfn.TEXTSPLIT($J$2232,, " ") = M2233))</f>
        <v>1</v>
      </c>
      <c r="O2233">
        <v>15</v>
      </c>
      <c r="P2233">
        <v>1</v>
      </c>
      <c r="Q2233">
        <v>15</v>
      </c>
    </row>
    <row r="2234" spans="1:19" x14ac:dyDescent="0.2">
      <c r="E2234" s="9" t="s">
        <v>28</v>
      </c>
      <c r="K2234" t="str">
        <v>me</v>
      </c>
      <c r="L2234" s="4" t="str">
        <f t="shared" si="36"/>
        <v>me</v>
      </c>
      <c r="M2234" t="str">
        <v>me</v>
      </c>
      <c r="N2234" s="4" cm="1">
        <f t="array" ref="N2234">SUM(--(_xlfn.TEXTSPLIT($J$2232,, " ") = M2234))</f>
        <v>5</v>
      </c>
      <c r="O2234">
        <v>11</v>
      </c>
      <c r="P2234">
        <v>5</v>
      </c>
      <c r="Q2234">
        <v>11</v>
      </c>
    </row>
    <row r="2235" spans="1:19" x14ac:dyDescent="0.2">
      <c r="E2235" s="9" t="s">
        <v>28</v>
      </c>
      <c r="K2235" t="str">
        <v xml:space="preserve">company
</v>
      </c>
      <c r="L2235" s="4" t="str">
        <f t="shared" si="36"/>
        <v xml:space="preserve">company </v>
      </c>
      <c r="M2235" t="str">
        <v xml:space="preserve">company
</v>
      </c>
      <c r="N2235" s="4" cm="1">
        <f t="array" ref="N2235">SUM(--(_xlfn.TEXTSPLIT($J$2232,, " ") = M2235))</f>
        <v>1</v>
      </c>
      <c r="O2235">
        <v>6</v>
      </c>
      <c r="P2235">
        <v>1</v>
      </c>
      <c r="Q2235">
        <v>6</v>
      </c>
    </row>
    <row r="2236" spans="1:19" x14ac:dyDescent="0.2">
      <c r="E2236" s="9" t="s">
        <v>28</v>
      </c>
      <c r="K2236" t="str">
        <v>The</v>
      </c>
      <c r="L2236" s="4" t="str">
        <f t="shared" si="36"/>
        <v>The</v>
      </c>
      <c r="M2236" t="str">
        <v>The</v>
      </c>
      <c r="N2236" s="4" cm="1">
        <f t="array" ref="N2236">SUM(--(_xlfn.TEXTSPLIT($J$2232,, " ") = M2236))</f>
        <v>16</v>
      </c>
      <c r="O2236">
        <v>5</v>
      </c>
      <c r="P2236">
        <v>16</v>
      </c>
      <c r="Q2236">
        <v>5</v>
      </c>
    </row>
    <row r="2237" spans="1:19" x14ac:dyDescent="0.2">
      <c r="E2237" s="9" t="s">
        <v>28</v>
      </c>
      <c r="K2237" t="str">
        <v>robots</v>
      </c>
      <c r="L2237" s="4" t="str">
        <f t="shared" si="36"/>
        <v>robots</v>
      </c>
      <c r="M2237" t="str">
        <v>robots</v>
      </c>
      <c r="N2237" s="4" cm="1">
        <f t="array" ref="N2237">SUM(--(_xlfn.TEXTSPLIT($J$2232,, " ") = M2237))</f>
        <v>1</v>
      </c>
      <c r="O2237">
        <v>5</v>
      </c>
      <c r="P2237">
        <v>1</v>
      </c>
      <c r="Q2237">
        <v>5</v>
      </c>
    </row>
    <row r="2238" spans="1:19" x14ac:dyDescent="0.2">
      <c r="E2238" s="9" t="s">
        <v>28</v>
      </c>
      <c r="K2238" t="str">
        <v>and</v>
      </c>
      <c r="L2238" s="4" t="str">
        <f t="shared" si="36"/>
        <v>and</v>
      </c>
      <c r="M2238" t="str">
        <v>and</v>
      </c>
      <c r="N2238" s="4" cm="1">
        <f t="array" ref="N2238">SUM(--(_xlfn.TEXTSPLIT($J$2232,, " ") = M2238))</f>
        <v>11</v>
      </c>
      <c r="O2238">
        <v>5</v>
      </c>
      <c r="P2238">
        <v>11</v>
      </c>
      <c r="Q2238">
        <v>5</v>
      </c>
    </row>
    <row r="2239" spans="1:19" x14ac:dyDescent="0.2">
      <c r="E2239" s="9" t="s">
        <v>28</v>
      </c>
      <c r="K2239" t="str">
        <v>machines</v>
      </c>
      <c r="L2239" s="4" t="str">
        <f t="shared" si="36"/>
        <v>machines</v>
      </c>
      <c r="M2239" t="str">
        <v>machines</v>
      </c>
      <c r="N2239" s="4" cm="1">
        <f t="array" ref="N2239">SUM(--(_xlfn.TEXTSPLIT($J$2232,, " ") = M2239))</f>
        <v>1</v>
      </c>
      <c r="O2239">
        <v>5</v>
      </c>
      <c r="P2239">
        <v>1</v>
      </c>
      <c r="Q2239">
        <v>5</v>
      </c>
    </row>
    <row r="2240" spans="1:19" x14ac:dyDescent="0.2">
      <c r="E2240" s="9" t="s">
        <v>28</v>
      </c>
      <c r="K2240" t="str">
        <v>in</v>
      </c>
      <c r="L2240" s="4" t="str">
        <f t="shared" si="36"/>
        <v>in</v>
      </c>
      <c r="M2240" t="str">
        <v>in</v>
      </c>
      <c r="N2240" s="4" cm="1">
        <f t="array" ref="N2240">SUM(--(_xlfn.TEXTSPLIT($J$2232,, " ") = M2240))</f>
        <v>2</v>
      </c>
      <c r="O2240">
        <v>3</v>
      </c>
      <c r="P2240">
        <v>2</v>
      </c>
      <c r="Q2240">
        <v>3</v>
      </c>
    </row>
    <row r="2241" spans="5:17" x14ac:dyDescent="0.2">
      <c r="E2241" s="9" t="s">
        <v>28</v>
      </c>
      <c r="K2241" t="str">
        <v>my</v>
      </c>
      <c r="L2241" s="4" t="str">
        <f t="shared" si="36"/>
        <v>my</v>
      </c>
      <c r="M2241" t="str">
        <v>my</v>
      </c>
      <c r="N2241" s="4" cm="1">
        <f t="array" ref="N2241">SUM(--(_xlfn.TEXTSPLIT($J$2232,, " ") = M2241))</f>
        <v>5</v>
      </c>
      <c r="O2241">
        <v>3</v>
      </c>
      <c r="P2241">
        <v>5</v>
      </c>
      <c r="Q2241">
        <v>3</v>
      </c>
    </row>
    <row r="2242" spans="5:17" x14ac:dyDescent="0.2">
      <c r="E2242" s="9" t="s">
        <v>28</v>
      </c>
      <c r="K2242" t="str">
        <v xml:space="preserve">room
</v>
      </c>
      <c r="L2242" s="4" t="str">
        <f t="shared" si="36"/>
        <v xml:space="preserve">room </v>
      </c>
      <c r="M2242" t="str">
        <v xml:space="preserve">room
</v>
      </c>
      <c r="N2242" s="4" cm="1">
        <f t="array" ref="N2242">SUM(--(_xlfn.TEXTSPLIT($J$2232,, " ") = M2242))</f>
        <v>1</v>
      </c>
      <c r="O2242">
        <v>3</v>
      </c>
      <c r="P2242">
        <v>1</v>
      </c>
      <c r="Q2242">
        <v>3</v>
      </c>
    </row>
    <row r="2243" spans="5:17" x14ac:dyDescent="0.2">
      <c r="E2243" s="9" t="s">
        <v>28</v>
      </c>
      <c r="K2243" t="str">
        <v>An</v>
      </c>
      <c r="L2243" s="4" t="str">
        <f t="shared" si="36"/>
        <v>An</v>
      </c>
      <c r="M2243" t="str">
        <v>An</v>
      </c>
      <c r="N2243" s="4" cm="1">
        <f t="array" ref="N2243">SUM(--(_xlfn.TEXTSPLIT($J$2232,, " ") = M2243))</f>
        <v>1</v>
      </c>
      <c r="O2243">
        <v>3</v>
      </c>
      <c r="P2243">
        <v>1</v>
      </c>
      <c r="Q2243">
        <v>3</v>
      </c>
    </row>
    <row r="2244" spans="5:17" x14ac:dyDescent="0.2">
      <c r="E2244" s="9" t="s">
        <v>28</v>
      </c>
      <c r="K2244" t="str">
        <v xml:space="preserve">understanding
</v>
      </c>
      <c r="L2244" s="4" t="str">
        <f t="shared" si="36"/>
        <v xml:space="preserve">understanding </v>
      </c>
      <c r="M2244" t="str">
        <v xml:space="preserve">understanding
</v>
      </c>
      <c r="N2244" s="4" cm="1">
        <f t="array" ref="N2244">SUM(--(_xlfn.TEXTSPLIT($J$2232,, " ") = M2244))</f>
        <v>1</v>
      </c>
      <c r="O2244">
        <v>3</v>
      </c>
      <c r="P2244">
        <v>1</v>
      </c>
      <c r="Q2244">
        <v>3</v>
      </c>
    </row>
    <row r="2245" spans="5:17" x14ac:dyDescent="0.2">
      <c r="E2245" s="9" t="s">
        <v>28</v>
      </c>
      <c r="K2245" t="str">
        <v>The</v>
      </c>
      <c r="L2245" s="4" t="str">
        <f t="shared" si="36"/>
        <v>The</v>
      </c>
      <c r="M2245" t="str">
        <v>beeps</v>
      </c>
      <c r="N2245" s="4" cm="1">
        <f t="array" ref="N2245">SUM(--(_xlfn.TEXTSPLIT($J$2232,, " ") = M2245))</f>
        <v>1</v>
      </c>
      <c r="O2245">
        <v>3</v>
      </c>
      <c r="P2245">
        <v>1</v>
      </c>
      <c r="Q2245">
        <v>3</v>
      </c>
    </row>
    <row r="2246" spans="5:17" x14ac:dyDescent="0.2">
      <c r="E2246" s="9" t="s">
        <v>28</v>
      </c>
      <c r="K2246" t="str">
        <v>beeps</v>
      </c>
      <c r="L2246" s="4" t="str">
        <f t="shared" si="36"/>
        <v>beeps</v>
      </c>
      <c r="M2246" t="str">
        <v>tones</v>
      </c>
      <c r="N2246" s="4" cm="1">
        <f t="array" ref="N2246">SUM(--(_xlfn.TEXTSPLIT($J$2232,, " ") = M2246))</f>
        <v>1</v>
      </c>
      <c r="O2246">
        <v>3</v>
      </c>
      <c r="P2246">
        <v>1</v>
      </c>
      <c r="Q2246">
        <v>3</v>
      </c>
    </row>
    <row r="2247" spans="5:17" x14ac:dyDescent="0.2">
      <c r="E2247" s="9" t="s">
        <v>28</v>
      </c>
      <c r="K2247" t="str">
        <v>and</v>
      </c>
      <c r="L2247" s="4" t="str">
        <f t="shared" si="36"/>
        <v>and</v>
      </c>
      <c r="M2247" t="str">
        <v xml:space="preserve">make
</v>
      </c>
      <c r="N2247" s="4" cm="1">
        <f t="array" ref="N2247">SUM(--(_xlfn.TEXTSPLIT($J$2232,, " ") = M2247))</f>
        <v>1</v>
      </c>
      <c r="O2247">
        <v>3</v>
      </c>
      <c r="P2247">
        <v>1</v>
      </c>
      <c r="Q2247">
        <v>3</v>
      </c>
    </row>
    <row r="2248" spans="5:17" x14ac:dyDescent="0.2">
      <c r="E2248" s="9" t="s">
        <v>28</v>
      </c>
      <c r="K2248" t="str">
        <v>tones</v>
      </c>
      <c r="L2248" s="4" t="str">
        <f t="shared" si="36"/>
        <v>tones</v>
      </c>
      <c r="M2248" t="str">
        <v>only</v>
      </c>
      <c r="N2248" s="4" cm="1">
        <f t="array" ref="N2248">SUM(--(_xlfn.TEXTSPLIT($J$2232,, " ") = M2248))</f>
        <v>1</v>
      </c>
      <c r="O2248">
        <v>3</v>
      </c>
      <c r="P2248">
        <v>1</v>
      </c>
      <c r="Q2248">
        <v>3</v>
      </c>
    </row>
    <row r="2249" spans="5:17" x14ac:dyDescent="0.2">
      <c r="E2249" s="9" t="s">
        <v>28</v>
      </c>
      <c r="K2249" t="str">
        <v>they</v>
      </c>
      <c r="L2249" s="4" t="str">
        <f t="shared" si="36"/>
        <v>they</v>
      </c>
      <c r="M2249" t="str">
        <v>advice</v>
      </c>
      <c r="N2249" s="4" cm="1">
        <f t="array" ref="N2249">SUM(--(_xlfn.TEXTSPLIT($J$2232,, " ") = M2249))</f>
        <v>1</v>
      </c>
      <c r="O2249">
        <v>3</v>
      </c>
      <c r="P2249">
        <v>1</v>
      </c>
      <c r="Q2249">
        <v>3</v>
      </c>
    </row>
    <row r="2250" spans="5:17" x14ac:dyDescent="0.2">
      <c r="E2250" s="9" t="s">
        <v>28</v>
      </c>
      <c r="K2250" t="str">
        <v xml:space="preserve">make
</v>
      </c>
      <c r="L2250" s="4" t="str">
        <f t="shared" si="36"/>
        <v xml:space="preserve">make </v>
      </c>
      <c r="M2250" t="str">
        <v>I</v>
      </c>
      <c r="N2250" s="4" cm="1">
        <f t="array" ref="N2250">SUM(--(_xlfn.TEXTSPLIT($J$2232,, " ") = M2250))</f>
        <v>15</v>
      </c>
      <c r="O2250">
        <v>3</v>
      </c>
      <c r="P2250">
        <v>15</v>
      </c>
      <c r="Q2250">
        <v>3</v>
      </c>
    </row>
    <row r="2251" spans="5:17" x14ac:dyDescent="0.2">
      <c r="E2251" s="9" t="s">
        <v>28</v>
      </c>
      <c r="K2251" t="str">
        <v>The</v>
      </c>
      <c r="L2251" s="4" t="str">
        <f t="shared" si="36"/>
        <v>The</v>
      </c>
      <c r="M2251" t="str">
        <v>take,</v>
      </c>
      <c r="N2251" s="4" cm="1">
        <f t="array" ref="N2251">SUM(--(_xlfn.TEXTSPLIT($J$2232,, " ") = M2251))</f>
        <v>1</v>
      </c>
      <c r="O2251">
        <v>3</v>
      </c>
      <c r="P2251">
        <v>1</v>
      </c>
      <c r="Q2251">
        <v>3</v>
      </c>
    </row>
    <row r="2252" spans="5:17" x14ac:dyDescent="0.2">
      <c r="E2252" s="9" t="s">
        <v>28</v>
      </c>
      <c r="K2252" t="str">
        <v>only</v>
      </c>
      <c r="L2252" s="4" t="str">
        <f t="shared" si="36"/>
        <v>only</v>
      </c>
      <c r="M2252" t="str">
        <v>inside</v>
      </c>
      <c r="N2252" s="4" cm="1">
        <f t="array" ref="N2252">SUM(--(_xlfn.TEXTSPLIT($J$2232,, " ") = M2252))</f>
        <v>1</v>
      </c>
      <c r="O2252">
        <v>3</v>
      </c>
      <c r="P2252">
        <v>1</v>
      </c>
      <c r="Q2252">
        <v>3</v>
      </c>
    </row>
    <row r="2253" spans="5:17" x14ac:dyDescent="0.2">
      <c r="E2253" s="9" t="s">
        <v>28</v>
      </c>
      <c r="K2253" t="str">
        <v>advice</v>
      </c>
      <c r="L2253" s="4" t="str">
        <f t="shared" si="36"/>
        <v>advice</v>
      </c>
      <c r="M2253" t="str">
        <v>jokes</v>
      </c>
      <c r="N2253" s="4" cm="1">
        <f t="array" ref="N2253">SUM(--(_xlfn.TEXTSPLIT($J$2232,, " ") = M2253))</f>
        <v>1</v>
      </c>
      <c r="O2253">
        <v>3</v>
      </c>
      <c r="P2253">
        <v>1</v>
      </c>
      <c r="Q2253">
        <v>3</v>
      </c>
    </row>
    <row r="2254" spans="5:17" x14ac:dyDescent="0.2">
      <c r="E2254" s="9" t="s">
        <v>28</v>
      </c>
      <c r="K2254" t="str">
        <v>I</v>
      </c>
      <c r="L2254" s="4" t="str">
        <f t="shared" si="36"/>
        <v>I</v>
      </c>
      <c r="M2254" t="str">
        <v>are</v>
      </c>
      <c r="N2254" s="4" cm="1">
        <f t="array" ref="N2254">SUM(--(_xlfn.TEXTSPLIT($J$2232,, " ") = M2254))</f>
        <v>1</v>
      </c>
      <c r="O2254">
        <v>3</v>
      </c>
      <c r="P2254">
        <v>1</v>
      </c>
      <c r="Q2254">
        <v>3</v>
      </c>
    </row>
    <row r="2255" spans="5:17" x14ac:dyDescent="0.2">
      <c r="E2255" s="9" t="s">
        <v>28</v>
      </c>
      <c r="K2255" t="str">
        <v>take,</v>
      </c>
      <c r="L2255" s="4" t="str">
        <f t="shared" si="36"/>
        <v xml:space="preserve">take </v>
      </c>
      <c r="M2255" t="str">
        <v xml:space="preserve">landing
</v>
      </c>
      <c r="N2255" s="4" cm="1">
        <f t="array" ref="N2255">SUM(--(_xlfn.TEXTSPLIT($J$2232,, " ") = M2255))</f>
        <v>1</v>
      </c>
      <c r="O2255">
        <v>3</v>
      </c>
      <c r="P2255">
        <v>1</v>
      </c>
      <c r="Q2255">
        <v>3</v>
      </c>
    </row>
    <row r="2256" spans="5:17" x14ac:dyDescent="0.2">
      <c r="E2256" s="9" t="s">
        <v>28</v>
      </c>
      <c r="K2256" t="str">
        <v>the</v>
      </c>
      <c r="L2256" s="4" t="str">
        <f t="shared" si="36"/>
        <v>the</v>
      </c>
      <c r="M2256" t="str">
        <v>Now</v>
      </c>
      <c r="N2256" s="4" cm="1">
        <f t="array" ref="N2256">SUM(--(_xlfn.TEXTSPLIT($J$2232,, " ") = M2256))</f>
        <v>1</v>
      </c>
      <c r="O2256">
        <v>3</v>
      </c>
      <c r="P2256">
        <v>1</v>
      </c>
      <c r="Q2256">
        <v>3</v>
      </c>
    </row>
    <row r="2257" spans="5:17" x14ac:dyDescent="0.2">
      <c r="E2257" s="9" t="s">
        <v>28</v>
      </c>
      <c r="K2257" t="str">
        <v>inside</v>
      </c>
      <c r="L2257" s="4" t="str">
        <f t="shared" si="36"/>
        <v>inside</v>
      </c>
      <c r="M2257" t="str">
        <v>I'm</v>
      </c>
      <c r="N2257" s="4" cm="1">
        <f t="array" ref="N2257">SUM(--(_xlfn.TEXTSPLIT($J$2232,, " ") = M2257))</f>
        <v>2</v>
      </c>
      <c r="O2257">
        <v>3</v>
      </c>
      <c r="P2257">
        <v>2</v>
      </c>
      <c r="Q2257">
        <v>3</v>
      </c>
    </row>
    <row r="2258" spans="5:17" x14ac:dyDescent="0.2">
      <c r="E2258" s="9" t="s">
        <v>28</v>
      </c>
      <c r="K2258" t="str">
        <v>jokes</v>
      </c>
      <c r="L2258" s="4" t="str">
        <f t="shared" si="36"/>
        <v>jokes</v>
      </c>
      <c r="M2258" t="str">
        <v>waitin'</v>
      </c>
      <c r="N2258" s="4" cm="1">
        <f t="array" ref="N2258">SUM(--(_xlfn.TEXTSPLIT($J$2232,, " ") = M2258))</f>
        <v>1</v>
      </c>
      <c r="O2258">
        <v>3</v>
      </c>
      <c r="P2258">
        <v>1</v>
      </c>
      <c r="Q2258">
        <v>3</v>
      </c>
    </row>
    <row r="2259" spans="5:17" x14ac:dyDescent="0.2">
      <c r="E2259" s="9" t="s">
        <v>28</v>
      </c>
      <c r="K2259" t="str">
        <v>are</v>
      </c>
      <c r="L2259" s="4" t="str">
        <f t="shared" si="36"/>
        <v>are</v>
      </c>
      <c r="M2259" t="str">
        <v>for</v>
      </c>
      <c r="N2259" s="4" cm="1">
        <f t="array" ref="N2259">SUM(--(_xlfn.TEXTSPLIT($J$2232,, " ") = M2259))</f>
        <v>5</v>
      </c>
      <c r="O2259">
        <v>3</v>
      </c>
      <c r="P2259">
        <v>5</v>
      </c>
      <c r="Q2259">
        <v>3</v>
      </c>
    </row>
    <row r="2260" spans="5:17" x14ac:dyDescent="0.2">
      <c r="E2260" s="9" t="s">
        <v>28</v>
      </c>
      <c r="K2260" t="str">
        <v xml:space="preserve">landing
</v>
      </c>
      <c r="L2260" s="4" t="str">
        <f t="shared" si="36"/>
        <v xml:space="preserve">landing </v>
      </c>
      <c r="M2260" t="str">
        <v>changes,</v>
      </c>
      <c r="N2260" s="4" cm="1">
        <f t="array" ref="N2260">SUM(--(_xlfn.TEXTSPLIT($J$2232,, " ") = M2260))</f>
        <v>2</v>
      </c>
      <c r="O2260">
        <v>3</v>
      </c>
      <c r="P2260">
        <v>2</v>
      </c>
      <c r="Q2260">
        <v>3</v>
      </c>
    </row>
    <row r="2261" spans="5:17" x14ac:dyDescent="0.2">
      <c r="E2261" s="9" t="s">
        <v>28</v>
      </c>
      <c r="K2261" t="str">
        <v>Now</v>
      </c>
      <c r="L2261" s="4" t="str">
        <f t="shared" si="36"/>
        <v>Now</v>
      </c>
      <c r="M2261" t="str">
        <v>everyone</v>
      </c>
      <c r="N2261" s="4" cm="1">
        <f t="array" ref="N2261">SUM(--(_xlfn.TEXTSPLIT($J$2232,, " ") = M2261))</f>
        <v>2</v>
      </c>
      <c r="O2261">
        <v>3</v>
      </c>
      <c r="P2261">
        <v>2</v>
      </c>
      <c r="Q2261">
        <v>3</v>
      </c>
    </row>
    <row r="2262" spans="5:17" x14ac:dyDescent="0.2">
      <c r="E2262" s="9" t="s">
        <v>28</v>
      </c>
      <c r="K2262" t="str">
        <v>I'm</v>
      </c>
      <c r="L2262" s="4" t="str">
        <f t="shared" si="36"/>
        <v>I m</v>
      </c>
      <c r="M2262" t="str">
        <v xml:space="preserve">sees
</v>
      </c>
      <c r="N2262" s="4" cm="1">
        <f t="array" ref="N2262">SUM(--(_xlfn.TEXTSPLIT($J$2232,, " ") = M2262))</f>
        <v>2</v>
      </c>
      <c r="O2262">
        <v>3</v>
      </c>
      <c r="P2262">
        <v>2</v>
      </c>
      <c r="Q2262">
        <v>3</v>
      </c>
    </row>
    <row r="2263" spans="5:17" x14ac:dyDescent="0.2">
      <c r="E2263" s="9" t="s">
        <v>28</v>
      </c>
      <c r="K2263" t="str">
        <v>waitin'</v>
      </c>
      <c r="L2263" s="4" t="str">
        <f t="shared" si="36"/>
        <v xml:space="preserve">waitin </v>
      </c>
      <c r="M2263" t="str">
        <v>Feeling</v>
      </c>
      <c r="N2263" s="4" cm="1">
        <f t="array" ref="N2263">SUM(--(_xlfn.TEXTSPLIT($J$2232,, " ") = M2263))</f>
        <v>2</v>
      </c>
      <c r="O2263">
        <v>2</v>
      </c>
      <c r="P2263">
        <v>2</v>
      </c>
      <c r="Q2263">
        <v>2</v>
      </c>
    </row>
    <row r="2264" spans="5:17" x14ac:dyDescent="0.2">
      <c r="E2264" s="9" t="s">
        <v>28</v>
      </c>
      <c r="K2264" t="str">
        <v>for</v>
      </c>
      <c r="L2264" s="4" t="str">
        <f t="shared" si="36"/>
        <v>for</v>
      </c>
      <c r="M2264" t="str">
        <v>so</v>
      </c>
      <c r="N2264" s="4" cm="1">
        <f t="array" ref="N2264">SUM(--(_xlfn.TEXTSPLIT($J$2232,, " ") = M2264))</f>
        <v>2</v>
      </c>
      <c r="O2264">
        <v>2</v>
      </c>
      <c r="P2264">
        <v>2</v>
      </c>
      <c r="Q2264">
        <v>2</v>
      </c>
    </row>
    <row r="2265" spans="5:17" x14ac:dyDescent="0.2">
      <c r="E2265" s="9" t="s">
        <v>28</v>
      </c>
      <c r="K2265" t="str">
        <v>the</v>
      </c>
      <c r="L2265" s="4" t="str">
        <f t="shared" si="36"/>
        <v>the</v>
      </c>
      <c r="M2265" t="str">
        <v xml:space="preserve">fancy
</v>
      </c>
      <c r="N2265" s="4" cm="1">
        <f t="array" ref="N2265">SUM(--(_xlfn.TEXTSPLIT($J$2232,, " ") = M2265))</f>
        <v>2</v>
      </c>
      <c r="O2265">
        <v>2</v>
      </c>
      <c r="P2265">
        <v>2</v>
      </c>
      <c r="Q2265">
        <v>2</v>
      </c>
    </row>
    <row r="2266" spans="5:17" x14ac:dyDescent="0.2">
      <c r="E2266" s="9" t="s">
        <v>28</v>
      </c>
      <c r="K2266" t="str">
        <v>changes,</v>
      </c>
      <c r="L2266" s="4" t="str">
        <f t="shared" si="36"/>
        <v xml:space="preserve">changes </v>
      </c>
      <c r="M2266" t="str">
        <v>just</v>
      </c>
      <c r="N2266" s="4" cm="1">
        <f t="array" ref="N2266">SUM(--(_xlfn.TEXTSPLIT($J$2232,, " ") = M2266))</f>
        <v>2</v>
      </c>
      <c r="O2266">
        <v>2</v>
      </c>
      <c r="P2266">
        <v>2</v>
      </c>
      <c r="Q2266">
        <v>2</v>
      </c>
    </row>
    <row r="2267" spans="5:17" x14ac:dyDescent="0.2">
      <c r="E2267" s="9" t="s">
        <v>28</v>
      </c>
      <c r="K2267" t="str">
        <v>everyone</v>
      </c>
      <c r="L2267" s="4" t="str">
        <f t="shared" si="36"/>
        <v>everyone</v>
      </c>
      <c r="M2267" t="str">
        <v>wanna</v>
      </c>
      <c r="N2267" s="4" cm="1">
        <f t="array" ref="N2267">SUM(--(_xlfn.TEXTSPLIT($J$2232,, " ") = M2267))</f>
        <v>2</v>
      </c>
      <c r="O2267">
        <v>2</v>
      </c>
      <c r="P2267">
        <v>2</v>
      </c>
      <c r="Q2267">
        <v>2</v>
      </c>
    </row>
    <row r="2268" spans="5:17" x14ac:dyDescent="0.2">
      <c r="E2268" s="9" t="s">
        <v>28</v>
      </c>
      <c r="K2268" t="str">
        <v xml:space="preserve">sees
</v>
      </c>
      <c r="L2268" s="4" t="str">
        <f t="shared" si="36"/>
        <v xml:space="preserve">sees </v>
      </c>
      <c r="M2268" t="str">
        <v>dance</v>
      </c>
      <c r="N2268" s="4" cm="1">
        <f t="array" ref="N2268">SUM(--(_xlfn.TEXTSPLIT($J$2232,, " ") = M2268))</f>
        <v>2</v>
      </c>
      <c r="O2268">
        <v>2</v>
      </c>
      <c r="P2268">
        <v>2</v>
      </c>
      <c r="Q2268">
        <v>2</v>
      </c>
    </row>
    <row r="2269" spans="5:17" x14ac:dyDescent="0.2">
      <c r="E2269" s="9" t="s">
        <v>28</v>
      </c>
      <c r="K2269" t="str">
        <v>Feeling</v>
      </c>
      <c r="L2269" s="4" t="str">
        <f t="shared" si="36"/>
        <v>Feeling</v>
      </c>
      <c r="M2269" t="str">
        <v>style</v>
      </c>
      <c r="N2269" s="4" cm="1">
        <f t="array" ref="N2269">SUM(--(_xlfn.TEXTSPLIT($J$2232,, " ") = M2269))</f>
        <v>2</v>
      </c>
      <c r="O2269">
        <v>2</v>
      </c>
      <c r="P2269">
        <v>2</v>
      </c>
      <c r="Q2269">
        <v>2</v>
      </c>
    </row>
    <row r="2270" spans="5:17" x14ac:dyDescent="0.2">
      <c r="E2270" s="9" t="s">
        <v>28</v>
      </c>
      <c r="K2270" t="str">
        <v>so</v>
      </c>
      <c r="L2270" s="4" t="str">
        <f t="shared" si="36"/>
        <v>so</v>
      </c>
      <c r="M2270" t="str">
        <v>stay</v>
      </c>
      <c r="N2270" s="4" cm="1">
        <f t="array" ref="N2270">SUM(--(_xlfn.TEXTSPLIT($J$2232,, " ") = M2270))</f>
        <v>2</v>
      </c>
      <c r="O2270">
        <v>2</v>
      </c>
      <c r="P2270">
        <v>2</v>
      </c>
      <c r="Q2270">
        <v>2</v>
      </c>
    </row>
    <row r="2271" spans="5:17" x14ac:dyDescent="0.2">
      <c r="E2271" s="9" t="s">
        <v>28</v>
      </c>
      <c r="K2271" t="str">
        <v xml:space="preserve">fancy
</v>
      </c>
      <c r="L2271" s="4" t="str">
        <f t="shared" si="36"/>
        <v xml:space="preserve">fancy  </v>
      </c>
      <c r="M2271" t="str">
        <v>a</v>
      </c>
      <c r="N2271" s="4" cm="1">
        <f t="array" ref="N2271">SUM(--(_xlfn.TEXTSPLIT($J$2232,, " ") = M2271))</f>
        <v>3</v>
      </c>
      <c r="O2271">
        <v>2</v>
      </c>
      <c r="P2271">
        <v>3</v>
      </c>
      <c r="Q2271">
        <v>2</v>
      </c>
    </row>
    <row r="2272" spans="5:17" x14ac:dyDescent="0.2">
      <c r="E2272" s="9" t="s">
        <v>28</v>
      </c>
      <c r="K2272" t="str">
        <v>And</v>
      </c>
      <c r="L2272" s="4" t="str">
        <f t="shared" si="36"/>
        <v>And</v>
      </c>
      <c r="M2272" t="str">
        <v xml:space="preserve">while
</v>
      </c>
      <c r="N2272" s="4" cm="1">
        <f t="array" ref="N2272">SUM(--(_xlfn.TEXTSPLIT($J$2232,, " ") = M2272))</f>
        <v>2</v>
      </c>
      <c r="O2272">
        <v>2</v>
      </c>
      <c r="P2272">
        <v>2</v>
      </c>
      <c r="Q2272">
        <v>2</v>
      </c>
    </row>
    <row r="2273" spans="5:17" x14ac:dyDescent="0.2">
      <c r="E2273" s="9" t="s">
        <v>28</v>
      </c>
      <c r="K2273" t="str">
        <v>I</v>
      </c>
      <c r="L2273" s="4" t="str">
        <f t="shared" si="36"/>
        <v>I</v>
      </c>
      <c r="M2273" t="str">
        <v>lines</v>
      </c>
      <c r="N2273" s="4" cm="1">
        <f t="array" ref="N2273">SUM(--(_xlfn.TEXTSPLIT($J$2232,, " ") = M2273))</f>
        <v>3</v>
      </c>
      <c r="O2273">
        <v>2</v>
      </c>
      <c r="P2273">
        <v>3</v>
      </c>
      <c r="Q2273">
        <v>2</v>
      </c>
    </row>
    <row r="2274" spans="5:17" x14ac:dyDescent="0.2">
      <c r="E2274" s="9" t="s">
        <v>28</v>
      </c>
      <c r="K2274" t="str">
        <v>just</v>
      </c>
      <c r="L2274" s="4" t="str">
        <f t="shared" si="36"/>
        <v>just</v>
      </c>
      <c r="M2274" t="str">
        <v>on</v>
      </c>
      <c r="N2274" s="4" cm="1">
        <f t="array" ref="N2274">SUM(--(_xlfn.TEXTSPLIT($J$2232,, " ") = M2274))</f>
        <v>3</v>
      </c>
      <c r="O2274">
        <v>2</v>
      </c>
      <c r="P2274">
        <v>3</v>
      </c>
      <c r="Q2274">
        <v>2</v>
      </c>
    </row>
    <row r="2275" spans="5:17" x14ac:dyDescent="0.2">
      <c r="E2275" s="9" t="s">
        <v>28</v>
      </c>
      <c r="K2275" t="str">
        <v>wanna</v>
      </c>
      <c r="L2275" s="4" t="str">
        <f t="shared" si="36"/>
        <v>wanna</v>
      </c>
      <c r="M2275" t="str">
        <v>floor,</v>
      </c>
      <c r="N2275" s="4" cm="1">
        <f t="array" ref="N2275">SUM(--(_xlfn.TEXTSPLIT($J$2232,, " ") = M2275))</f>
        <v>2</v>
      </c>
      <c r="O2275">
        <v>2</v>
      </c>
      <c r="P2275">
        <v>2</v>
      </c>
      <c r="Q2275">
        <v>2</v>
      </c>
    </row>
    <row r="2276" spans="5:17" x14ac:dyDescent="0.2">
      <c r="E2276" s="9" t="s">
        <v>28</v>
      </c>
      <c r="K2276" t="str">
        <v>dance</v>
      </c>
      <c r="L2276" s="4" t="str">
        <f t="shared" si="36"/>
        <v>dance</v>
      </c>
      <c r="M2276" t="str">
        <v>how</v>
      </c>
      <c r="N2276" s="4" cm="1">
        <f t="array" ref="N2276">SUM(--(_xlfn.TEXTSPLIT($J$2232,, " ") = M2276))</f>
        <v>2</v>
      </c>
      <c r="O2276">
        <v>2</v>
      </c>
      <c r="P2276">
        <v>2</v>
      </c>
      <c r="Q2276">
        <v>2</v>
      </c>
    </row>
    <row r="2277" spans="5:17" x14ac:dyDescent="0.2">
      <c r="E2277" s="9" t="s">
        <v>28</v>
      </c>
      <c r="K2277" t="str">
        <v>and</v>
      </c>
      <c r="L2277" s="4" t="str">
        <f t="shared" si="36"/>
        <v>and</v>
      </c>
      <c r="M2277" t="str">
        <v>did</v>
      </c>
      <c r="N2277" s="4" cm="1">
        <f t="array" ref="N2277">SUM(--(_xlfn.TEXTSPLIT($J$2232,, " ") = M2277))</f>
        <v>2</v>
      </c>
      <c r="O2277">
        <v>2</v>
      </c>
      <c r="P2277">
        <v>2</v>
      </c>
      <c r="Q2277">
        <v>2</v>
      </c>
    </row>
    <row r="2278" spans="5:17" x14ac:dyDescent="0.2">
      <c r="E2278" s="9" t="s">
        <v>28</v>
      </c>
      <c r="K2278" t="str">
        <v>style</v>
      </c>
      <c r="L2278" s="4" t="str">
        <f t="shared" si="36"/>
        <v>style</v>
      </c>
      <c r="M2278" t="str">
        <v>you</v>
      </c>
      <c r="N2278" s="4" cm="1">
        <f t="array" ref="N2278">SUM(--(_xlfn.TEXTSPLIT($J$2232,, " ") = M2278))</f>
        <v>5</v>
      </c>
      <c r="O2278">
        <v>2</v>
      </c>
      <c r="P2278">
        <v>5</v>
      </c>
      <c r="Q2278">
        <v>2</v>
      </c>
    </row>
    <row r="2279" spans="5:17" x14ac:dyDescent="0.2">
      <c r="E2279" s="9" t="s">
        <v>28</v>
      </c>
      <c r="K2279" t="str">
        <v>and</v>
      </c>
      <c r="L2279" s="4" t="str">
        <f t="shared" si="36"/>
        <v>and</v>
      </c>
      <c r="M2279" t="str">
        <v>find</v>
      </c>
      <c r="N2279" s="4" cm="1">
        <f t="array" ref="N2279">SUM(--(_xlfn.TEXTSPLIT($J$2232,, " ") = M2279))</f>
        <v>2</v>
      </c>
      <c r="O2279">
        <v>2</v>
      </c>
      <c r="P2279">
        <v>2</v>
      </c>
      <c r="Q2279">
        <v>2</v>
      </c>
    </row>
    <row r="2280" spans="5:17" x14ac:dyDescent="0.2">
      <c r="E2280" s="9" t="s">
        <v>28</v>
      </c>
      <c r="K2280" t="str">
        <v>stay</v>
      </c>
      <c r="L2280" s="4" t="str">
        <f t="shared" si="36"/>
        <v>stay</v>
      </c>
      <c r="M2280" t="str">
        <v xml:space="preserve">me?
</v>
      </c>
      <c r="N2280" s="4" cm="1">
        <f t="array" ref="N2280">SUM(--(_xlfn.TEXTSPLIT($J$2232,, " ") = M2280))</f>
        <v>2</v>
      </c>
      <c r="O2280">
        <v>2</v>
      </c>
      <c r="P2280">
        <v>2</v>
      </c>
      <c r="Q2280">
        <v>2</v>
      </c>
    </row>
    <row r="2281" spans="5:17" x14ac:dyDescent="0.2">
      <c r="E2281" s="9" t="s">
        <v>28</v>
      </c>
      <c r="K2281" t="str">
        <v>a</v>
      </c>
      <c r="L2281" s="4" t="str">
        <f t="shared" si="36"/>
        <v>a</v>
      </c>
      <c r="M2281" t="str">
        <v xml:space="preserve">Woo
</v>
      </c>
      <c r="N2281" s="4" cm="1">
        <f t="array" ref="N2281">SUM(--(_xlfn.TEXTSPLIT($J$2232,, " ") = M2281))</f>
        <v>2</v>
      </c>
      <c r="O2281">
        <v>2</v>
      </c>
      <c r="P2281">
        <v>2</v>
      </c>
      <c r="Q2281">
        <v>2</v>
      </c>
    </row>
    <row r="2282" spans="5:17" x14ac:dyDescent="0.2">
      <c r="E2282" s="9" t="s">
        <v>28</v>
      </c>
      <c r="K2282" t="str">
        <v xml:space="preserve">while
</v>
      </c>
      <c r="L2282" s="4" t="str">
        <f t="shared" si="36"/>
        <v xml:space="preserve">while </v>
      </c>
      <c r="M2282" t="str">
        <v>wasn't</v>
      </c>
      <c r="N2282" s="4" cm="1">
        <f t="array" ref="N2282">SUM(--(_xlfn.TEXTSPLIT($J$2232,, " ") = M2282))</f>
        <v>3</v>
      </c>
      <c r="O2282">
        <v>2</v>
      </c>
      <c r="P2282">
        <v>3</v>
      </c>
      <c r="Q2282">
        <v>2</v>
      </c>
    </row>
    <row r="2283" spans="5:17" x14ac:dyDescent="0.2">
      <c r="E2283" s="9" t="s">
        <v>28</v>
      </c>
      <c r="K2283" t="str">
        <v>The</v>
      </c>
      <c r="L2283" s="4" t="str">
        <f t="shared" si="36"/>
        <v>The</v>
      </c>
      <c r="M2283" t="str">
        <v>lookin'</v>
      </c>
      <c r="N2283" s="4" cm="1">
        <f t="array" ref="N2283">SUM(--(_xlfn.TEXTSPLIT($J$2232,, " ") = M2283))</f>
        <v>3</v>
      </c>
      <c r="O2283">
        <v>2</v>
      </c>
      <c r="P2283">
        <v>3</v>
      </c>
      <c r="Q2283">
        <v>2</v>
      </c>
    </row>
    <row r="2284" spans="5:17" x14ac:dyDescent="0.2">
      <c r="E2284" s="9" t="s">
        <v>28</v>
      </c>
      <c r="K2284" t="str">
        <v>lines</v>
      </c>
      <c r="L2284" s="4" t="str">
        <f t="shared" si="36"/>
        <v>lines</v>
      </c>
      <c r="M2284" t="str">
        <v>love</v>
      </c>
      <c r="N2284" s="4" cm="1">
        <f t="array" ref="N2284">SUM(--(_xlfn.TEXTSPLIT($J$2232,, " ") = M2284))</f>
        <v>3</v>
      </c>
      <c r="O2284">
        <v>1</v>
      </c>
      <c r="P2284">
        <v>3</v>
      </c>
      <c r="Q2284">
        <v>1</v>
      </c>
    </row>
    <row r="2285" spans="5:17" x14ac:dyDescent="0.2">
      <c r="E2285" s="9" t="s">
        <v>28</v>
      </c>
      <c r="K2285" t="str">
        <v>on</v>
      </c>
      <c r="L2285" s="4" t="str">
        <f t="shared" si="36"/>
        <v>on</v>
      </c>
      <c r="M2285" t="str">
        <v>this</v>
      </c>
      <c r="N2285" s="4" cm="1">
        <f t="array" ref="N2285">SUM(--(_xlfn.TEXTSPLIT($J$2232,, " ") = M2285))</f>
        <v>3</v>
      </c>
      <c r="O2285">
        <v>1</v>
      </c>
      <c r="P2285">
        <v>3</v>
      </c>
      <c r="Q2285">
        <v>1</v>
      </c>
    </row>
    <row r="2286" spans="5:17" x14ac:dyDescent="0.2">
      <c r="E2286" s="9" t="s">
        <v>28</v>
      </c>
      <c r="K2286" t="str">
        <v>the</v>
      </c>
      <c r="L2286" s="4" t="str">
        <f t="shared" si="36"/>
        <v>the</v>
      </c>
      <c r="M2286" t="str">
        <v xml:space="preserve">year
</v>
      </c>
      <c r="N2286" s="4" cm="1">
        <f t="array" ref="N2286">SUM(--(_xlfn.TEXTSPLIT($J$2232,, " ") = M2286))</f>
        <v>3</v>
      </c>
      <c r="O2286">
        <v>1</v>
      </c>
      <c r="P2286">
        <v>3</v>
      </c>
      <c r="Q2286">
        <v>1</v>
      </c>
    </row>
    <row r="2287" spans="5:17" x14ac:dyDescent="0.2">
      <c r="E2287" s="9" t="s">
        <v>28</v>
      </c>
      <c r="K2287" t="str">
        <v>floor,</v>
      </c>
      <c r="L2287" s="4" t="str">
        <f t="shared" si="36"/>
        <v xml:space="preserve">floor </v>
      </c>
      <c r="M2287" t="str">
        <v>But</v>
      </c>
      <c r="N2287" s="4" cm="1">
        <f t="array" ref="N2287">SUM(--(_xlfn.TEXTSPLIT($J$2232,, " ") = M2287))</f>
        <v>3</v>
      </c>
      <c r="O2287">
        <v>1</v>
      </c>
      <c r="P2287">
        <v>3</v>
      </c>
      <c r="Q2287">
        <v>1</v>
      </c>
    </row>
    <row r="2288" spans="5:17" x14ac:dyDescent="0.2">
      <c r="E2288" s="9" t="s">
        <v>28</v>
      </c>
      <c r="K2288" t="str">
        <v>how</v>
      </c>
      <c r="L2288" s="4" t="str">
        <f t="shared" si="36"/>
        <v>how</v>
      </c>
      <c r="M2288" t="str">
        <v>robot</v>
      </c>
      <c r="N2288" s="4" cm="1">
        <f t="array" ref="N2288">SUM(--(_xlfn.TEXTSPLIT($J$2232,, " ") = M2288))</f>
        <v>6</v>
      </c>
      <c r="O2288">
        <v>1</v>
      </c>
      <c r="P2288">
        <v>6</v>
      </c>
      <c r="Q2288">
        <v>1</v>
      </c>
    </row>
    <row r="2289" spans="5:17" x14ac:dyDescent="0.2">
      <c r="E2289" s="9" t="s">
        <v>28</v>
      </c>
      <c r="K2289" t="str">
        <v>did</v>
      </c>
      <c r="L2289" s="4" t="str">
        <f t="shared" si="36"/>
        <v>did</v>
      </c>
      <c r="M2289" t="str">
        <v>told</v>
      </c>
      <c r="N2289" s="4" cm="1">
        <f t="array" ref="N2289">SUM(--(_xlfn.TEXTSPLIT($J$2232,, " ") = M2289))</f>
        <v>3</v>
      </c>
      <c r="O2289">
        <v>1</v>
      </c>
      <c r="P2289">
        <v>3</v>
      </c>
      <c r="Q2289">
        <v>1</v>
      </c>
    </row>
    <row r="2290" spans="5:17" x14ac:dyDescent="0.2">
      <c r="E2290" s="9" t="s">
        <v>28</v>
      </c>
      <c r="K2290" t="str">
        <v>you</v>
      </c>
      <c r="L2290" s="4" t="str">
        <f t="shared" si="36"/>
        <v>you</v>
      </c>
      <c r="M2290" t="str">
        <v>that</v>
      </c>
      <c r="N2290" s="4" cm="1">
        <f t="array" ref="N2290">SUM(--(_xlfn.TEXTSPLIT($J$2232,, " ") = M2290))</f>
        <v>3</v>
      </c>
      <c r="O2290">
        <v>1</v>
      </c>
      <c r="P2290">
        <v>3</v>
      </c>
      <c r="Q2290">
        <v>1</v>
      </c>
    </row>
    <row r="2291" spans="5:17" x14ac:dyDescent="0.2">
      <c r="E2291" s="9" t="s">
        <v>28</v>
      </c>
      <c r="K2291" t="str">
        <v>find</v>
      </c>
      <c r="L2291" s="4" t="str">
        <f t="shared" si="36"/>
        <v>find</v>
      </c>
      <c r="M2291" t="str">
        <v>shouldn't</v>
      </c>
      <c r="N2291" s="4" cm="1">
        <f t="array" ref="N2291">SUM(--(_xlfn.TEXTSPLIT($J$2232,, " ") = M2291))</f>
        <v>3</v>
      </c>
      <c r="O2291">
        <v>1</v>
      </c>
      <c r="P2291">
        <v>3</v>
      </c>
      <c r="Q2291">
        <v>1</v>
      </c>
    </row>
    <row r="2292" spans="5:17" x14ac:dyDescent="0.2">
      <c r="E2292" s="9" t="s">
        <v>28</v>
      </c>
      <c r="K2292" t="str">
        <v xml:space="preserve">me?
</v>
      </c>
      <c r="L2292" s="4" t="str">
        <f t="shared" si="36"/>
        <v xml:space="preserve">me   </v>
      </c>
      <c r="M2292" t="str">
        <v xml:space="preserve">fear
</v>
      </c>
      <c r="N2292" s="4" cm="1">
        <f t="array" ref="N2292">SUM(--(_xlfn.TEXTSPLIT($J$2232,, " ") = M2292))</f>
        <v>3</v>
      </c>
      <c r="O2292">
        <v>1</v>
      </c>
      <c r="P2292">
        <v>3</v>
      </c>
      <c r="Q2292">
        <v>1</v>
      </c>
    </row>
    <row r="2293" spans="5:17" x14ac:dyDescent="0.2">
      <c r="E2293" s="9" t="s">
        <v>28</v>
      </c>
      <c r="K2293" t="str">
        <v xml:space="preserve">Woo
</v>
      </c>
      <c r="L2293" s="4" t="str">
        <f t="shared" si="36"/>
        <v xml:space="preserve">Woo </v>
      </c>
      <c r="M2293" t="str">
        <v>When</v>
      </c>
      <c r="N2293" s="4" cm="1">
        <f t="array" ref="N2293">SUM(--(_xlfn.TEXTSPLIT($J$2232,, " ") = M2293))</f>
        <v>3</v>
      </c>
      <c r="O2293">
        <v>1</v>
      </c>
      <c r="P2293">
        <v>3</v>
      </c>
      <c r="Q2293">
        <v>1</v>
      </c>
    </row>
    <row r="2294" spans="5:17" x14ac:dyDescent="0.2">
      <c r="E2294" s="9" t="s">
        <v>28</v>
      </c>
      <c r="K2294" t="str">
        <v>I</v>
      </c>
      <c r="L2294" s="4" t="str">
        <f t="shared" si="36"/>
        <v>I</v>
      </c>
      <c r="M2294" t="str">
        <v>met</v>
      </c>
      <c r="N2294" s="4" cm="1">
        <f t="array" ref="N2294">SUM(--(_xlfn.TEXTSPLIT($J$2232,, " ") = M2294))</f>
        <v>3</v>
      </c>
      <c r="O2294">
        <v>1</v>
      </c>
      <c r="P2294">
        <v>3</v>
      </c>
      <c r="Q2294">
        <v>1</v>
      </c>
    </row>
    <row r="2295" spans="5:17" x14ac:dyDescent="0.2">
      <c r="E2295" s="9" t="s">
        <v>28</v>
      </c>
      <c r="K2295" t="str">
        <v>wasn't</v>
      </c>
      <c r="L2295" s="4" t="str">
        <f t="shared" si="36"/>
        <v>wasn t</v>
      </c>
      <c r="M2295" t="str">
        <v>you,</v>
      </c>
      <c r="N2295" s="4" cm="1">
        <f t="array" ref="N2295">SUM(--(_xlfn.TEXTSPLIT($J$2232,, " ") = M2295))</f>
        <v>3</v>
      </c>
      <c r="O2295">
        <v>1</v>
      </c>
      <c r="P2295">
        <v>3</v>
      </c>
      <c r="Q2295">
        <v>1</v>
      </c>
    </row>
    <row r="2296" spans="5:17" x14ac:dyDescent="0.2">
      <c r="E2296" s="9" t="s">
        <v>28</v>
      </c>
      <c r="K2296" t="str">
        <v>lookin'</v>
      </c>
      <c r="L2296" s="4" t="str">
        <f t="shared" si="36"/>
        <v xml:space="preserve">lookin </v>
      </c>
      <c r="M2296" t="str">
        <v>found</v>
      </c>
      <c r="N2296" s="4" cm="1">
        <f t="array" ref="N2296">SUM(--(_xlfn.TEXTSPLIT($J$2232,, " ") = M2296))</f>
        <v>3</v>
      </c>
      <c r="O2296">
        <v>1</v>
      </c>
      <c r="P2296">
        <v>3</v>
      </c>
      <c r="Q2296">
        <v>1</v>
      </c>
    </row>
    <row r="2297" spans="5:17" x14ac:dyDescent="0.2">
      <c r="E2297" s="9" t="s">
        <v>28</v>
      </c>
      <c r="K2297" t="str">
        <v>for</v>
      </c>
      <c r="L2297" s="4" t="str">
        <f t="shared" ref="L2297:L2360" si="37">_xlfn.REGEXREPLACE(K2297, "[^A-Za-z ]", " ")</f>
        <v>for</v>
      </c>
      <c r="M2297" t="str">
        <v>safe</v>
      </c>
      <c r="N2297" s="4" cm="1">
        <f t="array" ref="N2297">SUM(--(_xlfn.TEXTSPLIT($J$2232,, " ") = M2297))</f>
        <v>3</v>
      </c>
      <c r="O2297">
        <v>1</v>
      </c>
      <c r="P2297">
        <v>3</v>
      </c>
      <c r="Q2297">
        <v>1</v>
      </c>
    </row>
    <row r="2298" spans="5:17" x14ac:dyDescent="0.2">
      <c r="E2298" s="9" t="s">
        <v>28</v>
      </c>
      <c r="K2298" t="str">
        <v>love</v>
      </c>
      <c r="L2298" s="4" t="str">
        <f t="shared" si="37"/>
        <v>love</v>
      </c>
      <c r="M2298" t="str">
        <v xml:space="preserve">warm
</v>
      </c>
      <c r="N2298" s="4" cm="1">
        <f t="array" ref="N2298">SUM(--(_xlfn.TEXTSPLIT($J$2232,, " ") = M2298))</f>
        <v>3</v>
      </c>
      <c r="O2298">
        <v>1</v>
      </c>
      <c r="P2298">
        <v>3</v>
      </c>
      <c r="Q2298">
        <v>1</v>
      </c>
    </row>
    <row r="2299" spans="5:17" x14ac:dyDescent="0.2">
      <c r="E2299" s="9" t="s">
        <v>28</v>
      </c>
      <c r="K2299" t="str">
        <v>this</v>
      </c>
      <c r="L2299" s="4" t="str">
        <f t="shared" si="37"/>
        <v>this</v>
      </c>
      <c r="M2299" t="str">
        <v>Then</v>
      </c>
      <c r="N2299" s="4" cm="1">
        <f t="array" ref="N2299">SUM(--(_xlfn.TEXTSPLIT($J$2232,, " ") = M2299))</f>
        <v>3</v>
      </c>
      <c r="O2299">
        <v>1</v>
      </c>
      <c r="P2299">
        <v>3</v>
      </c>
      <c r="Q2299">
        <v>1</v>
      </c>
    </row>
    <row r="2300" spans="5:17" x14ac:dyDescent="0.2">
      <c r="E2300" s="9" t="s">
        <v>28</v>
      </c>
      <c r="K2300" t="str">
        <v xml:space="preserve">year
</v>
      </c>
      <c r="L2300" s="4" t="str">
        <f t="shared" si="37"/>
        <v xml:space="preserve">year </v>
      </c>
      <c r="M2300" t="str">
        <v>voices</v>
      </c>
      <c r="N2300" s="4" cm="1">
        <f t="array" ref="N2300">SUM(--(_xlfn.TEXTSPLIT($J$2232,, " ") = M2300))</f>
        <v>3</v>
      </c>
      <c r="O2300">
        <v>1</v>
      </c>
      <c r="P2300">
        <v>3</v>
      </c>
      <c r="Q2300">
        <v>1</v>
      </c>
    </row>
    <row r="2301" spans="5:17" x14ac:dyDescent="0.2">
      <c r="E2301" s="9" t="s">
        <v>28</v>
      </c>
      <c r="K2301" t="str">
        <v>But</v>
      </c>
      <c r="L2301" s="4" t="str">
        <f t="shared" si="37"/>
        <v>But</v>
      </c>
      <c r="M2301" t="str">
        <v>would</v>
      </c>
      <c r="N2301" s="4" cm="1">
        <f t="array" ref="N2301">SUM(--(_xlfn.TEXTSPLIT($J$2232,, " ") = M2301))</f>
        <v>3</v>
      </c>
      <c r="O2301">
        <v>1</v>
      </c>
      <c r="P2301">
        <v>3</v>
      </c>
      <c r="Q2301">
        <v>1</v>
      </c>
    </row>
    <row r="2302" spans="5:17" x14ac:dyDescent="0.2">
      <c r="E2302" s="9" t="s">
        <v>28</v>
      </c>
      <c r="K2302" t="str">
        <v>my</v>
      </c>
      <c r="L2302" s="4" t="str">
        <f t="shared" si="37"/>
        <v>my</v>
      </c>
      <c r="M2302" t="str">
        <v>reassure</v>
      </c>
      <c r="N2302" s="4" cm="1">
        <f t="array" ref="N2302">SUM(--(_xlfn.TEXTSPLIT($J$2232,, " ") = M2302))</f>
        <v>3</v>
      </c>
      <c r="O2302">
        <v>1</v>
      </c>
      <c r="P2302">
        <v>3</v>
      </c>
      <c r="Q2302">
        <v>1</v>
      </c>
    </row>
    <row r="2303" spans="5:17" x14ac:dyDescent="0.2">
      <c r="E2303" s="9" t="s">
        <v>28</v>
      </c>
      <c r="K2303" t="str">
        <v>robot</v>
      </c>
      <c r="L2303" s="4" t="str">
        <f t="shared" si="37"/>
        <v>robot</v>
      </c>
      <c r="M2303" t="str">
        <v xml:space="preserve">me
</v>
      </c>
      <c r="N2303" s="4" cm="1">
        <f t="array" ref="N2303">SUM(--(_xlfn.TEXTSPLIT($J$2232,, " ") = M2303))</f>
        <v>1</v>
      </c>
      <c r="O2303">
        <v>1</v>
      </c>
      <c r="P2303">
        <v>1</v>
      </c>
      <c r="Q2303">
        <v>1</v>
      </c>
    </row>
    <row r="2304" spans="5:17" x14ac:dyDescent="0.2">
      <c r="E2304" s="9" t="s">
        <v>28</v>
      </c>
      <c r="K2304" t="str">
        <v>told</v>
      </c>
      <c r="L2304" s="4" t="str">
        <f t="shared" si="37"/>
        <v>told</v>
      </c>
      <c r="M2304" t="str">
        <v>half-drawn</v>
      </c>
      <c r="N2304" s="4" cm="1">
        <f t="array" ref="N2304">SUM(--(_xlfn.TEXTSPLIT($J$2232,, " ") = M2304))</f>
        <v>1</v>
      </c>
      <c r="O2304">
        <v>1</v>
      </c>
      <c r="P2304">
        <v>1</v>
      </c>
      <c r="Q2304">
        <v>1</v>
      </c>
    </row>
    <row r="2305" spans="5:17" x14ac:dyDescent="0.2">
      <c r="E2305" s="9" t="s">
        <v>28</v>
      </c>
      <c r="K2305" t="str">
        <v>me</v>
      </c>
      <c r="L2305" s="4" t="str">
        <f t="shared" si="37"/>
        <v>me</v>
      </c>
      <c r="M2305" t="str">
        <v>blinds</v>
      </c>
      <c r="N2305" s="4" cm="1">
        <f t="array" ref="N2305">SUM(--(_xlfn.TEXTSPLIT($J$2232,, " ") = M2305))</f>
        <v>1</v>
      </c>
      <c r="O2305">
        <v>1</v>
      </c>
      <c r="P2305">
        <v>1</v>
      </c>
      <c r="Q2305">
        <v>1</v>
      </c>
    </row>
    <row r="2306" spans="5:17" x14ac:dyDescent="0.2">
      <c r="E2306" s="9" t="s">
        <v>28</v>
      </c>
      <c r="K2306" t="str">
        <v>that</v>
      </c>
      <c r="L2306" s="4" t="str">
        <f t="shared" si="37"/>
        <v>that</v>
      </c>
      <c r="M2306" t="str">
        <v>casting</v>
      </c>
      <c r="N2306" s="4" cm="1">
        <f t="array" ref="N2306">SUM(--(_xlfn.TEXTSPLIT($J$2232,, " ") = M2306))</f>
        <v>1</v>
      </c>
      <c r="O2306">
        <v>1</v>
      </c>
      <c r="P2306">
        <v>1</v>
      </c>
      <c r="Q2306">
        <v>1</v>
      </c>
    </row>
    <row r="2307" spans="5:17" x14ac:dyDescent="0.2">
      <c r="E2307" s="9" t="s">
        <v>28</v>
      </c>
      <c r="K2307" t="str">
        <v>I</v>
      </c>
      <c r="L2307" s="4" t="str">
        <f t="shared" si="37"/>
        <v>I</v>
      </c>
      <c r="M2307" t="str">
        <v>floor</v>
      </c>
      <c r="N2307" s="4" cm="1">
        <f t="array" ref="N2307">SUM(--(_xlfn.TEXTSPLIT($J$2232,, " ") = M2307))</f>
        <v>1</v>
      </c>
      <c r="O2307">
        <v>1</v>
      </c>
      <c r="P2307">
        <v>1</v>
      </c>
      <c r="Q2307">
        <v>1</v>
      </c>
    </row>
    <row r="2308" spans="5:17" x14ac:dyDescent="0.2">
      <c r="E2308" s="9" t="s">
        <v>28</v>
      </c>
      <c r="K2308" t="str">
        <v>shouldn't</v>
      </c>
      <c r="L2308" s="4" t="str">
        <f t="shared" si="37"/>
        <v>shouldn t</v>
      </c>
      <c r="M2308" t="str">
        <v>as</v>
      </c>
      <c r="N2308" s="4" cm="1">
        <f t="array" ref="N2308">SUM(--(_xlfn.TEXTSPLIT($J$2232,, " ") = M2308))</f>
        <v>1</v>
      </c>
      <c r="O2308">
        <v>1</v>
      </c>
      <c r="P2308">
        <v>1</v>
      </c>
      <c r="Q2308">
        <v>1</v>
      </c>
    </row>
    <row r="2309" spans="5:17" x14ac:dyDescent="0.2">
      <c r="E2309" s="9" t="s">
        <v>28</v>
      </c>
      <c r="K2309" t="str">
        <v xml:space="preserve">fear
</v>
      </c>
      <c r="L2309" s="4" t="str">
        <f t="shared" si="37"/>
        <v xml:space="preserve">fear </v>
      </c>
      <c r="M2309" t="str">
        <v>metal</v>
      </c>
      <c r="N2309" s="4" cm="1">
        <f t="array" ref="N2309">SUM(--(_xlfn.TEXTSPLIT($J$2232,, " ") = M2309))</f>
        <v>1</v>
      </c>
      <c r="O2309">
        <v>1</v>
      </c>
      <c r="P2309">
        <v>1</v>
      </c>
      <c r="Q2309">
        <v>1</v>
      </c>
    </row>
    <row r="2310" spans="5:17" x14ac:dyDescent="0.2">
      <c r="E2310" s="9" t="s">
        <v>28</v>
      </c>
      <c r="K2310" t="str">
        <v>When</v>
      </c>
      <c r="L2310" s="4" t="str">
        <f t="shared" si="37"/>
        <v>When</v>
      </c>
      <c r="M2310" t="str">
        <v>friend</v>
      </c>
      <c r="N2310" s="4" cm="1">
        <f t="array" ref="N2310">SUM(--(_xlfn.TEXTSPLIT($J$2232,, " ") = M2310))</f>
        <v>1</v>
      </c>
      <c r="O2310">
        <v>1</v>
      </c>
      <c r="P2310">
        <v>1</v>
      </c>
      <c r="Q2310">
        <v>1</v>
      </c>
    </row>
    <row r="2311" spans="5:17" x14ac:dyDescent="0.2">
      <c r="E2311" s="9" t="s">
        <v>28</v>
      </c>
      <c r="K2311" t="str">
        <v>I</v>
      </c>
      <c r="L2311" s="4" t="str">
        <f t="shared" si="37"/>
        <v>I</v>
      </c>
      <c r="M2311" t="str">
        <v>flashes</v>
      </c>
      <c r="N2311" s="4" cm="1">
        <f t="array" ref="N2311">SUM(--(_xlfn.TEXTSPLIT($J$2232,, " ") = M2311))</f>
        <v>1</v>
      </c>
      <c r="O2311">
        <v>1</v>
      </c>
      <c r="P2311">
        <v>1</v>
      </c>
      <c r="Q2311">
        <v>1</v>
      </c>
    </row>
    <row r="2312" spans="5:17" x14ac:dyDescent="0.2">
      <c r="E2312" s="9" t="s">
        <v>28</v>
      </c>
      <c r="K2312" t="str">
        <v>met</v>
      </c>
      <c r="L2312" s="4" t="str">
        <f t="shared" si="37"/>
        <v>met</v>
      </c>
      <c r="M2312" t="str">
        <v xml:space="preserve">time
</v>
      </c>
      <c r="N2312" s="4" cm="1">
        <f t="array" ref="N2312">SUM(--(_xlfn.TEXTSPLIT($J$2232,, " ") = M2312))</f>
        <v>1</v>
      </c>
      <c r="O2312">
        <v>1</v>
      </c>
      <c r="P2312">
        <v>1</v>
      </c>
      <c r="Q2312">
        <v>1</v>
      </c>
    </row>
    <row r="2313" spans="5:17" x14ac:dyDescent="0.2">
      <c r="E2313" s="9" t="s">
        <v>28</v>
      </c>
      <c r="K2313" t="str">
        <v>you,</v>
      </c>
      <c r="L2313" s="4" t="str">
        <f t="shared" si="37"/>
        <v xml:space="preserve">you </v>
      </c>
      <c r="M2313" t="str">
        <v>daisy-chained</v>
      </c>
      <c r="N2313" s="4" cm="1">
        <f t="array" ref="N2313">SUM(--(_xlfn.TEXTSPLIT($J$2232,, " ") = M2313))</f>
        <v>1</v>
      </c>
      <c r="O2313">
        <v>1</v>
      </c>
      <c r="P2313">
        <v>1</v>
      </c>
      <c r="Q2313">
        <v>1</v>
      </c>
    </row>
    <row r="2314" spans="5:17" x14ac:dyDescent="0.2">
      <c r="E2314" s="9" t="s">
        <v>28</v>
      </c>
      <c r="K2314" t="str">
        <v>I</v>
      </c>
      <c r="L2314" s="4" t="str">
        <f t="shared" si="37"/>
        <v>I</v>
      </c>
      <c r="M2314" t="str">
        <v>power</v>
      </c>
      <c r="N2314" s="4" cm="1">
        <f t="array" ref="N2314">SUM(--(_xlfn.TEXTSPLIT($J$2232,, " ") = M2314))</f>
        <v>1</v>
      </c>
      <c r="O2314">
        <v>1</v>
      </c>
      <c r="P2314">
        <v>1</v>
      </c>
      <c r="Q2314">
        <v>1</v>
      </c>
    </row>
    <row r="2315" spans="5:17" x14ac:dyDescent="0.2">
      <c r="E2315" s="9" t="s">
        <v>28</v>
      </c>
      <c r="K2315" t="str">
        <v>found</v>
      </c>
      <c r="L2315" s="4" t="str">
        <f t="shared" si="37"/>
        <v>found</v>
      </c>
      <c r="M2315" t="str">
        <v>strips</v>
      </c>
      <c r="N2315" s="4" cm="1">
        <f t="array" ref="N2315">SUM(--(_xlfn.TEXTSPLIT($J$2232,, " ") = M2315))</f>
        <v>1</v>
      </c>
      <c r="O2315">
        <v>1</v>
      </c>
      <c r="P2315">
        <v>1</v>
      </c>
      <c r="Q2315">
        <v>1</v>
      </c>
    </row>
    <row r="2316" spans="5:17" x14ac:dyDescent="0.2">
      <c r="E2316" s="9" t="s">
        <v>28</v>
      </c>
      <c r="K2316" t="str">
        <v>you</v>
      </c>
      <c r="L2316" s="4" t="str">
        <f t="shared" si="37"/>
        <v>you</v>
      </c>
      <c r="M2316" t="str">
        <v xml:space="preserve">generating
</v>
      </c>
      <c r="N2316" s="4" cm="1">
        <f t="array" ref="N2316">SUM(--(_xlfn.TEXTSPLIT($J$2232,, " ") = M2316))</f>
        <v>1</v>
      </c>
      <c r="O2316">
        <v>1</v>
      </c>
      <c r="P2316">
        <v>1</v>
      </c>
      <c r="Q2316">
        <v>1</v>
      </c>
    </row>
    <row r="2317" spans="5:17" x14ac:dyDescent="0.2">
      <c r="E2317" s="9" t="s">
        <v>28</v>
      </c>
      <c r="K2317" t="str">
        <v>safe</v>
      </c>
      <c r="L2317" s="4" t="str">
        <f t="shared" si="37"/>
        <v>safe</v>
      </c>
      <c r="M2317" t="str">
        <v>newfound</v>
      </c>
      <c r="N2317" s="4" cm="1">
        <f t="array" ref="N2317">SUM(--(_xlfn.TEXTSPLIT($J$2232,, " ") = M2317))</f>
        <v>1</v>
      </c>
      <c r="O2317">
        <v>1</v>
      </c>
      <c r="P2317">
        <v>1</v>
      </c>
      <c r="Q2317">
        <v>1</v>
      </c>
    </row>
    <row r="2318" spans="5:17" x14ac:dyDescent="0.2">
      <c r="E2318" s="9" t="s">
        <v>28</v>
      </c>
      <c r="K2318" t="str">
        <v>and</v>
      </c>
      <c r="L2318" s="4" t="str">
        <f t="shared" si="37"/>
        <v>and</v>
      </c>
      <c r="M2318" t="str">
        <v>loneliness,</v>
      </c>
      <c r="N2318" s="4" cm="1">
        <f t="array" ref="N2318">SUM(--(_xlfn.TEXTSPLIT($J$2232,, " ") = M2318))</f>
        <v>1</v>
      </c>
      <c r="O2318">
        <v>1</v>
      </c>
      <c r="P2318">
        <v>1</v>
      </c>
      <c r="Q2318">
        <v>1</v>
      </c>
    </row>
    <row r="2319" spans="5:17" x14ac:dyDescent="0.2">
      <c r="E2319" s="9" t="s">
        <v>28</v>
      </c>
      <c r="K2319" t="str">
        <v xml:space="preserve">warm
</v>
      </c>
      <c r="L2319" s="4" t="str">
        <f t="shared" si="37"/>
        <v xml:space="preserve">warm </v>
      </c>
      <c r="M2319" t="str">
        <v>waiting</v>
      </c>
      <c r="N2319" s="4" cm="1">
        <f t="array" ref="N2319">SUM(--(_xlfn.TEXTSPLIT($J$2232,, " ") = M2319))</f>
        <v>1</v>
      </c>
      <c r="O2319">
        <v>1</v>
      </c>
      <c r="P2319">
        <v>1</v>
      </c>
      <c r="Q2319">
        <v>1</v>
      </c>
    </row>
    <row r="2320" spans="5:17" x14ac:dyDescent="0.2">
      <c r="E2320" s="9" t="s">
        <v>28</v>
      </c>
      <c r="K2320" t="str">
        <v>Then</v>
      </c>
      <c r="L2320" s="4" t="str">
        <f t="shared" si="37"/>
        <v>Then</v>
      </c>
      <c r="M2320" t="str">
        <v xml:space="preserve">me
</v>
      </c>
      <c r="N2320" s="4" cm="1">
        <f t="array" ref="N2320">SUM(--(_xlfn.TEXTSPLIT($J$2232,, " ") = M2320))</f>
        <v>1</v>
      </c>
      <c r="O2320">
        <v>1</v>
      </c>
      <c r="P2320">
        <v>1</v>
      </c>
      <c r="Q2320">
        <v>1</v>
      </c>
    </row>
    <row r="2321" spans="5:17" x14ac:dyDescent="0.2">
      <c r="E2321" s="9" t="s">
        <v>28</v>
      </c>
      <c r="K2321" t="str">
        <v>the</v>
      </c>
      <c r="L2321" s="4" t="str">
        <f t="shared" si="37"/>
        <v>the</v>
      </c>
      <c r="N2321" s="4" cm="1">
        <f t="array" ref="N2321">SUM(--(_xlfn.TEXTSPLIT($J$2232,, " ") = M2321))</f>
        <v>0</v>
      </c>
      <c r="O2321">
        <v>0</v>
      </c>
      <c r="P2321">
        <v>0</v>
      </c>
      <c r="Q2321">
        <v>0</v>
      </c>
    </row>
    <row r="2322" spans="5:17" x14ac:dyDescent="0.2">
      <c r="E2322" s="9" t="s">
        <v>28</v>
      </c>
      <c r="K2322" t="str">
        <v>robot</v>
      </c>
      <c r="L2322" s="4" t="str">
        <f t="shared" si="37"/>
        <v>robot</v>
      </c>
      <c r="N2322" s="4" cm="1">
        <f t="array" ref="N2322">SUM(--(_xlfn.TEXTSPLIT($J$2232,, " ") = M2322))</f>
        <v>0</v>
      </c>
      <c r="O2322">
        <v>0</v>
      </c>
      <c r="P2322">
        <v>0</v>
      </c>
      <c r="Q2322">
        <v>0</v>
      </c>
    </row>
    <row r="2323" spans="5:17" x14ac:dyDescent="0.2">
      <c r="E2323" s="9" t="s">
        <v>28</v>
      </c>
      <c r="K2323" t="str">
        <v>voices</v>
      </c>
      <c r="L2323" s="4" t="str">
        <f t="shared" si="37"/>
        <v>voices</v>
      </c>
      <c r="N2323" s="4" cm="1">
        <f t="array" ref="N2323">SUM(--(_xlfn.TEXTSPLIT($J$2232,, " ") = M2323))</f>
        <v>0</v>
      </c>
      <c r="O2323">
        <v>0</v>
      </c>
      <c r="P2323">
        <v>0</v>
      </c>
      <c r="Q2323">
        <v>0</v>
      </c>
    </row>
    <row r="2324" spans="5:17" x14ac:dyDescent="0.2">
      <c r="E2324" s="9" t="s">
        <v>28</v>
      </c>
      <c r="K2324" t="str">
        <v>would</v>
      </c>
      <c r="L2324" s="4" t="str">
        <f t="shared" si="37"/>
        <v>would</v>
      </c>
      <c r="N2324" s="4" cm="1">
        <f t="array" ref="N2324">SUM(--(_xlfn.TEXTSPLIT($J$2232,, " ") = M2324))</f>
        <v>0</v>
      </c>
      <c r="O2324">
        <v>0</v>
      </c>
      <c r="P2324">
        <v>0</v>
      </c>
      <c r="Q2324">
        <v>0</v>
      </c>
    </row>
    <row r="2325" spans="5:17" x14ac:dyDescent="0.2">
      <c r="E2325" s="9" t="s">
        <v>28</v>
      </c>
      <c r="K2325" t="str">
        <v>reassure</v>
      </c>
      <c r="L2325" s="4" t="str">
        <f t="shared" si="37"/>
        <v>reassure</v>
      </c>
      <c r="N2325" s="4" cm="1">
        <f t="array" ref="N2325">SUM(--(_xlfn.TEXTSPLIT($J$2232,, " ") = M2325))</f>
        <v>0</v>
      </c>
      <c r="O2325">
        <v>0</v>
      </c>
      <c r="P2325">
        <v>0</v>
      </c>
      <c r="Q2325">
        <v>0</v>
      </c>
    </row>
    <row r="2326" spans="5:17" x14ac:dyDescent="0.2">
      <c r="E2326" s="9" t="s">
        <v>28</v>
      </c>
      <c r="K2326" t="str">
        <v xml:space="preserve">me
</v>
      </c>
      <c r="L2326" s="4" t="str">
        <f t="shared" si="37"/>
        <v xml:space="preserve">me  </v>
      </c>
      <c r="N2326" s="4" cm="1">
        <f t="array" ref="N2326">SUM(--(_xlfn.TEXTSPLIT($J$2232,, " ") = M2326))</f>
        <v>0</v>
      </c>
      <c r="O2326">
        <v>0</v>
      </c>
      <c r="P2326">
        <v>0</v>
      </c>
      <c r="Q2326">
        <v>0</v>
      </c>
    </row>
    <row r="2327" spans="5:17" x14ac:dyDescent="0.2">
      <c r="E2327" s="9" t="s">
        <v>28</v>
      </c>
      <c r="K2327" t="str">
        <v>The</v>
      </c>
      <c r="L2327" s="4" t="str">
        <f t="shared" si="37"/>
        <v>The</v>
      </c>
      <c r="N2327" s="4" cm="1">
        <f t="array" ref="N2327">SUM(--(_xlfn.TEXTSPLIT($J$2232,, " ") = M2327))</f>
        <v>0</v>
      </c>
      <c r="O2327">
        <v>0</v>
      </c>
      <c r="P2327">
        <v>0</v>
      </c>
      <c r="Q2327">
        <v>0</v>
      </c>
    </row>
    <row r="2328" spans="5:17" x14ac:dyDescent="0.2">
      <c r="E2328" s="9" t="s">
        <v>28</v>
      </c>
      <c r="K2328" t="str">
        <v>half-drawn</v>
      </c>
      <c r="L2328" s="4" t="str">
        <f t="shared" si="37"/>
        <v>half drawn</v>
      </c>
      <c r="N2328" s="4" cm="1">
        <f t="array" ref="N2328">SUM(--(_xlfn.TEXTSPLIT($J$2232,, " ") = M2328))</f>
        <v>0</v>
      </c>
      <c r="O2328">
        <v>0</v>
      </c>
      <c r="P2328">
        <v>0</v>
      </c>
      <c r="Q2328">
        <v>0</v>
      </c>
    </row>
    <row r="2329" spans="5:17" x14ac:dyDescent="0.2">
      <c r="E2329" s="9" t="s">
        <v>28</v>
      </c>
      <c r="K2329" t="str">
        <v>blinds</v>
      </c>
      <c r="L2329" s="4" t="str">
        <f t="shared" si="37"/>
        <v>blinds</v>
      </c>
      <c r="N2329" s="4" cm="1">
        <f t="array" ref="N2329">SUM(--(_xlfn.TEXTSPLIT($J$2232,, " ") = M2329))</f>
        <v>0</v>
      </c>
      <c r="O2329">
        <v>0</v>
      </c>
      <c r="P2329">
        <v>0</v>
      </c>
      <c r="Q2329">
        <v>0</v>
      </c>
    </row>
    <row r="2330" spans="5:17" x14ac:dyDescent="0.2">
      <c r="E2330" s="9" t="s">
        <v>28</v>
      </c>
      <c r="K2330" t="str">
        <v>casting</v>
      </c>
      <c r="L2330" s="4" t="str">
        <f t="shared" si="37"/>
        <v>casting</v>
      </c>
      <c r="N2330" s="4" cm="1">
        <f t="array" ref="N2330">SUM(--(_xlfn.TEXTSPLIT($J$2232,, " ") = M2330))</f>
        <v>0</v>
      </c>
      <c r="O2330">
        <v>0</v>
      </c>
      <c r="P2330">
        <v>0</v>
      </c>
      <c r="Q2330">
        <v>0</v>
      </c>
    </row>
    <row r="2331" spans="5:17" x14ac:dyDescent="0.2">
      <c r="E2331" s="9" t="s">
        <v>28</v>
      </c>
      <c r="K2331" t="str">
        <v>lines</v>
      </c>
      <c r="L2331" s="4" t="str">
        <f t="shared" si="37"/>
        <v>lines</v>
      </c>
      <c r="N2331" s="4" cm="1">
        <f t="array" ref="N2331">SUM(--(_xlfn.TEXTSPLIT($J$2232,, " ") = M2331))</f>
        <v>0</v>
      </c>
      <c r="O2331">
        <v>0</v>
      </c>
      <c r="P2331">
        <v>0</v>
      </c>
      <c r="Q2331">
        <v>0</v>
      </c>
    </row>
    <row r="2332" spans="5:17" x14ac:dyDescent="0.2">
      <c r="E2332" s="9" t="s">
        <v>28</v>
      </c>
      <c r="K2332" t="str">
        <v>on</v>
      </c>
      <c r="L2332" s="4" t="str">
        <f t="shared" si="37"/>
        <v>on</v>
      </c>
      <c r="N2332" s="4" cm="1">
        <f t="array" ref="N2332">SUM(--(_xlfn.TEXTSPLIT($J$2232,, " ") = M2332))</f>
        <v>0</v>
      </c>
      <c r="O2332">
        <v>0</v>
      </c>
      <c r="P2332">
        <v>0</v>
      </c>
      <c r="Q2332">
        <v>0</v>
      </c>
    </row>
    <row r="2333" spans="5:17" x14ac:dyDescent="0.2">
      <c r="E2333" s="9" t="s">
        <v>28</v>
      </c>
      <c r="K2333" t="str">
        <v>the</v>
      </c>
      <c r="L2333" s="4" t="str">
        <f t="shared" si="37"/>
        <v>the</v>
      </c>
      <c r="N2333" s="4" cm="1">
        <f t="array" ref="N2333">SUM(--(_xlfn.TEXTSPLIT($J$2232,, " ") = M2333))</f>
        <v>0</v>
      </c>
      <c r="O2333">
        <v>0</v>
      </c>
      <c r="P2333">
        <v>0</v>
      </c>
      <c r="Q2333">
        <v>0</v>
      </c>
    </row>
    <row r="2334" spans="5:17" x14ac:dyDescent="0.2">
      <c r="E2334" s="9" t="s">
        <v>28</v>
      </c>
      <c r="K2334" t="str">
        <v>floor</v>
      </c>
      <c r="L2334" s="4" t="str">
        <f t="shared" si="37"/>
        <v>floor</v>
      </c>
      <c r="N2334" s="4" cm="1">
        <f t="array" ref="N2334">SUM(--(_xlfn.TEXTSPLIT($J$2232,, " ") = M2334))</f>
        <v>0</v>
      </c>
      <c r="O2334">
        <v>0</v>
      </c>
      <c r="P2334">
        <v>0</v>
      </c>
      <c r="Q2334">
        <v>0</v>
      </c>
    </row>
    <row r="2335" spans="5:17" x14ac:dyDescent="0.2">
      <c r="E2335" s="9" t="s">
        <v>28</v>
      </c>
      <c r="K2335" t="str">
        <v>as</v>
      </c>
      <c r="L2335" s="4" t="str">
        <f t="shared" si="37"/>
        <v>as</v>
      </c>
      <c r="N2335" s="4" cm="1">
        <f t="array" ref="N2335">SUM(--(_xlfn.TEXTSPLIT($J$2232,, " ") = M2335))</f>
        <v>0</v>
      </c>
      <c r="O2335">
        <v>0</v>
      </c>
      <c r="P2335">
        <v>0</v>
      </c>
      <c r="Q2335">
        <v>0</v>
      </c>
    </row>
    <row r="2336" spans="5:17" x14ac:dyDescent="0.2">
      <c r="E2336" s="9" t="s">
        <v>28</v>
      </c>
      <c r="K2336" t="str">
        <v>my</v>
      </c>
      <c r="L2336" s="4" t="str">
        <f t="shared" si="37"/>
        <v>my</v>
      </c>
      <c r="N2336" s="4" cm="1">
        <f t="array" ref="N2336">SUM(--(_xlfn.TEXTSPLIT($J$2232,, " ") = M2336))</f>
        <v>0</v>
      </c>
      <c r="O2336">
        <v>0</v>
      </c>
      <c r="P2336">
        <v>0</v>
      </c>
      <c r="Q2336">
        <v>0</v>
      </c>
    </row>
    <row r="2337" spans="5:17" x14ac:dyDescent="0.2">
      <c r="E2337" s="9" t="s">
        <v>28</v>
      </c>
      <c r="K2337" t="str">
        <v>metal</v>
      </c>
      <c r="L2337" s="4" t="str">
        <f t="shared" si="37"/>
        <v>metal</v>
      </c>
      <c r="N2337" s="4" cm="1">
        <f t="array" ref="N2337">SUM(--(_xlfn.TEXTSPLIT($J$2232,, " ") = M2337))</f>
        <v>0</v>
      </c>
      <c r="O2337">
        <v>0</v>
      </c>
      <c r="P2337">
        <v>0</v>
      </c>
      <c r="Q2337">
        <v>0</v>
      </c>
    </row>
    <row r="2338" spans="5:17" x14ac:dyDescent="0.2">
      <c r="E2338" s="9" t="s">
        <v>28</v>
      </c>
      <c r="K2338" t="str">
        <v>friend</v>
      </c>
      <c r="L2338" s="4" t="str">
        <f t="shared" si="37"/>
        <v>friend</v>
      </c>
      <c r="N2338" s="4" cm="1">
        <f t="array" ref="N2338">SUM(--(_xlfn.TEXTSPLIT($J$2232,, " ") = M2338))</f>
        <v>0</v>
      </c>
      <c r="O2338">
        <v>0</v>
      </c>
      <c r="P2338">
        <v>0</v>
      </c>
      <c r="Q2338">
        <v>0</v>
      </c>
    </row>
    <row r="2339" spans="5:17" x14ac:dyDescent="0.2">
      <c r="E2339" s="9" t="s">
        <v>28</v>
      </c>
      <c r="K2339" t="str">
        <v>flashes</v>
      </c>
      <c r="L2339" s="4" t="str">
        <f t="shared" si="37"/>
        <v>flashes</v>
      </c>
      <c r="N2339" s="4" cm="1">
        <f t="array" ref="N2339">SUM(--(_xlfn.TEXTSPLIT($J$2232,, " ") = M2339))</f>
        <v>0</v>
      </c>
      <c r="O2339">
        <v>0</v>
      </c>
      <c r="P2339">
        <v>0</v>
      </c>
      <c r="Q2339">
        <v>0</v>
      </c>
    </row>
    <row r="2340" spans="5:17" x14ac:dyDescent="0.2">
      <c r="E2340" s="9" t="s">
        <v>28</v>
      </c>
      <c r="K2340" t="str">
        <v>in</v>
      </c>
      <c r="L2340" s="4" t="str">
        <f t="shared" si="37"/>
        <v>in</v>
      </c>
      <c r="N2340" s="4" cm="1">
        <f t="array" ref="N2340">SUM(--(_xlfn.TEXTSPLIT($J$2232,, " ") = M2340))</f>
        <v>0</v>
      </c>
      <c r="O2340">
        <v>0</v>
      </c>
      <c r="P2340">
        <v>0</v>
      </c>
      <c r="Q2340">
        <v>0</v>
      </c>
    </row>
    <row r="2341" spans="5:17" x14ac:dyDescent="0.2">
      <c r="E2341" s="9" t="s">
        <v>28</v>
      </c>
      <c r="K2341" t="str">
        <v xml:space="preserve">time
</v>
      </c>
      <c r="L2341" s="4" t="str">
        <f t="shared" si="37"/>
        <v xml:space="preserve">time </v>
      </c>
      <c r="N2341" s="4" cm="1">
        <f t="array" ref="N2341">SUM(--(_xlfn.TEXTSPLIT($J$2232,, " ") = M2341))</f>
        <v>0</v>
      </c>
      <c r="O2341">
        <v>0</v>
      </c>
      <c r="P2341">
        <v>0</v>
      </c>
      <c r="Q2341">
        <v>0</v>
      </c>
    </row>
    <row r="2342" spans="5:17" x14ac:dyDescent="0.2">
      <c r="E2342" s="9" t="s">
        <v>28</v>
      </c>
      <c r="K2342" t="str">
        <v>The</v>
      </c>
      <c r="L2342" s="4" t="str">
        <f t="shared" si="37"/>
        <v>The</v>
      </c>
      <c r="N2342" s="4" cm="1">
        <f t="array" ref="N2342">SUM(--(_xlfn.TEXTSPLIT($J$2232,, " ") = M2342))</f>
        <v>0</v>
      </c>
      <c r="O2342">
        <v>0</v>
      </c>
      <c r="P2342">
        <v>0</v>
      </c>
      <c r="Q2342">
        <v>0</v>
      </c>
    </row>
    <row r="2343" spans="5:17" x14ac:dyDescent="0.2">
      <c r="E2343" s="9" t="s">
        <v>28</v>
      </c>
      <c r="K2343" t="str">
        <v>daisy-chained</v>
      </c>
      <c r="L2343" s="4" t="str">
        <f t="shared" si="37"/>
        <v>daisy chained</v>
      </c>
      <c r="N2343" s="4" cm="1">
        <f t="array" ref="N2343">SUM(--(_xlfn.TEXTSPLIT($J$2232,, " ") = M2343))</f>
        <v>0</v>
      </c>
      <c r="O2343">
        <v>0</v>
      </c>
      <c r="P2343">
        <v>0</v>
      </c>
      <c r="Q2343">
        <v>0</v>
      </c>
    </row>
    <row r="2344" spans="5:17" x14ac:dyDescent="0.2">
      <c r="E2344" s="9" t="s">
        <v>28</v>
      </c>
      <c r="K2344" t="str">
        <v>power</v>
      </c>
      <c r="L2344" s="4" t="str">
        <f t="shared" si="37"/>
        <v>power</v>
      </c>
      <c r="N2344" s="4" cm="1">
        <f t="array" ref="N2344">SUM(--(_xlfn.TEXTSPLIT($J$2232,, " ") = M2344))</f>
        <v>0</v>
      </c>
      <c r="O2344">
        <v>0</v>
      </c>
      <c r="P2344">
        <v>0</v>
      </c>
      <c r="Q2344">
        <v>0</v>
      </c>
    </row>
    <row r="2345" spans="5:17" x14ac:dyDescent="0.2">
      <c r="E2345" s="9" t="s">
        <v>28</v>
      </c>
      <c r="K2345" t="str">
        <v>strips</v>
      </c>
      <c r="L2345" s="4" t="str">
        <f t="shared" si="37"/>
        <v>strips</v>
      </c>
      <c r="N2345" s="4" cm="1">
        <f t="array" ref="N2345">SUM(--(_xlfn.TEXTSPLIT($J$2232,, " ") = M2345))</f>
        <v>0</v>
      </c>
      <c r="O2345">
        <v>0</v>
      </c>
      <c r="P2345">
        <v>0</v>
      </c>
      <c r="Q2345">
        <v>0</v>
      </c>
    </row>
    <row r="2346" spans="5:17" x14ac:dyDescent="0.2">
      <c r="E2346" s="9" t="s">
        <v>28</v>
      </c>
      <c r="K2346" t="str">
        <v xml:space="preserve">generating
</v>
      </c>
      <c r="L2346" s="4" t="str">
        <f t="shared" si="37"/>
        <v xml:space="preserve">generating </v>
      </c>
      <c r="N2346" s="4" cm="1">
        <f t="array" ref="N2346">SUM(--(_xlfn.TEXTSPLIT($J$2232,, " ") = M2346))</f>
        <v>0</v>
      </c>
      <c r="O2346">
        <v>0</v>
      </c>
      <c r="P2346">
        <v>0</v>
      </c>
      <c r="Q2346">
        <v>0</v>
      </c>
    </row>
    <row r="2347" spans="5:17" x14ac:dyDescent="0.2">
      <c r="E2347" s="9" t="s">
        <v>28</v>
      </c>
      <c r="K2347" t="str">
        <v>A</v>
      </c>
      <c r="L2347" s="4" t="str">
        <f t="shared" si="37"/>
        <v>A</v>
      </c>
      <c r="N2347" s="4" cm="1">
        <f t="array" ref="N2347">SUM(--(_xlfn.TEXTSPLIT($J$2232,, " ") = M2347))</f>
        <v>0</v>
      </c>
      <c r="O2347">
        <v>0</v>
      </c>
      <c r="P2347">
        <v>0</v>
      </c>
      <c r="Q2347">
        <v>0</v>
      </c>
    </row>
    <row r="2348" spans="5:17" x14ac:dyDescent="0.2">
      <c r="E2348" s="9" t="s">
        <v>28</v>
      </c>
      <c r="K2348" t="str">
        <v>newfound</v>
      </c>
      <c r="L2348" s="4" t="str">
        <f t="shared" si="37"/>
        <v>newfound</v>
      </c>
      <c r="N2348" s="4" cm="1">
        <f t="array" ref="N2348">SUM(--(_xlfn.TEXTSPLIT($J$2232,, " ") = M2348))</f>
        <v>0</v>
      </c>
      <c r="O2348">
        <v>0</v>
      </c>
      <c r="P2348">
        <v>0</v>
      </c>
      <c r="Q2348">
        <v>0</v>
      </c>
    </row>
    <row r="2349" spans="5:17" x14ac:dyDescent="0.2">
      <c r="E2349" s="9" t="s">
        <v>28</v>
      </c>
      <c r="K2349" t="str">
        <v>loneliness,</v>
      </c>
      <c r="L2349" s="4" t="str">
        <f t="shared" si="37"/>
        <v xml:space="preserve">loneliness </v>
      </c>
      <c r="N2349" s="4" cm="1">
        <f t="array" ref="N2349">SUM(--(_xlfn.TEXTSPLIT($J$2232,, " ") = M2349))</f>
        <v>0</v>
      </c>
      <c r="O2349">
        <v>0</v>
      </c>
      <c r="P2349">
        <v>0</v>
      </c>
      <c r="Q2349">
        <v>0</v>
      </c>
    </row>
    <row r="2350" spans="5:17" x14ac:dyDescent="0.2">
      <c r="E2350" s="9" t="s">
        <v>28</v>
      </c>
      <c r="K2350" t="str">
        <v>I'm</v>
      </c>
      <c r="L2350" s="4" t="str">
        <f t="shared" si="37"/>
        <v>I m</v>
      </c>
      <c r="N2350" s="4" cm="1">
        <f t="array" ref="N2350">SUM(--(_xlfn.TEXTSPLIT($J$2232,, " ") = M2350))</f>
        <v>0</v>
      </c>
      <c r="O2350">
        <v>0</v>
      </c>
      <c r="P2350">
        <v>0</v>
      </c>
      <c r="Q2350">
        <v>0</v>
      </c>
    </row>
    <row r="2351" spans="5:17" x14ac:dyDescent="0.2">
      <c r="E2351" s="9" t="s">
        <v>28</v>
      </c>
      <c r="K2351" t="str">
        <v>waiting</v>
      </c>
      <c r="L2351" s="4" t="str">
        <f t="shared" si="37"/>
        <v>waiting</v>
      </c>
      <c r="N2351" s="4" cm="1">
        <f t="array" ref="N2351">SUM(--(_xlfn.TEXTSPLIT($J$2232,, " ") = M2351))</f>
        <v>0</v>
      </c>
      <c r="O2351">
        <v>0</v>
      </c>
      <c r="P2351">
        <v>0</v>
      </c>
      <c r="Q2351">
        <v>0</v>
      </c>
    </row>
    <row r="2352" spans="5:17" x14ac:dyDescent="0.2">
      <c r="E2352" s="9" t="s">
        <v>28</v>
      </c>
      <c r="K2352" t="str">
        <v>for</v>
      </c>
      <c r="L2352" s="4" t="str">
        <f t="shared" si="37"/>
        <v>for</v>
      </c>
      <c r="N2352" s="4" cm="1">
        <f t="array" ref="N2352">SUM(--(_xlfn.TEXTSPLIT($J$2232,, " ") = M2352))</f>
        <v>0</v>
      </c>
      <c r="O2352">
        <v>0</v>
      </c>
      <c r="P2352">
        <v>0</v>
      </c>
      <c r="Q2352">
        <v>0</v>
      </c>
    </row>
    <row r="2353" spans="5:17" x14ac:dyDescent="0.2">
      <c r="E2353" s="9" t="s">
        <v>28</v>
      </c>
      <c r="K2353" t="str">
        <v>the</v>
      </c>
      <c r="L2353" s="4" t="str">
        <f t="shared" si="37"/>
        <v>the</v>
      </c>
      <c r="N2353" s="4" cm="1">
        <f t="array" ref="N2353">SUM(--(_xlfn.TEXTSPLIT($J$2232,, " ") = M2353))</f>
        <v>0</v>
      </c>
      <c r="O2353">
        <v>0</v>
      </c>
      <c r="P2353">
        <v>0</v>
      </c>
      <c r="Q2353">
        <v>0</v>
      </c>
    </row>
    <row r="2354" spans="5:17" x14ac:dyDescent="0.2">
      <c r="E2354" s="9" t="s">
        <v>28</v>
      </c>
      <c r="K2354" t="str">
        <v>changes,</v>
      </c>
      <c r="L2354" s="4" t="str">
        <f t="shared" si="37"/>
        <v xml:space="preserve">changes </v>
      </c>
      <c r="N2354" s="4" cm="1">
        <f t="array" ref="N2354">SUM(--(_xlfn.TEXTSPLIT($J$2232,, " ") = M2354))</f>
        <v>0</v>
      </c>
      <c r="O2354">
        <v>0</v>
      </c>
      <c r="P2354">
        <v>0</v>
      </c>
      <c r="Q2354">
        <v>0</v>
      </c>
    </row>
    <row r="2355" spans="5:17" x14ac:dyDescent="0.2">
      <c r="E2355" s="9" t="s">
        <v>28</v>
      </c>
      <c r="K2355" t="str">
        <v>everyone</v>
      </c>
      <c r="L2355" s="4" t="str">
        <f t="shared" si="37"/>
        <v>everyone</v>
      </c>
      <c r="N2355" s="4" cm="1">
        <f t="array" ref="N2355">SUM(--(_xlfn.TEXTSPLIT($J$2232,, " ") = M2355))</f>
        <v>0</v>
      </c>
      <c r="O2355">
        <v>0</v>
      </c>
      <c r="P2355">
        <v>0</v>
      </c>
      <c r="Q2355">
        <v>0</v>
      </c>
    </row>
    <row r="2356" spans="5:17" x14ac:dyDescent="0.2">
      <c r="E2356" s="9" t="s">
        <v>28</v>
      </c>
      <c r="K2356" t="str">
        <v xml:space="preserve">sees
</v>
      </c>
      <c r="L2356" s="4" t="str">
        <f t="shared" si="37"/>
        <v xml:space="preserve">sees </v>
      </c>
      <c r="N2356" s="4" cm="1">
        <f t="array" ref="N2356">SUM(--(_xlfn.TEXTSPLIT($J$2232,, " ") = M2356))</f>
        <v>0</v>
      </c>
      <c r="O2356">
        <v>0</v>
      </c>
      <c r="P2356">
        <v>0</v>
      </c>
      <c r="Q2356">
        <v>0</v>
      </c>
    </row>
    <row r="2357" spans="5:17" x14ac:dyDescent="0.2">
      <c r="E2357" s="9" t="s">
        <v>28</v>
      </c>
      <c r="K2357" t="str">
        <v>Feeling</v>
      </c>
      <c r="L2357" s="4" t="str">
        <f t="shared" si="37"/>
        <v>Feeling</v>
      </c>
      <c r="N2357" s="4" cm="1">
        <f t="array" ref="N2357">SUM(--(_xlfn.TEXTSPLIT($J$2232,, " ") = M2357))</f>
        <v>0</v>
      </c>
      <c r="O2357">
        <v>0</v>
      </c>
      <c r="P2357">
        <v>0</v>
      </c>
      <c r="Q2357">
        <v>0</v>
      </c>
    </row>
    <row r="2358" spans="5:17" x14ac:dyDescent="0.2">
      <c r="E2358" s="9" t="s">
        <v>28</v>
      </c>
      <c r="K2358" t="str">
        <v>so</v>
      </c>
      <c r="L2358" s="4" t="str">
        <f t="shared" si="37"/>
        <v>so</v>
      </c>
      <c r="N2358" s="4" cm="1">
        <f t="array" ref="N2358">SUM(--(_xlfn.TEXTSPLIT($J$2232,, " ") = M2358))</f>
        <v>0</v>
      </c>
      <c r="O2358">
        <v>0</v>
      </c>
      <c r="P2358">
        <v>0</v>
      </c>
      <c r="Q2358">
        <v>0</v>
      </c>
    </row>
    <row r="2359" spans="5:17" x14ac:dyDescent="0.2">
      <c r="E2359" s="9" t="s">
        <v>28</v>
      </c>
      <c r="K2359" t="str">
        <v xml:space="preserve">fancy
</v>
      </c>
      <c r="L2359" s="4" t="str">
        <f t="shared" si="37"/>
        <v xml:space="preserve">fancy  </v>
      </c>
      <c r="N2359" s="4" cm="1">
        <f t="array" ref="N2359">SUM(--(_xlfn.TEXTSPLIT($J$2232,, " ") = M2359))</f>
        <v>0</v>
      </c>
      <c r="O2359">
        <v>0</v>
      </c>
      <c r="P2359">
        <v>0</v>
      </c>
      <c r="Q2359">
        <v>0</v>
      </c>
    </row>
    <row r="2360" spans="5:17" x14ac:dyDescent="0.2">
      <c r="E2360" s="9" t="s">
        <v>28</v>
      </c>
      <c r="K2360" t="str">
        <v>And</v>
      </c>
      <c r="L2360" s="4" t="str">
        <f t="shared" si="37"/>
        <v>And</v>
      </c>
      <c r="N2360" s="4" cm="1">
        <f t="array" ref="N2360">SUM(--(_xlfn.TEXTSPLIT($J$2232,, " ") = M2360))</f>
        <v>0</v>
      </c>
      <c r="O2360">
        <v>0</v>
      </c>
      <c r="P2360">
        <v>0</v>
      </c>
      <c r="Q2360">
        <v>0</v>
      </c>
    </row>
    <row r="2361" spans="5:17" x14ac:dyDescent="0.2">
      <c r="E2361" s="9" t="s">
        <v>28</v>
      </c>
      <c r="K2361" t="str">
        <v>I</v>
      </c>
      <c r="L2361" s="4" t="str">
        <f t="shared" ref="L2361:L2424" si="38">_xlfn.REGEXREPLACE(K2361, "[^A-Za-z ]", " ")</f>
        <v>I</v>
      </c>
      <c r="N2361" s="4" cm="1">
        <f t="array" ref="N2361">SUM(--(_xlfn.TEXTSPLIT($J$2232,, " ") = M2361))</f>
        <v>0</v>
      </c>
      <c r="O2361">
        <v>0</v>
      </c>
      <c r="P2361">
        <v>0</v>
      </c>
      <c r="Q2361">
        <v>0</v>
      </c>
    </row>
    <row r="2362" spans="5:17" x14ac:dyDescent="0.2">
      <c r="E2362" s="9" t="s">
        <v>28</v>
      </c>
      <c r="K2362" t="str">
        <v>just</v>
      </c>
      <c r="L2362" s="4" t="str">
        <f t="shared" si="38"/>
        <v>just</v>
      </c>
      <c r="N2362" s="4" cm="1">
        <f t="array" ref="N2362">SUM(--(_xlfn.TEXTSPLIT($J$2232,, " ") = M2362))</f>
        <v>0</v>
      </c>
      <c r="O2362">
        <v>0</v>
      </c>
      <c r="P2362">
        <v>0</v>
      </c>
      <c r="Q2362">
        <v>0</v>
      </c>
    </row>
    <row r="2363" spans="5:17" x14ac:dyDescent="0.2">
      <c r="E2363" s="9" t="s">
        <v>28</v>
      </c>
      <c r="K2363" t="str">
        <v>wanna</v>
      </c>
      <c r="L2363" s="4" t="str">
        <f t="shared" si="38"/>
        <v>wanna</v>
      </c>
      <c r="N2363" s="4" cm="1">
        <f t="array" ref="N2363">SUM(--(_xlfn.TEXTSPLIT($J$2232,, " ") = M2363))</f>
        <v>0</v>
      </c>
      <c r="O2363">
        <v>0</v>
      </c>
      <c r="P2363">
        <v>0</v>
      </c>
      <c r="Q2363">
        <v>0</v>
      </c>
    </row>
    <row r="2364" spans="5:17" x14ac:dyDescent="0.2">
      <c r="E2364" s="9" t="s">
        <v>28</v>
      </c>
      <c r="K2364" t="str">
        <v>dance</v>
      </c>
      <c r="L2364" s="4" t="str">
        <f t="shared" si="38"/>
        <v>dance</v>
      </c>
      <c r="N2364" s="4" cm="1">
        <f t="array" ref="N2364">SUM(--(_xlfn.TEXTSPLIT($J$2232,, " ") = M2364))</f>
        <v>0</v>
      </c>
      <c r="O2364">
        <v>0</v>
      </c>
      <c r="P2364">
        <v>0</v>
      </c>
      <c r="Q2364">
        <v>0</v>
      </c>
    </row>
    <row r="2365" spans="5:17" x14ac:dyDescent="0.2">
      <c r="E2365" s="9" t="s">
        <v>28</v>
      </c>
      <c r="K2365" t="str">
        <v>and</v>
      </c>
      <c r="L2365" s="4" t="str">
        <f t="shared" si="38"/>
        <v>and</v>
      </c>
      <c r="N2365" s="4" cm="1">
        <f t="array" ref="N2365">SUM(--(_xlfn.TEXTSPLIT($J$2232,, " ") = M2365))</f>
        <v>0</v>
      </c>
      <c r="O2365">
        <v>0</v>
      </c>
      <c r="P2365">
        <v>0</v>
      </c>
      <c r="Q2365">
        <v>0</v>
      </c>
    </row>
    <row r="2366" spans="5:17" x14ac:dyDescent="0.2">
      <c r="E2366" s="9" t="s">
        <v>28</v>
      </c>
      <c r="K2366" t="str">
        <v>style</v>
      </c>
      <c r="L2366" s="4" t="str">
        <f t="shared" si="38"/>
        <v>style</v>
      </c>
      <c r="N2366" s="4" cm="1">
        <f t="array" ref="N2366">SUM(--(_xlfn.TEXTSPLIT($J$2232,, " ") = M2366))</f>
        <v>0</v>
      </c>
      <c r="O2366">
        <v>0</v>
      </c>
      <c r="P2366">
        <v>0</v>
      </c>
      <c r="Q2366">
        <v>0</v>
      </c>
    </row>
    <row r="2367" spans="5:17" x14ac:dyDescent="0.2">
      <c r="E2367" s="9" t="s">
        <v>28</v>
      </c>
      <c r="K2367" t="str">
        <v>and</v>
      </c>
      <c r="L2367" s="4" t="str">
        <f t="shared" si="38"/>
        <v>and</v>
      </c>
      <c r="N2367" s="4" cm="1">
        <f t="array" ref="N2367">SUM(--(_xlfn.TEXTSPLIT($J$2232,, " ") = M2367))</f>
        <v>0</v>
      </c>
      <c r="O2367">
        <v>0</v>
      </c>
      <c r="P2367">
        <v>0</v>
      </c>
      <c r="Q2367">
        <v>0</v>
      </c>
    </row>
    <row r="2368" spans="5:17" x14ac:dyDescent="0.2">
      <c r="E2368" s="9" t="s">
        <v>28</v>
      </c>
      <c r="K2368" t="str">
        <v>stay</v>
      </c>
      <c r="L2368" s="4" t="str">
        <f t="shared" si="38"/>
        <v>stay</v>
      </c>
      <c r="N2368" s="4" cm="1">
        <f t="array" ref="N2368">SUM(--(_xlfn.TEXTSPLIT($J$2232,, " ") = M2368))</f>
        <v>0</v>
      </c>
      <c r="O2368">
        <v>0</v>
      </c>
      <c r="P2368">
        <v>0</v>
      </c>
      <c r="Q2368">
        <v>0</v>
      </c>
    </row>
    <row r="2369" spans="5:17" x14ac:dyDescent="0.2">
      <c r="E2369" s="9" t="s">
        <v>28</v>
      </c>
      <c r="K2369" t="str">
        <v>a</v>
      </c>
      <c r="L2369" s="4" t="str">
        <f t="shared" si="38"/>
        <v>a</v>
      </c>
      <c r="N2369" s="4" cm="1">
        <f t="array" ref="N2369">SUM(--(_xlfn.TEXTSPLIT($J$2232,, " ") = M2369))</f>
        <v>0</v>
      </c>
      <c r="O2369">
        <v>0</v>
      </c>
      <c r="P2369">
        <v>0</v>
      </c>
      <c r="Q2369">
        <v>0</v>
      </c>
    </row>
    <row r="2370" spans="5:17" x14ac:dyDescent="0.2">
      <c r="E2370" s="9" t="s">
        <v>28</v>
      </c>
      <c r="K2370" t="str">
        <v xml:space="preserve">while
</v>
      </c>
      <c r="L2370" s="4" t="str">
        <f t="shared" si="38"/>
        <v xml:space="preserve">while </v>
      </c>
      <c r="N2370" s="4" cm="1">
        <f t="array" ref="N2370">SUM(--(_xlfn.TEXTSPLIT($J$2232,, " ") = M2370))</f>
        <v>0</v>
      </c>
      <c r="O2370">
        <v>0</v>
      </c>
      <c r="P2370">
        <v>0</v>
      </c>
      <c r="Q2370">
        <v>0</v>
      </c>
    </row>
    <row r="2371" spans="5:17" x14ac:dyDescent="0.2">
      <c r="E2371" s="9" t="s">
        <v>28</v>
      </c>
      <c r="K2371" t="str">
        <v>The</v>
      </c>
      <c r="L2371" s="4" t="str">
        <f t="shared" si="38"/>
        <v>The</v>
      </c>
      <c r="N2371" s="4" cm="1">
        <f t="array" ref="N2371">SUM(--(_xlfn.TEXTSPLIT($J$2232,, " ") = M2371))</f>
        <v>0</v>
      </c>
      <c r="O2371">
        <v>0</v>
      </c>
      <c r="P2371">
        <v>0</v>
      </c>
      <c r="Q2371">
        <v>0</v>
      </c>
    </row>
    <row r="2372" spans="5:17" x14ac:dyDescent="0.2">
      <c r="E2372" s="9" t="s">
        <v>28</v>
      </c>
      <c r="K2372" t="str">
        <v>lines</v>
      </c>
      <c r="L2372" s="4" t="str">
        <f t="shared" si="38"/>
        <v>lines</v>
      </c>
      <c r="N2372" s="4" cm="1">
        <f t="array" ref="N2372">SUM(--(_xlfn.TEXTSPLIT($J$2232,, " ") = M2372))</f>
        <v>0</v>
      </c>
      <c r="O2372">
        <v>0</v>
      </c>
      <c r="P2372">
        <v>0</v>
      </c>
      <c r="Q2372">
        <v>0</v>
      </c>
    </row>
    <row r="2373" spans="5:17" x14ac:dyDescent="0.2">
      <c r="E2373" s="9" t="s">
        <v>28</v>
      </c>
      <c r="K2373" t="str">
        <v>on</v>
      </c>
      <c r="L2373" s="4" t="str">
        <f t="shared" si="38"/>
        <v>on</v>
      </c>
      <c r="N2373" s="4" cm="1">
        <f t="array" ref="N2373">SUM(--(_xlfn.TEXTSPLIT($J$2232,, " ") = M2373))</f>
        <v>0</v>
      </c>
      <c r="O2373">
        <v>0</v>
      </c>
      <c r="P2373">
        <v>0</v>
      </c>
      <c r="Q2373">
        <v>0</v>
      </c>
    </row>
    <row r="2374" spans="5:17" x14ac:dyDescent="0.2">
      <c r="E2374" s="9" t="s">
        <v>28</v>
      </c>
      <c r="K2374" t="str">
        <v>the</v>
      </c>
      <c r="L2374" s="4" t="str">
        <f t="shared" si="38"/>
        <v>the</v>
      </c>
      <c r="N2374" s="4" cm="1">
        <f t="array" ref="N2374">SUM(--(_xlfn.TEXTSPLIT($J$2232,, " ") = M2374))</f>
        <v>0</v>
      </c>
      <c r="O2374">
        <v>0</v>
      </c>
      <c r="P2374">
        <v>0</v>
      </c>
      <c r="Q2374">
        <v>0</v>
      </c>
    </row>
    <row r="2375" spans="5:17" x14ac:dyDescent="0.2">
      <c r="E2375" s="9" t="s">
        <v>28</v>
      </c>
      <c r="K2375" t="str">
        <v>floor,</v>
      </c>
      <c r="L2375" s="4" t="str">
        <f t="shared" si="38"/>
        <v xml:space="preserve">floor </v>
      </c>
      <c r="N2375" s="4" cm="1">
        <f t="array" ref="N2375">SUM(--(_xlfn.TEXTSPLIT($J$2232,, " ") = M2375))</f>
        <v>0</v>
      </c>
      <c r="O2375">
        <v>0</v>
      </c>
      <c r="P2375">
        <v>0</v>
      </c>
      <c r="Q2375">
        <v>0</v>
      </c>
    </row>
    <row r="2376" spans="5:17" x14ac:dyDescent="0.2">
      <c r="E2376" s="9" t="s">
        <v>28</v>
      </c>
      <c r="K2376" t="str">
        <v>how</v>
      </c>
      <c r="L2376" s="4" t="str">
        <f t="shared" si="38"/>
        <v>how</v>
      </c>
      <c r="N2376" s="4" cm="1">
        <f t="array" ref="N2376">SUM(--(_xlfn.TEXTSPLIT($J$2232,, " ") = M2376))</f>
        <v>0</v>
      </c>
      <c r="O2376">
        <v>0</v>
      </c>
      <c r="P2376">
        <v>0</v>
      </c>
      <c r="Q2376">
        <v>0</v>
      </c>
    </row>
    <row r="2377" spans="5:17" x14ac:dyDescent="0.2">
      <c r="E2377" s="9" t="s">
        <v>28</v>
      </c>
      <c r="K2377" t="str">
        <v>did</v>
      </c>
      <c r="L2377" s="4" t="str">
        <f t="shared" si="38"/>
        <v>did</v>
      </c>
      <c r="N2377" s="4" cm="1">
        <f t="array" ref="N2377">SUM(--(_xlfn.TEXTSPLIT($J$2232,, " ") = M2377))</f>
        <v>0</v>
      </c>
      <c r="O2377">
        <v>0</v>
      </c>
      <c r="P2377">
        <v>0</v>
      </c>
      <c r="Q2377">
        <v>0</v>
      </c>
    </row>
    <row r="2378" spans="5:17" x14ac:dyDescent="0.2">
      <c r="E2378" s="9" t="s">
        <v>28</v>
      </c>
      <c r="K2378" t="str">
        <v>you</v>
      </c>
      <c r="L2378" s="4" t="str">
        <f t="shared" si="38"/>
        <v>you</v>
      </c>
      <c r="N2378" s="4" cm="1">
        <f t="array" ref="N2378">SUM(--(_xlfn.TEXTSPLIT($J$2232,, " ") = M2378))</f>
        <v>0</v>
      </c>
      <c r="O2378">
        <v>0</v>
      </c>
      <c r="P2378">
        <v>0</v>
      </c>
      <c r="Q2378">
        <v>0</v>
      </c>
    </row>
    <row r="2379" spans="5:17" x14ac:dyDescent="0.2">
      <c r="E2379" s="9" t="s">
        <v>28</v>
      </c>
      <c r="K2379" t="str">
        <v>find</v>
      </c>
      <c r="L2379" s="4" t="str">
        <f t="shared" si="38"/>
        <v>find</v>
      </c>
      <c r="N2379" s="4" cm="1">
        <f t="array" ref="N2379">SUM(--(_xlfn.TEXTSPLIT($J$2232,, " ") = M2379))</f>
        <v>0</v>
      </c>
      <c r="O2379">
        <v>0</v>
      </c>
      <c r="P2379">
        <v>0</v>
      </c>
      <c r="Q2379">
        <v>0</v>
      </c>
    </row>
    <row r="2380" spans="5:17" x14ac:dyDescent="0.2">
      <c r="E2380" s="9" t="s">
        <v>28</v>
      </c>
      <c r="K2380" t="str">
        <v xml:space="preserve">me?
</v>
      </c>
      <c r="L2380" s="4" t="str">
        <f t="shared" si="38"/>
        <v xml:space="preserve">me   </v>
      </c>
      <c r="N2380" s="4" cm="1">
        <f t="array" ref="N2380">SUM(--(_xlfn.TEXTSPLIT($J$2232,, " ") = M2380))</f>
        <v>0</v>
      </c>
      <c r="O2380">
        <v>0</v>
      </c>
      <c r="P2380">
        <v>0</v>
      </c>
      <c r="Q2380">
        <v>0</v>
      </c>
    </row>
    <row r="2381" spans="5:17" x14ac:dyDescent="0.2">
      <c r="E2381" s="9" t="s">
        <v>28</v>
      </c>
      <c r="K2381" t="str">
        <v xml:space="preserve">Woo
</v>
      </c>
      <c r="L2381" s="4" t="str">
        <f t="shared" si="38"/>
        <v xml:space="preserve">Woo </v>
      </c>
      <c r="N2381" s="4" cm="1">
        <f t="array" ref="N2381">SUM(--(_xlfn.TEXTSPLIT($J$2232,, " ") = M2381))</f>
        <v>0</v>
      </c>
      <c r="O2381">
        <v>0</v>
      </c>
      <c r="P2381">
        <v>0</v>
      </c>
      <c r="Q2381">
        <v>0</v>
      </c>
    </row>
    <row r="2382" spans="5:17" x14ac:dyDescent="0.2">
      <c r="E2382" s="9" t="s">
        <v>28</v>
      </c>
      <c r="K2382" t="str">
        <v>I</v>
      </c>
      <c r="L2382" s="4" t="str">
        <f t="shared" si="38"/>
        <v>I</v>
      </c>
      <c r="N2382" s="4" cm="1">
        <f t="array" ref="N2382">SUM(--(_xlfn.TEXTSPLIT($J$2232,, " ") = M2382))</f>
        <v>0</v>
      </c>
      <c r="O2382">
        <v>0</v>
      </c>
      <c r="P2382">
        <v>0</v>
      </c>
      <c r="Q2382">
        <v>0</v>
      </c>
    </row>
    <row r="2383" spans="5:17" x14ac:dyDescent="0.2">
      <c r="E2383" s="9" t="s">
        <v>28</v>
      </c>
      <c r="K2383" t="str">
        <v>wasn't</v>
      </c>
      <c r="L2383" s="4" t="str">
        <f t="shared" si="38"/>
        <v>wasn t</v>
      </c>
      <c r="N2383" s="4" cm="1">
        <f t="array" ref="N2383">SUM(--(_xlfn.TEXTSPLIT($J$2232,, " ") = M2383))</f>
        <v>0</v>
      </c>
      <c r="O2383">
        <v>0</v>
      </c>
      <c r="P2383">
        <v>0</v>
      </c>
      <c r="Q2383">
        <v>0</v>
      </c>
    </row>
    <row r="2384" spans="5:17" x14ac:dyDescent="0.2">
      <c r="E2384" s="9" t="s">
        <v>28</v>
      </c>
      <c r="K2384" t="str">
        <v>lookin'</v>
      </c>
      <c r="L2384" s="4" t="str">
        <f t="shared" si="38"/>
        <v xml:space="preserve">lookin </v>
      </c>
      <c r="N2384" s="4" cm="1">
        <f t="array" ref="N2384">SUM(--(_xlfn.TEXTSPLIT($J$2232,, " ") = M2384))</f>
        <v>0</v>
      </c>
      <c r="O2384">
        <v>0</v>
      </c>
      <c r="P2384">
        <v>0</v>
      </c>
      <c r="Q2384">
        <v>0</v>
      </c>
    </row>
    <row r="2385" spans="5:17" x14ac:dyDescent="0.2">
      <c r="E2385" s="9" t="s">
        <v>28</v>
      </c>
      <c r="K2385" t="str">
        <v>for</v>
      </c>
      <c r="L2385" s="4" t="str">
        <f t="shared" si="38"/>
        <v>for</v>
      </c>
      <c r="N2385" s="4" cm="1">
        <f t="array" ref="N2385">SUM(--(_xlfn.TEXTSPLIT($J$2232,, " ") = M2385))</f>
        <v>0</v>
      </c>
      <c r="O2385">
        <v>0</v>
      </c>
      <c r="P2385">
        <v>0</v>
      </c>
      <c r="Q2385">
        <v>0</v>
      </c>
    </row>
    <row r="2386" spans="5:17" x14ac:dyDescent="0.2">
      <c r="E2386" s="9" t="s">
        <v>28</v>
      </c>
      <c r="K2386" t="str">
        <v>love</v>
      </c>
      <c r="L2386" s="4" t="str">
        <f t="shared" si="38"/>
        <v>love</v>
      </c>
      <c r="N2386" s="4" cm="1">
        <f t="array" ref="N2386">SUM(--(_xlfn.TEXTSPLIT($J$2232,, " ") = M2386))</f>
        <v>0</v>
      </c>
      <c r="O2386">
        <v>0</v>
      </c>
      <c r="P2386">
        <v>0</v>
      </c>
      <c r="Q2386">
        <v>0</v>
      </c>
    </row>
    <row r="2387" spans="5:17" x14ac:dyDescent="0.2">
      <c r="E2387" s="9" t="s">
        <v>28</v>
      </c>
      <c r="K2387" t="str">
        <v>this</v>
      </c>
      <c r="L2387" s="4" t="str">
        <f t="shared" si="38"/>
        <v>this</v>
      </c>
      <c r="N2387" s="4" cm="1">
        <f t="array" ref="N2387">SUM(--(_xlfn.TEXTSPLIT($J$2232,, " ") = M2387))</f>
        <v>0</v>
      </c>
      <c r="O2387">
        <v>0</v>
      </c>
      <c r="P2387">
        <v>0</v>
      </c>
      <c r="Q2387">
        <v>0</v>
      </c>
    </row>
    <row r="2388" spans="5:17" x14ac:dyDescent="0.2">
      <c r="E2388" s="9" t="s">
        <v>28</v>
      </c>
      <c r="K2388" t="str">
        <v xml:space="preserve">year
</v>
      </c>
      <c r="L2388" s="4" t="str">
        <f t="shared" si="38"/>
        <v xml:space="preserve">year </v>
      </c>
      <c r="N2388" s="4" cm="1">
        <f t="array" ref="N2388">SUM(--(_xlfn.TEXTSPLIT($J$2232,, " ") = M2388))</f>
        <v>0</v>
      </c>
      <c r="O2388">
        <v>0</v>
      </c>
      <c r="P2388">
        <v>0</v>
      </c>
      <c r="Q2388">
        <v>0</v>
      </c>
    </row>
    <row r="2389" spans="5:17" x14ac:dyDescent="0.2">
      <c r="E2389" s="9" t="s">
        <v>28</v>
      </c>
      <c r="K2389" t="str">
        <v>But</v>
      </c>
      <c r="L2389" s="4" t="str">
        <f t="shared" si="38"/>
        <v>But</v>
      </c>
      <c r="N2389" s="4" cm="1">
        <f t="array" ref="N2389">SUM(--(_xlfn.TEXTSPLIT($J$2232,, " ") = M2389))</f>
        <v>0</v>
      </c>
      <c r="O2389">
        <v>0</v>
      </c>
      <c r="P2389">
        <v>0</v>
      </c>
      <c r="Q2389">
        <v>0</v>
      </c>
    </row>
    <row r="2390" spans="5:17" x14ac:dyDescent="0.2">
      <c r="E2390" s="9" t="s">
        <v>28</v>
      </c>
      <c r="K2390" t="str">
        <v>my</v>
      </c>
      <c r="L2390" s="4" t="str">
        <f t="shared" si="38"/>
        <v>my</v>
      </c>
      <c r="N2390" s="4" cm="1">
        <f t="array" ref="N2390">SUM(--(_xlfn.TEXTSPLIT($J$2232,, " ") = M2390))</f>
        <v>0</v>
      </c>
      <c r="O2390">
        <v>0</v>
      </c>
      <c r="P2390">
        <v>0</v>
      </c>
      <c r="Q2390">
        <v>0</v>
      </c>
    </row>
    <row r="2391" spans="5:17" x14ac:dyDescent="0.2">
      <c r="E2391" s="9" t="s">
        <v>28</v>
      </c>
      <c r="K2391" t="str">
        <v>robot</v>
      </c>
      <c r="L2391" s="4" t="str">
        <f t="shared" si="38"/>
        <v>robot</v>
      </c>
      <c r="N2391" s="4" cm="1">
        <f t="array" ref="N2391">SUM(--(_xlfn.TEXTSPLIT($J$2232,, " ") = M2391))</f>
        <v>0</v>
      </c>
      <c r="O2391">
        <v>0</v>
      </c>
      <c r="P2391">
        <v>0</v>
      </c>
      <c r="Q2391">
        <v>0</v>
      </c>
    </row>
    <row r="2392" spans="5:17" x14ac:dyDescent="0.2">
      <c r="E2392" s="9" t="s">
        <v>28</v>
      </c>
      <c r="K2392" t="str">
        <v>told</v>
      </c>
      <c r="L2392" s="4" t="str">
        <f t="shared" si="38"/>
        <v>told</v>
      </c>
      <c r="N2392" s="4" cm="1">
        <f t="array" ref="N2392">SUM(--(_xlfn.TEXTSPLIT($J$2232,, " ") = M2392))</f>
        <v>0</v>
      </c>
      <c r="O2392">
        <v>0</v>
      </c>
      <c r="P2392">
        <v>0</v>
      </c>
      <c r="Q2392">
        <v>0</v>
      </c>
    </row>
    <row r="2393" spans="5:17" x14ac:dyDescent="0.2">
      <c r="E2393" s="9" t="s">
        <v>28</v>
      </c>
      <c r="K2393" t="str">
        <v>me</v>
      </c>
      <c r="L2393" s="4" t="str">
        <f t="shared" si="38"/>
        <v>me</v>
      </c>
      <c r="N2393" s="4" cm="1">
        <f t="array" ref="N2393">SUM(--(_xlfn.TEXTSPLIT($J$2232,, " ") = M2393))</f>
        <v>0</v>
      </c>
      <c r="O2393">
        <v>0</v>
      </c>
      <c r="P2393">
        <v>0</v>
      </c>
      <c r="Q2393">
        <v>0</v>
      </c>
    </row>
    <row r="2394" spans="5:17" x14ac:dyDescent="0.2">
      <c r="E2394" s="9" t="s">
        <v>28</v>
      </c>
      <c r="K2394" t="str">
        <v>that</v>
      </c>
      <c r="L2394" s="4" t="str">
        <f t="shared" si="38"/>
        <v>that</v>
      </c>
      <c r="N2394" s="4" cm="1">
        <f t="array" ref="N2394">SUM(--(_xlfn.TEXTSPLIT($J$2232,, " ") = M2394))</f>
        <v>0</v>
      </c>
      <c r="O2394">
        <v>0</v>
      </c>
      <c r="P2394">
        <v>0</v>
      </c>
      <c r="Q2394">
        <v>0</v>
      </c>
    </row>
    <row r="2395" spans="5:17" x14ac:dyDescent="0.2">
      <c r="E2395" s="9" t="s">
        <v>28</v>
      </c>
      <c r="K2395" t="str">
        <v>I</v>
      </c>
      <c r="L2395" s="4" t="str">
        <f t="shared" si="38"/>
        <v>I</v>
      </c>
      <c r="N2395" s="4" cm="1">
        <f t="array" ref="N2395">SUM(--(_xlfn.TEXTSPLIT($J$2232,, " ") = M2395))</f>
        <v>0</v>
      </c>
      <c r="O2395">
        <v>0</v>
      </c>
      <c r="P2395">
        <v>0</v>
      </c>
      <c r="Q2395">
        <v>0</v>
      </c>
    </row>
    <row r="2396" spans="5:17" x14ac:dyDescent="0.2">
      <c r="E2396" s="9" t="s">
        <v>28</v>
      </c>
      <c r="K2396" t="str">
        <v>shouldn't</v>
      </c>
      <c r="L2396" s="4" t="str">
        <f t="shared" si="38"/>
        <v>shouldn t</v>
      </c>
      <c r="N2396" s="4" cm="1">
        <f t="array" ref="N2396">SUM(--(_xlfn.TEXTSPLIT($J$2232,, " ") = M2396))</f>
        <v>0</v>
      </c>
      <c r="O2396">
        <v>0</v>
      </c>
      <c r="P2396">
        <v>0</v>
      </c>
      <c r="Q2396">
        <v>0</v>
      </c>
    </row>
    <row r="2397" spans="5:17" x14ac:dyDescent="0.2">
      <c r="E2397" s="9" t="s">
        <v>28</v>
      </c>
      <c r="K2397" t="str">
        <v xml:space="preserve">fear
</v>
      </c>
      <c r="L2397" s="4" t="str">
        <f t="shared" si="38"/>
        <v xml:space="preserve">fear </v>
      </c>
      <c r="N2397" s="4" cm="1">
        <f t="array" ref="N2397">SUM(--(_xlfn.TEXTSPLIT($J$2232,, " ") = M2397))</f>
        <v>0</v>
      </c>
      <c r="O2397">
        <v>0</v>
      </c>
      <c r="P2397">
        <v>0</v>
      </c>
      <c r="Q2397">
        <v>0</v>
      </c>
    </row>
    <row r="2398" spans="5:17" x14ac:dyDescent="0.2">
      <c r="E2398" s="9" t="s">
        <v>28</v>
      </c>
      <c r="K2398" t="str">
        <v>When</v>
      </c>
      <c r="L2398" s="4" t="str">
        <f t="shared" si="38"/>
        <v>When</v>
      </c>
      <c r="N2398" s="4" cm="1">
        <f t="array" ref="N2398">SUM(--(_xlfn.TEXTSPLIT($J$2232,, " ") = M2398))</f>
        <v>0</v>
      </c>
      <c r="O2398">
        <v>0</v>
      </c>
      <c r="P2398">
        <v>0</v>
      </c>
      <c r="Q2398">
        <v>0</v>
      </c>
    </row>
    <row r="2399" spans="5:17" x14ac:dyDescent="0.2">
      <c r="E2399" s="9" t="s">
        <v>28</v>
      </c>
      <c r="K2399" t="str">
        <v>I</v>
      </c>
      <c r="L2399" s="4" t="str">
        <f t="shared" si="38"/>
        <v>I</v>
      </c>
      <c r="N2399" s="4" cm="1">
        <f t="array" ref="N2399">SUM(--(_xlfn.TEXTSPLIT($J$2232,, " ") = M2399))</f>
        <v>0</v>
      </c>
      <c r="O2399">
        <v>0</v>
      </c>
      <c r="P2399">
        <v>0</v>
      </c>
      <c r="Q2399">
        <v>0</v>
      </c>
    </row>
    <row r="2400" spans="5:17" x14ac:dyDescent="0.2">
      <c r="E2400" s="9" t="s">
        <v>28</v>
      </c>
      <c r="K2400" t="str">
        <v>met</v>
      </c>
      <c r="L2400" s="4" t="str">
        <f t="shared" si="38"/>
        <v>met</v>
      </c>
      <c r="N2400" s="4" cm="1">
        <f t="array" ref="N2400">SUM(--(_xlfn.TEXTSPLIT($J$2232,, " ") = M2400))</f>
        <v>0</v>
      </c>
      <c r="O2400">
        <v>0</v>
      </c>
      <c r="P2400">
        <v>0</v>
      </c>
      <c r="Q2400">
        <v>0</v>
      </c>
    </row>
    <row r="2401" spans="5:17" x14ac:dyDescent="0.2">
      <c r="E2401" s="9" t="s">
        <v>28</v>
      </c>
      <c r="K2401" t="str">
        <v>you,</v>
      </c>
      <c r="L2401" s="4" t="str">
        <f t="shared" si="38"/>
        <v xml:space="preserve">you </v>
      </c>
      <c r="N2401" s="4" cm="1">
        <f t="array" ref="N2401">SUM(--(_xlfn.TEXTSPLIT($J$2232,, " ") = M2401))</f>
        <v>0</v>
      </c>
      <c r="O2401">
        <v>0</v>
      </c>
      <c r="P2401">
        <v>0</v>
      </c>
      <c r="Q2401">
        <v>0</v>
      </c>
    </row>
    <row r="2402" spans="5:17" x14ac:dyDescent="0.2">
      <c r="E2402" s="9" t="s">
        <v>28</v>
      </c>
      <c r="K2402" t="str">
        <v>I</v>
      </c>
      <c r="L2402" s="4" t="str">
        <f t="shared" si="38"/>
        <v>I</v>
      </c>
      <c r="N2402" s="4" cm="1">
        <f t="array" ref="N2402">SUM(--(_xlfn.TEXTSPLIT($J$2232,, " ") = M2402))</f>
        <v>0</v>
      </c>
      <c r="O2402">
        <v>0</v>
      </c>
      <c r="P2402">
        <v>0</v>
      </c>
      <c r="Q2402">
        <v>0</v>
      </c>
    </row>
    <row r="2403" spans="5:17" x14ac:dyDescent="0.2">
      <c r="E2403" s="9" t="s">
        <v>28</v>
      </c>
      <c r="K2403" t="str">
        <v>found</v>
      </c>
      <c r="L2403" s="4" t="str">
        <f t="shared" si="38"/>
        <v>found</v>
      </c>
      <c r="N2403" s="4" cm="1">
        <f t="array" ref="N2403">SUM(--(_xlfn.TEXTSPLIT($J$2232,, " ") = M2403))</f>
        <v>0</v>
      </c>
      <c r="O2403">
        <v>0</v>
      </c>
      <c r="P2403">
        <v>0</v>
      </c>
      <c r="Q2403">
        <v>0</v>
      </c>
    </row>
    <row r="2404" spans="5:17" x14ac:dyDescent="0.2">
      <c r="E2404" s="9" t="s">
        <v>28</v>
      </c>
      <c r="K2404" t="str">
        <v>you</v>
      </c>
      <c r="L2404" s="4" t="str">
        <f t="shared" si="38"/>
        <v>you</v>
      </c>
      <c r="N2404" s="4" cm="1">
        <f t="array" ref="N2404">SUM(--(_xlfn.TEXTSPLIT($J$2232,, " ") = M2404))</f>
        <v>0</v>
      </c>
      <c r="O2404">
        <v>0</v>
      </c>
      <c r="P2404">
        <v>0</v>
      </c>
      <c r="Q2404">
        <v>0</v>
      </c>
    </row>
    <row r="2405" spans="5:17" x14ac:dyDescent="0.2">
      <c r="E2405" s="9" t="s">
        <v>28</v>
      </c>
      <c r="K2405" t="str">
        <v>safe</v>
      </c>
      <c r="L2405" s="4" t="str">
        <f t="shared" si="38"/>
        <v>safe</v>
      </c>
      <c r="N2405" s="4" cm="1">
        <f t="array" ref="N2405">SUM(--(_xlfn.TEXTSPLIT($J$2232,, " ") = M2405))</f>
        <v>0</v>
      </c>
      <c r="O2405">
        <v>0</v>
      </c>
      <c r="P2405">
        <v>0</v>
      </c>
      <c r="Q2405">
        <v>0</v>
      </c>
    </row>
    <row r="2406" spans="5:17" x14ac:dyDescent="0.2">
      <c r="E2406" s="9" t="s">
        <v>28</v>
      </c>
      <c r="K2406" t="str">
        <v>and</v>
      </c>
      <c r="L2406" s="4" t="str">
        <f t="shared" si="38"/>
        <v>and</v>
      </c>
      <c r="N2406" s="4" cm="1">
        <f t="array" ref="N2406">SUM(--(_xlfn.TEXTSPLIT($J$2232,, " ") = M2406))</f>
        <v>0</v>
      </c>
      <c r="O2406">
        <v>0</v>
      </c>
      <c r="P2406">
        <v>0</v>
      </c>
      <c r="Q2406">
        <v>0</v>
      </c>
    </row>
    <row r="2407" spans="5:17" x14ac:dyDescent="0.2">
      <c r="E2407" s="9" t="s">
        <v>28</v>
      </c>
      <c r="K2407" t="str">
        <v xml:space="preserve">warm
</v>
      </c>
      <c r="L2407" s="4" t="str">
        <f t="shared" si="38"/>
        <v xml:space="preserve">warm </v>
      </c>
      <c r="N2407" s="4" cm="1">
        <f t="array" ref="N2407">SUM(--(_xlfn.TEXTSPLIT($J$2232,, " ") = M2407))</f>
        <v>0</v>
      </c>
      <c r="O2407">
        <v>0</v>
      </c>
      <c r="P2407">
        <v>0</v>
      </c>
      <c r="Q2407">
        <v>0</v>
      </c>
    </row>
    <row r="2408" spans="5:17" x14ac:dyDescent="0.2">
      <c r="E2408" s="9" t="s">
        <v>28</v>
      </c>
      <c r="K2408" t="str">
        <v>Then</v>
      </c>
      <c r="L2408" s="4" t="str">
        <f t="shared" si="38"/>
        <v>Then</v>
      </c>
      <c r="N2408" s="4" cm="1">
        <f t="array" ref="N2408">SUM(--(_xlfn.TEXTSPLIT($J$2232,, " ") = M2408))</f>
        <v>0</v>
      </c>
      <c r="O2408">
        <v>0</v>
      </c>
      <c r="P2408">
        <v>0</v>
      </c>
      <c r="Q2408">
        <v>0</v>
      </c>
    </row>
    <row r="2409" spans="5:17" x14ac:dyDescent="0.2">
      <c r="E2409" s="9" t="s">
        <v>28</v>
      </c>
      <c r="K2409" t="str">
        <v>the</v>
      </c>
      <c r="L2409" s="4" t="str">
        <f t="shared" si="38"/>
        <v>the</v>
      </c>
      <c r="N2409" s="4" cm="1">
        <f t="array" ref="N2409">SUM(--(_xlfn.TEXTSPLIT($J$2232,, " ") = M2409))</f>
        <v>0</v>
      </c>
      <c r="O2409">
        <v>0</v>
      </c>
      <c r="P2409">
        <v>0</v>
      </c>
      <c r="Q2409">
        <v>0</v>
      </c>
    </row>
    <row r="2410" spans="5:17" x14ac:dyDescent="0.2">
      <c r="E2410" s="9" t="s">
        <v>28</v>
      </c>
      <c r="K2410" t="str">
        <v>robot</v>
      </c>
      <c r="L2410" s="4" t="str">
        <f t="shared" si="38"/>
        <v>robot</v>
      </c>
      <c r="N2410" s="4" cm="1">
        <f t="array" ref="N2410">SUM(--(_xlfn.TEXTSPLIT($J$2232,, " ") = M2410))</f>
        <v>0</v>
      </c>
      <c r="O2410">
        <v>0</v>
      </c>
      <c r="P2410">
        <v>0</v>
      </c>
      <c r="Q2410">
        <v>0</v>
      </c>
    </row>
    <row r="2411" spans="5:17" x14ac:dyDescent="0.2">
      <c r="E2411" s="9" t="s">
        <v>28</v>
      </c>
      <c r="K2411" t="str">
        <v>voices</v>
      </c>
      <c r="L2411" s="4" t="str">
        <f t="shared" si="38"/>
        <v>voices</v>
      </c>
      <c r="N2411" s="4" cm="1">
        <f t="array" ref="N2411">SUM(--(_xlfn.TEXTSPLIT($J$2232,, " ") = M2411))</f>
        <v>0</v>
      </c>
      <c r="O2411">
        <v>0</v>
      </c>
      <c r="P2411">
        <v>0</v>
      </c>
      <c r="Q2411">
        <v>0</v>
      </c>
    </row>
    <row r="2412" spans="5:17" x14ac:dyDescent="0.2">
      <c r="E2412" s="9" t="s">
        <v>28</v>
      </c>
      <c r="K2412" t="str">
        <v>would</v>
      </c>
      <c r="L2412" s="4" t="str">
        <f t="shared" si="38"/>
        <v>would</v>
      </c>
      <c r="N2412" s="4" cm="1">
        <f t="array" ref="N2412">SUM(--(_xlfn.TEXTSPLIT($J$2232,, " ") = M2412))</f>
        <v>0</v>
      </c>
      <c r="O2412">
        <v>0</v>
      </c>
      <c r="P2412">
        <v>0</v>
      </c>
      <c r="Q2412">
        <v>0</v>
      </c>
    </row>
    <row r="2413" spans="5:17" x14ac:dyDescent="0.2">
      <c r="E2413" s="9" t="s">
        <v>28</v>
      </c>
      <c r="K2413" t="str">
        <v>reassure</v>
      </c>
      <c r="L2413" s="4" t="str">
        <f t="shared" si="38"/>
        <v>reassure</v>
      </c>
      <c r="N2413" s="4" cm="1">
        <f t="array" ref="N2413">SUM(--(_xlfn.TEXTSPLIT($J$2232,, " ") = M2413))</f>
        <v>0</v>
      </c>
      <c r="O2413">
        <v>0</v>
      </c>
      <c r="P2413">
        <v>0</v>
      </c>
      <c r="Q2413">
        <v>0</v>
      </c>
    </row>
    <row r="2414" spans="5:17" x14ac:dyDescent="0.2">
      <c r="E2414" s="9" t="s">
        <v>28</v>
      </c>
      <c r="K2414" t="str">
        <v xml:space="preserve">me
</v>
      </c>
      <c r="L2414" s="4" t="str">
        <f t="shared" si="38"/>
        <v xml:space="preserve">me </v>
      </c>
      <c r="N2414" s="4" cm="1">
        <f t="array" ref="N2414">SUM(--(_xlfn.TEXTSPLIT($J$2232,, " ") = M2414))</f>
        <v>0</v>
      </c>
      <c r="O2414">
        <v>0</v>
      </c>
      <c r="P2414">
        <v>0</v>
      </c>
      <c r="Q2414">
        <v>0</v>
      </c>
    </row>
    <row r="2415" spans="5:17" x14ac:dyDescent="0.2">
      <c r="E2415" s="9" t="s">
        <v>28</v>
      </c>
      <c r="K2415" t="str">
        <v>I</v>
      </c>
      <c r="L2415" s="4" t="str">
        <f t="shared" si="38"/>
        <v>I</v>
      </c>
      <c r="N2415" s="4" cm="1">
        <f t="array" ref="N2415">SUM(--(_xlfn.TEXTSPLIT($J$2232,, " ") = M2415))</f>
        <v>0</v>
      </c>
      <c r="O2415">
        <v>0</v>
      </c>
      <c r="P2415">
        <v>0</v>
      </c>
      <c r="Q2415">
        <v>0</v>
      </c>
    </row>
    <row r="2416" spans="5:17" x14ac:dyDescent="0.2">
      <c r="E2416" s="9" t="s">
        <v>28</v>
      </c>
      <c r="K2416" t="str">
        <v>wasn't</v>
      </c>
      <c r="L2416" s="4" t="str">
        <f t="shared" si="38"/>
        <v>wasn t</v>
      </c>
      <c r="N2416" s="4" cm="1">
        <f t="array" ref="N2416">SUM(--(_xlfn.TEXTSPLIT($J$2232,, " ") = M2416))</f>
        <v>0</v>
      </c>
      <c r="O2416">
        <v>0</v>
      </c>
      <c r="P2416">
        <v>0</v>
      </c>
      <c r="Q2416">
        <v>0</v>
      </c>
    </row>
    <row r="2417" spans="5:17" x14ac:dyDescent="0.2">
      <c r="E2417" s="9" t="s">
        <v>28</v>
      </c>
      <c r="K2417" t="str">
        <v>lookin'</v>
      </c>
      <c r="L2417" s="4" t="str">
        <f t="shared" si="38"/>
        <v xml:space="preserve">lookin </v>
      </c>
      <c r="N2417" s="4" cm="1">
        <f t="array" ref="N2417">SUM(--(_xlfn.TEXTSPLIT($J$2232,, " ") = M2417))</f>
        <v>0</v>
      </c>
      <c r="O2417">
        <v>0</v>
      </c>
      <c r="P2417">
        <v>0</v>
      </c>
      <c r="Q2417">
        <v>0</v>
      </c>
    </row>
    <row r="2418" spans="5:17" x14ac:dyDescent="0.2">
      <c r="E2418" s="9" t="s">
        <v>28</v>
      </c>
      <c r="K2418" t="str">
        <v>for</v>
      </c>
      <c r="L2418" s="4" t="str">
        <f t="shared" si="38"/>
        <v>for</v>
      </c>
      <c r="N2418" s="4" cm="1">
        <f t="array" ref="N2418">SUM(--(_xlfn.TEXTSPLIT($J$2232,, " ") = M2418))</f>
        <v>0</v>
      </c>
      <c r="O2418">
        <v>0</v>
      </c>
      <c r="P2418">
        <v>0</v>
      </c>
      <c r="Q2418">
        <v>0</v>
      </c>
    </row>
    <row r="2419" spans="5:17" x14ac:dyDescent="0.2">
      <c r="E2419" s="9" t="s">
        <v>28</v>
      </c>
      <c r="K2419" t="str">
        <v>love</v>
      </c>
      <c r="L2419" s="4" t="str">
        <f t="shared" si="38"/>
        <v>love</v>
      </c>
      <c r="N2419" s="4" cm="1">
        <f t="array" ref="N2419">SUM(--(_xlfn.TEXTSPLIT($J$2232,, " ") = M2419))</f>
        <v>0</v>
      </c>
      <c r="O2419">
        <v>0</v>
      </c>
      <c r="P2419">
        <v>0</v>
      </c>
      <c r="Q2419">
        <v>0</v>
      </c>
    </row>
    <row r="2420" spans="5:17" x14ac:dyDescent="0.2">
      <c r="E2420" s="9" t="s">
        <v>28</v>
      </c>
      <c r="K2420" t="str">
        <v>this</v>
      </c>
      <c r="L2420" s="4" t="str">
        <f t="shared" si="38"/>
        <v>this</v>
      </c>
      <c r="N2420" s="4" cm="1">
        <f t="array" ref="N2420">SUM(--(_xlfn.TEXTSPLIT($J$2232,, " ") = M2420))</f>
        <v>0</v>
      </c>
      <c r="O2420">
        <v>0</v>
      </c>
      <c r="P2420">
        <v>0</v>
      </c>
      <c r="Q2420">
        <v>0</v>
      </c>
    </row>
    <row r="2421" spans="5:17" x14ac:dyDescent="0.2">
      <c r="E2421" s="9" t="s">
        <v>28</v>
      </c>
      <c r="K2421" t="str">
        <v xml:space="preserve">year
</v>
      </c>
      <c r="L2421" s="4" t="str">
        <f t="shared" si="38"/>
        <v xml:space="preserve">year </v>
      </c>
      <c r="N2421" s="4" cm="1">
        <f t="array" ref="N2421">SUM(--(_xlfn.TEXTSPLIT($J$2232,, " ") = M2421))</f>
        <v>0</v>
      </c>
      <c r="O2421">
        <v>0</v>
      </c>
      <c r="P2421">
        <v>0</v>
      </c>
      <c r="Q2421">
        <v>0</v>
      </c>
    </row>
    <row r="2422" spans="5:17" x14ac:dyDescent="0.2">
      <c r="E2422" s="9" t="s">
        <v>28</v>
      </c>
      <c r="K2422" t="str">
        <v>But</v>
      </c>
      <c r="L2422" s="4" t="str">
        <f t="shared" si="38"/>
        <v>But</v>
      </c>
      <c r="N2422" s="4" cm="1">
        <f t="array" ref="N2422">SUM(--(_xlfn.TEXTSPLIT($J$2232,, " ") = M2422))</f>
        <v>0</v>
      </c>
      <c r="O2422">
        <v>0</v>
      </c>
      <c r="P2422">
        <v>0</v>
      </c>
      <c r="Q2422">
        <v>0</v>
      </c>
    </row>
    <row r="2423" spans="5:17" x14ac:dyDescent="0.2">
      <c r="E2423" s="9" t="s">
        <v>28</v>
      </c>
      <c r="K2423" t="str">
        <v>my</v>
      </c>
      <c r="L2423" s="4" t="str">
        <f t="shared" si="38"/>
        <v>my</v>
      </c>
      <c r="N2423" s="4" cm="1">
        <f t="array" ref="N2423">SUM(--(_xlfn.TEXTSPLIT($J$2232,, " ") = M2423))</f>
        <v>0</v>
      </c>
      <c r="O2423">
        <v>0</v>
      </c>
      <c r="P2423">
        <v>0</v>
      </c>
      <c r="Q2423">
        <v>0</v>
      </c>
    </row>
    <row r="2424" spans="5:17" x14ac:dyDescent="0.2">
      <c r="E2424" s="9" t="s">
        <v>28</v>
      </c>
      <c r="K2424" t="str">
        <v>robot</v>
      </c>
      <c r="L2424" s="4" t="str">
        <f t="shared" si="38"/>
        <v>robot</v>
      </c>
      <c r="N2424" s="4" cm="1">
        <f t="array" ref="N2424">SUM(--(_xlfn.TEXTSPLIT($J$2232,, " ") = M2424))</f>
        <v>0</v>
      </c>
      <c r="O2424">
        <v>0</v>
      </c>
      <c r="P2424">
        <v>0</v>
      </c>
      <c r="Q2424">
        <v>0</v>
      </c>
    </row>
    <row r="2425" spans="5:17" x14ac:dyDescent="0.2">
      <c r="E2425" s="9" t="s">
        <v>28</v>
      </c>
      <c r="K2425" t="str">
        <v>told</v>
      </c>
      <c r="L2425" s="4" t="str">
        <f t="shared" ref="L2425:L2447" si="39">_xlfn.REGEXREPLACE(K2425, "[^A-Za-z ]", " ")</f>
        <v>told</v>
      </c>
      <c r="N2425" s="4" cm="1">
        <f t="array" ref="N2425">SUM(--(_xlfn.TEXTSPLIT($J$2232,, " ") = M2425))</f>
        <v>0</v>
      </c>
      <c r="O2425">
        <v>0</v>
      </c>
      <c r="P2425">
        <v>0</v>
      </c>
      <c r="Q2425">
        <v>0</v>
      </c>
    </row>
    <row r="2426" spans="5:17" x14ac:dyDescent="0.2">
      <c r="E2426" s="9" t="s">
        <v>28</v>
      </c>
      <c r="K2426" t="str">
        <v>me</v>
      </c>
      <c r="L2426" s="4" t="str">
        <f t="shared" si="39"/>
        <v>me</v>
      </c>
      <c r="N2426" s="4" cm="1">
        <f t="array" ref="N2426">SUM(--(_xlfn.TEXTSPLIT($J$2232,, " ") = M2426))</f>
        <v>0</v>
      </c>
      <c r="O2426">
        <v>0</v>
      </c>
      <c r="P2426">
        <v>0</v>
      </c>
      <c r="Q2426">
        <v>0</v>
      </c>
    </row>
    <row r="2427" spans="5:17" x14ac:dyDescent="0.2">
      <c r="E2427" s="9" t="s">
        <v>28</v>
      </c>
      <c r="K2427" t="str">
        <v>that</v>
      </c>
      <c r="L2427" s="4" t="str">
        <f t="shared" si="39"/>
        <v>that</v>
      </c>
      <c r="N2427" s="4" cm="1">
        <f t="array" ref="N2427">SUM(--(_xlfn.TEXTSPLIT($J$2232,, " ") = M2427))</f>
        <v>0</v>
      </c>
      <c r="O2427">
        <v>0</v>
      </c>
      <c r="P2427">
        <v>0</v>
      </c>
      <c r="Q2427">
        <v>0</v>
      </c>
    </row>
    <row r="2428" spans="5:17" x14ac:dyDescent="0.2">
      <c r="E2428" s="9" t="s">
        <v>28</v>
      </c>
      <c r="K2428" t="str">
        <v>I</v>
      </c>
      <c r="L2428" s="4" t="str">
        <f t="shared" si="39"/>
        <v>I</v>
      </c>
      <c r="N2428" s="4" cm="1">
        <f t="array" ref="N2428">SUM(--(_xlfn.TEXTSPLIT($J$2232,, " ") = M2428))</f>
        <v>0</v>
      </c>
      <c r="O2428">
        <v>0</v>
      </c>
      <c r="P2428">
        <v>0</v>
      </c>
      <c r="Q2428">
        <v>0</v>
      </c>
    </row>
    <row r="2429" spans="5:17" x14ac:dyDescent="0.2">
      <c r="E2429" s="9" t="s">
        <v>28</v>
      </c>
      <c r="K2429" t="str">
        <v>shouldn't</v>
      </c>
      <c r="L2429" s="4" t="str">
        <f t="shared" si="39"/>
        <v>shouldn t</v>
      </c>
      <c r="N2429" s="4" cm="1">
        <f t="array" ref="N2429">SUM(--(_xlfn.TEXTSPLIT($J$2232,, " ") = M2429))</f>
        <v>0</v>
      </c>
      <c r="O2429">
        <v>0</v>
      </c>
      <c r="P2429">
        <v>0</v>
      </c>
      <c r="Q2429">
        <v>0</v>
      </c>
    </row>
    <row r="2430" spans="5:17" x14ac:dyDescent="0.2">
      <c r="E2430" s="9" t="s">
        <v>28</v>
      </c>
      <c r="K2430" t="str">
        <v xml:space="preserve">fear
</v>
      </c>
      <c r="L2430" s="4" t="str">
        <f t="shared" si="39"/>
        <v xml:space="preserve">fear </v>
      </c>
      <c r="N2430" s="4" cm="1">
        <f t="array" ref="N2430">SUM(--(_xlfn.TEXTSPLIT($J$2232,, " ") = M2430))</f>
        <v>0</v>
      </c>
      <c r="O2430">
        <v>0</v>
      </c>
      <c r="P2430">
        <v>0</v>
      </c>
      <c r="Q2430">
        <v>0</v>
      </c>
    </row>
    <row r="2431" spans="5:17" x14ac:dyDescent="0.2">
      <c r="E2431" s="9" t="s">
        <v>28</v>
      </c>
      <c r="K2431" t="str">
        <v>When</v>
      </c>
      <c r="L2431" s="4" t="str">
        <f t="shared" si="39"/>
        <v>When</v>
      </c>
      <c r="N2431" s="4" cm="1">
        <f t="array" ref="N2431">SUM(--(_xlfn.TEXTSPLIT($J$2232,, " ") = M2431))</f>
        <v>0</v>
      </c>
      <c r="O2431">
        <v>0</v>
      </c>
      <c r="P2431">
        <v>0</v>
      </c>
      <c r="Q2431">
        <v>0</v>
      </c>
    </row>
    <row r="2432" spans="5:17" x14ac:dyDescent="0.2">
      <c r="E2432" s="9" t="s">
        <v>28</v>
      </c>
      <c r="K2432" t="str">
        <v>I</v>
      </c>
      <c r="L2432" s="4" t="str">
        <f t="shared" si="39"/>
        <v>I</v>
      </c>
      <c r="N2432" s="4" cm="1">
        <f t="array" ref="N2432">SUM(--(_xlfn.TEXTSPLIT($J$2232,, " ") = M2432))</f>
        <v>0</v>
      </c>
      <c r="O2432">
        <v>0</v>
      </c>
      <c r="P2432">
        <v>0</v>
      </c>
      <c r="Q2432">
        <v>0</v>
      </c>
    </row>
    <row r="2433" spans="2:17" x14ac:dyDescent="0.2">
      <c r="E2433" s="9" t="s">
        <v>28</v>
      </c>
      <c r="K2433" t="str">
        <v>met</v>
      </c>
      <c r="L2433" s="4" t="str">
        <f t="shared" si="39"/>
        <v>met</v>
      </c>
      <c r="N2433" s="4" cm="1">
        <f t="array" ref="N2433">SUM(--(_xlfn.TEXTSPLIT($J$2232,, " ") = M2433))</f>
        <v>0</v>
      </c>
      <c r="O2433">
        <v>0</v>
      </c>
      <c r="P2433">
        <v>0</v>
      </c>
      <c r="Q2433">
        <v>0</v>
      </c>
    </row>
    <row r="2434" spans="2:17" x14ac:dyDescent="0.2">
      <c r="E2434" s="9" t="s">
        <v>28</v>
      </c>
      <c r="K2434" t="str">
        <v>you,</v>
      </c>
      <c r="L2434" s="4" t="str">
        <f t="shared" si="39"/>
        <v xml:space="preserve">you </v>
      </c>
      <c r="N2434" s="4" cm="1">
        <f t="array" ref="N2434">SUM(--(_xlfn.TEXTSPLIT($J$2232,, " ") = M2434))</f>
        <v>0</v>
      </c>
      <c r="O2434">
        <v>0</v>
      </c>
      <c r="P2434">
        <v>0</v>
      </c>
      <c r="Q2434">
        <v>0</v>
      </c>
    </row>
    <row r="2435" spans="2:17" x14ac:dyDescent="0.2">
      <c r="E2435" s="9" t="s">
        <v>28</v>
      </c>
      <c r="K2435" t="str">
        <v>I</v>
      </c>
      <c r="L2435" s="4" t="str">
        <f t="shared" si="39"/>
        <v>I</v>
      </c>
      <c r="N2435" s="4" cm="1">
        <f t="array" ref="N2435">SUM(--(_xlfn.TEXTSPLIT($J$2232,, " ") = M2435))</f>
        <v>0</v>
      </c>
      <c r="O2435">
        <v>0</v>
      </c>
      <c r="P2435">
        <v>0</v>
      </c>
      <c r="Q2435">
        <v>0</v>
      </c>
    </row>
    <row r="2436" spans="2:17" x14ac:dyDescent="0.2">
      <c r="E2436" s="9" t="s">
        <v>28</v>
      </c>
      <c r="K2436" t="str">
        <v>found</v>
      </c>
      <c r="L2436" s="4" t="str">
        <f t="shared" si="39"/>
        <v>found</v>
      </c>
      <c r="N2436" s="4" cm="1">
        <f t="array" ref="N2436">SUM(--(_xlfn.TEXTSPLIT($J$2232,, " ") = M2436))</f>
        <v>0</v>
      </c>
      <c r="O2436">
        <v>0</v>
      </c>
      <c r="P2436">
        <v>0</v>
      </c>
      <c r="Q2436">
        <v>0</v>
      </c>
    </row>
    <row r="2437" spans="2:17" x14ac:dyDescent="0.2">
      <c r="E2437" s="9" t="s">
        <v>28</v>
      </c>
      <c r="K2437" t="str">
        <v>you</v>
      </c>
      <c r="L2437" s="4" t="str">
        <f t="shared" si="39"/>
        <v>you</v>
      </c>
      <c r="N2437" s="4" cm="1">
        <f t="array" ref="N2437">SUM(--(_xlfn.TEXTSPLIT($J$2232,, " ") = M2437))</f>
        <v>0</v>
      </c>
      <c r="O2437">
        <v>0</v>
      </c>
      <c r="P2437">
        <v>0</v>
      </c>
      <c r="Q2437">
        <v>0</v>
      </c>
    </row>
    <row r="2438" spans="2:17" x14ac:dyDescent="0.2">
      <c r="E2438" s="9" t="s">
        <v>28</v>
      </c>
      <c r="K2438" t="str">
        <v>safe</v>
      </c>
      <c r="L2438" s="4" t="str">
        <f t="shared" si="39"/>
        <v>safe</v>
      </c>
      <c r="N2438" s="4" cm="1">
        <f t="array" ref="N2438">SUM(--(_xlfn.TEXTSPLIT($J$2232,, " ") = M2438))</f>
        <v>0</v>
      </c>
      <c r="O2438">
        <v>0</v>
      </c>
      <c r="P2438">
        <v>0</v>
      </c>
      <c r="Q2438">
        <v>0</v>
      </c>
    </row>
    <row r="2439" spans="2:17" x14ac:dyDescent="0.2">
      <c r="E2439" s="9" t="s">
        <v>28</v>
      </c>
      <c r="K2439" t="str">
        <v>and</v>
      </c>
      <c r="L2439" s="4" t="str">
        <f t="shared" si="39"/>
        <v>and</v>
      </c>
      <c r="N2439" s="4" cm="1">
        <f t="array" ref="N2439">SUM(--(_xlfn.TEXTSPLIT($J$2232,, " ") = M2439))</f>
        <v>0</v>
      </c>
      <c r="O2439">
        <v>0</v>
      </c>
      <c r="P2439">
        <v>0</v>
      </c>
      <c r="Q2439">
        <v>0</v>
      </c>
    </row>
    <row r="2440" spans="2:17" x14ac:dyDescent="0.2">
      <c r="E2440" s="9" t="s">
        <v>28</v>
      </c>
      <c r="K2440" t="str">
        <v xml:space="preserve">warm
</v>
      </c>
      <c r="L2440" s="4" t="str">
        <f t="shared" si="39"/>
        <v xml:space="preserve">warm </v>
      </c>
      <c r="N2440" s="4" cm="1">
        <f t="array" ref="N2440">SUM(--(_xlfn.TEXTSPLIT($J$2232,, " ") = M2440))</f>
        <v>0</v>
      </c>
      <c r="O2440">
        <v>0</v>
      </c>
      <c r="P2440">
        <v>0</v>
      </c>
      <c r="Q2440">
        <v>0</v>
      </c>
    </row>
    <row r="2441" spans="2:17" x14ac:dyDescent="0.2">
      <c r="E2441" s="9" t="s">
        <v>28</v>
      </c>
      <c r="K2441" t="str">
        <v>Then</v>
      </c>
      <c r="L2441" s="4" t="str">
        <f t="shared" si="39"/>
        <v>Then</v>
      </c>
      <c r="N2441" s="4" cm="1">
        <f t="array" ref="N2441">SUM(--(_xlfn.TEXTSPLIT($J$2232,, " ") = M2441))</f>
        <v>0</v>
      </c>
      <c r="O2441">
        <v>0</v>
      </c>
      <c r="P2441">
        <v>0</v>
      </c>
      <c r="Q2441">
        <v>0</v>
      </c>
    </row>
    <row r="2442" spans="2:17" x14ac:dyDescent="0.2">
      <c r="E2442" s="9" t="s">
        <v>28</v>
      </c>
      <c r="K2442" t="str">
        <v>the</v>
      </c>
      <c r="L2442" s="4" t="str">
        <f t="shared" si="39"/>
        <v>the</v>
      </c>
      <c r="N2442" s="4" cm="1">
        <f t="array" ref="N2442">SUM(--(_xlfn.TEXTSPLIT($J$2232,, " ") = M2442))</f>
        <v>0</v>
      </c>
      <c r="O2442">
        <v>0</v>
      </c>
      <c r="P2442">
        <v>0</v>
      </c>
      <c r="Q2442">
        <v>0</v>
      </c>
    </row>
    <row r="2443" spans="2:17" x14ac:dyDescent="0.2">
      <c r="E2443" s="9" t="s">
        <v>28</v>
      </c>
      <c r="K2443" t="str">
        <v>robot</v>
      </c>
      <c r="L2443" s="4" t="str">
        <f t="shared" si="39"/>
        <v>robot</v>
      </c>
      <c r="N2443" s="4" cm="1">
        <f t="array" ref="N2443">SUM(--(_xlfn.TEXTSPLIT($J$2232,, " ") = M2443))</f>
        <v>0</v>
      </c>
      <c r="O2443">
        <v>0</v>
      </c>
      <c r="P2443">
        <v>0</v>
      </c>
      <c r="Q2443">
        <v>0</v>
      </c>
    </row>
    <row r="2444" spans="2:17" x14ac:dyDescent="0.2">
      <c r="E2444" s="9" t="s">
        <v>28</v>
      </c>
      <c r="K2444" t="str">
        <v>voices</v>
      </c>
      <c r="L2444" s="4" t="str">
        <f t="shared" si="39"/>
        <v>voices</v>
      </c>
      <c r="N2444" s="4" cm="1">
        <f t="array" ref="N2444">SUM(--(_xlfn.TEXTSPLIT($J$2232,, " ") = M2444))</f>
        <v>0</v>
      </c>
      <c r="O2444">
        <v>0</v>
      </c>
      <c r="P2444">
        <v>0</v>
      </c>
      <c r="Q2444">
        <v>0</v>
      </c>
    </row>
    <row r="2445" spans="2:17" x14ac:dyDescent="0.2">
      <c r="E2445" s="9" t="s">
        <v>28</v>
      </c>
      <c r="K2445" t="str">
        <v>would</v>
      </c>
      <c r="L2445" s="4" t="str">
        <f t="shared" si="39"/>
        <v>would</v>
      </c>
      <c r="N2445" s="4" cm="1">
        <f t="array" ref="N2445">SUM(--(_xlfn.TEXTSPLIT($J$2232,, " ") = M2445))</f>
        <v>0</v>
      </c>
      <c r="O2445">
        <v>0</v>
      </c>
      <c r="P2445">
        <v>0</v>
      </c>
      <c r="Q2445">
        <v>0</v>
      </c>
    </row>
    <row r="2446" spans="2:17" x14ac:dyDescent="0.2">
      <c r="E2446" s="9" t="s">
        <v>28</v>
      </c>
      <c r="K2446" t="str">
        <v>reassure</v>
      </c>
      <c r="L2446" s="4" t="str">
        <f t="shared" si="39"/>
        <v>reassure</v>
      </c>
      <c r="N2446" s="4" cm="1">
        <f t="array" ref="N2446">SUM(--(_xlfn.TEXTSPLIT($J$2232,, " ") = M2446))</f>
        <v>0</v>
      </c>
      <c r="O2446">
        <v>0</v>
      </c>
      <c r="P2446">
        <v>0</v>
      </c>
      <c r="Q2446">
        <v>0</v>
      </c>
    </row>
    <row r="2447" spans="2:17" x14ac:dyDescent="0.2">
      <c r="E2447" s="9" t="s">
        <v>28</v>
      </c>
      <c r="K2447" t="str">
        <v>me</v>
      </c>
      <c r="L2447" s="4" t="str">
        <f t="shared" si="39"/>
        <v>me</v>
      </c>
      <c r="N2447" s="4" cm="1">
        <f t="array" ref="N2447">SUM(--(_xlfn.TEXTSPLIT($J$2232,, " ") = M2447))</f>
        <v>0</v>
      </c>
      <c r="O2447">
        <v>0</v>
      </c>
      <c r="P2447">
        <v>0</v>
      </c>
      <c r="Q2447">
        <v>0</v>
      </c>
    </row>
    <row r="2448" spans="2:17" s="4" customFormat="1" x14ac:dyDescent="0.2">
      <c r="B2448" s="5"/>
      <c r="C2448" s="6"/>
      <c r="D2448" s="7"/>
      <c r="E2448" s="9"/>
      <c r="G2448" s="8"/>
      <c r="H2448" s="9"/>
      <c r="J24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C13F-E85A-A243-AA2A-760CF518B6A5}">
  <dimension ref="A1:V4479"/>
  <sheetViews>
    <sheetView tabSelected="1" workbookViewId="0">
      <selection activeCell="J17" sqref="J17"/>
    </sheetView>
  </sheetViews>
  <sheetFormatPr baseColWidth="10" defaultRowHeight="15" x14ac:dyDescent="0.2"/>
  <sheetData>
    <row r="1" spans="1:22" x14ac:dyDescent="0.2">
      <c r="A1" s="1" t="s">
        <v>47</v>
      </c>
      <c r="B1" s="1" t="s">
        <v>0</v>
      </c>
      <c r="C1" s="2" t="s">
        <v>1</v>
      </c>
      <c r="D1" s="3" t="s">
        <v>2</v>
      </c>
      <c r="E1" s="1" t="s">
        <v>3</v>
      </c>
      <c r="F1" s="1" t="s">
        <v>4</v>
      </c>
      <c r="G1" s="1" t="s">
        <v>5</v>
      </c>
      <c r="H1" s="1" t="s">
        <v>6</v>
      </c>
      <c r="I1" s="1" t="s">
        <v>7</v>
      </c>
      <c r="J1" s="2" t="s">
        <v>8</v>
      </c>
      <c r="K1" s="2" t="s">
        <v>9</v>
      </c>
      <c r="L1" s="2" t="s">
        <v>13</v>
      </c>
      <c r="M1" s="2" t="s">
        <v>10</v>
      </c>
      <c r="N1" s="2" t="s">
        <v>11</v>
      </c>
      <c r="O1" s="2" t="s">
        <v>22</v>
      </c>
      <c r="P1" s="2" t="s">
        <v>12</v>
      </c>
      <c r="Q1" s="2" t="s">
        <v>32</v>
      </c>
      <c r="R1" s="2"/>
      <c r="S1" s="2"/>
      <c r="T1" s="2"/>
      <c r="U1" s="2"/>
      <c r="V1" s="2"/>
    </row>
    <row r="2" spans="1:22" s="4" customFormat="1" x14ac:dyDescent="0.2">
      <c r="A2" s="4">
        <v>1</v>
      </c>
      <c r="B2" s="5">
        <v>45912</v>
      </c>
      <c r="C2" s="6">
        <v>0.22361111111111112</v>
      </c>
      <c r="D2" s="7">
        <v>322</v>
      </c>
      <c r="E2" s="4" t="s">
        <v>14</v>
      </c>
      <c r="F2" s="4">
        <v>1</v>
      </c>
      <c r="G2" s="8" t="s">
        <v>15</v>
      </c>
      <c r="H2" s="9" t="s">
        <v>16</v>
      </c>
      <c r="I2" s="4">
        <v>1</v>
      </c>
      <c r="J2" s="4" t="str">
        <f>_xlfn.TEXTJOIN(" ", TRUE, H2:H15)</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K2" s="4" t="e" cm="1" vm="1">
        <f t="array" aca="1" ref="K2" ca="1">_xlfn.TEXTSPLIT(J2, ," ")</f>
        <v>#VALUE!</v>
      </c>
      <c r="L2" s="4" t="e" vm="2">
        <f ca="1">_xlfn.REGEXREPLACE(K2, "[^A-Za-z ]", " ")</f>
        <v>#VALUE!</v>
      </c>
      <c r="M2" s="4" t="str" cm="1">
        <f t="array" ref="M2:M168">_xlfn.UNIQUE(_xlfn.TEXTSPLIT(J2, , " "))</f>
        <v>Square</v>
      </c>
      <c r="N2" s="4" cm="1">
        <f t="array" ref="N2">SUM(--(_xlfn.TEXTSPLIT($J$2,, " ") = M2))</f>
        <v>28</v>
      </c>
      <c r="O2" s="4" cm="1">
        <f t="array" ref="O2:O421">_xlfn._xlws.SORT(N2:N421, ,-1)</f>
        <v>364</v>
      </c>
      <c r="P2" s="4" t="str" cm="1">
        <f t="array" ref="P2:Q421">_xlfn.SORTBY(M2:N421, N2:N421, -1)</f>
        <v>the</v>
      </c>
      <c r="Q2" s="4">
        <v>364</v>
      </c>
    </row>
    <row r="3" spans="1:22" x14ac:dyDescent="0.2">
      <c r="A3" s="4">
        <v>1</v>
      </c>
      <c r="B3" s="5">
        <v>45912</v>
      </c>
      <c r="C3" s="6">
        <v>0.22361111111111112</v>
      </c>
      <c r="D3" s="7">
        <v>322</v>
      </c>
      <c r="E3" s="4" t="s">
        <v>14</v>
      </c>
      <c r="F3" s="4">
        <v>1</v>
      </c>
      <c r="G3" s="8" t="s">
        <v>15</v>
      </c>
      <c r="H3" s="9" t="s">
        <v>16</v>
      </c>
      <c r="I3" s="4">
        <v>1</v>
      </c>
      <c r="J3" s="4" t="str">
        <f t="shared" ref="J3:J66" si="0">_xlfn.TEXTJOIN(" ", TRUE, H3:H16)</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 s="4" t="str">
        <f>_xlfn.REGEXREPLACE(K3, "[^A-Za-z ]", " ")</f>
        <v/>
      </c>
      <c r="M3" t="str">
        <v>up</v>
      </c>
      <c r="N3" s="4" cm="1">
        <f t="array" ref="N3">SUM(--(_xlfn.TEXTSPLIT($J$2,, " ") = M3))</f>
        <v>70</v>
      </c>
      <c r="O3" s="4">
        <v>280</v>
      </c>
      <c r="P3" t="str">
        <v>I</v>
      </c>
      <c r="Q3">
        <v>280</v>
      </c>
      <c r="R3" s="4"/>
      <c r="S3" s="4"/>
      <c r="T3" s="4"/>
      <c r="U3" s="4"/>
      <c r="V3" s="4"/>
    </row>
    <row r="4" spans="1:22" x14ac:dyDescent="0.2">
      <c r="A4" s="4">
        <v>1</v>
      </c>
      <c r="B4" s="5">
        <v>45912</v>
      </c>
      <c r="C4" s="6">
        <v>0.22361111111111112</v>
      </c>
      <c r="D4" s="7">
        <v>322</v>
      </c>
      <c r="E4" s="4" t="s">
        <v>14</v>
      </c>
      <c r="F4" s="4">
        <v>1</v>
      </c>
      <c r="G4" s="8" t="s">
        <v>15</v>
      </c>
      <c r="H4" s="9" t="s">
        <v>16</v>
      </c>
      <c r="I4" s="4">
        <v>1</v>
      </c>
      <c r="J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 s="4" t="str">
        <f t="shared" ref="L4:L67" si="1">_xlfn.REGEXREPLACE(K4, "[^A-Za-z ]", " ")</f>
        <v/>
      </c>
      <c r="M4" t="str">
        <v>with</v>
      </c>
      <c r="N4" s="4" cm="1">
        <f t="array" ref="N4">SUM(--(_xlfn.TEXTSPLIT($J$2,, " ") = M4))</f>
        <v>70</v>
      </c>
      <c r="O4" s="4">
        <v>224</v>
      </c>
      <c r="P4" t="str">
        <v>you</v>
      </c>
      <c r="Q4">
        <v>224</v>
      </c>
      <c r="R4" s="4"/>
      <c r="S4" s="4"/>
      <c r="T4" s="4"/>
      <c r="U4" s="4"/>
      <c r="V4" s="4"/>
    </row>
    <row r="5" spans="1:22" x14ac:dyDescent="0.2">
      <c r="A5" s="4">
        <v>1</v>
      </c>
      <c r="B5" s="5">
        <v>45912</v>
      </c>
      <c r="C5" s="6">
        <v>0.22361111111111112</v>
      </c>
      <c r="D5" s="7">
        <v>322</v>
      </c>
      <c r="E5" s="4" t="s">
        <v>14</v>
      </c>
      <c r="F5" s="4">
        <v>1</v>
      </c>
      <c r="G5" s="8" t="s">
        <v>15</v>
      </c>
      <c r="H5" s="9" t="s">
        <v>16</v>
      </c>
      <c r="I5" s="4">
        <v>1</v>
      </c>
      <c r="J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 s="4" t="str">
        <f t="shared" si="1"/>
        <v/>
      </c>
      <c r="M5" t="str">
        <v>me,</v>
      </c>
      <c r="N5" s="4" cm="1">
        <f t="array" ref="N5">SUM(--(_xlfn.TEXTSPLIT($J$2,, " ") = M5))</f>
        <v>56</v>
      </c>
      <c r="O5" s="4">
        <v>196</v>
      </c>
      <c r="P5" t="str">
        <v>a</v>
      </c>
      <c r="Q5">
        <v>196</v>
      </c>
      <c r="R5" s="4"/>
      <c r="S5" s="4"/>
      <c r="T5" s="4"/>
      <c r="U5" s="4"/>
      <c r="V5" s="4"/>
    </row>
    <row r="6" spans="1:22" x14ac:dyDescent="0.2">
      <c r="A6" s="4">
        <v>1</v>
      </c>
      <c r="B6" s="5">
        <v>45912</v>
      </c>
      <c r="C6" s="6">
        <v>0.22361111111111112</v>
      </c>
      <c r="D6" s="7">
        <v>322</v>
      </c>
      <c r="E6" s="4" t="s">
        <v>14</v>
      </c>
      <c r="F6" s="4">
        <v>1</v>
      </c>
      <c r="G6" s="8" t="s">
        <v>15</v>
      </c>
      <c r="H6" s="9" t="s">
        <v>16</v>
      </c>
      <c r="I6" s="4">
        <v>1</v>
      </c>
      <c r="J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 s="4" t="str">
        <f t="shared" si="1"/>
        <v/>
      </c>
      <c r="M6" t="str">
        <v>I</v>
      </c>
      <c r="N6" s="4" cm="1">
        <f t="array" ref="N6">SUM(--(_xlfn.TEXTSPLIT($J$2,, " ") = M6))</f>
        <v>280</v>
      </c>
      <c r="O6" s="4">
        <v>168</v>
      </c>
      <c r="P6" t="str">
        <v>my</v>
      </c>
      <c r="Q6">
        <v>168</v>
      </c>
      <c r="R6" s="4"/>
      <c r="S6" s="4"/>
      <c r="T6" s="4"/>
      <c r="U6" s="4"/>
      <c r="V6" s="4"/>
    </row>
    <row r="7" spans="1:22" x14ac:dyDescent="0.2">
      <c r="A7" s="4">
        <v>1</v>
      </c>
      <c r="B7" s="5">
        <v>45912</v>
      </c>
      <c r="C7" s="6">
        <v>0.22361111111111112</v>
      </c>
      <c r="D7" s="7">
        <v>322</v>
      </c>
      <c r="E7" s="4" t="s">
        <v>14</v>
      </c>
      <c r="F7" s="4">
        <v>1</v>
      </c>
      <c r="G7" s="8" t="s">
        <v>15</v>
      </c>
      <c r="H7" s="9" t="s">
        <v>16</v>
      </c>
      <c r="I7" s="4">
        <v>1</v>
      </c>
      <c r="J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 s="4" t="str">
        <f t="shared" si="1"/>
        <v/>
      </c>
      <c r="M7" t="str">
        <v>can</v>
      </c>
      <c r="N7" s="4" cm="1">
        <f t="array" ref="N7">SUM(--(_xlfn.TEXTSPLIT($J$2,, " ") = M7))</f>
        <v>70</v>
      </c>
      <c r="O7" s="4">
        <v>140</v>
      </c>
      <c r="P7" t="str">
        <v>Entertain</v>
      </c>
      <c r="Q7">
        <v>140</v>
      </c>
      <c r="R7" s="4"/>
      <c r="S7" s="4"/>
      <c r="T7" s="4"/>
      <c r="U7" s="4"/>
      <c r="V7" s="4"/>
    </row>
    <row r="8" spans="1:22" x14ac:dyDescent="0.2">
      <c r="A8" s="4">
        <v>1</v>
      </c>
      <c r="B8" s="5">
        <v>45912</v>
      </c>
      <c r="C8" s="6">
        <v>0.22361111111111112</v>
      </c>
      <c r="D8" s="7">
        <v>322</v>
      </c>
      <c r="E8" s="4" t="s">
        <v>14</v>
      </c>
      <c r="F8" s="4">
        <v>1</v>
      </c>
      <c r="G8" s="8" t="s">
        <v>15</v>
      </c>
      <c r="H8" s="9" t="s">
        <v>16</v>
      </c>
      <c r="I8" s="4">
        <v>1</v>
      </c>
      <c r="J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 s="4" t="str">
        <f t="shared" si="1"/>
        <v/>
      </c>
      <c r="M8" t="str">
        <v>take</v>
      </c>
      <c r="N8" s="4" cm="1">
        <f t="array" ref="N8">SUM(--(_xlfn.TEXTSPLIT($J$2,, " ") = M8))</f>
        <v>28</v>
      </c>
      <c r="O8" s="4">
        <v>126</v>
      </c>
      <c r="P8" t="str">
        <v>to</v>
      </c>
      <c r="Q8">
        <v>126</v>
      </c>
      <c r="R8" s="4"/>
      <c r="S8" s="4"/>
      <c r="T8" s="4"/>
      <c r="U8" s="4"/>
      <c r="V8" s="4"/>
    </row>
    <row r="9" spans="1:22" x14ac:dyDescent="0.2">
      <c r="A9" s="4">
        <v>1</v>
      </c>
      <c r="B9" s="5">
        <v>45912</v>
      </c>
      <c r="C9" s="6">
        <v>0.22361111111111112</v>
      </c>
      <c r="D9" s="7">
        <v>322</v>
      </c>
      <c r="E9" s="4" t="s">
        <v>14</v>
      </c>
      <c r="F9" s="4">
        <v>1</v>
      </c>
      <c r="G9" s="8" t="s">
        <v>15</v>
      </c>
      <c r="H9" s="9" t="s">
        <v>16</v>
      </c>
      <c r="I9" s="4">
        <v>1</v>
      </c>
      <c r="J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 s="4" t="str">
        <f t="shared" si="1"/>
        <v/>
      </c>
      <c r="M9" t="str">
        <v>your</v>
      </c>
      <c r="N9" s="4" cm="1">
        <f t="array" ref="N9">SUM(--(_xlfn.TEXTSPLIT($J$2,, " ") = M9))</f>
        <v>28</v>
      </c>
      <c r="O9" s="4">
        <v>126</v>
      </c>
      <c r="P9" t="str">
        <v>It</v>
      </c>
      <c r="Q9">
        <v>126</v>
      </c>
      <c r="R9" s="4"/>
      <c r="S9" s="4"/>
      <c r="T9" s="4"/>
      <c r="U9" s="4"/>
      <c r="V9" s="4"/>
    </row>
    <row r="10" spans="1:22" x14ac:dyDescent="0.2">
      <c r="A10" s="4">
        <v>1</v>
      </c>
      <c r="B10" s="5">
        <v>45912</v>
      </c>
      <c r="C10" s="6">
        <v>0.22361111111111112</v>
      </c>
      <c r="D10" s="7">
        <v>322</v>
      </c>
      <c r="E10" s="4" t="s">
        <v>14</v>
      </c>
      <c r="F10" s="4">
        <v>1</v>
      </c>
      <c r="G10" s="8" t="s">
        <v>15</v>
      </c>
      <c r="H10" s="9" t="s">
        <v>16</v>
      </c>
      <c r="I10" s="4">
        <v>1</v>
      </c>
      <c r="J1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 s="4" t="str">
        <f t="shared" si="1"/>
        <v/>
      </c>
      <c r="M10" t="str">
        <v>right,</v>
      </c>
      <c r="N10" s="4" cm="1">
        <f t="array" ref="N10">SUM(--(_xlfn.TEXTSPLIT($J$2,, " ") = M10))</f>
        <v>14</v>
      </c>
      <c r="O10" s="4">
        <v>98</v>
      </c>
      <c r="P10" t="str">
        <v>in</v>
      </c>
      <c r="Q10">
        <v>98</v>
      </c>
      <c r="R10" s="4"/>
      <c r="S10" s="4"/>
      <c r="T10" s="4"/>
      <c r="U10" s="4"/>
      <c r="V10" s="4"/>
    </row>
    <row r="11" spans="1:22" x14ac:dyDescent="0.2">
      <c r="A11" s="4">
        <v>1</v>
      </c>
      <c r="B11" s="5">
        <v>45912</v>
      </c>
      <c r="C11" s="6">
        <v>0.22361111111111112</v>
      </c>
      <c r="D11" s="7">
        <v>322</v>
      </c>
      <c r="E11" s="4" t="s">
        <v>14</v>
      </c>
      <c r="F11" s="4">
        <v>1</v>
      </c>
      <c r="G11" s="8" t="s">
        <v>15</v>
      </c>
      <c r="H11" s="9" t="s">
        <v>16</v>
      </c>
      <c r="I11" s="4">
        <v>1</v>
      </c>
      <c r="J1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 s="4" t="str">
        <f t="shared" si="1"/>
        <v/>
      </c>
      <c r="M11" t="str">
        <v>throw</v>
      </c>
      <c r="N11" s="4" cm="1">
        <f t="array" ref="N11">SUM(--(_xlfn.TEXTSPLIT($J$2,, " ") = M11))</f>
        <v>14</v>
      </c>
      <c r="O11" s="4">
        <v>98</v>
      </c>
      <c r="P11" t="str">
        <v>this</v>
      </c>
      <c r="Q11">
        <v>98</v>
      </c>
      <c r="R11" s="4"/>
      <c r="S11" s="4"/>
      <c r="T11" s="4"/>
      <c r="U11" s="4"/>
      <c r="V11" s="4"/>
    </row>
    <row r="12" spans="1:22" x14ac:dyDescent="0.2">
      <c r="A12" s="4">
        <v>1</v>
      </c>
      <c r="B12" s="5">
        <v>45912</v>
      </c>
      <c r="C12" s="6">
        <v>0.22361111111111112</v>
      </c>
      <c r="D12" s="7">
        <v>322</v>
      </c>
      <c r="E12" s="4" t="s">
        <v>14</v>
      </c>
      <c r="F12" s="4">
        <v>1</v>
      </c>
      <c r="G12" s="8" t="s">
        <v>15</v>
      </c>
      <c r="H12" s="9" t="s">
        <v>16</v>
      </c>
      <c r="I12" s="4">
        <v>1</v>
      </c>
      <c r="J1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 s="4" t="str">
        <f t="shared" si="1"/>
        <v/>
      </c>
      <c r="M12" t="str">
        <v>a</v>
      </c>
      <c r="N12" s="4" cm="1">
        <f t="array" ref="N12">SUM(--(_xlfn.TEXTSPLIT($J$2,, " ") = M12))</f>
        <v>196</v>
      </c>
      <c r="O12" s="4">
        <v>84</v>
      </c>
      <c r="P12" t="str">
        <v>is</v>
      </c>
      <c r="Q12">
        <v>84</v>
      </c>
      <c r="R12" s="4"/>
      <c r="S12" s="4"/>
      <c r="T12" s="4"/>
      <c r="U12" s="4"/>
      <c r="V12" s="4"/>
    </row>
    <row r="13" spans="1:22" x14ac:dyDescent="0.2">
      <c r="A13" s="4">
        <v>1</v>
      </c>
      <c r="B13" s="5">
        <v>45912</v>
      </c>
      <c r="C13" s="6">
        <v>0.22361111111111112</v>
      </c>
      <c r="D13" s="7">
        <v>322</v>
      </c>
      <c r="E13" s="4" t="s">
        <v>14</v>
      </c>
      <c r="F13" s="4">
        <v>1</v>
      </c>
      <c r="G13" s="8" t="s">
        <v>15</v>
      </c>
      <c r="H13" s="9" t="s">
        <v>16</v>
      </c>
      <c r="I13" s="4">
        <v>1</v>
      </c>
      <c r="J1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 s="4" t="str">
        <f t="shared" si="1"/>
        <v/>
      </c>
      <c r="M13" t="str">
        <v xml:space="preserve">left
</v>
      </c>
      <c r="N13" s="4" cm="1">
        <f t="array" ref="N13">SUM(--(_xlfn.TEXTSPLIT($J$2,, " ") = M13))</f>
        <v>14</v>
      </c>
      <c r="O13" s="4">
        <v>84</v>
      </c>
      <c r="P13" t="str">
        <v>Two,</v>
      </c>
      <c r="Q13">
        <v>84</v>
      </c>
      <c r="R13" s="4"/>
      <c r="S13" s="4"/>
      <c r="T13" s="4"/>
      <c r="U13" s="4"/>
      <c r="V13" s="4"/>
    </row>
    <row r="14" spans="1:22" x14ac:dyDescent="0.2">
      <c r="A14" s="4">
        <v>1</v>
      </c>
      <c r="B14" s="5">
        <v>45912</v>
      </c>
      <c r="C14" s="6">
        <v>0.22361111111111112</v>
      </c>
      <c r="D14" s="7">
        <v>322</v>
      </c>
      <c r="E14" s="4" t="s">
        <v>14</v>
      </c>
      <c r="F14" s="4">
        <v>1</v>
      </c>
      <c r="G14" s="8" t="s">
        <v>15</v>
      </c>
      <c r="H14" s="9" t="s">
        <v>16</v>
      </c>
      <c r="I14" s="4">
        <v>1</v>
      </c>
      <c r="J1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 s="4" t="str">
        <f t="shared" si="1"/>
        <v/>
      </c>
      <c r="M14" t="str">
        <v>Pair</v>
      </c>
      <c r="N14" s="4" cm="1">
        <f t="array" ref="N14">SUM(--(_xlfn.TEXTSPLIT($J$2,, " ") = M14))</f>
        <v>28</v>
      </c>
      <c r="O14" s="4">
        <v>84</v>
      </c>
      <c r="P14" t="str">
        <v>Glued,</v>
      </c>
      <c r="Q14">
        <v>84</v>
      </c>
      <c r="R14" s="4"/>
      <c r="S14" s="4"/>
      <c r="T14" s="4"/>
      <c r="U14" s="4"/>
      <c r="V14" s="4"/>
    </row>
    <row r="15" spans="1:22" x14ac:dyDescent="0.2">
      <c r="A15" s="4">
        <v>1</v>
      </c>
      <c r="B15" s="5">
        <v>45912</v>
      </c>
      <c r="C15" s="6">
        <v>0.22361111111111112</v>
      </c>
      <c r="D15" s="7">
        <v>322</v>
      </c>
      <c r="E15" s="4" t="s">
        <v>14</v>
      </c>
      <c r="F15" s="4">
        <v>1</v>
      </c>
      <c r="G15" s="8" t="s">
        <v>15</v>
      </c>
      <c r="H15" s="9" t="s">
        <v>16</v>
      </c>
      <c r="I15" s="4">
        <v>1</v>
      </c>
      <c r="J1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 s="4" t="str">
        <f t="shared" si="1"/>
        <v/>
      </c>
      <c r="M15" t="str">
        <v>I'ma</v>
      </c>
      <c r="N15" s="4" cm="1">
        <f t="array" ref="N15">SUM(--(_xlfn.TEXTSPLIT($J$2,, " ") = M15))</f>
        <v>14</v>
      </c>
      <c r="O15" s="4">
        <v>70</v>
      </c>
      <c r="P15" t="str">
        <v>up</v>
      </c>
      <c r="Q15">
        <v>70</v>
      </c>
      <c r="R15" s="4"/>
      <c r="S15" s="4"/>
      <c r="T15" s="4"/>
      <c r="U15" s="4"/>
      <c r="V15" s="4"/>
    </row>
    <row r="16" spans="1:22" x14ac:dyDescent="0.2">
      <c r="A16" s="4">
        <v>1</v>
      </c>
      <c r="B16" s="5">
        <v>45912</v>
      </c>
      <c r="C16" s="6">
        <v>0.22361111111111112</v>
      </c>
      <c r="D16" s="7">
        <v>322</v>
      </c>
      <c r="E16" s="4" t="s">
        <v>14</v>
      </c>
      <c r="F16" s="4">
        <v>1</v>
      </c>
      <c r="G16" s="8" t="s">
        <v>15</v>
      </c>
      <c r="H16" s="9" t="s">
        <v>16</v>
      </c>
      <c r="I16" s="4">
        <v>1</v>
      </c>
      <c r="J1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 s="4" t="str">
        <f t="shared" si="1"/>
        <v/>
      </c>
      <c r="M16" t="str">
        <v>you</v>
      </c>
      <c r="N16" s="4" cm="1">
        <f t="array" ref="N16">SUM(--(_xlfn.TEXTSPLIT($J$2,, " ") = M16))</f>
        <v>224</v>
      </c>
      <c r="O16">
        <v>70</v>
      </c>
      <c r="P16" t="str">
        <v>with</v>
      </c>
      <c r="Q16">
        <v>70</v>
      </c>
      <c r="R16" s="4"/>
      <c r="S16" s="10"/>
    </row>
    <row r="17" spans="1:19" x14ac:dyDescent="0.2">
      <c r="A17" s="4">
        <v>1</v>
      </c>
      <c r="B17" s="5">
        <v>45912</v>
      </c>
      <c r="C17" s="6">
        <v>0.22361111111111112</v>
      </c>
      <c r="D17" s="7">
        <v>322</v>
      </c>
      <c r="E17" s="4" t="s">
        <v>14</v>
      </c>
      <c r="F17" s="4">
        <v>1</v>
      </c>
      <c r="G17" s="8" t="s">
        <v>15</v>
      </c>
      <c r="H17" s="9" t="s">
        <v>16</v>
      </c>
      <c r="I17" s="4">
        <v>1</v>
      </c>
      <c r="J1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 s="4" t="str">
        <f t="shared" si="1"/>
        <v/>
      </c>
      <c r="M17" t="str">
        <v>right</v>
      </c>
      <c r="N17" s="4" cm="1">
        <f t="array" ref="N17">SUM(--(_xlfn.TEXTSPLIT($J$2,, " ") = M17))</f>
        <v>14</v>
      </c>
      <c r="O17">
        <v>70</v>
      </c>
      <c r="P17" t="str">
        <v>can</v>
      </c>
      <c r="Q17">
        <v>70</v>
      </c>
      <c r="R17" s="4"/>
      <c r="S17" s="10"/>
    </row>
    <row r="18" spans="1:19" x14ac:dyDescent="0.2">
      <c r="A18" s="4">
        <v>1</v>
      </c>
      <c r="B18" s="5">
        <v>45912</v>
      </c>
      <c r="C18" s="6">
        <v>0.22361111111111112</v>
      </c>
      <c r="D18" s="7">
        <v>322</v>
      </c>
      <c r="E18" s="4" t="s">
        <v>14</v>
      </c>
      <c r="F18" s="4">
        <v>1</v>
      </c>
      <c r="G18" s="8" t="s">
        <v>15</v>
      </c>
      <c r="H18" s="9" t="s">
        <v>16</v>
      </c>
      <c r="I18" s="4">
        <v>1</v>
      </c>
      <c r="J1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 s="4" t="str">
        <f t="shared" si="1"/>
        <v/>
      </c>
      <c r="M18" t="str">
        <v>to</v>
      </c>
      <c r="N18" s="4" cm="1">
        <f t="array" ref="N18">SUM(--(_xlfn.TEXTSPLIT($J$2,, " ") = M18))</f>
        <v>126</v>
      </c>
      <c r="O18">
        <v>70</v>
      </c>
      <c r="P18" t="str">
        <v>Now</v>
      </c>
      <c r="Q18">
        <v>70</v>
      </c>
      <c r="R18" s="4"/>
      <c r="S18" s="10"/>
    </row>
    <row r="19" spans="1:19" x14ac:dyDescent="0.2">
      <c r="A19" s="4">
        <v>1</v>
      </c>
      <c r="B19" s="5">
        <v>45912</v>
      </c>
      <c r="C19" s="6">
        <v>0.22361111111111112</v>
      </c>
      <c r="D19" s="7">
        <v>322</v>
      </c>
      <c r="E19" s="4" t="s">
        <v>14</v>
      </c>
      <c r="F19" s="4">
        <v>1</v>
      </c>
      <c r="G19" s="8" t="s">
        <v>15</v>
      </c>
      <c r="H19" s="9" t="s">
        <v>16</v>
      </c>
      <c r="I19" s="4">
        <v>1</v>
      </c>
      <c r="J1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 s="4" t="str">
        <f t="shared" si="1"/>
        <v/>
      </c>
      <c r="M19" t="str">
        <v>the</v>
      </c>
      <c r="N19" s="4" cm="1">
        <f t="array" ref="N19">SUM(--(_xlfn.TEXTSPLIT($J$2,, " ") = M19))</f>
        <v>364</v>
      </c>
      <c r="O19">
        <v>70</v>
      </c>
      <c r="P19" t="str">
        <v xml:space="preserve">me
</v>
      </c>
      <c r="Q19">
        <v>70</v>
      </c>
      <c r="R19" s="4"/>
      <c r="S19" s="10"/>
    </row>
    <row r="20" spans="1:19" x14ac:dyDescent="0.2">
      <c r="A20" s="4">
        <v>1</v>
      </c>
      <c r="B20" s="5">
        <v>45912</v>
      </c>
      <c r="C20" s="6">
        <v>0.22361111111111112</v>
      </c>
      <c r="D20" s="7">
        <v>322</v>
      </c>
      <c r="E20" s="4" t="s">
        <v>14</v>
      </c>
      <c r="F20" s="4">
        <v>1</v>
      </c>
      <c r="G20" s="8" t="s">
        <v>15</v>
      </c>
      <c r="H20" s="9" t="s">
        <v>16</v>
      </c>
      <c r="I20" s="4">
        <v>1</v>
      </c>
      <c r="J2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 s="4" t="str">
        <f t="shared" si="1"/>
        <v/>
      </c>
      <c r="M20" t="str">
        <v xml:space="preserve">chest
</v>
      </c>
      <c r="N20" s="4" cm="1">
        <f t="array" ref="N20">SUM(--(_xlfn.TEXTSPLIT($J$2,, " ") = M20))</f>
        <v>14</v>
      </c>
      <c r="O20">
        <v>70</v>
      </c>
      <c r="P20" t="str">
        <v>wonder</v>
      </c>
      <c r="Q20">
        <v>70</v>
      </c>
      <c r="R20" s="4"/>
      <c r="S20" s="10"/>
    </row>
    <row r="21" spans="1:19" x14ac:dyDescent="0.2">
      <c r="A21" s="4">
        <v>1</v>
      </c>
      <c r="B21" s="5">
        <v>45912</v>
      </c>
      <c r="C21" s="6">
        <v>0.22361111111111112</v>
      </c>
      <c r="D21" s="7">
        <v>322</v>
      </c>
      <c r="E21" s="4" t="s">
        <v>14</v>
      </c>
      <c r="F21" s="4">
        <v>1</v>
      </c>
      <c r="G21" s="8" t="s">
        <v>15</v>
      </c>
      <c r="H21" s="9" t="s">
        <v>16</v>
      </c>
      <c r="I21" s="4">
        <v>1</v>
      </c>
      <c r="J2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 s="4" t="str">
        <f t="shared" si="1"/>
        <v/>
      </c>
      <c r="M21" t="str">
        <v>Warpath</v>
      </c>
      <c r="N21" s="4" cm="1">
        <f t="array" ref="N21">SUM(--(_xlfn.TEXTSPLIT($J$2,, " ") = M21))</f>
        <v>14</v>
      </c>
      <c r="O21">
        <v>70</v>
      </c>
      <c r="P21" t="str">
        <v>where</v>
      </c>
      <c r="Q21">
        <v>70</v>
      </c>
      <c r="R21" s="4"/>
      <c r="S21" s="10"/>
    </row>
    <row r="22" spans="1:19" x14ac:dyDescent="0.2">
      <c r="A22" s="4">
        <v>1</v>
      </c>
      <c r="B22" s="5">
        <v>45912</v>
      </c>
      <c r="C22" s="6">
        <v>0.22361111111111112</v>
      </c>
      <c r="D22" s="7">
        <v>322</v>
      </c>
      <c r="E22" s="4" t="s">
        <v>14</v>
      </c>
      <c r="F22" s="4">
        <v>1</v>
      </c>
      <c r="G22" s="8" t="s">
        <v>15</v>
      </c>
      <c r="H22" s="9" t="s">
        <v>16</v>
      </c>
      <c r="I22" s="4">
        <v>1</v>
      </c>
      <c r="J2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 s="4" t="str">
        <f t="shared" si="1"/>
        <v/>
      </c>
      <c r="M22" t="str">
        <v>etched</v>
      </c>
      <c r="N22" s="4" cm="1">
        <f t="array" ref="N22">SUM(--(_xlfn.TEXTSPLIT($J$2,, " ") = M22))</f>
        <v>14</v>
      </c>
      <c r="O22">
        <v>70</v>
      </c>
      <c r="P22" t="str">
        <v>wanted</v>
      </c>
      <c r="Q22">
        <v>70</v>
      </c>
      <c r="R22" s="4"/>
      <c r="S22" s="10"/>
    </row>
    <row r="23" spans="1:19" x14ac:dyDescent="0.2">
      <c r="A23" s="4">
        <v>1</v>
      </c>
      <c r="B23" s="5">
        <v>45912</v>
      </c>
      <c r="C23" s="6">
        <v>0.22361111111111112</v>
      </c>
      <c r="D23" s="7">
        <v>322</v>
      </c>
      <c r="E23" s="4" t="s">
        <v>14</v>
      </c>
      <c r="F23" s="4">
        <v>1</v>
      </c>
      <c r="G23" s="8" t="s">
        <v>15</v>
      </c>
      <c r="H23" s="9" t="s">
        <v>16</v>
      </c>
      <c r="I23" s="4">
        <v>1</v>
      </c>
      <c r="J2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 s="4" t="str">
        <f t="shared" si="1"/>
        <v/>
      </c>
      <c r="M23" t="str">
        <v>in</v>
      </c>
      <c r="N23" s="4" cm="1">
        <f t="array" ref="N23">SUM(--(_xlfn.TEXTSPLIT($J$2,, " ") = M23))</f>
        <v>98</v>
      </c>
      <c r="O23">
        <v>70</v>
      </c>
      <c r="P23" t="str">
        <v>show</v>
      </c>
      <c r="Q23">
        <v>70</v>
      </c>
      <c r="R23" s="4"/>
      <c r="S23" s="10"/>
    </row>
    <row r="24" spans="1:19" x14ac:dyDescent="0.2">
      <c r="A24" s="4">
        <v>1</v>
      </c>
      <c r="B24" s="5">
        <v>45912</v>
      </c>
      <c r="C24" s="6">
        <v>0.22361111111111112</v>
      </c>
      <c r="D24" s="7">
        <v>322</v>
      </c>
      <c r="E24" s="4" t="s">
        <v>14</v>
      </c>
      <c r="F24" s="4">
        <v>1</v>
      </c>
      <c r="G24" s="8" t="s">
        <v>15</v>
      </c>
      <c r="H24" s="9" t="s">
        <v>16</v>
      </c>
      <c r="I24" s="4">
        <v>1</v>
      </c>
      <c r="J2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 s="4" t="str">
        <f t="shared" si="1"/>
        <v/>
      </c>
      <c r="M24" t="str">
        <v xml:space="preserve">surface
</v>
      </c>
      <c r="N24" s="4" cm="1">
        <f t="array" ref="N24">SUM(--(_xlfn.TEXTSPLIT($J$2,, " ") = M24))</f>
        <v>14</v>
      </c>
      <c r="O24">
        <v>56</v>
      </c>
      <c r="P24" t="str">
        <v>me,</v>
      </c>
      <c r="Q24">
        <v>56</v>
      </c>
      <c r="R24" s="4"/>
      <c r="S24" s="10"/>
    </row>
    <row r="25" spans="1:19" x14ac:dyDescent="0.2">
      <c r="A25" s="4">
        <v>1</v>
      </c>
      <c r="B25" s="5">
        <v>45912</v>
      </c>
      <c r="C25" s="6">
        <v>0.22361111111111112</v>
      </c>
      <c r="D25" s="7">
        <v>322</v>
      </c>
      <c r="E25" s="4" t="s">
        <v>14</v>
      </c>
      <c r="F25" s="4">
        <v>1</v>
      </c>
      <c r="G25" s="8" t="s">
        <v>15</v>
      </c>
      <c r="H25" s="9" t="s">
        <v>16</v>
      </c>
      <c r="I25" s="4">
        <v>1</v>
      </c>
      <c r="J2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 s="4" t="str">
        <f t="shared" si="1"/>
        <v/>
      </c>
      <c r="M25" t="str">
        <v>Lines</v>
      </c>
      <c r="N25" s="4" cm="1">
        <f t="array" ref="N25">SUM(--(_xlfn.TEXTSPLIT($J$2,, " ") = M25))</f>
        <v>14</v>
      </c>
      <c r="O25">
        <v>56</v>
      </c>
      <c r="P25" t="str">
        <v>on</v>
      </c>
      <c r="Q25">
        <v>56</v>
      </c>
      <c r="R25" s="4"/>
      <c r="S25" s="10"/>
    </row>
    <row r="26" spans="1:19" x14ac:dyDescent="0.2">
      <c r="A26" s="4">
        <v>1</v>
      </c>
      <c r="B26" s="5">
        <v>45912</v>
      </c>
      <c r="C26" s="6">
        <v>0.22361111111111112</v>
      </c>
      <c r="D26" s="7">
        <v>322</v>
      </c>
      <c r="E26" s="4" t="s">
        <v>14</v>
      </c>
      <c r="F26" s="4">
        <v>1</v>
      </c>
      <c r="G26" s="8" t="s">
        <v>15</v>
      </c>
      <c r="H26" s="9" t="s">
        <v>16</v>
      </c>
      <c r="I26" s="4">
        <v>1</v>
      </c>
      <c r="J2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 s="4" t="str">
        <f t="shared" si="1"/>
        <v/>
      </c>
      <c r="M26" t="str">
        <v>of</v>
      </c>
      <c r="N26" s="4" cm="1">
        <f t="array" ref="N26">SUM(--(_xlfn.TEXTSPLIT($J$2,, " ") = M26))</f>
        <v>28</v>
      </c>
      <c r="O26">
        <v>56</v>
      </c>
      <c r="P26" t="str">
        <v>move</v>
      </c>
      <c r="Q26">
        <v>56</v>
      </c>
      <c r="R26" s="4"/>
      <c r="S26" s="10"/>
    </row>
    <row r="27" spans="1:19" x14ac:dyDescent="0.2">
      <c r="A27" s="4">
        <v>1</v>
      </c>
      <c r="B27" s="5">
        <v>45912</v>
      </c>
      <c r="C27" s="6">
        <v>0.22361111111111112</v>
      </c>
      <c r="D27" s="7">
        <v>322</v>
      </c>
      <c r="E27" s="4" t="s">
        <v>14</v>
      </c>
      <c r="F27" s="4">
        <v>1</v>
      </c>
      <c r="G27" s="8" t="s">
        <v>15</v>
      </c>
      <c r="H27" s="9" t="s">
        <v>16</v>
      </c>
      <c r="I27" s="4">
        <v>1</v>
      </c>
      <c r="J2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 s="4" t="str">
        <f t="shared" si="1"/>
        <v/>
      </c>
      <c r="M27" t="str">
        <v>yellow</v>
      </c>
      <c r="N27" s="4" cm="1">
        <f t="array" ref="N27">SUM(--(_xlfn.TEXTSPLIT($J$2,, " ") = M27))</f>
        <v>14</v>
      </c>
      <c r="O27">
        <v>56</v>
      </c>
      <c r="P27" t="str">
        <v>up,</v>
      </c>
      <c r="Q27">
        <v>56</v>
      </c>
      <c r="R27" s="4"/>
      <c r="S27" s="10"/>
    </row>
    <row r="28" spans="1:19" x14ac:dyDescent="0.2">
      <c r="A28" s="4">
        <v>1</v>
      </c>
      <c r="B28" s="5">
        <v>45912</v>
      </c>
      <c r="C28" s="6">
        <v>0.22361111111111112</v>
      </c>
      <c r="D28" s="7">
        <v>322</v>
      </c>
      <c r="E28" s="4" t="s">
        <v>14</v>
      </c>
      <c r="F28" s="4">
        <v>1</v>
      </c>
      <c r="G28" s="8" t="s">
        <v>15</v>
      </c>
      <c r="H28" s="9" t="s">
        <v>16</v>
      </c>
      <c r="I28" s="4">
        <v>1</v>
      </c>
      <c r="J2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 s="4" t="str">
        <f t="shared" si="1"/>
        <v/>
      </c>
      <c r="M28" t="str">
        <v>tape,</v>
      </c>
      <c r="N28" s="4" cm="1">
        <f t="array" ref="N28">SUM(--(_xlfn.TEXTSPLIT($J$2,, " ") = M28))</f>
        <v>14</v>
      </c>
      <c r="O28">
        <v>56</v>
      </c>
      <c r="P28" t="str">
        <v xml:space="preserve">are
</v>
      </c>
      <c r="Q28">
        <v>56</v>
      </c>
      <c r="R28" s="4"/>
      <c r="S28" s="10"/>
    </row>
    <row r="29" spans="1:19" x14ac:dyDescent="0.2">
      <c r="A29" s="4">
        <v>1</v>
      </c>
      <c r="B29" s="5">
        <v>45912</v>
      </c>
      <c r="C29" s="6">
        <v>0.22361111111111112</v>
      </c>
      <c r="D29" s="7">
        <v>322</v>
      </c>
      <c r="E29" s="4" t="s">
        <v>14</v>
      </c>
      <c r="F29" s="4">
        <v>1</v>
      </c>
      <c r="G29" s="8" t="s">
        <v>15</v>
      </c>
      <c r="H29" s="9" t="s">
        <v>16</v>
      </c>
      <c r="I29" s="4">
        <v>1</v>
      </c>
      <c r="J2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 s="4" t="str">
        <f t="shared" si="1"/>
        <v/>
      </c>
      <c r="M29" t="str">
        <v>they're</v>
      </c>
      <c r="N29" s="4" cm="1">
        <f t="array" ref="N29">SUM(--(_xlfn.TEXTSPLIT($J$2,, " ") = M29))</f>
        <v>28</v>
      </c>
      <c r="O29">
        <v>56</v>
      </c>
      <c r="P29" t="str">
        <v>way</v>
      </c>
      <c r="Q29">
        <v>56</v>
      </c>
      <c r="R29" s="4"/>
      <c r="S29" s="10"/>
    </row>
    <row r="30" spans="1:19" x14ac:dyDescent="0.2">
      <c r="A30" s="4">
        <v>1</v>
      </c>
      <c r="B30" s="5">
        <v>45912</v>
      </c>
      <c r="C30" s="6">
        <v>0.22361111111111112</v>
      </c>
      <c r="D30" s="7">
        <v>322</v>
      </c>
      <c r="E30" s="4" t="s">
        <v>14</v>
      </c>
      <c r="F30" s="4">
        <v>1</v>
      </c>
      <c r="G30" s="8" t="s">
        <v>15</v>
      </c>
      <c r="H30" s="9" t="s">
        <v>16</v>
      </c>
      <c r="I30" s="4">
        <v>1</v>
      </c>
      <c r="J3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 s="4" t="str">
        <f t="shared" si="1"/>
        <v/>
      </c>
      <c r="M30" t="str">
        <v>moving</v>
      </c>
      <c r="N30" s="4" cm="1">
        <f t="array" ref="N30">SUM(--(_xlfn.TEXTSPLIT($J$2,, " ") = M30))</f>
        <v>14</v>
      </c>
      <c r="O30">
        <v>56</v>
      </c>
      <c r="P30" t="str">
        <v>around</v>
      </c>
      <c r="Q30">
        <v>56</v>
      </c>
      <c r="R30" s="4"/>
      <c r="S30" s="10"/>
    </row>
    <row r="31" spans="1:19" x14ac:dyDescent="0.2">
      <c r="A31" s="4">
        <v>1</v>
      </c>
      <c r="B31" s="5">
        <v>45912</v>
      </c>
      <c r="C31" s="6">
        <v>0.22361111111111112</v>
      </c>
      <c r="D31" s="7">
        <v>322</v>
      </c>
      <c r="E31" s="4" t="s">
        <v>14</v>
      </c>
      <c r="F31" s="4">
        <v>1</v>
      </c>
      <c r="G31" s="8" t="s">
        <v>15</v>
      </c>
      <c r="H31" s="9" t="s">
        <v>16</v>
      </c>
      <c r="I31" s="4">
        <v>1</v>
      </c>
      <c r="J3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 s="4" t="str">
        <f t="shared" si="1"/>
        <v/>
      </c>
      <c r="M31" t="str">
        <v>quiet</v>
      </c>
      <c r="N31" s="4" cm="1">
        <f t="array" ref="N31">SUM(--(_xlfn.TEXTSPLIT($J$2,, " ") = M31))</f>
        <v>14</v>
      </c>
      <c r="O31">
        <v>56</v>
      </c>
      <c r="P31" t="str">
        <v/>
      </c>
      <c r="Q31">
        <v>56</v>
      </c>
      <c r="R31" s="4"/>
      <c r="S31" s="10"/>
    </row>
    <row r="32" spans="1:19" x14ac:dyDescent="0.2">
      <c r="A32" s="4">
        <v>1</v>
      </c>
      <c r="B32" s="5">
        <v>45912</v>
      </c>
      <c r="C32" s="6">
        <v>0.22361111111111112</v>
      </c>
      <c r="D32" s="7">
        <v>322</v>
      </c>
      <c r="E32" s="4" t="s">
        <v>14</v>
      </c>
      <c r="F32" s="4">
        <v>1</v>
      </c>
      <c r="G32" s="8" t="s">
        <v>15</v>
      </c>
      <c r="H32" s="9" t="s">
        <v>16</v>
      </c>
      <c r="I32" s="4">
        <v>1</v>
      </c>
      <c r="J3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 s="4" t="str">
        <f t="shared" si="1"/>
        <v/>
      </c>
      <c r="M32" t="str">
        <v>like</v>
      </c>
      <c r="N32" s="4" cm="1">
        <f t="array" ref="N32">SUM(--(_xlfn.TEXTSPLIT($J$2,, " ") = M32))</f>
        <v>14</v>
      </c>
      <c r="O32">
        <v>56</v>
      </c>
      <c r="P32" t="str">
        <v>my,</v>
      </c>
      <c r="Q32">
        <v>56</v>
      </c>
      <c r="R32" s="4"/>
      <c r="S32" s="10"/>
    </row>
    <row r="33" spans="1:19" x14ac:dyDescent="0.2">
      <c r="A33" s="4">
        <v>1</v>
      </c>
      <c r="B33" s="5">
        <v>45912</v>
      </c>
      <c r="C33" s="6">
        <v>0.22361111111111112</v>
      </c>
      <c r="D33" s="7">
        <v>322</v>
      </c>
      <c r="E33" s="4" t="s">
        <v>14</v>
      </c>
      <c r="F33" s="4">
        <v>1</v>
      </c>
      <c r="G33" s="8" t="s">
        <v>15</v>
      </c>
      <c r="H33" s="9" t="s">
        <v>16</v>
      </c>
      <c r="I33" s="4">
        <v>1</v>
      </c>
      <c r="J3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 s="4" t="str">
        <f t="shared" si="1"/>
        <v/>
      </c>
      <c r="M33" t="str">
        <v xml:space="preserve">a
</v>
      </c>
      <c r="N33" s="4" cm="1">
        <f t="array" ref="N33">SUM(--(_xlfn.TEXTSPLIT($J$2,, " ") = M33))</f>
        <v>14</v>
      </c>
      <c r="O33">
        <v>56</v>
      </c>
      <c r="P33" t="str">
        <v>last</v>
      </c>
      <c r="Q33">
        <v>56</v>
      </c>
      <c r="R33" s="4"/>
      <c r="S33" s="10"/>
    </row>
    <row r="34" spans="1:19" x14ac:dyDescent="0.2">
      <c r="A34" s="4">
        <v>1</v>
      </c>
      <c r="B34" s="5">
        <v>45912</v>
      </c>
      <c r="C34" s="6">
        <v>0.22361111111111112</v>
      </c>
      <c r="D34" s="7">
        <v>322</v>
      </c>
      <c r="E34" s="4" t="s">
        <v>14</v>
      </c>
      <c r="F34" s="4">
        <v>1</v>
      </c>
      <c r="G34" s="8" t="s">
        <v>15</v>
      </c>
      <c r="H34" s="9" t="s">
        <v>16</v>
      </c>
      <c r="I34" s="4">
        <v>1</v>
      </c>
      <c r="J3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 s="4" t="str">
        <f t="shared" si="1"/>
        <v/>
      </c>
      <c r="M34" t="str">
        <v>Serpentine</v>
      </c>
      <c r="N34" s="4" cm="1">
        <f t="array" ref="N34">SUM(--(_xlfn.TEXTSPLIT($J$2,, " ") = M34))</f>
        <v>14</v>
      </c>
      <c r="O34">
        <v>56</v>
      </c>
      <c r="P34">
        <v>0</v>
      </c>
      <c r="Q34">
        <v>56</v>
      </c>
      <c r="R34" s="4"/>
      <c r="S34" s="10"/>
    </row>
    <row r="35" spans="1:19" x14ac:dyDescent="0.2">
      <c r="A35" s="4">
        <v>1</v>
      </c>
      <c r="B35" s="5">
        <v>45912</v>
      </c>
      <c r="C35" s="6">
        <v>0.22361111111111112</v>
      </c>
      <c r="D35" s="7">
        <v>322</v>
      </c>
      <c r="E35" s="4" t="s">
        <v>14</v>
      </c>
      <c r="F35" s="4">
        <v>1</v>
      </c>
      <c r="G35" s="8" t="s">
        <v>15</v>
      </c>
      <c r="H35" s="9" t="s">
        <v>16</v>
      </c>
      <c r="I35" s="4">
        <v>1</v>
      </c>
      <c r="J3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 s="4" t="str">
        <f t="shared" si="1"/>
        <v/>
      </c>
      <c r="M35" t="str">
        <v xml:space="preserve">formation
</v>
      </c>
      <c r="N35" s="4" cm="1">
        <f t="array" ref="N35">SUM(--(_xlfn.TEXTSPLIT($J$2,, " ") = M35))</f>
        <v>14</v>
      </c>
      <c r="O35">
        <v>56</v>
      </c>
      <c r="P35">
        <v>0</v>
      </c>
      <c r="Q35">
        <v>56</v>
      </c>
      <c r="R35" s="4"/>
      <c r="S35" s="10"/>
    </row>
    <row r="36" spans="1:19" x14ac:dyDescent="0.2">
      <c r="A36" s="4">
        <v>1</v>
      </c>
      <c r="B36" s="5">
        <v>45912</v>
      </c>
      <c r="C36" s="6">
        <v>0.22361111111111112</v>
      </c>
      <c r="D36" s="7">
        <v>322</v>
      </c>
      <c r="E36" s="4" t="s">
        <v>14</v>
      </c>
      <c r="F36" s="4">
        <v>1</v>
      </c>
      <c r="G36" s="8" t="s">
        <v>15</v>
      </c>
      <c r="H36" s="9" t="s">
        <v>16</v>
      </c>
      <c r="I36" s="4">
        <v>1</v>
      </c>
      <c r="J3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 s="4" t="str">
        <f t="shared" si="1"/>
        <v/>
      </c>
      <c r="M36" t="str">
        <v>Buddy,</v>
      </c>
      <c r="N36" s="4" cm="1">
        <f t="array" ref="N36">SUM(--(_xlfn.TEXTSPLIT($J$2,, " ") = M36))</f>
        <v>14</v>
      </c>
      <c r="O36">
        <v>56</v>
      </c>
      <c r="P36">
        <v>0</v>
      </c>
      <c r="Q36">
        <v>56</v>
      </c>
      <c r="R36" s="4"/>
      <c r="S36" s="10"/>
    </row>
    <row r="37" spans="1:19" x14ac:dyDescent="0.2">
      <c r="A37" s="4">
        <v>1</v>
      </c>
      <c r="B37" s="5">
        <v>45912</v>
      </c>
      <c r="C37" s="6">
        <v>0.22361111111111112</v>
      </c>
      <c r="D37" s="7">
        <v>322</v>
      </c>
      <c r="E37" s="4" t="s">
        <v>14</v>
      </c>
      <c r="F37" s="4">
        <v>1</v>
      </c>
      <c r="G37" s="8" t="s">
        <v>15</v>
      </c>
      <c r="H37" s="9" t="s">
        <v>16</v>
      </c>
      <c r="I37" s="4">
        <v>1</v>
      </c>
      <c r="J3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 s="4" t="str">
        <f t="shared" si="1"/>
        <v/>
      </c>
      <c r="M37" t="str">
        <v>that's</v>
      </c>
      <c r="N37" s="4" cm="1">
        <f t="array" ref="N37">SUM(--(_xlfn.TEXTSPLIT($J$2,, " ") = M37))</f>
        <v>14</v>
      </c>
      <c r="O37">
        <v>56</v>
      </c>
      <c r="P37">
        <v>0</v>
      </c>
      <c r="Q37">
        <v>56</v>
      </c>
      <c r="R37" s="4"/>
      <c r="S37" s="10"/>
    </row>
    <row r="38" spans="1:19" x14ac:dyDescent="0.2">
      <c r="A38" s="4">
        <v>1</v>
      </c>
      <c r="B38" s="5">
        <v>45912</v>
      </c>
      <c r="C38" s="6">
        <v>0.22361111111111112</v>
      </c>
      <c r="D38" s="7">
        <v>322</v>
      </c>
      <c r="E38" s="4" t="s">
        <v>14</v>
      </c>
      <c r="F38" s="4">
        <v>1</v>
      </c>
      <c r="G38" s="8" t="s">
        <v>15</v>
      </c>
      <c r="H38" s="9" t="s">
        <v>16</v>
      </c>
      <c r="I38" s="4">
        <v>1</v>
      </c>
      <c r="J3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 s="4" t="str">
        <f t="shared" si="1"/>
        <v/>
      </c>
      <c r="M38" t="str">
        <v>my</v>
      </c>
      <c r="N38" s="4" cm="1">
        <f t="array" ref="N38">SUM(--(_xlfn.TEXTSPLIT($J$2,, " ") = M38))</f>
        <v>168</v>
      </c>
      <c r="O38">
        <v>56</v>
      </c>
      <c r="P38">
        <v>0</v>
      </c>
      <c r="Q38">
        <v>56</v>
      </c>
      <c r="R38" s="4"/>
      <c r="S38" s="10"/>
    </row>
    <row r="39" spans="1:19" x14ac:dyDescent="0.2">
      <c r="A39" s="4">
        <v>1</v>
      </c>
      <c r="B39" s="5">
        <v>45912</v>
      </c>
      <c r="C39" s="6">
        <v>0.22361111111111112</v>
      </c>
      <c r="D39" s="7">
        <v>322</v>
      </c>
      <c r="E39" s="4" t="s">
        <v>14</v>
      </c>
      <c r="F39" s="4">
        <v>1</v>
      </c>
      <c r="G39" s="8" t="s">
        <v>15</v>
      </c>
      <c r="H39" s="9" t="s">
        <v>16</v>
      </c>
      <c r="I39" s="4">
        <v>1</v>
      </c>
      <c r="J3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 s="4" t="str">
        <f t="shared" si="1"/>
        <v/>
      </c>
      <c r="M39" t="str">
        <v>team,</v>
      </c>
      <c r="N39" s="4" cm="1">
        <f t="array" ref="N39">SUM(--(_xlfn.TEXTSPLIT($J$2,, " ") = M39))</f>
        <v>14</v>
      </c>
      <c r="O39">
        <v>56</v>
      </c>
      <c r="P39">
        <v>0</v>
      </c>
      <c r="Q39">
        <v>56</v>
      </c>
      <c r="R39" s="4"/>
      <c r="S39" s="10"/>
    </row>
    <row r="40" spans="1:19" x14ac:dyDescent="0.2">
      <c r="A40" s="4">
        <v>1</v>
      </c>
      <c r="B40" s="5">
        <v>45912</v>
      </c>
      <c r="C40" s="6">
        <v>0.22361111111111112</v>
      </c>
      <c r="D40" s="7">
        <v>322</v>
      </c>
      <c r="E40" s="4" t="s">
        <v>14</v>
      </c>
      <c r="F40" s="4">
        <v>1</v>
      </c>
      <c r="G40" s="8" t="s">
        <v>15</v>
      </c>
      <c r="H40" s="9" t="s">
        <v>16</v>
      </c>
      <c r="I40" s="4">
        <v>1</v>
      </c>
      <c r="J4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 s="4" t="str">
        <f t="shared" si="1"/>
        <v/>
      </c>
      <c r="M40" t="str">
        <v>pretty</v>
      </c>
      <c r="N40" s="4" cm="1">
        <f t="array" ref="N40">SUM(--(_xlfn.TEXTSPLIT($J$2,, " ") = M40))</f>
        <v>14</v>
      </c>
      <c r="O40">
        <v>56</v>
      </c>
      <c r="P40">
        <v>0</v>
      </c>
      <c r="Q40">
        <v>56</v>
      </c>
      <c r="R40" s="4"/>
      <c r="S40" s="10"/>
    </row>
    <row r="41" spans="1:19" x14ac:dyDescent="0.2">
      <c r="A41" s="4">
        <v>1</v>
      </c>
      <c r="B41" s="5">
        <v>45912</v>
      </c>
      <c r="C41" s="6">
        <v>0.22361111111111112</v>
      </c>
      <c r="D41" s="7">
        <v>322</v>
      </c>
      <c r="E41" s="4" t="s">
        <v>14</v>
      </c>
      <c r="F41" s="4">
        <v>1</v>
      </c>
      <c r="G41" s="8" t="s">
        <v>15</v>
      </c>
      <c r="H41" s="9" t="s">
        <v>16</v>
      </c>
      <c r="I41" s="4">
        <v>1</v>
      </c>
      <c r="J4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1" s="4" t="str">
        <f t="shared" si="1"/>
        <v/>
      </c>
      <c r="M41" t="str">
        <v xml:space="preserve">impatient
</v>
      </c>
      <c r="N41" s="4" cm="1">
        <f t="array" ref="N41">SUM(--(_xlfn.TEXTSPLIT($J$2,, " ") = M41))</f>
        <v>14</v>
      </c>
      <c r="O41">
        <v>56</v>
      </c>
      <c r="P41">
        <v>0</v>
      </c>
      <c r="Q41">
        <v>56</v>
      </c>
      <c r="R41" s="4"/>
      <c r="S41" s="10"/>
    </row>
    <row r="42" spans="1:19" x14ac:dyDescent="0.2">
      <c r="A42" s="4">
        <v>1</v>
      </c>
      <c r="B42" s="5">
        <v>45912</v>
      </c>
      <c r="C42" s="6">
        <v>0.22361111111111112</v>
      </c>
      <c r="D42" s="7">
        <v>322</v>
      </c>
      <c r="E42" s="4" t="s">
        <v>14</v>
      </c>
      <c r="F42" s="4">
        <v>1</v>
      </c>
      <c r="G42" s="8" t="s">
        <v>15</v>
      </c>
      <c r="H42" s="9" t="s">
        <v>16</v>
      </c>
      <c r="I42" s="4">
        <v>1</v>
      </c>
      <c r="J4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2" s="4" t="str">
        <f t="shared" si="1"/>
        <v/>
      </c>
      <c r="M42" t="str">
        <v>Now</v>
      </c>
      <c r="N42" s="4" cm="1">
        <f t="array" ref="N42">SUM(--(_xlfn.TEXTSPLIT($J$2,, " ") = M42))</f>
        <v>70</v>
      </c>
      <c r="O42">
        <v>56</v>
      </c>
      <c r="P42">
        <v>0</v>
      </c>
      <c r="Q42">
        <v>56</v>
      </c>
      <c r="R42" s="4"/>
      <c r="S42" s="10"/>
    </row>
    <row r="43" spans="1:19" x14ac:dyDescent="0.2">
      <c r="A43" s="4">
        <v>1</v>
      </c>
      <c r="B43" s="5">
        <v>45912</v>
      </c>
      <c r="C43" s="6">
        <v>0.22361111111111112</v>
      </c>
      <c r="D43" s="7">
        <v>322</v>
      </c>
      <c r="E43" s="4" t="s">
        <v>14</v>
      </c>
      <c r="F43" s="4">
        <v>1</v>
      </c>
      <c r="G43" s="8" t="s">
        <v>15</v>
      </c>
      <c r="H43" s="9" t="s">
        <v>16</v>
      </c>
      <c r="I43" s="4">
        <v>1</v>
      </c>
      <c r="J4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3" s="4" t="str">
        <f t="shared" si="1"/>
        <v/>
      </c>
      <c r="M43" t="str">
        <v>waiting</v>
      </c>
      <c r="N43" s="4" cm="1">
        <f t="array" ref="N43">SUM(--(_xlfn.TEXTSPLIT($J$2,, " ") = M43))</f>
        <v>14</v>
      </c>
      <c r="O43">
        <v>56</v>
      </c>
      <c r="P43">
        <v>0</v>
      </c>
      <c r="Q43">
        <v>56</v>
      </c>
      <c r="R43" s="4"/>
      <c r="S43" s="10"/>
    </row>
    <row r="44" spans="1:19" x14ac:dyDescent="0.2">
      <c r="A44" s="4">
        <v>1</v>
      </c>
      <c r="B44" s="5">
        <v>45912</v>
      </c>
      <c r="C44" s="6">
        <v>0.22361111111111112</v>
      </c>
      <c r="D44" s="7">
        <v>322</v>
      </c>
      <c r="E44" s="4" t="s">
        <v>14</v>
      </c>
      <c r="F44" s="4">
        <v>1</v>
      </c>
      <c r="G44" s="8" t="s">
        <v>15</v>
      </c>
      <c r="H44" s="9" t="s">
        <v>16</v>
      </c>
      <c r="I44" s="4">
        <v>1</v>
      </c>
      <c r="J4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4" s="4" t="str">
        <f t="shared" si="1"/>
        <v/>
      </c>
      <c r="M44" t="str">
        <v>on</v>
      </c>
      <c r="N44" s="4" cm="1">
        <f t="array" ref="N44">SUM(--(_xlfn.TEXTSPLIT($J$2,, " ") = M44))</f>
        <v>56</v>
      </c>
      <c r="O44">
        <v>56</v>
      </c>
      <c r="P44">
        <v>0</v>
      </c>
      <c r="Q44">
        <v>56</v>
      </c>
      <c r="R44" s="4"/>
      <c r="S44" s="10"/>
    </row>
    <row r="45" spans="1:19" x14ac:dyDescent="0.2">
      <c r="A45" s="4">
        <v>1</v>
      </c>
      <c r="B45" s="5">
        <v>45912</v>
      </c>
      <c r="C45" s="6">
        <v>0.22361111111111112</v>
      </c>
      <c r="D45" s="7">
        <v>322</v>
      </c>
      <c r="E45" s="4" t="s">
        <v>14</v>
      </c>
      <c r="F45" s="4">
        <v>1</v>
      </c>
      <c r="G45" s="8" t="s">
        <v>15</v>
      </c>
      <c r="H45" s="9" t="s">
        <v>16</v>
      </c>
      <c r="I45" s="4">
        <v>1</v>
      </c>
      <c r="J4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5" s="4" t="str">
        <f t="shared" si="1"/>
        <v/>
      </c>
      <c r="M45" t="str">
        <v xml:space="preserve">me
</v>
      </c>
      <c r="N45" s="4" cm="1">
        <f t="array" ref="N45">SUM(--(_xlfn.TEXTSPLIT($J$2,, " ") = M45))</f>
        <v>70</v>
      </c>
      <c r="O45">
        <v>56</v>
      </c>
      <c r="P45">
        <v>0</v>
      </c>
      <c r="Q45">
        <v>56</v>
      </c>
      <c r="R45" s="4"/>
      <c r="S45" s="10"/>
    </row>
    <row r="46" spans="1:19" x14ac:dyDescent="0.2">
      <c r="A46" s="4">
        <v>1</v>
      </c>
      <c r="B46" s="5">
        <v>45912</v>
      </c>
      <c r="C46" s="6">
        <v>0.22361111111111112</v>
      </c>
      <c r="D46" s="7">
        <v>322</v>
      </c>
      <c r="E46" s="4" t="s">
        <v>14</v>
      </c>
      <c r="F46" s="4">
        <v>1</v>
      </c>
      <c r="G46" s="8" t="s">
        <v>15</v>
      </c>
      <c r="H46" s="9" t="s">
        <v>16</v>
      </c>
      <c r="I46" s="4">
        <v>1</v>
      </c>
      <c r="J4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6" s="4" t="str">
        <f t="shared" si="1"/>
        <v/>
      </c>
      <c r="M46" t="str">
        <v>It</v>
      </c>
      <c r="N46" s="4" cm="1">
        <f t="array" ref="N46">SUM(--(_xlfn.TEXTSPLIT($J$2,, " ") = M46))</f>
        <v>126</v>
      </c>
      <c r="O46">
        <v>56</v>
      </c>
      <c r="P46">
        <v>0</v>
      </c>
      <c r="Q46">
        <v>56</v>
      </c>
      <c r="R46" s="4"/>
      <c r="S46" s="10"/>
    </row>
    <row r="47" spans="1:19" x14ac:dyDescent="0.2">
      <c r="A47" s="4">
        <v>1</v>
      </c>
      <c r="B47" s="5">
        <v>45912</v>
      </c>
      <c r="C47" s="6">
        <v>0.22361111111111112</v>
      </c>
      <c r="D47" s="7">
        <v>322</v>
      </c>
      <c r="E47" s="4" t="s">
        <v>14</v>
      </c>
      <c r="F47" s="4">
        <v>1</v>
      </c>
      <c r="G47" s="8" t="s">
        <v>15</v>
      </c>
      <c r="H47" s="9" t="s">
        <v>16</v>
      </c>
      <c r="I47" s="4">
        <v>1</v>
      </c>
      <c r="J4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7" s="4" t="str">
        <f t="shared" si="1"/>
        <v/>
      </c>
      <c r="M47" t="str">
        <v>might</v>
      </c>
      <c r="N47" s="4" cm="1">
        <f t="array" ref="N47">SUM(--(_xlfn.TEXTSPLIT($J$2,, " ") = M47))</f>
        <v>14</v>
      </c>
      <c r="O47">
        <v>56</v>
      </c>
      <c r="P47">
        <v>0</v>
      </c>
      <c r="Q47">
        <v>56</v>
      </c>
      <c r="R47" s="4"/>
      <c r="S47" s="10"/>
    </row>
    <row r="48" spans="1:19" x14ac:dyDescent="0.2">
      <c r="A48" s="4">
        <v>1</v>
      </c>
      <c r="B48" s="5">
        <v>45912</v>
      </c>
      <c r="C48" s="6">
        <v>0.22361111111111112</v>
      </c>
      <c r="D48" s="7">
        <v>322</v>
      </c>
      <c r="E48" s="4" t="s">
        <v>14</v>
      </c>
      <c r="F48" s="4">
        <v>1</v>
      </c>
      <c r="G48" s="8" t="s">
        <v>15</v>
      </c>
      <c r="H48" s="9" t="s">
        <v>16</v>
      </c>
      <c r="I48" s="4">
        <v>1</v>
      </c>
      <c r="J4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8" s="4" t="str">
        <f t="shared" si="1"/>
        <v/>
      </c>
      <c r="M48" t="str">
        <v>be</v>
      </c>
      <c r="N48" s="4" cm="1">
        <f t="array" ref="N48">SUM(--(_xlfn.TEXTSPLIT($J$2,, " ") = M48))</f>
        <v>14</v>
      </c>
      <c r="O48">
        <v>56</v>
      </c>
      <c r="P48">
        <v>0</v>
      </c>
      <c r="Q48">
        <v>56</v>
      </c>
      <c r="R48" s="4"/>
      <c r="S48" s="10"/>
    </row>
    <row r="49" spans="1:19" x14ac:dyDescent="0.2">
      <c r="A49" s="4">
        <v>1</v>
      </c>
      <c r="B49" s="5">
        <v>45912</v>
      </c>
      <c r="C49" s="6">
        <v>0.22361111111111112</v>
      </c>
      <c r="D49" s="7">
        <v>322</v>
      </c>
      <c r="E49" s="4" t="s">
        <v>14</v>
      </c>
      <c r="F49" s="4">
        <v>1</v>
      </c>
      <c r="G49" s="8" t="s">
        <v>15</v>
      </c>
      <c r="H49" s="9" t="s">
        <v>16</v>
      </c>
      <c r="I49" s="4">
        <v>1</v>
      </c>
      <c r="J4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9" s="4" t="str">
        <f t="shared" si="1"/>
        <v/>
      </c>
      <c r="M49" t="str">
        <v>furthest</v>
      </c>
      <c r="N49" s="4" cm="1">
        <f t="array" ref="N49">SUM(--(_xlfn.TEXTSPLIT($J$2,, " ") = M49))</f>
        <v>28</v>
      </c>
      <c r="O49">
        <v>56</v>
      </c>
      <c r="P49">
        <v>0</v>
      </c>
      <c r="Q49">
        <v>56</v>
      </c>
      <c r="R49" s="4"/>
      <c r="S49" s="10"/>
    </row>
    <row r="50" spans="1:19" x14ac:dyDescent="0.2">
      <c r="A50" s="4">
        <v>1</v>
      </c>
      <c r="B50" s="5">
        <v>45912</v>
      </c>
      <c r="C50" s="6">
        <v>0.22361111111111112</v>
      </c>
      <c r="D50" s="7">
        <v>322</v>
      </c>
      <c r="E50" s="4" t="s">
        <v>14</v>
      </c>
      <c r="F50" s="4">
        <v>1</v>
      </c>
      <c r="G50" s="8" t="s">
        <v>15</v>
      </c>
      <c r="H50" s="9" t="s">
        <v>16</v>
      </c>
      <c r="I50" s="4">
        <v>1</v>
      </c>
      <c r="J5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0" s="4" t="str">
        <f t="shared" si="1"/>
        <v/>
      </c>
      <c r="M50" t="str">
        <v>we've</v>
      </c>
      <c r="N50" s="4" cm="1">
        <f t="array" ref="N50">SUM(--(_xlfn.TEXTSPLIT($J$2,, " ") = M50))</f>
        <v>28</v>
      </c>
      <c r="O50">
        <v>56</v>
      </c>
      <c r="P50">
        <v>0</v>
      </c>
      <c r="Q50">
        <v>56</v>
      </c>
      <c r="R50" s="4"/>
      <c r="S50" s="10"/>
    </row>
    <row r="51" spans="1:19" x14ac:dyDescent="0.2">
      <c r="A51" s="4">
        <v>1</v>
      </c>
      <c r="B51" s="5">
        <v>45912</v>
      </c>
      <c r="C51" s="6">
        <v>0.22361111111111112</v>
      </c>
      <c r="D51" s="7">
        <v>322</v>
      </c>
      <c r="E51" s="4" t="s">
        <v>14</v>
      </c>
      <c r="F51" s="4">
        <v>1</v>
      </c>
      <c r="G51" s="8" t="s">
        <v>15</v>
      </c>
      <c r="H51" s="9" t="s">
        <v>16</v>
      </c>
      <c r="I51" s="4">
        <v>1</v>
      </c>
      <c r="J5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1" s="4" t="str">
        <f t="shared" si="1"/>
        <v/>
      </c>
      <c r="M51" t="str">
        <v xml:space="preserve">reached
</v>
      </c>
      <c r="N51" s="4" cm="1">
        <f t="array" ref="N51">SUM(--(_xlfn.TEXTSPLIT($J$2,, " ") = M51))</f>
        <v>28</v>
      </c>
      <c r="O51">
        <v>56</v>
      </c>
      <c r="P51">
        <v>0</v>
      </c>
      <c r="Q51">
        <v>56</v>
      </c>
      <c r="R51" s="4"/>
      <c r="S51" s="10"/>
    </row>
    <row r="52" spans="1:19" x14ac:dyDescent="0.2">
      <c r="A52" s="4">
        <v>1</v>
      </c>
      <c r="B52" s="5">
        <v>45912</v>
      </c>
      <c r="C52" s="6">
        <v>0.22361111111111112</v>
      </c>
      <c r="D52" s="7">
        <v>322</v>
      </c>
      <c r="E52" s="4" t="s">
        <v>14</v>
      </c>
      <c r="F52" s="4">
        <v>1</v>
      </c>
      <c r="G52" s="8" t="s">
        <v>15</v>
      </c>
      <c r="H52" s="9" t="s">
        <v>16</v>
      </c>
      <c r="I52" s="4">
        <v>1</v>
      </c>
      <c r="J5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2" s="4" t="str">
        <f t="shared" si="1"/>
        <v/>
      </c>
      <c r="M52" t="str">
        <v>move</v>
      </c>
      <c r="N52" s="4" cm="1">
        <f t="array" ref="N52">SUM(--(_xlfn.TEXTSPLIT($J$2,, " ") = M52))</f>
        <v>56</v>
      </c>
      <c r="O52">
        <v>56</v>
      </c>
      <c r="P52">
        <v>0</v>
      </c>
      <c r="Q52">
        <v>56</v>
      </c>
      <c r="R52" s="4"/>
      <c r="S52" s="10"/>
    </row>
    <row r="53" spans="1:19" x14ac:dyDescent="0.2">
      <c r="A53" s="4">
        <v>1</v>
      </c>
      <c r="B53" s="5">
        <v>45912</v>
      </c>
      <c r="C53" s="6">
        <v>0.22361111111111112</v>
      </c>
      <c r="D53" s="7">
        <v>322</v>
      </c>
      <c r="E53" s="4" t="s">
        <v>14</v>
      </c>
      <c r="F53" s="4">
        <v>1</v>
      </c>
      <c r="G53" s="8" t="s">
        <v>15</v>
      </c>
      <c r="H53" s="9" t="s">
        <v>16</v>
      </c>
      <c r="I53" s="4">
        <v>1</v>
      </c>
      <c r="J5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3" s="4" t="str">
        <f t="shared" si="1"/>
        <v/>
      </c>
      <c r="M53" t="str">
        <v>up,</v>
      </c>
      <c r="N53" s="4" cm="1">
        <f t="array" ref="N53">SUM(--(_xlfn.TEXTSPLIT($J$2,, " ") = M53))</f>
        <v>56</v>
      </c>
      <c r="O53">
        <v>56</v>
      </c>
      <c r="P53">
        <v>0</v>
      </c>
      <c r="Q53">
        <v>56</v>
      </c>
      <c r="R53" s="4"/>
      <c r="S53" s="10"/>
    </row>
    <row r="54" spans="1:19" x14ac:dyDescent="0.2">
      <c r="A54" s="4">
        <v>1</v>
      </c>
      <c r="B54" s="5">
        <v>45912</v>
      </c>
      <c r="C54" s="6">
        <v>0.22361111111111112</v>
      </c>
      <c r="D54" s="7">
        <v>322</v>
      </c>
      <c r="E54" s="4" t="s">
        <v>14</v>
      </c>
      <c r="F54" s="4">
        <v>1</v>
      </c>
      <c r="G54" s="8" t="s">
        <v>15</v>
      </c>
      <c r="H54" s="9" t="s">
        <v>16</v>
      </c>
      <c r="I54" s="4">
        <v>1</v>
      </c>
      <c r="J5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4" s="4" t="str">
        <f t="shared" si="1"/>
        <v/>
      </c>
      <c r="M54" t="str">
        <v>it's</v>
      </c>
      <c r="N54" s="4" cm="1">
        <f t="array" ref="N54">SUM(--(_xlfn.TEXTSPLIT($J$2,, " ") = M54))</f>
        <v>28</v>
      </c>
      <c r="O54">
        <v>56</v>
      </c>
      <c r="P54">
        <v>0</v>
      </c>
      <c r="Q54">
        <v>56</v>
      </c>
      <c r="R54" s="4"/>
      <c r="S54" s="10"/>
    </row>
    <row r="55" spans="1:19" x14ac:dyDescent="0.2">
      <c r="A55" s="4">
        <v>1</v>
      </c>
      <c r="B55" s="5">
        <v>45912</v>
      </c>
      <c r="C55" s="6">
        <v>0.22361111111111112</v>
      </c>
      <c r="D55" s="7">
        <v>322</v>
      </c>
      <c r="E55" s="4" t="s">
        <v>14</v>
      </c>
      <c r="F55" s="4">
        <v>1</v>
      </c>
      <c r="G55" s="8" t="s">
        <v>15</v>
      </c>
      <c r="H55" s="9" t="s">
        <v>16</v>
      </c>
      <c r="I55" s="4">
        <v>1</v>
      </c>
      <c r="J5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5" s="4" t="str">
        <f t="shared" si="1"/>
        <v/>
      </c>
      <c r="M55" t="str">
        <v xml:space="preserve">breach
</v>
      </c>
      <c r="N55" s="4" cm="1">
        <f t="array" ref="N55">SUM(--(_xlfn.TEXTSPLIT($J$2,, " ") = M55))</f>
        <v>28</v>
      </c>
      <c r="O55">
        <v>56</v>
      </c>
      <c r="P55">
        <v>0</v>
      </c>
      <c r="Q55">
        <v>56</v>
      </c>
      <c r="R55" s="4"/>
      <c r="S55" s="10"/>
    </row>
    <row r="56" spans="1:19" x14ac:dyDescent="0.2">
      <c r="A56" s="4">
        <v>1</v>
      </c>
      <c r="B56" s="5">
        <v>45912</v>
      </c>
      <c r="C56" s="6">
        <v>0.22361111111111112</v>
      </c>
      <c r="D56" s="7">
        <v>322</v>
      </c>
      <c r="E56" s="4" t="s">
        <v>14</v>
      </c>
      <c r="F56" s="4">
        <v>1</v>
      </c>
      <c r="G56" s="8" t="s">
        <v>15</v>
      </c>
      <c r="H56" s="9" t="s">
        <v>16</v>
      </c>
      <c r="I56" s="4">
        <v>1</v>
      </c>
      <c r="J5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6" s="4" t="str">
        <f t="shared" si="1"/>
        <v/>
      </c>
      <c r="M56" t="str">
        <v>wonder</v>
      </c>
      <c r="N56" s="4" cm="1">
        <f t="array" ref="N56">SUM(--(_xlfn.TEXTSPLIT($J$2,, " ") = M56))</f>
        <v>70</v>
      </c>
      <c r="O56">
        <v>56</v>
      </c>
      <c r="P56">
        <v>0</v>
      </c>
      <c r="Q56">
        <v>56</v>
      </c>
      <c r="R56" s="4"/>
      <c r="S56" s="10"/>
    </row>
    <row r="57" spans="1:19" x14ac:dyDescent="0.2">
      <c r="A57" s="4">
        <v>1</v>
      </c>
      <c r="B57" s="5">
        <v>45912</v>
      </c>
      <c r="C57" s="6">
        <v>0.22361111111111112</v>
      </c>
      <c r="D57" s="7">
        <v>322</v>
      </c>
      <c r="E57" s="4" t="s">
        <v>14</v>
      </c>
      <c r="F57" s="4">
        <v>1</v>
      </c>
      <c r="G57" s="8" t="s">
        <v>15</v>
      </c>
      <c r="H57" s="9" t="s">
        <v>16</v>
      </c>
      <c r="I57" s="4">
        <v>1</v>
      </c>
      <c r="J57"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7" s="4" t="str">
        <f t="shared" si="1"/>
        <v/>
      </c>
      <c r="M57" t="str">
        <v>where</v>
      </c>
      <c r="N57" s="4" cm="1">
        <f t="array" ref="N57">SUM(--(_xlfn.TEXTSPLIT($J$2,, " ") = M57))</f>
        <v>70</v>
      </c>
      <c r="O57">
        <v>56</v>
      </c>
      <c r="P57">
        <v>0</v>
      </c>
      <c r="Q57">
        <v>56</v>
      </c>
      <c r="R57" s="4"/>
      <c r="S57" s="10"/>
    </row>
    <row r="58" spans="1:19" x14ac:dyDescent="0.2">
      <c r="A58" s="4">
        <v>1</v>
      </c>
      <c r="B58" s="5">
        <v>45912</v>
      </c>
      <c r="C58" s="6">
        <v>0.22361111111111112</v>
      </c>
      <c r="D58" s="7">
        <v>322</v>
      </c>
      <c r="E58" s="4" t="s">
        <v>14</v>
      </c>
      <c r="F58" s="4">
        <v>1</v>
      </c>
      <c r="G58" s="8" t="s">
        <v>15</v>
      </c>
      <c r="H58" s="9" t="s">
        <v>16</v>
      </c>
      <c r="I58" s="4">
        <v>1</v>
      </c>
      <c r="J58"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8" s="4" t="str">
        <f t="shared" si="1"/>
        <v/>
      </c>
      <c r="M58" t="str">
        <v xml:space="preserve">are
</v>
      </c>
      <c r="N58" s="4" cm="1">
        <f t="array" ref="N58">SUM(--(_xlfn.TEXTSPLIT($J$2,, " ") = M58))</f>
        <v>56</v>
      </c>
      <c r="O58">
        <v>56</v>
      </c>
      <c r="P58">
        <v>0</v>
      </c>
      <c r="Q58">
        <v>56</v>
      </c>
      <c r="R58" s="4"/>
      <c r="S58" s="10"/>
    </row>
    <row r="59" spans="1:19" x14ac:dyDescent="0.2">
      <c r="A59" s="4">
        <v>1</v>
      </c>
      <c r="B59" s="5">
        <v>45912</v>
      </c>
      <c r="C59" s="6">
        <v>0.22361111111111112</v>
      </c>
      <c r="D59" s="7">
        <v>322</v>
      </c>
      <c r="E59" s="4" t="s">
        <v>14</v>
      </c>
      <c r="F59" s="4">
        <v>1</v>
      </c>
      <c r="G59" s="8" t="s">
        <v>15</v>
      </c>
      <c r="H59" s="9" t="s">
        <v>16</v>
      </c>
      <c r="I59" s="4">
        <v>1</v>
      </c>
      <c r="J59"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59" s="4" t="str">
        <f t="shared" si="1"/>
        <v/>
      </c>
      <c r="M59" t="str">
        <v>wanted</v>
      </c>
      <c r="N59" s="4" cm="1">
        <f t="array" ref="N59">SUM(--(_xlfn.TEXTSPLIT($J$2,, " ") = M59))</f>
        <v>70</v>
      </c>
      <c r="O59">
        <v>56</v>
      </c>
      <c r="P59">
        <v>0</v>
      </c>
      <c r="Q59">
        <v>56</v>
      </c>
      <c r="R59" s="4"/>
      <c r="S59" s="10"/>
    </row>
    <row r="60" spans="1:19" x14ac:dyDescent="0.2">
      <c r="A60" s="4">
        <v>1</v>
      </c>
      <c r="B60" s="5">
        <v>45912</v>
      </c>
      <c r="C60" s="6">
        <v>0.22361111111111112</v>
      </c>
      <c r="D60" s="7">
        <v>322</v>
      </c>
      <c r="E60" s="4" t="s">
        <v>14</v>
      </c>
      <c r="F60" s="4">
        <v>1</v>
      </c>
      <c r="G60" s="8" t="s">
        <v>15</v>
      </c>
      <c r="H60" s="9" t="s">
        <v>16</v>
      </c>
      <c r="I60" s="4">
        <v>1</v>
      </c>
      <c r="J60"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0" s="4" t="str">
        <f t="shared" si="1"/>
        <v/>
      </c>
      <c r="M60" t="str">
        <v>show</v>
      </c>
      <c r="N60" s="4" cm="1">
        <f t="array" ref="N60">SUM(--(_xlfn.TEXTSPLIT($J$2,, " ") = M60))</f>
        <v>70</v>
      </c>
      <c r="O60">
        <v>56</v>
      </c>
      <c r="P60">
        <v>0</v>
      </c>
      <c r="Q60">
        <v>56</v>
      </c>
      <c r="R60" s="4"/>
      <c r="S60" s="10"/>
    </row>
    <row r="61" spans="1:19" x14ac:dyDescent="0.2">
      <c r="A61" s="4">
        <v>1</v>
      </c>
      <c r="B61" s="5">
        <v>45912</v>
      </c>
      <c r="C61" s="6">
        <v>0.22361111111111112</v>
      </c>
      <c r="D61" s="7">
        <v>322</v>
      </c>
      <c r="E61" s="4" t="s">
        <v>14</v>
      </c>
      <c r="F61" s="4">
        <v>1</v>
      </c>
      <c r="G61" s="8" t="s">
        <v>15</v>
      </c>
      <c r="H61" s="9" t="s">
        <v>16</v>
      </c>
      <c r="I61" s="4">
        <v>1</v>
      </c>
      <c r="J61"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1" s="4" t="str">
        <f t="shared" si="1"/>
        <v/>
      </c>
      <c r="M61" t="str">
        <v>way</v>
      </c>
      <c r="N61" s="4" cm="1">
        <f t="array" ref="N61">SUM(--(_xlfn.TEXTSPLIT($J$2,, " ") = M61))</f>
        <v>56</v>
      </c>
      <c r="O61">
        <v>56</v>
      </c>
      <c r="P61">
        <v>0</v>
      </c>
      <c r="Q61">
        <v>56</v>
      </c>
      <c r="R61" s="4"/>
      <c r="S61" s="10"/>
    </row>
    <row r="62" spans="1:19" x14ac:dyDescent="0.2">
      <c r="A62" s="4">
        <v>1</v>
      </c>
      <c r="B62" s="5">
        <v>45912</v>
      </c>
      <c r="C62" s="6">
        <v>0.22361111111111112</v>
      </c>
      <c r="D62" s="7">
        <v>322</v>
      </c>
      <c r="E62" s="4" t="s">
        <v>14</v>
      </c>
      <c r="F62" s="4">
        <v>1</v>
      </c>
      <c r="G62" s="8" t="s">
        <v>15</v>
      </c>
      <c r="H62" s="9" t="s">
        <v>16</v>
      </c>
      <c r="I62" s="4">
        <v>1</v>
      </c>
      <c r="J62"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2" s="4" t="str">
        <f t="shared" si="1"/>
        <v/>
      </c>
      <c r="M62" t="str">
        <v>around</v>
      </c>
      <c r="N62" s="4" cm="1">
        <f t="array" ref="N62">SUM(--(_xlfn.TEXTSPLIT($J$2,, " ") = M62))</f>
        <v>56</v>
      </c>
      <c r="O62">
        <v>56</v>
      </c>
      <c r="P62">
        <v>0</v>
      </c>
      <c r="Q62">
        <v>56</v>
      </c>
      <c r="R62" s="4"/>
      <c r="S62" s="10"/>
    </row>
    <row r="63" spans="1:19" x14ac:dyDescent="0.2">
      <c r="A63" s="4">
        <v>1</v>
      </c>
      <c r="B63" s="5">
        <v>45912</v>
      </c>
      <c r="C63" s="6">
        <v>0.22361111111111112</v>
      </c>
      <c r="D63" s="7">
        <v>322</v>
      </c>
      <c r="E63" s="4" t="s">
        <v>14</v>
      </c>
      <c r="F63" s="4">
        <v>1</v>
      </c>
      <c r="G63" s="8" t="s">
        <v>15</v>
      </c>
      <c r="H63" s="9" t="s">
        <v>16</v>
      </c>
      <c r="I63" s="4">
        <v>1</v>
      </c>
      <c r="J63"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3" s="4" t="str">
        <f t="shared" si="1"/>
        <v/>
      </c>
      <c r="M63" t="str">
        <v>city</v>
      </c>
      <c r="N63" s="4" cm="1">
        <f t="array" ref="N63">SUM(--(_xlfn.TEXTSPLIT($J$2,, " ") = M63))</f>
        <v>42</v>
      </c>
      <c r="O63">
        <v>56</v>
      </c>
      <c r="P63">
        <v>0</v>
      </c>
      <c r="Q63">
        <v>56</v>
      </c>
      <c r="R63" s="4"/>
      <c r="S63" s="10"/>
    </row>
    <row r="64" spans="1:19" x14ac:dyDescent="0.2">
      <c r="A64" s="4">
        <v>1</v>
      </c>
      <c r="B64" s="5">
        <v>45912</v>
      </c>
      <c r="C64" s="6">
        <v>0.22361111111111112</v>
      </c>
      <c r="D64" s="7">
        <v>322</v>
      </c>
      <c r="E64" s="4" t="s">
        <v>14</v>
      </c>
      <c r="F64" s="4">
        <v>1</v>
      </c>
      <c r="G64" s="8" t="s">
        <v>15</v>
      </c>
      <c r="H64" s="9" t="s">
        <v>16</v>
      </c>
      <c r="I64" s="4">
        <v>1</v>
      </c>
      <c r="J64"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4" s="4" t="str">
        <f t="shared" si="1"/>
        <v/>
      </c>
      <c r="M64" t="str">
        <v xml:space="preserve">walls
</v>
      </c>
      <c r="N64" s="4" cm="1">
        <f t="array" ref="N64">SUM(--(_xlfn.TEXTSPLIT($J$2,, " ") = M64))</f>
        <v>28</v>
      </c>
      <c r="O64">
        <v>56</v>
      </c>
      <c r="P64">
        <v>0</v>
      </c>
      <c r="Q64">
        <v>56</v>
      </c>
      <c r="R64" s="4"/>
      <c r="S64" s="10"/>
    </row>
    <row r="65" spans="1:19" x14ac:dyDescent="0.2">
      <c r="A65" s="4">
        <v>1</v>
      </c>
      <c r="B65" s="5">
        <v>45912</v>
      </c>
      <c r="C65" s="6">
        <v>0.22361111111111112</v>
      </c>
      <c r="D65" s="7">
        <v>322</v>
      </c>
      <c r="E65" s="4" t="s">
        <v>14</v>
      </c>
      <c r="F65" s="4">
        <v>1</v>
      </c>
      <c r="G65" s="8" t="s">
        <v>15</v>
      </c>
      <c r="H65" s="9" t="s">
        <v>16</v>
      </c>
      <c r="I65" s="4">
        <v>1</v>
      </c>
      <c r="J65"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5" s="4" t="str">
        <f t="shared" si="1"/>
        <v/>
      </c>
      <c r="M65" t="str">
        <v xml:space="preserve">through
</v>
      </c>
      <c r="N65" s="4" cm="1">
        <f t="array" ref="N65">SUM(--(_xlfn.TEXTSPLIT($J$2,, " ") = M65))</f>
        <v>28</v>
      </c>
      <c r="O65">
        <v>56</v>
      </c>
      <c r="P65">
        <v>0</v>
      </c>
      <c r="Q65">
        <v>56</v>
      </c>
      <c r="R65" s="4"/>
      <c r="S65" s="10"/>
    </row>
    <row r="66" spans="1:19" x14ac:dyDescent="0.2">
      <c r="A66" s="4">
        <v>1</v>
      </c>
      <c r="B66" s="5">
        <v>45912</v>
      </c>
      <c r="C66" s="6">
        <v>0.22361111111111112</v>
      </c>
      <c r="D66" s="7">
        <v>322</v>
      </c>
      <c r="E66" s="4" t="s">
        <v>14</v>
      </c>
      <c r="F66" s="4">
        <v>1</v>
      </c>
      <c r="G66" s="8" t="s">
        <v>15</v>
      </c>
      <c r="H66" s="9" t="s">
        <v>16</v>
      </c>
      <c r="I66" s="4">
        <v>1</v>
      </c>
      <c r="J66" s="4" t="str">
        <f t="shared" si="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6" s="4" t="str">
        <f t="shared" si="1"/>
        <v/>
      </c>
      <c r="M66" t="str">
        <v>But</v>
      </c>
      <c r="N66" s="4" cm="1">
        <f t="array" ref="N66">SUM(--(_xlfn.TEXTSPLIT($J$2,, " ") = M66))</f>
        <v>42</v>
      </c>
      <c r="O66">
        <v>56</v>
      </c>
      <c r="P66">
        <v>0</v>
      </c>
      <c r="Q66">
        <v>56</v>
      </c>
      <c r="R66" s="4"/>
      <c r="S66" s="10"/>
    </row>
    <row r="67" spans="1:19" x14ac:dyDescent="0.2">
      <c r="A67" s="4">
        <v>1</v>
      </c>
      <c r="B67" s="5">
        <v>45912</v>
      </c>
      <c r="C67" s="6">
        <v>0.22361111111111112</v>
      </c>
      <c r="D67" s="7">
        <v>322</v>
      </c>
      <c r="E67" s="4" t="s">
        <v>14</v>
      </c>
      <c r="F67" s="4">
        <v>1</v>
      </c>
      <c r="G67" s="8" t="s">
        <v>15</v>
      </c>
      <c r="H67" s="9" t="s">
        <v>16</v>
      </c>
      <c r="I67" s="4">
        <v>1</v>
      </c>
      <c r="J67" s="4" t="str">
        <f t="shared" ref="J67:J130" si="2">_xlfn.TEXTJOIN(" ", TRUE, H67:H80)</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7" s="4" t="str">
        <f t="shared" si="1"/>
        <v/>
      </c>
      <c r="M67" t="str">
        <v>night</v>
      </c>
      <c r="N67" s="4" cm="1">
        <f t="array" ref="N67">SUM(--(_xlfn.TEXTSPLIT($J$2,, " ") = M67))</f>
        <v>28</v>
      </c>
      <c r="O67">
        <v>56</v>
      </c>
      <c r="P67">
        <v>0</v>
      </c>
      <c r="Q67">
        <v>56</v>
      </c>
      <c r="R67" s="4"/>
      <c r="S67" s="10"/>
    </row>
    <row r="68" spans="1:19" x14ac:dyDescent="0.2">
      <c r="A68" s="4">
        <v>1</v>
      </c>
      <c r="B68" s="5">
        <v>45912</v>
      </c>
      <c r="C68" s="6">
        <v>0.22361111111111112</v>
      </c>
      <c r="D68" s="7">
        <v>322</v>
      </c>
      <c r="E68" s="4" t="s">
        <v>14</v>
      </c>
      <c r="F68" s="4">
        <v>1</v>
      </c>
      <c r="G68" s="8" t="s">
        <v>15</v>
      </c>
      <c r="H68" s="9" t="s">
        <v>16</v>
      </c>
      <c r="I68" s="4">
        <v>1</v>
      </c>
      <c r="J6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8" s="4" t="str">
        <f t="shared" ref="L68:L131" si="3">_xlfn.REGEXREPLACE(K68, "[^A-Za-z ]", " ")</f>
        <v/>
      </c>
      <c r="M68" t="str">
        <v>has</v>
      </c>
      <c r="N68" s="4" cm="1">
        <f t="array" ref="N68">SUM(--(_xlfn.TEXTSPLIT($J$2,, " ") = M68))</f>
        <v>28</v>
      </c>
      <c r="O68">
        <v>56</v>
      </c>
      <c r="P68">
        <v>0</v>
      </c>
      <c r="Q68">
        <v>56</v>
      </c>
      <c r="R68" s="4"/>
      <c r="S68" s="10"/>
    </row>
    <row r="69" spans="1:19" x14ac:dyDescent="0.2">
      <c r="A69" s="4">
        <v>1</v>
      </c>
      <c r="B69" s="5">
        <v>45912</v>
      </c>
      <c r="C69" s="6">
        <v>0.22361111111111112</v>
      </c>
      <c r="D69" s="7">
        <v>322</v>
      </c>
      <c r="E69" s="4" t="s">
        <v>14</v>
      </c>
      <c r="F69" s="4">
        <v>1</v>
      </c>
      <c r="G69" s="8" t="s">
        <v>15</v>
      </c>
      <c r="H69" s="9" t="s">
        <v>16</v>
      </c>
      <c r="I69" s="4">
        <v>1</v>
      </c>
      <c r="J6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69" s="4" t="str">
        <f t="shared" si="3"/>
        <v/>
      </c>
      <c r="M69" t="str">
        <v xml:space="preserve">fallen
</v>
      </c>
      <c r="N69" s="4" cm="1">
        <f t="array" ref="N69">SUM(--(_xlfn.TEXTSPLIT($J$2,, " ") = M69))</f>
        <v>28</v>
      </c>
      <c r="O69">
        <v>56</v>
      </c>
      <c r="P69">
        <v>0</v>
      </c>
      <c r="Q69">
        <v>56</v>
      </c>
      <c r="R69" s="4"/>
      <c r="S69" s="10"/>
    </row>
    <row r="70" spans="1:19" x14ac:dyDescent="0.2">
      <c r="A70" s="4">
        <v>1</v>
      </c>
      <c r="B70" s="5">
        <v>45912</v>
      </c>
      <c r="C70" s="6">
        <v>0.22361111111111112</v>
      </c>
      <c r="D70" s="7">
        <v>322</v>
      </c>
      <c r="E70" s="4" t="s">
        <v>14</v>
      </c>
      <c r="F70" s="4">
        <v>1</v>
      </c>
      <c r="G70" s="8" t="s">
        <v>15</v>
      </c>
      <c r="H70" s="9" t="s">
        <v>16</v>
      </c>
      <c r="I70" s="4">
        <v>1</v>
      </c>
      <c r="J7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0" s="4" t="str">
        <f t="shared" si="3"/>
        <v/>
      </c>
      <c r="M70" t="str">
        <v>Abandoned</v>
      </c>
      <c r="N70" s="4" cm="1">
        <f t="array" ref="N70">SUM(--(_xlfn.TEXTSPLIT($J$2,, " ") = M70))</f>
        <v>42</v>
      </c>
      <c r="O70">
        <v>56</v>
      </c>
      <c r="P70">
        <v>0</v>
      </c>
      <c r="Q70">
        <v>56</v>
      </c>
      <c r="R70" s="4"/>
      <c r="S70" s="10"/>
    </row>
    <row r="71" spans="1:19" x14ac:dyDescent="0.2">
      <c r="A71" s="4">
        <v>1</v>
      </c>
      <c r="B71" s="5">
        <v>45912</v>
      </c>
      <c r="C71" s="6">
        <v>0.22361111111111112</v>
      </c>
      <c r="D71" s="7">
        <v>322</v>
      </c>
      <c r="E71" s="4" t="s">
        <v>14</v>
      </c>
      <c r="F71" s="4">
        <v>1</v>
      </c>
      <c r="G71" s="8" t="s">
        <v>15</v>
      </c>
      <c r="H71" s="9" t="s">
        <v>16</v>
      </c>
      <c r="I71" s="4">
        <v>1</v>
      </c>
      <c r="J7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1" s="4" t="str">
        <f t="shared" si="3"/>
        <v/>
      </c>
      <c r="M71" t="str">
        <v>by</v>
      </c>
      <c r="N71" s="4" cm="1">
        <f t="array" ref="N71">SUM(--(_xlfn.TEXTSPLIT($J$2,, " ") = M71))</f>
        <v>42</v>
      </c>
      <c r="O71">
        <v>56</v>
      </c>
      <c r="P71">
        <v>0</v>
      </c>
      <c r="Q71">
        <v>56</v>
      </c>
      <c r="R71" s="4"/>
      <c r="S71" s="10"/>
    </row>
    <row r="72" spans="1:19" x14ac:dyDescent="0.2">
      <c r="A72" s="4">
        <v>1</v>
      </c>
      <c r="B72" s="5">
        <v>45912</v>
      </c>
      <c r="C72" s="6">
        <v>0.22361111111111112</v>
      </c>
      <c r="D72" s="7">
        <v>322</v>
      </c>
      <c r="E72" s="4" t="s">
        <v>14</v>
      </c>
      <c r="F72" s="4">
        <v>1</v>
      </c>
      <c r="G72" s="8" t="s">
        <v>15</v>
      </c>
      <c r="H72" s="9" t="s">
        <v>16</v>
      </c>
      <c r="I72" s="4">
        <v>1</v>
      </c>
      <c r="J7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2" s="4" t="str">
        <f t="shared" si="3"/>
        <v/>
      </c>
      <c r="M72" t="str">
        <v xml:space="preserve">sun
</v>
      </c>
      <c r="N72" s="4" cm="1">
        <f t="array" ref="N72">SUM(--(_xlfn.TEXTSPLIT($J$2,, " ") = M72))</f>
        <v>28</v>
      </c>
      <c r="O72">
        <v>56</v>
      </c>
      <c r="P72">
        <v>0</v>
      </c>
      <c r="Q72">
        <v>56</v>
      </c>
      <c r="R72" s="4"/>
      <c r="S72" s="10"/>
    </row>
    <row r="73" spans="1:19" x14ac:dyDescent="0.2">
      <c r="A73" s="4">
        <v>1</v>
      </c>
      <c r="B73" s="5">
        <v>45912</v>
      </c>
      <c r="C73" s="6">
        <v>0.22361111111111112</v>
      </c>
      <c r="D73" s="7">
        <v>322</v>
      </c>
      <c r="E73" s="4" t="s">
        <v>14</v>
      </c>
      <c r="F73" s="4">
        <v>1</v>
      </c>
      <c r="G73" s="8" t="s">
        <v>15</v>
      </c>
      <c r="H73" s="9" t="s">
        <v>16</v>
      </c>
      <c r="I73" s="4">
        <v>1</v>
      </c>
      <c r="J7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3" s="4" t="str">
        <f t="shared" si="3"/>
        <v/>
      </c>
      <c r="M73" t="str">
        <v>come</v>
      </c>
      <c r="N73" s="4" cm="1">
        <f t="array" ref="N73">SUM(--(_xlfn.TEXTSPLIT($J$2,, " ") = M73))</f>
        <v>14</v>
      </c>
      <c r="O73">
        <v>56</v>
      </c>
      <c r="P73">
        <v>0</v>
      </c>
      <c r="Q73">
        <v>56</v>
      </c>
      <c r="R73" s="4"/>
      <c r="S73" s="10"/>
    </row>
    <row r="74" spans="1:19" x14ac:dyDescent="0.2">
      <c r="A74" s="4">
        <v>1</v>
      </c>
      <c r="B74" s="5">
        <v>45912</v>
      </c>
      <c r="C74" s="6">
        <v>0.22361111111111112</v>
      </c>
      <c r="D74" s="7">
        <v>322</v>
      </c>
      <c r="E74" s="4" t="s">
        <v>14</v>
      </c>
      <c r="F74" s="4">
        <v>1</v>
      </c>
      <c r="G74" s="8" t="s">
        <v>15</v>
      </c>
      <c r="H74" s="9" t="s">
        <v>16</v>
      </c>
      <c r="I74" s="4">
        <v>1</v>
      </c>
      <c r="J7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4" s="4" t="str">
        <f t="shared" si="3"/>
        <v/>
      </c>
      <c r="M74" t="str">
        <v>you,</v>
      </c>
      <c r="N74" s="4" cm="1">
        <f t="array" ref="N74">SUM(--(_xlfn.TEXTSPLIT($J$2,, " ") = M74))</f>
        <v>28</v>
      </c>
      <c r="O74">
        <v>56</v>
      </c>
      <c r="P74">
        <v>0</v>
      </c>
      <c r="Q74">
        <v>56</v>
      </c>
      <c r="R74" s="4"/>
      <c r="S74" s="10"/>
    </row>
    <row r="75" spans="1:19" x14ac:dyDescent="0.2">
      <c r="A75" s="4">
        <v>1</v>
      </c>
      <c r="B75" s="5">
        <v>45912</v>
      </c>
      <c r="C75" s="6">
        <v>0.22361111111111112</v>
      </c>
      <c r="D75" s="7">
        <v>322</v>
      </c>
      <c r="E75" s="4" t="s">
        <v>14</v>
      </c>
      <c r="F75" s="4">
        <v>1</v>
      </c>
      <c r="G75" s="8" t="s">
        <v>15</v>
      </c>
      <c r="H75" s="9" t="s">
        <v>16</v>
      </c>
      <c r="I75" s="4">
        <v>1</v>
      </c>
      <c r="J7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5" s="4" t="str">
        <f t="shared" si="3"/>
        <v/>
      </c>
      <c r="M75" t="str">
        <v>tell</v>
      </c>
      <c r="N75" s="4" cm="1">
        <f t="array" ref="N75">SUM(--(_xlfn.TEXTSPLIT($J$2,, " ") = M75))</f>
        <v>14</v>
      </c>
      <c r="O75">
        <v>56</v>
      </c>
      <c r="P75">
        <v>0</v>
      </c>
      <c r="Q75">
        <v>56</v>
      </c>
      <c r="R75" s="4"/>
      <c r="S75" s="10"/>
    </row>
    <row r="76" spans="1:19" x14ac:dyDescent="0.2">
      <c r="A76" s="4">
        <v>1</v>
      </c>
      <c r="B76" s="5">
        <v>45912</v>
      </c>
      <c r="C76" s="6">
        <v>0.22361111111111112</v>
      </c>
      <c r="D76" s="7">
        <v>322</v>
      </c>
      <c r="E76" s="4" t="s">
        <v>14</v>
      </c>
      <c r="F76" s="4">
        <v>1</v>
      </c>
      <c r="G76" s="8" t="s">
        <v>15</v>
      </c>
      <c r="H76" s="9" t="s">
        <v>16</v>
      </c>
      <c r="I76" s="4">
        <v>1</v>
      </c>
      <c r="J7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6" s="4" t="str">
        <f t="shared" si="3"/>
        <v/>
      </c>
      <c r="M76" t="str">
        <v>me</v>
      </c>
      <c r="N76" s="4" cm="1">
        <f t="array" ref="N76">SUM(--(_xlfn.TEXTSPLIT($J$2,, " ") = M76))</f>
        <v>28</v>
      </c>
      <c r="O76">
        <v>56</v>
      </c>
      <c r="P76">
        <v>0</v>
      </c>
      <c r="Q76">
        <v>56</v>
      </c>
      <c r="R76" s="4"/>
      <c r="S76" s="10"/>
    </row>
    <row r="77" spans="1:19" x14ac:dyDescent="0.2">
      <c r="A77" s="4">
        <v>1</v>
      </c>
      <c r="B77" s="5">
        <v>45912</v>
      </c>
      <c r="C77" s="6">
        <v>0.22361111111111112</v>
      </c>
      <c r="D77" s="7">
        <v>322</v>
      </c>
      <c r="E77" s="4" t="s">
        <v>14</v>
      </c>
      <c r="F77" s="4">
        <v>1</v>
      </c>
      <c r="G77" s="8" t="s">
        <v>15</v>
      </c>
      <c r="H77" s="9" t="s">
        <v>16</v>
      </c>
      <c r="I77" s="4">
        <v>1</v>
      </c>
      <c r="J7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7" s="4" t="str">
        <f t="shared" si="3"/>
        <v/>
      </c>
      <c r="M77" t="str">
        <v xml:space="preserve">when
</v>
      </c>
      <c r="N77" s="4" cm="1">
        <f t="array" ref="N77">SUM(--(_xlfn.TEXTSPLIT($J$2,, " ") = M77))</f>
        <v>14</v>
      </c>
      <c r="O77">
        <v>56</v>
      </c>
      <c r="P77">
        <v>0</v>
      </c>
      <c r="Q77">
        <v>56</v>
      </c>
      <c r="R77" s="4"/>
      <c r="S77" s="10"/>
    </row>
    <row r="78" spans="1:19" x14ac:dyDescent="0.2">
      <c r="A78" s="4">
        <v>1</v>
      </c>
      <c r="B78" s="5">
        <v>45912</v>
      </c>
      <c r="C78" s="6">
        <v>0.22361111111111112</v>
      </c>
      <c r="D78" s="7">
        <v>322</v>
      </c>
      <c r="E78" s="4" t="s">
        <v>14</v>
      </c>
      <c r="F78" s="4">
        <v>1</v>
      </c>
      <c r="G78" s="8" t="s">
        <v>15</v>
      </c>
      <c r="H78" s="9" t="s">
        <v>16</v>
      </c>
      <c r="I78" s="4">
        <v>1</v>
      </c>
      <c r="J7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8" s="4" t="str">
        <f t="shared" si="3"/>
        <v/>
      </c>
      <c r="M78" t="str">
        <v>run</v>
      </c>
      <c r="N78" s="4" cm="1">
        <f t="array" ref="N78">SUM(--(_xlfn.TEXTSPLIT($J$2,, " ") = M78))</f>
        <v>14</v>
      </c>
      <c r="O78">
        <v>56</v>
      </c>
      <c r="P78">
        <v>0</v>
      </c>
      <c r="Q78">
        <v>56</v>
      </c>
      <c r="R78" s="4"/>
      <c r="S78" s="10"/>
    </row>
    <row r="79" spans="1:19" x14ac:dyDescent="0.2">
      <c r="A79" s="4">
        <v>1</v>
      </c>
      <c r="B79" s="5">
        <v>45912</v>
      </c>
      <c r="C79" s="6">
        <v>0.22361111111111112</v>
      </c>
      <c r="D79" s="7">
        <v>322</v>
      </c>
      <c r="E79" s="4" t="s">
        <v>14</v>
      </c>
      <c r="F79" s="4">
        <v>1</v>
      </c>
      <c r="G79" s="8" t="s">
        <v>15</v>
      </c>
      <c r="H79" s="9" t="s">
        <v>16</v>
      </c>
      <c r="I79" s="4">
        <v>1</v>
      </c>
      <c r="J7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79" s="4" t="str">
        <f t="shared" si="3"/>
        <v/>
      </c>
      <c r="M79" t="str">
        <v xml:space="preserve">end
</v>
      </c>
      <c r="N79" s="4" cm="1">
        <f t="array" ref="N79">SUM(--(_xlfn.TEXTSPLIT($J$2,, " ") = M79))</f>
        <v>14</v>
      </c>
      <c r="O79">
        <v>56</v>
      </c>
      <c r="P79">
        <v>0</v>
      </c>
      <c r="Q79">
        <v>56</v>
      </c>
      <c r="R79" s="4"/>
      <c r="S79" s="10"/>
    </row>
    <row r="80" spans="1:19" x14ac:dyDescent="0.2">
      <c r="A80" s="4">
        <v>1</v>
      </c>
      <c r="B80" s="5">
        <v>45912</v>
      </c>
      <c r="C80" s="6">
        <v>0.22361111111111112</v>
      </c>
      <c r="D80" s="7">
        <v>322</v>
      </c>
      <c r="E80" s="4" t="s">
        <v>14</v>
      </c>
      <c r="F80" s="4">
        <v>1</v>
      </c>
      <c r="G80" s="8" t="s">
        <v>15</v>
      </c>
      <c r="H80" s="9" t="s">
        <v>16</v>
      </c>
      <c r="I80" s="4">
        <v>1</v>
      </c>
      <c r="J8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0" s="4" t="str">
        <f t="shared" si="3"/>
        <v/>
      </c>
      <c r="M80" t="str">
        <v>write</v>
      </c>
      <c r="N80" s="4" cm="1">
        <f t="array" ref="N80">SUM(--(_xlfn.TEXTSPLIT($J$2,, " ") = M80))</f>
        <v>14</v>
      </c>
      <c r="O80">
        <v>56</v>
      </c>
      <c r="P80">
        <v>0</v>
      </c>
      <c r="Q80">
        <v>56</v>
      </c>
      <c r="R80" s="4"/>
      <c r="S80" s="10"/>
    </row>
    <row r="81" spans="1:19" x14ac:dyDescent="0.2">
      <c r="A81" s="4">
        <v>1</v>
      </c>
      <c r="B81" s="5">
        <v>45912</v>
      </c>
      <c r="C81" s="6">
        <v>0.22361111111111112</v>
      </c>
      <c r="D81" s="7">
        <v>322</v>
      </c>
      <c r="E81" s="4" t="s">
        <v>14</v>
      </c>
      <c r="F81" s="4">
        <v>1</v>
      </c>
      <c r="G81" s="8" t="s">
        <v>15</v>
      </c>
      <c r="H81" s="9" t="s">
        <v>16</v>
      </c>
      <c r="I81" s="4">
        <v>1</v>
      </c>
      <c r="J8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1" s="4" t="str">
        <f t="shared" si="3"/>
        <v/>
      </c>
      <c r="M81" t="str">
        <v>promise</v>
      </c>
      <c r="N81" s="4" cm="1">
        <f t="array" ref="N81">SUM(--(_xlfn.TEXTSPLIT($J$2,, " ") = M81))</f>
        <v>14</v>
      </c>
      <c r="O81">
        <v>56</v>
      </c>
      <c r="P81">
        <v>0</v>
      </c>
      <c r="Q81">
        <v>56</v>
      </c>
      <c r="R81" s="4"/>
      <c r="S81" s="10"/>
    </row>
    <row r="82" spans="1:19" x14ac:dyDescent="0.2">
      <c r="A82" s="4">
        <v>1</v>
      </c>
      <c r="B82" s="5">
        <v>45912</v>
      </c>
      <c r="C82" s="6">
        <v>0.22361111111111112</v>
      </c>
      <c r="D82" s="7">
        <v>322</v>
      </c>
      <c r="E82" s="4" t="s">
        <v>14</v>
      </c>
      <c r="F82" s="4">
        <v>1</v>
      </c>
      <c r="G82" s="8" t="s">
        <v>15</v>
      </c>
      <c r="H82" s="9" t="s">
        <v>16</v>
      </c>
      <c r="I82" s="4">
        <v>1</v>
      </c>
      <c r="J8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2" s="4" t="str">
        <f t="shared" si="3"/>
        <v/>
      </c>
      <c r="M82" t="str">
        <v>pencil,</v>
      </c>
      <c r="N82" s="4" cm="1">
        <f t="array" ref="N82">SUM(--(_xlfn.TEXTSPLIT($J$2,, " ") = M82))</f>
        <v>14</v>
      </c>
      <c r="O82">
        <v>56</v>
      </c>
      <c r="P82">
        <v>0</v>
      </c>
      <c r="Q82">
        <v>56</v>
      </c>
      <c r="R82" s="4"/>
      <c r="S82" s="10"/>
    </row>
    <row r="83" spans="1:19" x14ac:dyDescent="0.2">
      <c r="A83" s="4">
        <v>1</v>
      </c>
      <c r="B83" s="5">
        <v>45912</v>
      </c>
      <c r="C83" s="6">
        <v>0.22361111111111112</v>
      </c>
      <c r="D83" s="7">
        <v>322</v>
      </c>
      <c r="E83" s="4" t="s">
        <v>14</v>
      </c>
      <c r="F83" s="4">
        <v>1</v>
      </c>
      <c r="G83" s="8" t="s">
        <v>15</v>
      </c>
      <c r="H83" s="9" t="s">
        <v>16</v>
      </c>
      <c r="I83" s="4">
        <v>1</v>
      </c>
      <c r="J8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3" s="4" t="str">
        <f t="shared" si="3"/>
        <v/>
      </c>
      <c r="M83" t="str">
        <v>loyalty's</v>
      </c>
      <c r="N83" s="4" cm="1">
        <f t="array" ref="N83">SUM(--(_xlfn.TEXTSPLIT($J$2,, " ") = M83))</f>
        <v>14</v>
      </c>
      <c r="O83">
        <v>56</v>
      </c>
      <c r="P83">
        <v>0</v>
      </c>
      <c r="Q83">
        <v>56</v>
      </c>
      <c r="R83" s="4"/>
      <c r="S83" s="10"/>
    </row>
    <row r="84" spans="1:19" x14ac:dyDescent="0.2">
      <c r="A84" s="4">
        <v>1</v>
      </c>
      <c r="B84" s="5">
        <v>45912</v>
      </c>
      <c r="C84" s="6">
        <v>0.22361111111111112</v>
      </c>
      <c r="D84" s="7">
        <v>322</v>
      </c>
      <c r="E84" s="4" t="s">
        <v>14</v>
      </c>
      <c r="F84" s="4">
        <v>1</v>
      </c>
      <c r="G84" s="8" t="s">
        <v>15</v>
      </c>
      <c r="H84" s="9" t="s">
        <v>16</v>
      </c>
      <c r="I84" s="4">
        <v>1</v>
      </c>
      <c r="J8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4" s="4" t="str">
        <f t="shared" si="3"/>
        <v/>
      </c>
      <c r="M84" t="str">
        <v xml:space="preserve">pen
</v>
      </c>
      <c r="N84" s="4" cm="1">
        <f t="array" ref="N84">SUM(--(_xlfn.TEXTSPLIT($J$2,, " ") = M84))</f>
        <v>14</v>
      </c>
      <c r="O84">
        <v>56</v>
      </c>
      <c r="P84">
        <v>0</v>
      </c>
      <c r="Q84">
        <v>56</v>
      </c>
      <c r="R84" s="4"/>
      <c r="S84" s="10"/>
    </row>
    <row r="85" spans="1:19" x14ac:dyDescent="0.2">
      <c r="A85" s="4">
        <v>1</v>
      </c>
      <c r="B85" s="5">
        <v>45912</v>
      </c>
      <c r="C85" s="6">
        <v>0.22361111111111112</v>
      </c>
      <c r="D85" s="7">
        <v>322</v>
      </c>
      <c r="E85" s="4" t="s">
        <v>14</v>
      </c>
      <c r="F85" s="4">
        <v>1</v>
      </c>
      <c r="G85" s="8" t="s">
        <v>15</v>
      </c>
      <c r="H85" s="9" t="s">
        <v>16</v>
      </c>
      <c r="I85" s="4">
        <v>1</v>
      </c>
      <c r="J8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5" s="4" t="str">
        <f t="shared" si="3"/>
        <v/>
      </c>
      <c r="M85" t="str">
        <v>Use</v>
      </c>
      <c r="N85" s="4" cm="1">
        <f t="array" ref="N85">SUM(--(_xlfn.TEXTSPLIT($J$2,, " ") = M85))</f>
        <v>14</v>
      </c>
      <c r="O85">
        <v>56</v>
      </c>
      <c r="P85">
        <v>0</v>
      </c>
      <c r="Q85">
        <v>56</v>
      </c>
      <c r="R85" s="4"/>
      <c r="S85" s="10"/>
    </row>
    <row r="86" spans="1:19" x14ac:dyDescent="0.2">
      <c r="A86" s="4">
        <v>1</v>
      </c>
      <c r="B86" s="5">
        <v>45912</v>
      </c>
      <c r="C86" s="6">
        <v>0.22361111111111112</v>
      </c>
      <c r="D86" s="7">
        <v>322</v>
      </c>
      <c r="E86" s="4" t="s">
        <v>14</v>
      </c>
      <c r="F86" s="4">
        <v>1</v>
      </c>
      <c r="G86" s="8" t="s">
        <v>15</v>
      </c>
      <c r="H86" s="9" t="s">
        <v>16</v>
      </c>
      <c r="I86" s="4">
        <v>1</v>
      </c>
      <c r="J8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6" s="4" t="str">
        <f t="shared" si="3"/>
        <v/>
      </c>
      <c r="M86" t="str">
        <v>mistake</v>
      </c>
      <c r="N86" s="4" cm="1">
        <f t="array" ref="N86">SUM(--(_xlfn.TEXTSPLIT($J$2,, " ") = M86))</f>
        <v>14</v>
      </c>
      <c r="O86">
        <v>56</v>
      </c>
      <c r="P86">
        <v>0</v>
      </c>
      <c r="Q86">
        <v>56</v>
      </c>
      <c r="R86" s="4"/>
      <c r="S86" s="10"/>
    </row>
    <row r="87" spans="1:19" x14ac:dyDescent="0.2">
      <c r="A87" s="4">
        <v>1</v>
      </c>
      <c r="B87" s="5">
        <v>45912</v>
      </c>
      <c r="C87" s="6">
        <v>0.22361111111111112</v>
      </c>
      <c r="D87" s="7">
        <v>322</v>
      </c>
      <c r="E87" s="4" t="s">
        <v>14</v>
      </c>
      <c r="F87" s="4">
        <v>1</v>
      </c>
      <c r="G87" s="8" t="s">
        <v>15</v>
      </c>
      <c r="H87" s="9" t="s">
        <v>16</v>
      </c>
      <c r="I87" s="4">
        <v>1</v>
      </c>
      <c r="J8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7" s="4" t="str">
        <f t="shared" si="3"/>
        <v/>
      </c>
      <c r="M87" t="str">
        <v>as</v>
      </c>
      <c r="N87" s="4" cm="1">
        <f t="array" ref="N87">SUM(--(_xlfn.TEXTSPLIT($J$2,, " ") = M87))</f>
        <v>14</v>
      </c>
      <c r="O87">
        <v>56</v>
      </c>
      <c r="P87">
        <v>0</v>
      </c>
      <c r="Q87">
        <v>56</v>
      </c>
      <c r="R87" s="4"/>
      <c r="S87" s="10"/>
    </row>
    <row r="88" spans="1:19" x14ac:dyDescent="0.2">
      <c r="A88" s="4">
        <v>1</v>
      </c>
      <c r="B88" s="5">
        <v>45912</v>
      </c>
      <c r="C88" s="6">
        <v>0.22361111111111112</v>
      </c>
      <c r="D88" s="7">
        <v>322</v>
      </c>
      <c r="E88" s="4" t="s">
        <v>14</v>
      </c>
      <c r="F88" s="4">
        <v>1</v>
      </c>
      <c r="G88" s="8" t="s">
        <v>15</v>
      </c>
      <c r="H88" s="9" t="s">
        <v>16</v>
      </c>
      <c r="I88" s="4">
        <v>1</v>
      </c>
      <c r="J8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8" s="4" t="str">
        <f t="shared" si="3"/>
        <v/>
      </c>
      <c r="M88" t="str">
        <v>crooked</v>
      </c>
      <c r="N88" s="4" cm="1">
        <f t="array" ref="N88">SUM(--(_xlfn.TEXTSPLIT($J$2,, " ") = M88))</f>
        <v>14</v>
      </c>
      <c r="O88">
        <v>56</v>
      </c>
      <c r="P88">
        <v>0</v>
      </c>
      <c r="Q88">
        <v>56</v>
      </c>
      <c r="R88" s="4"/>
      <c r="S88" s="10"/>
    </row>
    <row r="89" spans="1:19" x14ac:dyDescent="0.2">
      <c r="A89" s="4">
        <v>1</v>
      </c>
      <c r="B89" s="5">
        <v>45912</v>
      </c>
      <c r="C89" s="6">
        <v>0.22361111111111112</v>
      </c>
      <c r="D89" s="7">
        <v>322</v>
      </c>
      <c r="E89" s="4" t="s">
        <v>14</v>
      </c>
      <c r="F89" s="4">
        <v>1</v>
      </c>
      <c r="G89" s="8" t="s">
        <v>15</v>
      </c>
      <c r="H89" s="9" t="s">
        <v>16</v>
      </c>
      <c r="I89" s="4">
        <v>1</v>
      </c>
      <c r="J8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89" s="4" t="str">
        <f t="shared" si="3"/>
        <v/>
      </c>
      <c r="M89" t="str">
        <v>stencil,</v>
      </c>
      <c r="N89" s="4" cm="1">
        <f t="array" ref="N89">SUM(--(_xlfn.TEXTSPLIT($J$2,, " ") = M89))</f>
        <v>14</v>
      </c>
      <c r="O89">
        <v>56</v>
      </c>
      <c r="P89">
        <v>0</v>
      </c>
      <c r="Q89">
        <v>56</v>
      </c>
      <c r="R89" s="4"/>
      <c r="S89" s="10"/>
    </row>
    <row r="90" spans="1:19" x14ac:dyDescent="0.2">
      <c r="A90" s="4">
        <v>1</v>
      </c>
      <c r="B90" s="5">
        <v>45912</v>
      </c>
      <c r="C90" s="6">
        <v>0.22361111111111112</v>
      </c>
      <c r="D90" s="7">
        <v>322</v>
      </c>
      <c r="E90" s="4" t="s">
        <v>14</v>
      </c>
      <c r="F90" s="4">
        <v>1</v>
      </c>
      <c r="G90" s="8" t="s">
        <v>15</v>
      </c>
      <c r="H90" s="9" t="s">
        <v>16</v>
      </c>
      <c r="I90" s="4">
        <v>1</v>
      </c>
      <c r="J9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0" s="4" t="str">
        <f t="shared" si="3"/>
        <v/>
      </c>
      <c r="M90" t="str">
        <v>then</v>
      </c>
      <c r="N90" s="4" cm="1">
        <f t="array" ref="N90">SUM(--(_xlfn.TEXTSPLIT($J$2,, " ") = M90))</f>
        <v>14</v>
      </c>
      <c r="O90">
        <v>56</v>
      </c>
      <c r="P90">
        <v>0</v>
      </c>
      <c r="Q90">
        <v>56</v>
      </c>
      <c r="R90" s="4"/>
      <c r="S90" s="10"/>
    </row>
    <row r="91" spans="1:19" x14ac:dyDescent="0.2">
      <c r="A91" s="4">
        <v>1</v>
      </c>
      <c r="B91" s="5">
        <v>45912</v>
      </c>
      <c r="C91" s="6">
        <v>0.22361111111111112</v>
      </c>
      <c r="D91" s="7">
        <v>322</v>
      </c>
      <c r="E91" s="4" t="s">
        <v>14</v>
      </c>
      <c r="F91" s="4">
        <v>1</v>
      </c>
      <c r="G91" s="8" t="s">
        <v>15</v>
      </c>
      <c r="H91" s="9" t="s">
        <v>16</v>
      </c>
      <c r="I91" s="4">
        <v>1</v>
      </c>
      <c r="J9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1" s="4" t="str">
        <f t="shared" si="3"/>
        <v/>
      </c>
      <c r="M91" t="str">
        <v>we</v>
      </c>
      <c r="N91" s="4" cm="1">
        <f t="array" ref="N91">SUM(--(_xlfn.TEXTSPLIT($J$2,, " ") = M91))</f>
        <v>14</v>
      </c>
      <c r="O91">
        <v>56</v>
      </c>
      <c r="P91">
        <v>0</v>
      </c>
      <c r="Q91">
        <v>56</v>
      </c>
      <c r="R91" s="4"/>
      <c r="S91" s="10"/>
    </row>
    <row r="92" spans="1:19" x14ac:dyDescent="0.2">
      <c r="A92" s="4">
        <v>1</v>
      </c>
      <c r="B92" s="5">
        <v>45912</v>
      </c>
      <c r="C92" s="6">
        <v>0.22361111111111112</v>
      </c>
      <c r="D92" s="7">
        <v>322</v>
      </c>
      <c r="E92" s="4" t="s">
        <v>14</v>
      </c>
      <c r="F92" s="4">
        <v>1</v>
      </c>
      <c r="G92" s="8" t="s">
        <v>15</v>
      </c>
      <c r="H92" s="9" t="s">
        <v>16</v>
      </c>
      <c r="I92" s="4">
        <v>1</v>
      </c>
      <c r="J9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2" s="4" t="str">
        <f t="shared" si="3"/>
        <v/>
      </c>
      <c r="M92" t="str">
        <v>trace</v>
      </c>
      <c r="N92" s="4" cm="1">
        <f t="array" ref="N92">SUM(--(_xlfn.TEXTSPLIT($J$2,, " ") = M92))</f>
        <v>14</v>
      </c>
      <c r="O92">
        <v>56</v>
      </c>
      <c r="P92">
        <v>0</v>
      </c>
      <c r="Q92">
        <v>56</v>
      </c>
      <c r="R92" s="4"/>
      <c r="S92" s="10"/>
    </row>
    <row r="93" spans="1:19" x14ac:dyDescent="0.2">
      <c r="A93" s="4">
        <v>1</v>
      </c>
      <c r="B93" s="5">
        <v>45912</v>
      </c>
      <c r="C93" s="6">
        <v>0.22361111111111112</v>
      </c>
      <c r="D93" s="7">
        <v>322</v>
      </c>
      <c r="E93" s="4" t="s">
        <v>14</v>
      </c>
      <c r="F93" s="4">
        <v>1</v>
      </c>
      <c r="G93" s="8" t="s">
        <v>15</v>
      </c>
      <c r="H93" s="9" t="s">
        <v>16</v>
      </c>
      <c r="I93" s="4">
        <v>1</v>
      </c>
      <c r="J9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3" s="4" t="str">
        <f t="shared" si="3"/>
        <v/>
      </c>
      <c r="M93" t="str">
        <v>back</v>
      </c>
      <c r="N93" s="4" cm="1">
        <f t="array" ref="N93">SUM(--(_xlfn.TEXTSPLIT($J$2,, " ") = M93))</f>
        <v>14</v>
      </c>
      <c r="O93">
        <v>56</v>
      </c>
      <c r="P93">
        <v>0</v>
      </c>
      <c r="Q93">
        <v>56</v>
      </c>
      <c r="R93" s="4"/>
      <c r="S93" s="10"/>
    </row>
    <row r="94" spans="1:19" x14ac:dyDescent="0.2">
      <c r="A94" s="4">
        <v>1</v>
      </c>
      <c r="B94" s="5">
        <v>45912</v>
      </c>
      <c r="C94" s="6">
        <v>0.22361111111111112</v>
      </c>
      <c r="D94" s="7">
        <v>322</v>
      </c>
      <c r="E94" s="4" t="s">
        <v>14</v>
      </c>
      <c r="F94" s="4">
        <v>1</v>
      </c>
      <c r="G94" s="8" t="s">
        <v>15</v>
      </c>
      <c r="H94" s="9" t="s">
        <v>16</v>
      </c>
      <c r="I94" s="4">
        <v>1</v>
      </c>
      <c r="J9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4" s="4" t="str">
        <f t="shared" si="3"/>
        <v/>
      </c>
      <c r="M94" t="str">
        <v xml:space="preserve">again
</v>
      </c>
      <c r="N94" s="4" cm="1">
        <f t="array" ref="N94">SUM(--(_xlfn.TEXTSPLIT($J$2,, " ") = M94))</f>
        <v>14</v>
      </c>
      <c r="O94">
        <v>56</v>
      </c>
      <c r="P94">
        <v>0</v>
      </c>
      <c r="Q94">
        <v>56</v>
      </c>
      <c r="R94" s="4"/>
      <c r="S94" s="10"/>
    </row>
    <row r="95" spans="1:19" x14ac:dyDescent="0.2">
      <c r="A95" s="4">
        <v>1</v>
      </c>
      <c r="B95" s="5">
        <v>45912</v>
      </c>
      <c r="C95" s="6">
        <v>0.22361111111111112</v>
      </c>
      <c r="D95" s="7">
        <v>322</v>
      </c>
      <c r="E95" s="4" t="s">
        <v>14</v>
      </c>
      <c r="F95" s="4">
        <v>1</v>
      </c>
      <c r="G95" s="8" t="s">
        <v>15</v>
      </c>
      <c r="H95" s="9" t="s">
        <v>16</v>
      </c>
      <c r="I95" s="4">
        <v>1</v>
      </c>
      <c r="J9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5" s="4" t="str">
        <f t="shared" si="3"/>
        <v/>
      </c>
      <c r="M95" t="str">
        <v>From</v>
      </c>
      <c r="N95" s="4" cm="1">
        <f t="array" ref="N95">SUM(--(_xlfn.TEXTSPLIT($J$2,, " ") = M95))</f>
        <v>14</v>
      </c>
      <c r="O95">
        <v>56</v>
      </c>
      <c r="P95">
        <v>0</v>
      </c>
      <c r="Q95">
        <v>56</v>
      </c>
      <c r="R95" s="4"/>
      <c r="S95" s="10"/>
    </row>
    <row r="96" spans="1:19" x14ac:dyDescent="0.2">
      <c r="A96" s="4">
        <v>1</v>
      </c>
      <c r="B96" s="5">
        <v>45912</v>
      </c>
      <c r="C96" s="6">
        <v>0.22361111111111112</v>
      </c>
      <c r="D96" s="7">
        <v>322</v>
      </c>
      <c r="E96" s="4" t="s">
        <v>14</v>
      </c>
      <c r="F96" s="4">
        <v>1</v>
      </c>
      <c r="G96" s="8" t="s">
        <v>15</v>
      </c>
      <c r="H96" s="9" t="s">
        <v>16</v>
      </c>
      <c r="I96" s="4">
        <v>1</v>
      </c>
      <c r="J9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6" s="4" t="str">
        <f t="shared" si="3"/>
        <v/>
      </c>
      <c r="M96" t="str">
        <v>mainland</v>
      </c>
      <c r="N96" s="4" cm="1">
        <f t="array" ref="N96">SUM(--(_xlfn.TEXTSPLIT($J$2,, " ") = M96))</f>
        <v>14</v>
      </c>
      <c r="O96">
        <v>56</v>
      </c>
      <c r="P96">
        <v>0</v>
      </c>
      <c r="Q96">
        <v>56</v>
      </c>
      <c r="R96" s="4"/>
      <c r="S96" s="10"/>
    </row>
    <row r="97" spans="1:19" x14ac:dyDescent="0.2">
      <c r="A97" s="4">
        <v>1</v>
      </c>
      <c r="B97" s="5">
        <v>45912</v>
      </c>
      <c r="C97" s="6">
        <v>0.22361111111111112</v>
      </c>
      <c r="D97" s="7">
        <v>322</v>
      </c>
      <c r="E97" s="4" t="s">
        <v>14</v>
      </c>
      <c r="F97" s="4">
        <v>1</v>
      </c>
      <c r="G97" s="8" t="s">
        <v>15</v>
      </c>
      <c r="H97" s="9" t="s">
        <v>16</v>
      </c>
      <c r="I97" s="4">
        <v>1</v>
      </c>
      <c r="J9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7" s="4" t="str">
        <f t="shared" si="3"/>
        <v/>
      </c>
      <c r="M97" t="str">
        <v>island</v>
      </c>
      <c r="N97" s="4" cm="1">
        <f t="array" ref="N97">SUM(--(_xlfn.TEXTSPLIT($J$2,, " ") = M97))</f>
        <v>14</v>
      </c>
      <c r="O97">
        <v>56</v>
      </c>
      <c r="P97">
        <v>0</v>
      </c>
      <c r="Q97">
        <v>56</v>
      </c>
      <c r="R97" s="4"/>
      <c r="S97" s="10"/>
    </row>
    <row r="98" spans="1:19" x14ac:dyDescent="0.2">
      <c r="A98" s="4">
        <v>1</v>
      </c>
      <c r="B98" s="5">
        <v>45912</v>
      </c>
      <c r="C98" s="6">
        <v>0.22361111111111112</v>
      </c>
      <c r="D98" s="7">
        <v>322</v>
      </c>
      <c r="E98" s="4" t="s">
        <v>14</v>
      </c>
      <c r="F98" s="4">
        <v>1</v>
      </c>
      <c r="G98" s="8" t="s">
        <v>15</v>
      </c>
      <c r="H98" s="9" t="s">
        <v>16</v>
      </c>
      <c r="I98" s="4">
        <v>1</v>
      </c>
      <c r="J9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8" s="4" t="str">
        <f t="shared" si="3"/>
        <v/>
      </c>
      <c r="M98" t="str">
        <v xml:space="preserve">violence
</v>
      </c>
      <c r="N98" s="4" cm="1">
        <f t="array" ref="N98">SUM(--(_xlfn.TEXTSPLIT($J$2,, " ") = M98))</f>
        <v>14</v>
      </c>
      <c r="O98">
        <v>56</v>
      </c>
      <c r="P98">
        <v>0</v>
      </c>
      <c r="Q98">
        <v>56</v>
      </c>
      <c r="R98" s="4"/>
      <c r="S98" s="10"/>
    </row>
    <row r="99" spans="1:19" x14ac:dyDescent="0.2">
      <c r="A99" s="4">
        <v>1</v>
      </c>
      <c r="B99" s="5">
        <v>45912</v>
      </c>
      <c r="C99" s="6">
        <v>0.22361111111111112</v>
      </c>
      <c r="D99" s="7">
        <v>322</v>
      </c>
      <c r="E99" s="4" t="s">
        <v>14</v>
      </c>
      <c r="F99" s="4">
        <v>1</v>
      </c>
      <c r="G99" s="8" t="s">
        <v>15</v>
      </c>
      <c r="H99" s="9" t="s">
        <v>16</v>
      </c>
      <c r="I99" s="4">
        <v>1</v>
      </c>
      <c r="J9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99" s="4" t="str">
        <f t="shared" si="3"/>
        <v/>
      </c>
      <c r="M99" t="str">
        <v>was</v>
      </c>
      <c r="N99" s="4" cm="1">
        <f t="array" ref="N99">SUM(--(_xlfn.TEXTSPLIT($J$2,, " ") = M99))</f>
        <v>28</v>
      </c>
      <c r="O99">
        <v>56</v>
      </c>
      <c r="P99">
        <v>0</v>
      </c>
      <c r="Q99">
        <v>56</v>
      </c>
      <c r="R99" s="4"/>
      <c r="S99" s="10"/>
    </row>
    <row r="100" spans="1:19" x14ac:dyDescent="0.2">
      <c r="A100" s="4">
        <v>1</v>
      </c>
      <c r="B100" s="5">
        <v>45912</v>
      </c>
      <c r="C100" s="6">
        <v>0.22361111111111112</v>
      </c>
      <c r="D100" s="7">
        <v>322</v>
      </c>
      <c r="E100" s="4" t="s">
        <v>14</v>
      </c>
      <c r="F100" s="4">
        <v>1</v>
      </c>
      <c r="G100" s="8" t="s">
        <v>15</v>
      </c>
      <c r="H100" s="9" t="s">
        <v>16</v>
      </c>
      <c r="I100" s="4">
        <v>1</v>
      </c>
      <c r="J10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0" s="4" t="str">
        <f t="shared" si="3"/>
        <v/>
      </c>
      <c r="M100" t="str">
        <v>same</v>
      </c>
      <c r="N100" s="4" cm="1">
        <f t="array" ref="N100">SUM(--(_xlfn.TEXTSPLIT($J$2,, " ") = M100))</f>
        <v>14</v>
      </c>
      <c r="O100">
        <v>56</v>
      </c>
      <c r="P100">
        <v>0</v>
      </c>
      <c r="Q100">
        <v>56</v>
      </c>
      <c r="R100" s="4"/>
      <c r="S100" s="10"/>
    </row>
    <row r="101" spans="1:19" x14ac:dyDescent="0.2">
      <c r="A101" s="4">
        <v>1</v>
      </c>
      <c r="B101" s="5">
        <v>45912</v>
      </c>
      <c r="C101" s="6">
        <v>0.22361111111111112</v>
      </c>
      <c r="D101" s="7">
        <v>322</v>
      </c>
      <c r="E101" s="4" t="s">
        <v>14</v>
      </c>
      <c r="F101" s="4">
        <v>1</v>
      </c>
      <c r="G101" s="8" t="s">
        <v>15</v>
      </c>
      <c r="H101" s="9" t="s">
        <v>16</v>
      </c>
      <c r="I101" s="4">
        <v>1</v>
      </c>
      <c r="J10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1" s="4" t="str">
        <f t="shared" si="3"/>
        <v/>
      </c>
      <c r="M101" t="str">
        <v>plan</v>
      </c>
      <c r="N101" s="4" cm="1">
        <f t="array" ref="N101">SUM(--(_xlfn.TEXTSPLIT($J$2,, " ") = M101))</f>
        <v>14</v>
      </c>
      <c r="O101">
        <v>56</v>
      </c>
      <c r="P101">
        <v>0</v>
      </c>
      <c r="Q101">
        <v>56</v>
      </c>
      <c r="R101" s="4"/>
      <c r="S101" s="10"/>
    </row>
    <row r="102" spans="1:19" x14ac:dyDescent="0.2">
      <c r="A102" s="4">
        <v>1</v>
      </c>
      <c r="B102" s="5">
        <v>45912</v>
      </c>
      <c r="C102" s="6">
        <v>0.22361111111111112</v>
      </c>
      <c r="D102" s="7">
        <v>322</v>
      </c>
      <c r="E102" s="4" t="s">
        <v>14</v>
      </c>
      <c r="F102" s="4">
        <v>1</v>
      </c>
      <c r="G102" s="8" t="s">
        <v>15</v>
      </c>
      <c r="H102" s="9" t="s">
        <v>16</v>
      </c>
      <c r="I102" s="4">
        <v>1</v>
      </c>
      <c r="J10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2" s="4" t="str">
        <f t="shared" si="3"/>
        <v/>
      </c>
      <c r="M102" t="str">
        <v>for</v>
      </c>
      <c r="N102" s="4" cm="1">
        <f t="array" ref="N102">SUM(--(_xlfn.TEXTSPLIT($J$2,, " ") = M102))</f>
        <v>14</v>
      </c>
      <c r="O102">
        <v>56</v>
      </c>
      <c r="P102">
        <v>0</v>
      </c>
      <c r="Q102">
        <v>56</v>
      </c>
      <c r="R102" s="4"/>
      <c r="S102" s="10"/>
    </row>
    <row r="103" spans="1:19" x14ac:dyDescent="0.2">
      <c r="A103" s="4">
        <v>1</v>
      </c>
      <c r="B103" s="5">
        <v>45912</v>
      </c>
      <c r="C103" s="6">
        <v>0.22361111111111112</v>
      </c>
      <c r="D103" s="7">
        <v>322</v>
      </c>
      <c r="E103" s="4" t="s">
        <v>14</v>
      </c>
      <c r="F103" s="4">
        <v>1</v>
      </c>
      <c r="G103" s="8" t="s">
        <v>15</v>
      </c>
      <c r="H103" s="9" t="s">
        <v>16</v>
      </c>
      <c r="I103" s="4">
        <v>1</v>
      </c>
      <c r="J10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3" s="4" t="str">
        <f t="shared" si="3"/>
        <v/>
      </c>
      <c r="M103" t="str">
        <v>while,</v>
      </c>
      <c r="N103" s="4" cm="1">
        <f t="array" ref="N103">SUM(--(_xlfn.TEXTSPLIT($J$2,, " ") = M103))</f>
        <v>14</v>
      </c>
      <c r="O103">
        <v>56</v>
      </c>
      <c r="P103">
        <v>0</v>
      </c>
      <c r="Q103">
        <v>56</v>
      </c>
      <c r="R103" s="4"/>
      <c r="S103" s="10"/>
    </row>
    <row r="104" spans="1:19" x14ac:dyDescent="0.2">
      <c r="A104" s="4">
        <v>1</v>
      </c>
      <c r="B104" s="5">
        <v>45912</v>
      </c>
      <c r="C104" s="6">
        <v>0.22361111111111112</v>
      </c>
      <c r="D104" s="7">
        <v>322</v>
      </c>
      <c r="E104" s="4" t="s">
        <v>14</v>
      </c>
      <c r="F104" s="4">
        <v>1</v>
      </c>
      <c r="G104" s="8" t="s">
        <v>15</v>
      </c>
      <c r="H104" s="9" t="s">
        <v>16</v>
      </c>
      <c r="I104" s="4">
        <v>1</v>
      </c>
      <c r="J10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4" s="4" t="str">
        <f t="shared" si="3"/>
        <v/>
      </c>
      <c r="M104" t="str">
        <v xml:space="preserve">decided
</v>
      </c>
      <c r="N104" s="4" cm="1">
        <f t="array" ref="N104">SUM(--(_xlfn.TEXTSPLIT($J$2,, " ") = M104))</f>
        <v>14</v>
      </c>
      <c r="O104">
        <v>56</v>
      </c>
      <c r="P104">
        <v>0</v>
      </c>
      <c r="Q104">
        <v>56</v>
      </c>
      <c r="R104" s="4"/>
      <c r="S104" s="10"/>
    </row>
    <row r="105" spans="1:19" x14ac:dyDescent="0.2">
      <c r="A105" s="4">
        <v>1</v>
      </c>
      <c r="B105" s="5">
        <v>45912</v>
      </c>
      <c r="C105" s="6">
        <v>0.22361111111111112</v>
      </c>
      <c r="D105" s="7">
        <v>322</v>
      </c>
      <c r="E105" s="4" t="s">
        <v>14</v>
      </c>
      <c r="F105" s="4">
        <v>1</v>
      </c>
      <c r="G105" s="8" t="s">
        <v>15</v>
      </c>
      <c r="H105" s="9" t="s">
        <v>16</v>
      </c>
      <c r="I105" s="4">
        <v>1</v>
      </c>
      <c r="J10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5" s="4" t="str">
        <f t="shared" si="3"/>
        <v/>
      </c>
      <c r="M105" t="str">
        <v>send</v>
      </c>
      <c r="N105" s="4" cm="1">
        <f t="array" ref="N105">SUM(--(_xlfn.TEXTSPLIT($J$2,, " ") = M105))</f>
        <v>14</v>
      </c>
      <c r="O105">
        <v>56</v>
      </c>
      <c r="P105">
        <v>0</v>
      </c>
      <c r="Q105">
        <v>56</v>
      </c>
      <c r="R105" s="4"/>
      <c r="S105" s="10"/>
    </row>
    <row r="106" spans="1:19" x14ac:dyDescent="0.2">
      <c r="A106" s="4">
        <v>1</v>
      </c>
      <c r="B106" s="5">
        <v>45912</v>
      </c>
      <c r="C106" s="6">
        <v>0.22361111111111112</v>
      </c>
      <c r="D106" s="7">
        <v>322</v>
      </c>
      <c r="E106" s="4" t="s">
        <v>14</v>
      </c>
      <c r="F106" s="4">
        <v>1</v>
      </c>
      <c r="G106" s="8" t="s">
        <v>15</v>
      </c>
      <c r="H106" s="9" t="s">
        <v>16</v>
      </c>
      <c r="I106" s="4">
        <v>1</v>
      </c>
      <c r="J10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6" s="4" t="str">
        <f t="shared" si="3"/>
        <v/>
      </c>
      <c r="M106" t="str">
        <v>and</v>
      </c>
      <c r="N106" s="4" cm="1">
        <f t="array" ref="N106">SUM(--(_xlfn.TEXTSPLIT($J$2,, " ") = M106))</f>
        <v>14</v>
      </c>
      <c r="O106">
        <v>56</v>
      </c>
      <c r="P106">
        <v>0</v>
      </c>
      <c r="Q106">
        <v>56</v>
      </c>
      <c r="R106" s="4"/>
      <c r="S106" s="10"/>
    </row>
    <row r="107" spans="1:19" x14ac:dyDescent="0.2">
      <c r="A107" s="4">
        <v>1</v>
      </c>
      <c r="B107" s="5">
        <v>45912</v>
      </c>
      <c r="C107" s="6">
        <v>0.22361111111111112</v>
      </c>
      <c r="D107" s="7">
        <v>322</v>
      </c>
      <c r="E107" s="4" t="s">
        <v>14</v>
      </c>
      <c r="F107" s="4">
        <v>1</v>
      </c>
      <c r="G107" s="8" t="s">
        <v>15</v>
      </c>
      <c r="H107" s="9" t="s">
        <v>16</v>
      </c>
      <c r="I107" s="4">
        <v>1</v>
      </c>
      <c r="J10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7" s="4" t="str">
        <f t="shared" si="3"/>
        <v/>
      </c>
      <c r="M107" t="str">
        <v>rip</v>
      </c>
      <c r="N107" s="4" cm="1">
        <f t="array" ref="N107">SUM(--(_xlfn.TEXTSPLIT($J$2,, " ") = M107))</f>
        <v>14</v>
      </c>
      <c r="O107">
        <v>56</v>
      </c>
      <c r="P107">
        <v>0</v>
      </c>
      <c r="Q107">
        <v>56</v>
      </c>
      <c r="R107" s="4"/>
      <c r="S107" s="10"/>
    </row>
    <row r="108" spans="1:19" x14ac:dyDescent="0.2">
      <c r="A108" s="4">
        <v>1</v>
      </c>
      <c r="B108" s="5">
        <v>45912</v>
      </c>
      <c r="C108" s="6">
        <v>0.22361111111111112</v>
      </c>
      <c r="D108" s="7">
        <v>322</v>
      </c>
      <c r="E108" s="4" t="s">
        <v>14</v>
      </c>
      <c r="F108" s="4">
        <v>1</v>
      </c>
      <c r="G108" s="8" t="s">
        <v>15</v>
      </c>
      <c r="H108" s="9" t="s">
        <v>16</v>
      </c>
      <c r="I108" s="4">
        <v>1</v>
      </c>
      <c r="J10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8" s="4" t="str">
        <f t="shared" si="3"/>
        <v/>
      </c>
      <c r="M108" t="str">
        <v>outta</v>
      </c>
      <c r="N108" s="4" cm="1">
        <f t="array" ref="N108">SUM(--(_xlfn.TEXTSPLIT($J$2,, " ") = M108))</f>
        <v>14</v>
      </c>
      <c r="O108">
        <v>56</v>
      </c>
      <c r="P108">
        <v>0</v>
      </c>
      <c r="Q108">
        <v>56</v>
      </c>
      <c r="R108" s="4"/>
      <c r="S108" s="10"/>
    </row>
    <row r="109" spans="1:19" x14ac:dyDescent="0.2">
      <c r="A109" s="4">
        <v>1</v>
      </c>
      <c r="B109" s="5">
        <v>45912</v>
      </c>
      <c r="C109" s="6">
        <v>0.22361111111111112</v>
      </c>
      <c r="D109" s="7">
        <v>322</v>
      </c>
      <c r="E109" s="4" t="s">
        <v>14</v>
      </c>
      <c r="F109" s="4">
        <v>1</v>
      </c>
      <c r="G109" s="8" t="s">
        <v>15</v>
      </c>
      <c r="H109" s="9" t="s">
        <v>16</v>
      </c>
      <c r="I109" s="4">
        <v>1</v>
      </c>
      <c r="J10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09" s="4" t="str">
        <f t="shared" si="3"/>
        <v/>
      </c>
      <c r="M109" t="str">
        <v xml:space="preserve">seat
</v>
      </c>
      <c r="N109" s="4" cm="1">
        <f t="array" ref="N109">SUM(--(_xlfn.TEXTSPLIT($J$2,, " ") = M109))</f>
        <v>14</v>
      </c>
      <c r="O109">
        <v>56</v>
      </c>
      <c r="P109">
        <v>0</v>
      </c>
      <c r="Q109">
        <v>56</v>
      </c>
      <c r="R109" s="4"/>
      <c r="S109" s="10"/>
    </row>
    <row r="110" spans="1:19" x14ac:dyDescent="0.2">
      <c r="A110" s="4">
        <v>1</v>
      </c>
      <c r="B110" s="5">
        <v>45912</v>
      </c>
      <c r="C110" s="6">
        <v>0.22361111111111112</v>
      </c>
      <c r="D110" s="7">
        <v>322</v>
      </c>
      <c r="E110" s="4" t="s">
        <v>14</v>
      </c>
      <c r="F110" s="4">
        <v>1</v>
      </c>
      <c r="G110" s="8" t="s">
        <v>15</v>
      </c>
      <c r="H110" s="9" t="s">
        <v>16</v>
      </c>
      <c r="I110" s="4">
        <v>1</v>
      </c>
      <c r="J11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0" s="4" t="str">
        <f t="shared" si="3"/>
        <v/>
      </c>
      <c r="M110" t="str">
        <v>see,</v>
      </c>
      <c r="N110" s="4" cm="1">
        <f t="array" ref="N110">SUM(--(_xlfn.TEXTSPLIT($J$2,, " ") = M110))</f>
        <v>14</v>
      </c>
      <c r="O110">
        <v>56</v>
      </c>
      <c r="P110">
        <v>0</v>
      </c>
      <c r="Q110">
        <v>56</v>
      </c>
      <c r="R110" s="4"/>
      <c r="S110" s="10"/>
    </row>
    <row r="111" spans="1:19" x14ac:dyDescent="0.2">
      <c r="A111" s="4">
        <v>1</v>
      </c>
      <c r="B111" s="5">
        <v>45912</v>
      </c>
      <c r="C111" s="6">
        <v>0.22361111111111112</v>
      </c>
      <c r="D111" s="7">
        <v>322</v>
      </c>
      <c r="E111" s="4" t="s">
        <v>14</v>
      </c>
      <c r="F111" s="4">
        <v>1</v>
      </c>
      <c r="G111" s="8" t="s">
        <v>15</v>
      </c>
      <c r="H111" s="9" t="s">
        <v>16</v>
      </c>
      <c r="I111" s="4">
        <v>1</v>
      </c>
      <c r="J11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1" s="4" t="str">
        <f t="shared" si="3"/>
        <v/>
      </c>
      <c r="M111" t="str">
        <v>no</v>
      </c>
      <c r="N111" s="4" cm="1">
        <f t="array" ref="N111">SUM(--(_xlfn.TEXTSPLIT($J$2,, " ") = M111))</f>
        <v>14</v>
      </c>
      <c r="O111">
        <v>56</v>
      </c>
      <c r="P111">
        <v>0</v>
      </c>
      <c r="Q111">
        <v>56</v>
      </c>
      <c r="R111" s="4"/>
      <c r="S111" s="10"/>
    </row>
    <row r="112" spans="1:19" x14ac:dyDescent="0.2">
      <c r="A112" s="4">
        <v>1</v>
      </c>
      <c r="B112" s="5">
        <v>45912</v>
      </c>
      <c r="C112" s="6">
        <v>0.22361111111111112</v>
      </c>
      <c r="D112" s="7">
        <v>322</v>
      </c>
      <c r="E112" s="4" t="s">
        <v>14</v>
      </c>
      <c r="F112" s="4">
        <v>1</v>
      </c>
      <c r="G112" s="8" t="s">
        <v>15</v>
      </c>
      <c r="H112" s="9" t="s">
        <v>16</v>
      </c>
      <c r="I112" s="4">
        <v>1</v>
      </c>
      <c r="J11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2" s="4" t="str">
        <f t="shared" si="3"/>
        <v/>
      </c>
      <c r="M112" t="str">
        <v>entrance,</v>
      </c>
      <c r="N112" s="4" cm="1">
        <f t="array" ref="N112">SUM(--(_xlfn.TEXTSPLIT($J$2,, " ") = M112))</f>
        <v>14</v>
      </c>
      <c r="O112">
        <v>56</v>
      </c>
      <c r="P112">
        <v>0</v>
      </c>
      <c r="Q112">
        <v>56</v>
      </c>
      <c r="R112" s="4"/>
      <c r="S112" s="10"/>
    </row>
    <row r="113" spans="1:19" x14ac:dyDescent="0.2">
      <c r="A113" s="4">
        <v>1</v>
      </c>
      <c r="B113" s="5">
        <v>45912</v>
      </c>
      <c r="C113" s="6">
        <v>0.22361111111111112</v>
      </c>
      <c r="D113" s="7">
        <v>322</v>
      </c>
      <c r="E113" s="4" t="s">
        <v>14</v>
      </c>
      <c r="F113" s="4">
        <v>1</v>
      </c>
      <c r="G113" s="8" t="s">
        <v>15</v>
      </c>
      <c r="H113" s="9" t="s">
        <v>16</v>
      </c>
      <c r="I113" s="4">
        <v>1</v>
      </c>
      <c r="J11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3" s="4" t="str">
        <f t="shared" si="3"/>
        <v/>
      </c>
      <c r="M113" t="str">
        <v>there</v>
      </c>
      <c r="N113" s="4" cm="1">
        <f t="array" ref="N113">SUM(--(_xlfn.TEXTSPLIT($J$2,, " ") = M113))</f>
        <v>14</v>
      </c>
      <c r="O113">
        <v>56</v>
      </c>
      <c r="P113">
        <v>0</v>
      </c>
      <c r="Q113">
        <v>56</v>
      </c>
      <c r="R113" s="4"/>
      <c r="S113" s="10"/>
    </row>
    <row r="114" spans="1:19" x14ac:dyDescent="0.2">
      <c r="A114" s="4">
        <v>1</v>
      </c>
      <c r="B114" s="5">
        <v>45912</v>
      </c>
      <c r="C114" s="6">
        <v>0.22361111111111112</v>
      </c>
      <c r="D114" s="7">
        <v>322</v>
      </c>
      <c r="E114" s="4" t="s">
        <v>14</v>
      </c>
      <c r="F114" s="4">
        <v>1</v>
      </c>
      <c r="G114" s="8" t="s">
        <v>15</v>
      </c>
      <c r="H114" s="9" t="s">
        <v>16</v>
      </c>
      <c r="I114" s="4">
        <v>1</v>
      </c>
      <c r="J11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4" s="4" t="str">
        <f t="shared" si="3"/>
        <v/>
      </c>
      <c r="M114" t="str">
        <v>is</v>
      </c>
      <c r="N114" s="4" cm="1">
        <f t="array" ref="N114">SUM(--(_xlfn.TEXTSPLIT($J$2,, " ") = M114))</f>
        <v>84</v>
      </c>
      <c r="O114">
        <v>56</v>
      </c>
      <c r="P114">
        <v>0</v>
      </c>
      <c r="Q114">
        <v>56</v>
      </c>
      <c r="R114" s="4"/>
      <c r="S114" s="10"/>
    </row>
    <row r="115" spans="1:19" x14ac:dyDescent="0.2">
      <c r="A115" s="4">
        <v>1</v>
      </c>
      <c r="B115" s="5">
        <v>45912</v>
      </c>
      <c r="C115" s="6">
        <v>0.22361111111111112</v>
      </c>
      <c r="D115" s="7">
        <v>322</v>
      </c>
      <c r="E115" s="4" t="s">
        <v>14</v>
      </c>
      <c r="F115" s="4">
        <v>1</v>
      </c>
      <c r="G115" s="8" t="s">
        <v>15</v>
      </c>
      <c r="H115" s="9" t="s">
        <v>16</v>
      </c>
      <c r="I115" s="4">
        <v>1</v>
      </c>
      <c r="J11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5" s="4" t="str">
        <f t="shared" si="3"/>
        <v/>
      </c>
      <c r="M115" t="str">
        <v>not</v>
      </c>
      <c r="N115" s="4" cm="1">
        <f t="array" ref="N115">SUM(--(_xlfn.TEXTSPLIT($J$2,, " ") = M115))</f>
        <v>14</v>
      </c>
      <c r="O115">
        <v>56</v>
      </c>
      <c r="P115">
        <v>0</v>
      </c>
      <c r="Q115">
        <v>56</v>
      </c>
      <c r="R115" s="4"/>
      <c r="S115" s="10"/>
    </row>
    <row r="116" spans="1:19" x14ac:dyDescent="0.2">
      <c r="A116" s="4">
        <v>1</v>
      </c>
      <c r="B116" s="5">
        <v>45912</v>
      </c>
      <c r="C116" s="6">
        <v>0.22361111111111112</v>
      </c>
      <c r="D116" s="7">
        <v>322</v>
      </c>
      <c r="E116" s="4" t="s">
        <v>14</v>
      </c>
      <c r="F116" s="4">
        <v>1</v>
      </c>
      <c r="G116" s="8" t="s">
        <v>15</v>
      </c>
      <c r="H116" s="9" t="s">
        <v>16</v>
      </c>
      <c r="I116" s="4">
        <v>1</v>
      </c>
      <c r="J11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6" s="4" t="str">
        <f t="shared" si="3"/>
        <v/>
      </c>
      <c r="M116" t="str">
        <v xml:space="preserve">retreat
</v>
      </c>
      <c r="N116" s="4" cm="1">
        <f t="array" ref="N116">SUM(--(_xlfn.TEXTSPLIT($J$2,, " ") = M116))</f>
        <v>14</v>
      </c>
      <c r="O116">
        <v>56</v>
      </c>
      <c r="P116">
        <v>0</v>
      </c>
      <c r="Q116">
        <v>56</v>
      </c>
      <c r="R116" s="4"/>
      <c r="S116" s="10"/>
    </row>
    <row r="117" spans="1:19" x14ac:dyDescent="0.2">
      <c r="A117" s="4">
        <v>1</v>
      </c>
      <c r="B117" s="5">
        <v>45912</v>
      </c>
      <c r="C117" s="6">
        <v>0.22361111111111112</v>
      </c>
      <c r="D117" s="7">
        <v>322</v>
      </c>
      <c r="E117" s="4" t="s">
        <v>14</v>
      </c>
      <c r="F117" s="4">
        <v>1</v>
      </c>
      <c r="G117" s="8" t="s">
        <v>15</v>
      </c>
      <c r="H117" s="9" t="s">
        <v>16</v>
      </c>
      <c r="I117" s="4">
        <v>1</v>
      </c>
      <c r="J11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7" s="4" t="str">
        <f t="shared" si="3"/>
        <v/>
      </c>
      <c r="M117" t="str">
        <v>I'm</v>
      </c>
      <c r="N117" s="4" cm="1">
        <f t="array" ref="N117">SUM(--(_xlfn.TEXTSPLIT($J$2,, " ") = M117))</f>
        <v>14</v>
      </c>
      <c r="O117">
        <v>56</v>
      </c>
      <c r="P117">
        <v>0</v>
      </c>
      <c r="Q117">
        <v>56</v>
      </c>
      <c r="R117" s="4"/>
      <c r="S117" s="10"/>
    </row>
    <row r="118" spans="1:19" x14ac:dyDescent="0.2">
      <c r="A118" s="4">
        <v>1</v>
      </c>
      <c r="B118" s="5">
        <v>45912</v>
      </c>
      <c r="C118" s="6">
        <v>0.22361111111111112</v>
      </c>
      <c r="D118" s="7">
        <v>322</v>
      </c>
      <c r="E118" s="4" t="s">
        <v>14</v>
      </c>
      <c r="F118" s="4">
        <v>1</v>
      </c>
      <c r="G118" s="8" t="s">
        <v>15</v>
      </c>
      <c r="H118" s="9" t="s">
        <v>16</v>
      </c>
      <c r="I118" s="4">
        <v>1</v>
      </c>
      <c r="J11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8" s="4" t="str">
        <f t="shared" si="3"/>
        <v/>
      </c>
      <c r="M118" t="str">
        <v>wondering</v>
      </c>
      <c r="N118" s="4" cm="1">
        <f t="array" ref="N118">SUM(--(_xlfn.TEXTSPLIT($J$2,, " ") = M118))</f>
        <v>14</v>
      </c>
      <c r="O118">
        <v>56</v>
      </c>
      <c r="P118">
        <v>0</v>
      </c>
      <c r="Q118">
        <v>56</v>
      </c>
      <c r="R118" s="4"/>
      <c r="S118" s="10"/>
    </row>
    <row r="119" spans="1:19" x14ac:dyDescent="0.2">
      <c r="A119" s="4">
        <v>1</v>
      </c>
      <c r="B119" s="5">
        <v>45912</v>
      </c>
      <c r="C119" s="6">
        <v>0.22361111111111112</v>
      </c>
      <c r="D119" s="7">
        <v>322</v>
      </c>
      <c r="E119" s="4" t="s">
        <v>14</v>
      </c>
      <c r="F119" s="4">
        <v>1</v>
      </c>
      <c r="G119" s="8" t="s">
        <v>15</v>
      </c>
      <c r="H119" s="9" t="s">
        <v>16</v>
      </c>
      <c r="I119" s="4">
        <v>1</v>
      </c>
      <c r="J11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19" s="4" t="str">
        <f t="shared" si="3"/>
        <v/>
      </c>
      <c r="M119" t="str">
        <v>what</v>
      </c>
      <c r="N119" s="4" cm="1">
        <f t="array" ref="N119">SUM(--(_xlfn.TEXTSPLIT($J$2,, " ") = M119))</f>
        <v>14</v>
      </c>
      <c r="O119">
        <v>56</v>
      </c>
      <c r="P119">
        <v>0</v>
      </c>
      <c r="Q119">
        <v>56</v>
      </c>
      <c r="R119" s="4"/>
      <c r="S119" s="10"/>
    </row>
    <row r="120" spans="1:19" x14ac:dyDescent="0.2">
      <c r="A120" s="4">
        <v>1</v>
      </c>
      <c r="B120" s="5">
        <v>45912</v>
      </c>
      <c r="C120" s="6">
        <v>0.22361111111111112</v>
      </c>
      <c r="D120" s="7">
        <v>322</v>
      </c>
      <c r="E120" s="4" t="s">
        <v>14</v>
      </c>
      <c r="F120" s="4">
        <v>1</v>
      </c>
      <c r="G120" s="8" t="s">
        <v>15</v>
      </c>
      <c r="H120" s="9" t="s">
        <v>16</v>
      </c>
      <c r="I120" s="4">
        <v>1</v>
      </c>
      <c r="J12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0" s="4" t="str">
        <f t="shared" si="3"/>
        <v/>
      </c>
      <c r="M120" t="str">
        <v>thought</v>
      </c>
      <c r="N120" s="4" cm="1">
        <f t="array" ref="N120">SUM(--(_xlfn.TEXTSPLIT($J$2,, " ") = M120))</f>
        <v>28</v>
      </c>
      <c r="O120">
        <v>56</v>
      </c>
      <c r="P120">
        <v>0</v>
      </c>
      <c r="Q120">
        <v>56</v>
      </c>
      <c r="R120" s="4"/>
      <c r="S120" s="10"/>
    </row>
    <row r="121" spans="1:19" x14ac:dyDescent="0.2">
      <c r="A121" s="4">
        <v>1</v>
      </c>
      <c r="B121" s="5">
        <v>45912</v>
      </c>
      <c r="C121" s="6">
        <v>0.22361111111111112</v>
      </c>
      <c r="D121" s="7">
        <v>322</v>
      </c>
      <c r="E121" s="4" t="s">
        <v>14</v>
      </c>
      <c r="F121" s="4">
        <v>1</v>
      </c>
      <c r="G121" s="8" t="s">
        <v>15</v>
      </c>
      <c r="H121" s="9" t="s">
        <v>16</v>
      </c>
      <c r="I121" s="4">
        <v>1</v>
      </c>
      <c r="J121"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1" s="4" t="str">
        <f t="shared" si="3"/>
        <v/>
      </c>
      <c r="M121" t="str">
        <v>would</v>
      </c>
      <c r="N121" s="4" cm="1">
        <f t="array" ref="N121">SUM(--(_xlfn.TEXTSPLIT($J$2,, " ") = M121))</f>
        <v>28</v>
      </c>
      <c r="O121">
        <v>56</v>
      </c>
      <c r="P121">
        <v>0</v>
      </c>
      <c r="Q121">
        <v>56</v>
      </c>
      <c r="R121" s="4"/>
      <c r="S121" s="10"/>
    </row>
    <row r="122" spans="1:19" x14ac:dyDescent="0.2">
      <c r="A122" s="4">
        <v>1</v>
      </c>
      <c r="B122" s="5">
        <v>45912</v>
      </c>
      <c r="C122" s="6">
        <v>0.22361111111111112</v>
      </c>
      <c r="D122" s="7">
        <v>322</v>
      </c>
      <c r="E122" s="4" t="s">
        <v>14</v>
      </c>
      <c r="F122" s="4">
        <v>1</v>
      </c>
      <c r="G122" s="8" t="s">
        <v>15</v>
      </c>
      <c r="H122" s="9" t="s">
        <v>16</v>
      </c>
      <c r="I122" s="4">
        <v>1</v>
      </c>
      <c r="J122"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2" s="4" t="str">
        <f t="shared" si="3"/>
        <v/>
      </c>
      <c r="M122" t="str">
        <v>happen,</v>
      </c>
      <c r="N122" s="4" cm="1">
        <f t="array" ref="N122">SUM(--(_xlfn.TEXTSPLIT($J$2,, " ") = M122))</f>
        <v>14</v>
      </c>
      <c r="O122">
        <v>56</v>
      </c>
      <c r="P122">
        <v>0</v>
      </c>
      <c r="Q122">
        <v>56</v>
      </c>
      <c r="R122" s="4"/>
      <c r="S122" s="10"/>
    </row>
    <row r="123" spans="1:19" x14ac:dyDescent="0.2">
      <c r="A123" s="4">
        <v>1</v>
      </c>
      <c r="B123" s="5">
        <v>45912</v>
      </c>
      <c r="C123" s="6">
        <v>0.22361111111111112</v>
      </c>
      <c r="D123" s="7">
        <v>322</v>
      </c>
      <c r="E123" s="4" t="s">
        <v>14</v>
      </c>
      <c r="F123" s="4">
        <v>1</v>
      </c>
      <c r="G123" s="8" t="s">
        <v>15</v>
      </c>
      <c r="H123" s="9" t="s">
        <v>16</v>
      </c>
      <c r="I123" s="4">
        <v>1</v>
      </c>
      <c r="J123"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3" s="4" t="str">
        <f t="shared" si="3"/>
        <v/>
      </c>
      <c r="M123" t="str">
        <v>who</v>
      </c>
      <c r="N123" s="4" cm="1">
        <f t="array" ref="N123">SUM(--(_xlfn.TEXTSPLIT($J$2,, " ") = M123))</f>
        <v>14</v>
      </c>
      <c r="O123">
        <v>56</v>
      </c>
      <c r="P123">
        <v>0</v>
      </c>
      <c r="Q123">
        <v>56</v>
      </c>
      <c r="R123" s="4"/>
      <c r="S123" s="10"/>
    </row>
    <row r="124" spans="1:19" x14ac:dyDescent="0.2">
      <c r="A124" s="4">
        <v>1</v>
      </c>
      <c r="B124" s="5">
        <v>45912</v>
      </c>
      <c r="C124" s="6">
        <v>0.22361111111111112</v>
      </c>
      <c r="D124" s="7">
        <v>322</v>
      </c>
      <c r="E124" s="4" t="s">
        <v>14</v>
      </c>
      <c r="F124" s="4">
        <v>1</v>
      </c>
      <c r="G124" s="8" t="s">
        <v>15</v>
      </c>
      <c r="H124" s="9" t="s">
        <v>16</v>
      </c>
      <c r="I124" s="4">
        <v>1</v>
      </c>
      <c r="J124"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4" s="4" t="str">
        <f t="shared" si="3"/>
        <v/>
      </c>
      <c r="M124" t="str">
        <v xml:space="preserve">be
</v>
      </c>
      <c r="N124" s="4" cm="1">
        <f t="array" ref="N124">SUM(--(_xlfn.TEXTSPLIT($J$2,, " ") = M124))</f>
        <v>14</v>
      </c>
      <c r="O124">
        <v>56</v>
      </c>
      <c r="P124">
        <v>0</v>
      </c>
      <c r="Q124">
        <v>56</v>
      </c>
      <c r="R124" s="4"/>
      <c r="S124" s="10"/>
    </row>
    <row r="125" spans="1:19" x14ac:dyDescent="0.2">
      <c r="A125" s="4">
        <v>1</v>
      </c>
      <c r="B125" s="5">
        <v>45912</v>
      </c>
      <c r="C125" s="6">
        <v>0.22361111111111112</v>
      </c>
      <c r="D125" s="7">
        <v>322</v>
      </c>
      <c r="E125" s="4" t="s">
        <v>14</v>
      </c>
      <c r="F125" s="4">
        <v>1</v>
      </c>
      <c r="G125" s="8" t="s">
        <v>15</v>
      </c>
      <c r="H125" s="9" t="s">
        <v>16</v>
      </c>
      <c r="I125" s="4">
        <v>1</v>
      </c>
      <c r="J125"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5" s="4" t="str">
        <f t="shared" si="3"/>
        <v/>
      </c>
      <c r="M125" t="str">
        <v>this</v>
      </c>
      <c r="N125" s="4" cm="1">
        <f t="array" ref="N125">SUM(--(_xlfn.TEXTSPLIT($J$2,, " ") = M125))</f>
        <v>98</v>
      </c>
      <c r="O125">
        <v>56</v>
      </c>
      <c r="P125">
        <v>0</v>
      </c>
      <c r="Q125">
        <v>56</v>
      </c>
      <c r="R125" s="4"/>
      <c r="S125" s="10"/>
    </row>
    <row r="126" spans="1:19" x14ac:dyDescent="0.2">
      <c r="A126" s="4">
        <v>1</v>
      </c>
      <c r="B126" s="5">
        <v>45912</v>
      </c>
      <c r="C126" s="6">
        <v>0.22361111111111112</v>
      </c>
      <c r="D126" s="7">
        <v>322</v>
      </c>
      <c r="E126" s="4" t="s">
        <v>14</v>
      </c>
      <c r="F126" s="4">
        <v>1</v>
      </c>
      <c r="G126" s="8" t="s">
        <v>15</v>
      </c>
      <c r="H126" s="9" t="s">
        <v>16</v>
      </c>
      <c r="I126" s="4">
        <v>1</v>
      </c>
      <c r="J126"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6" s="4" t="str">
        <f t="shared" si="3"/>
        <v/>
      </c>
      <c r="M126" t="str">
        <v>sideswipe</v>
      </c>
      <c r="N126" s="4" cm="1">
        <f t="array" ref="N126">SUM(--(_xlfn.TEXTSPLIT($J$2,, " ") = M126))</f>
        <v>14</v>
      </c>
      <c r="O126">
        <v>56</v>
      </c>
      <c r="P126">
        <v>0</v>
      </c>
      <c r="Q126">
        <v>56</v>
      </c>
      <c r="R126" s="4"/>
      <c r="S126" s="10"/>
    </row>
    <row r="127" spans="1:19" x14ac:dyDescent="0.2">
      <c r="A127" s="4">
        <v>1</v>
      </c>
      <c r="B127" s="5">
        <v>45912</v>
      </c>
      <c r="C127" s="6">
        <v>0.22361111111111112</v>
      </c>
      <c r="D127" s="7">
        <v>322</v>
      </c>
      <c r="E127" s="4" t="s">
        <v>14</v>
      </c>
      <c r="F127" s="4">
        <v>1</v>
      </c>
      <c r="G127" s="8" t="s">
        <v>15</v>
      </c>
      <c r="H127" s="9" t="s">
        <v>16</v>
      </c>
      <c r="I127" s="4">
        <v>1</v>
      </c>
      <c r="J127"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7" s="4" t="str">
        <f t="shared" si="3"/>
        <v/>
      </c>
      <c r="M127" t="str">
        <v>or</v>
      </c>
      <c r="N127" s="4" cm="1">
        <f t="array" ref="N127">SUM(--(_xlfn.TEXTSPLIT($J$2,, " ") = M127))</f>
        <v>14</v>
      </c>
      <c r="O127">
        <v>56</v>
      </c>
      <c r="P127">
        <v>0</v>
      </c>
      <c r="Q127">
        <v>56</v>
      </c>
      <c r="R127" s="4"/>
      <c r="S127" s="10"/>
    </row>
    <row r="128" spans="1:19" x14ac:dyDescent="0.2">
      <c r="A128" s="4">
        <v>1</v>
      </c>
      <c r="B128" s="5">
        <v>45912</v>
      </c>
      <c r="C128" s="6">
        <v>0.22361111111111112</v>
      </c>
      <c r="D128" s="7">
        <v>322</v>
      </c>
      <c r="E128" s="4" t="s">
        <v>14</v>
      </c>
      <c r="F128" s="4">
        <v>1</v>
      </c>
      <c r="G128" s="8" t="s">
        <v>15</v>
      </c>
      <c r="H128" s="9" t="s">
        <v>16</v>
      </c>
      <c r="I128" s="4">
        <v>1</v>
      </c>
      <c r="J128"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8" s="4" t="str">
        <f t="shared" si="3"/>
        <v/>
      </c>
      <c r="M128" t="str">
        <v>did</v>
      </c>
      <c r="N128" s="4" cm="1">
        <f t="array" ref="N128">SUM(--(_xlfn.TEXTSPLIT($J$2,, " ") = M128))</f>
        <v>14</v>
      </c>
      <c r="O128">
        <v>56</v>
      </c>
      <c r="P128">
        <v>0</v>
      </c>
      <c r="Q128">
        <v>56</v>
      </c>
      <c r="R128" s="4"/>
      <c r="S128" s="10"/>
    </row>
    <row r="129" spans="1:19" x14ac:dyDescent="0.2">
      <c r="A129" s="4">
        <v>1</v>
      </c>
      <c r="B129" s="5">
        <v>45912</v>
      </c>
      <c r="C129" s="6">
        <v>0.22361111111111112</v>
      </c>
      <c r="D129" s="7">
        <v>322</v>
      </c>
      <c r="E129" s="4" t="s">
        <v>14</v>
      </c>
      <c r="F129" s="4">
        <v>1</v>
      </c>
      <c r="G129" s="8" t="s">
        <v>15</v>
      </c>
      <c r="H129" s="9" t="s">
        <v>16</v>
      </c>
      <c r="I129" s="4">
        <v>1</v>
      </c>
      <c r="J129"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29" s="4" t="str">
        <f t="shared" si="3"/>
        <v/>
      </c>
      <c r="M129" t="str">
        <v>picture</v>
      </c>
      <c r="N129" s="4" cm="1">
        <f t="array" ref="N129">SUM(--(_xlfn.TEXTSPLIT($J$2,, " ") = M129))</f>
        <v>14</v>
      </c>
      <c r="O129">
        <v>56</v>
      </c>
      <c r="P129">
        <v>0</v>
      </c>
      <c r="Q129">
        <v>56</v>
      </c>
      <c r="R129" s="4"/>
      <c r="S129" s="10"/>
    </row>
    <row r="130" spans="1:19" x14ac:dyDescent="0.2">
      <c r="A130" s="4">
        <v>1</v>
      </c>
      <c r="B130" s="5">
        <v>45912</v>
      </c>
      <c r="C130" s="6">
        <v>0.22361111111111112</v>
      </c>
      <c r="D130" s="7">
        <v>322</v>
      </c>
      <c r="E130" s="4" t="s">
        <v>14</v>
      </c>
      <c r="F130" s="4">
        <v>1</v>
      </c>
      <c r="G130" s="8" t="s">
        <v>15</v>
      </c>
      <c r="H130" s="9" t="s">
        <v>16</v>
      </c>
      <c r="I130" s="4">
        <v>1</v>
      </c>
      <c r="J130" s="4" t="str">
        <f t="shared" si="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0" s="4" t="str">
        <f t="shared" si="3"/>
        <v/>
      </c>
      <c r="M130" t="str">
        <v xml:space="preserve">dream?
</v>
      </c>
      <c r="N130" s="4" cm="1">
        <f t="array" ref="N130">SUM(--(_xlfn.TEXTSPLIT($J$2,, " ") = M130))</f>
        <v>14</v>
      </c>
      <c r="O130">
        <v>56</v>
      </c>
      <c r="P130">
        <v>0</v>
      </c>
      <c r="Q130">
        <v>56</v>
      </c>
      <c r="R130" s="4"/>
      <c r="S130" s="10"/>
    </row>
    <row r="131" spans="1:19" x14ac:dyDescent="0.2">
      <c r="A131" s="4">
        <v>1</v>
      </c>
      <c r="B131" s="5">
        <v>45912</v>
      </c>
      <c r="C131" s="6">
        <v>0.22361111111111112</v>
      </c>
      <c r="D131" s="7">
        <v>322</v>
      </c>
      <c r="E131" s="4" t="s">
        <v>14</v>
      </c>
      <c r="F131" s="4">
        <v>1</v>
      </c>
      <c r="G131" s="8" t="s">
        <v>15</v>
      </c>
      <c r="H131" s="9" t="s">
        <v>16</v>
      </c>
      <c r="I131" s="4">
        <v>1</v>
      </c>
      <c r="J131" s="4" t="str">
        <f t="shared" ref="J131:J194" si="4">_xlfn.TEXTJOIN(" ", TRUE, H131:H144)</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1" s="4" t="str">
        <f t="shared" si="3"/>
        <v/>
      </c>
      <c r="M131" t="str">
        <v>Buckle</v>
      </c>
      <c r="N131" s="4" cm="1">
        <f t="array" ref="N131">SUM(--(_xlfn.TEXTSPLIT($J$2,, " ") = M131))</f>
        <v>14</v>
      </c>
      <c r="O131">
        <v>56</v>
      </c>
      <c r="P131">
        <v>0</v>
      </c>
      <c r="Q131">
        <v>56</v>
      </c>
      <c r="R131" s="4"/>
      <c r="S131" s="10"/>
    </row>
    <row r="132" spans="1:19" x14ac:dyDescent="0.2">
      <c r="A132" s="4">
        <v>1</v>
      </c>
      <c r="B132" s="5">
        <v>45912</v>
      </c>
      <c r="C132" s="6">
        <v>0.22361111111111112</v>
      </c>
      <c r="D132" s="7">
        <v>322</v>
      </c>
      <c r="E132" s="4" t="s">
        <v>14</v>
      </c>
      <c r="F132" s="4">
        <v>1</v>
      </c>
      <c r="G132" s="8" t="s">
        <v>15</v>
      </c>
      <c r="H132" s="9" t="s">
        <v>16</v>
      </c>
      <c r="I132" s="4">
        <v>1</v>
      </c>
      <c r="J13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2" s="4" t="str">
        <f t="shared" ref="L132:L195" si="5">_xlfn.REGEXREPLACE(K132, "[^A-Za-z ]", " ")</f>
        <v/>
      </c>
      <c r="M132" t="str">
        <v>down,</v>
      </c>
      <c r="N132" s="4" cm="1">
        <f t="array" ref="N132">SUM(--(_xlfn.TEXTSPLIT($J$2,, " ") = M132))</f>
        <v>14</v>
      </c>
      <c r="O132">
        <v>56</v>
      </c>
      <c r="P132">
        <v>0</v>
      </c>
      <c r="Q132">
        <v>56</v>
      </c>
      <c r="R132" s="4"/>
      <c r="S132" s="10"/>
    </row>
    <row r="133" spans="1:19" x14ac:dyDescent="0.2">
      <c r="A133" s="4">
        <v>1</v>
      </c>
      <c r="B133" s="5">
        <v>45912</v>
      </c>
      <c r="C133" s="6">
        <v>0.22361111111111112</v>
      </c>
      <c r="D133" s="7">
        <v>322</v>
      </c>
      <c r="E133" s="4" t="s">
        <v>14</v>
      </c>
      <c r="F133" s="4">
        <v>1</v>
      </c>
      <c r="G133" s="8" t="s">
        <v>15</v>
      </c>
      <c r="H133" s="9" t="s">
        <v>16</v>
      </c>
      <c r="I133" s="4">
        <v>1</v>
      </c>
      <c r="J13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3" s="4" t="str">
        <f t="shared" si="5"/>
        <v/>
      </c>
      <c r="M133" t="str">
        <v>possibly</v>
      </c>
      <c r="N133" s="4" cm="1">
        <f t="array" ref="N133">SUM(--(_xlfn.TEXTSPLIT($J$2,, " ") = M133))</f>
        <v>14</v>
      </c>
      <c r="O133">
        <v>56</v>
      </c>
      <c r="P133">
        <v>0</v>
      </c>
      <c r="Q133">
        <v>56</v>
      </c>
      <c r="R133" s="4"/>
      <c r="S133" s="10"/>
    </row>
    <row r="134" spans="1:19" x14ac:dyDescent="0.2">
      <c r="A134" s="4">
        <v>1</v>
      </c>
      <c r="B134" s="5">
        <v>45912</v>
      </c>
      <c r="C134" s="6">
        <v>0.22361111111111112</v>
      </c>
      <c r="D134" s="7">
        <v>322</v>
      </c>
      <c r="E134" s="4" t="s">
        <v>14</v>
      </c>
      <c r="F134" s="4">
        <v>1</v>
      </c>
      <c r="G134" s="8" t="s">
        <v>15</v>
      </c>
      <c r="H134" s="9" t="s">
        <v>16</v>
      </c>
      <c r="I134" s="4">
        <v>1</v>
      </c>
      <c r="J13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4" s="4" t="str">
        <f t="shared" si="5"/>
        <v/>
      </c>
      <c r="M134" t="str">
        <v xml:space="preserve">sun
</v>
      </c>
      <c r="N134" s="4" cm="1">
        <f t="array" ref="N134">SUM(--(_xlfn.TEXTSPLIT($J$2,, " ") = M134))</f>
        <v>14</v>
      </c>
      <c r="O134">
        <v>56</v>
      </c>
      <c r="P134">
        <v>0</v>
      </c>
      <c r="Q134">
        <v>56</v>
      </c>
      <c r="R134" s="4"/>
      <c r="S134" s="10"/>
    </row>
    <row r="135" spans="1:19" x14ac:dyDescent="0.2">
      <c r="A135" s="4">
        <v>1</v>
      </c>
      <c r="B135" s="5">
        <v>45912</v>
      </c>
      <c r="C135" s="6">
        <v>0.22361111111111112</v>
      </c>
      <c r="D135" s="7">
        <v>322</v>
      </c>
      <c r="E135" s="4" t="s">
        <v>14</v>
      </c>
      <c r="F135" s="4">
        <v>1</v>
      </c>
      <c r="G135" s="8" t="s">
        <v>15</v>
      </c>
      <c r="H135" s="9" t="s">
        <v>16</v>
      </c>
      <c r="I135" s="4">
        <v>1</v>
      </c>
      <c r="J13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5" s="4" t="str">
        <f t="shared" si="5"/>
        <v/>
      </c>
      <c r="M135" t="str">
        <v>smile</v>
      </c>
      <c r="N135" s="4" cm="1">
        <f t="array" ref="N135">SUM(--(_xlfn.TEXTSPLIT($J$2,, " ") = M135))</f>
        <v>28</v>
      </c>
      <c r="O135">
        <v>56</v>
      </c>
      <c r="P135">
        <v>0</v>
      </c>
      <c r="Q135">
        <v>56</v>
      </c>
      <c r="R135" s="4"/>
      <c r="S135" s="10"/>
    </row>
    <row r="136" spans="1:19" x14ac:dyDescent="0.2">
      <c r="A136" s="4">
        <v>1</v>
      </c>
      <c r="B136" s="5">
        <v>45912</v>
      </c>
      <c r="C136" s="6">
        <v>0.22361111111111112</v>
      </c>
      <c r="D136" s="7">
        <v>322</v>
      </c>
      <c r="E136" s="4" t="s">
        <v>14</v>
      </c>
      <c r="F136" s="4">
        <v>1</v>
      </c>
      <c r="G136" s="8" t="s">
        <v>15</v>
      </c>
      <c r="H136" s="9" t="s">
        <v>16</v>
      </c>
      <c r="I136" s="4">
        <v>1</v>
      </c>
      <c r="J13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6" s="4" t="str">
        <f t="shared" si="5"/>
        <v/>
      </c>
      <c r="M136" t="str">
        <v>wraps</v>
      </c>
      <c r="N136" s="4" cm="1">
        <f t="array" ref="N136">SUM(--(_xlfn.TEXTSPLIT($J$2,, " ") = M136))</f>
        <v>28</v>
      </c>
      <c r="O136">
        <v>56</v>
      </c>
      <c r="P136">
        <v>0</v>
      </c>
      <c r="Q136">
        <v>56</v>
      </c>
      <c r="R136" s="4"/>
      <c r="S136" s="10"/>
    </row>
    <row r="137" spans="1:19" x14ac:dyDescent="0.2">
      <c r="A137" s="4">
        <v>1</v>
      </c>
      <c r="B137" s="5">
        <v>45912</v>
      </c>
      <c r="C137" s="6">
        <v>0.22361111111111112</v>
      </c>
      <c r="D137" s="7">
        <v>322</v>
      </c>
      <c r="E137" s="4" t="s">
        <v>14</v>
      </c>
      <c r="F137" s="4">
        <v>1</v>
      </c>
      <c r="G137" s="8" t="s">
        <v>15</v>
      </c>
      <c r="H137" s="9" t="s">
        <v>16</v>
      </c>
      <c r="I137" s="4">
        <v>1</v>
      </c>
      <c r="J13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7" s="4" t="str">
        <f t="shared" si="5"/>
        <v/>
      </c>
      <c r="M137" t="str">
        <v>head,</v>
      </c>
      <c r="N137" s="4" cm="1">
        <f t="array" ref="N137">SUM(--(_xlfn.TEXTSPLIT($J$2,, " ") = M137))</f>
        <v>28</v>
      </c>
      <c r="O137">
        <v>56</v>
      </c>
      <c r="P137">
        <v>0</v>
      </c>
      <c r="Q137">
        <v>56</v>
      </c>
      <c r="R137" s="4"/>
      <c r="S137" s="10"/>
    </row>
    <row r="138" spans="1:19" x14ac:dyDescent="0.2">
      <c r="A138" s="4">
        <v>1</v>
      </c>
      <c r="B138" s="5">
        <v>45912</v>
      </c>
      <c r="C138" s="6">
        <v>0.22361111111111112</v>
      </c>
      <c r="D138" s="7">
        <v>322</v>
      </c>
      <c r="E138" s="4" t="s">
        <v>14</v>
      </c>
      <c r="F138" s="4">
        <v>1</v>
      </c>
      <c r="G138" s="8" t="s">
        <v>15</v>
      </c>
      <c r="H138" s="9" t="s">
        <v>16</v>
      </c>
      <c r="I138" s="4">
        <v>1</v>
      </c>
      <c r="J13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8" s="4" t="str">
        <f t="shared" si="5"/>
        <v/>
      </c>
      <c r="M138" t="str">
        <v>splitting</v>
      </c>
      <c r="N138" s="4" cm="1">
        <f t="array" ref="N138">SUM(--(_xlfn.TEXTSPLIT($J$2,, " ") = M138))</f>
        <v>28</v>
      </c>
      <c r="O138">
        <v>56</v>
      </c>
      <c r="P138">
        <v>0</v>
      </c>
      <c r="Q138">
        <v>56</v>
      </c>
      <c r="R138" s="4"/>
      <c r="S138" s="10"/>
    </row>
    <row r="139" spans="1:19" x14ac:dyDescent="0.2">
      <c r="A139" s="4">
        <v>1</v>
      </c>
      <c r="B139" s="5">
        <v>45912</v>
      </c>
      <c r="C139" s="6">
        <v>0.22361111111111112</v>
      </c>
      <c r="D139" s="7">
        <v>322</v>
      </c>
      <c r="E139" s="4" t="s">
        <v>14</v>
      </c>
      <c r="F139" s="4">
        <v>1</v>
      </c>
      <c r="G139" s="8" t="s">
        <v>15</v>
      </c>
      <c r="H139" s="9" t="s">
        <v>16</v>
      </c>
      <c r="I139" s="4">
        <v>1</v>
      </c>
      <c r="J13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39" s="4" t="str">
        <f t="shared" si="5"/>
        <v/>
      </c>
      <c r="M139" t="str">
        <v xml:space="preserve">in
</v>
      </c>
      <c r="N139" s="4" cm="1">
        <f t="array" ref="N139">SUM(--(_xlfn.TEXTSPLIT($J$2,, " ") = M139))</f>
        <v>28</v>
      </c>
      <c r="O139">
        <v>56</v>
      </c>
      <c r="P139">
        <v>0</v>
      </c>
      <c r="Q139">
        <v>56</v>
      </c>
      <c r="R139" s="4"/>
      <c r="S139" s="10"/>
    </row>
    <row r="140" spans="1:19" x14ac:dyDescent="0.2">
      <c r="A140" s="4">
        <v>1</v>
      </c>
      <c r="B140" s="5">
        <v>45912</v>
      </c>
      <c r="C140" s="6">
        <v>0.22361111111111112</v>
      </c>
      <c r="D140" s="7">
        <v>322</v>
      </c>
      <c r="E140" s="4" t="s">
        <v>14</v>
      </c>
      <c r="F140" s="4">
        <v>1</v>
      </c>
      <c r="G140" s="8" t="s">
        <v>15</v>
      </c>
      <c r="H140" s="9" t="s">
        <v>16</v>
      </c>
      <c r="I140" s="4">
        <v>1</v>
      </c>
      <c r="J14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0" s="4" t="str">
        <f t="shared" si="5"/>
        <v/>
      </c>
      <c r="M140" t="str">
        <v>Two,</v>
      </c>
      <c r="N140" s="4" cm="1">
        <f t="array" ref="N140">SUM(--(_xlfn.TEXTSPLIT($J$2,, " ") = M140))</f>
        <v>84</v>
      </c>
      <c r="O140">
        <v>56</v>
      </c>
      <c r="P140">
        <v>0</v>
      </c>
      <c r="Q140">
        <v>56</v>
      </c>
      <c r="R140" s="4"/>
      <c r="S140" s="10"/>
    </row>
    <row r="141" spans="1:19" x14ac:dyDescent="0.2">
      <c r="A141" s="4">
        <v>1</v>
      </c>
      <c r="B141" s="5">
        <v>45912</v>
      </c>
      <c r="C141" s="6">
        <v>0.22361111111111112</v>
      </c>
      <c r="D141" s="7">
        <v>322</v>
      </c>
      <c r="E141" s="4" t="s">
        <v>14</v>
      </c>
      <c r="F141" s="4">
        <v>1</v>
      </c>
      <c r="G141" s="8" t="s">
        <v>15</v>
      </c>
      <c r="H141" s="9" t="s">
        <v>16</v>
      </c>
      <c r="I141" s="4">
        <v>1</v>
      </c>
      <c r="J14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1" s="4" t="str">
        <f t="shared" si="5"/>
        <v/>
      </c>
      <c r="M141" t="str">
        <v xml:space="preserve">two
</v>
      </c>
      <c r="N141" s="4" cm="1">
        <f t="array" ref="N141">SUM(--(_xlfn.TEXTSPLIT($J$2,, " ") = M141))</f>
        <v>28</v>
      </c>
      <c r="O141">
        <v>56</v>
      </c>
      <c r="P141">
        <v>0</v>
      </c>
      <c r="Q141">
        <v>56</v>
      </c>
      <c r="R141" s="4"/>
      <c r="S141" s="10"/>
    </row>
    <row r="142" spans="1:19" x14ac:dyDescent="0.2">
      <c r="A142" s="4">
        <v>1</v>
      </c>
      <c r="B142" s="5">
        <v>45912</v>
      </c>
      <c r="C142" s="6">
        <v>0.22361111111111112</v>
      </c>
      <c r="D142" s="7">
        <v>322</v>
      </c>
      <c r="E142" s="4" t="s">
        <v>14</v>
      </c>
      <c r="F142" s="4">
        <v>1</v>
      </c>
      <c r="G142" s="8" t="s">
        <v>15</v>
      </c>
      <c r="H142" s="9" t="s">
        <v>16</v>
      </c>
      <c r="I142" s="4">
        <v>1</v>
      </c>
      <c r="J14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2" s="4" t="str">
        <f t="shared" si="5"/>
        <v/>
      </c>
      <c r="M142" t="str">
        <v>don't</v>
      </c>
      <c r="N142" s="4" cm="1">
        <f t="array" ref="N142">SUM(--(_xlfn.TEXTSPLIT($J$2,, " ") = M142))</f>
        <v>28</v>
      </c>
      <c r="O142">
        <v>56</v>
      </c>
      <c r="P142">
        <v>0</v>
      </c>
      <c r="Q142">
        <v>56</v>
      </c>
      <c r="R142" s="4"/>
      <c r="S142" s="10"/>
    </row>
    <row r="143" spans="1:19" x14ac:dyDescent="0.2">
      <c r="A143" s="4">
        <v>1</v>
      </c>
      <c r="B143" s="5">
        <v>45912</v>
      </c>
      <c r="C143" s="6">
        <v>0.22361111111111112</v>
      </c>
      <c r="D143" s="7">
        <v>322</v>
      </c>
      <c r="E143" s="4" t="s">
        <v>14</v>
      </c>
      <c r="F143" s="4">
        <v>1</v>
      </c>
      <c r="G143" s="8" t="s">
        <v>15</v>
      </c>
      <c r="H143" s="9" t="s">
        <v>16</v>
      </c>
      <c r="I143" s="4">
        <v>1</v>
      </c>
      <c r="J14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3" s="4" t="str">
        <f t="shared" si="5"/>
        <v/>
      </c>
      <c r="M143" t="str">
        <v>have</v>
      </c>
      <c r="N143" s="4" cm="1">
        <f t="array" ref="N143">SUM(--(_xlfn.TEXTSPLIT($J$2,, " ") = M143))</f>
        <v>28</v>
      </c>
      <c r="O143">
        <v>56</v>
      </c>
      <c r="P143">
        <v>0</v>
      </c>
      <c r="Q143">
        <v>56</v>
      </c>
      <c r="R143" s="4"/>
      <c r="S143" s="10"/>
    </row>
    <row r="144" spans="1:19" x14ac:dyDescent="0.2">
      <c r="A144" s="4">
        <v>1</v>
      </c>
      <c r="B144" s="5">
        <v>45912</v>
      </c>
      <c r="C144" s="6">
        <v>0.22361111111111112</v>
      </c>
      <c r="D144" s="7">
        <v>322</v>
      </c>
      <c r="E144" s="4" t="s">
        <v>14</v>
      </c>
      <c r="F144" s="4">
        <v>1</v>
      </c>
      <c r="G144" s="8" t="s">
        <v>15</v>
      </c>
      <c r="H144" s="9" t="s">
        <v>16</v>
      </c>
      <c r="I144" s="4">
        <v>1</v>
      </c>
      <c r="J14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4" s="4" t="str">
        <f t="shared" si="5"/>
        <v/>
      </c>
      <c r="M144" t="str">
        <v>clue</v>
      </c>
      <c r="N144" s="4" cm="1">
        <f t="array" ref="N144">SUM(--(_xlfn.TEXTSPLIT($J$2,, " ") = M144))</f>
        <v>28</v>
      </c>
      <c r="O144">
        <v>56</v>
      </c>
      <c r="P144">
        <v>0</v>
      </c>
      <c r="Q144">
        <v>56</v>
      </c>
      <c r="R144" s="4"/>
      <c r="S144" s="10"/>
    </row>
    <row r="145" spans="1:19" x14ac:dyDescent="0.2">
      <c r="A145" s="4">
        <v>1</v>
      </c>
      <c r="B145" s="5">
        <v>45912</v>
      </c>
      <c r="C145" s="6">
        <v>0.22361111111111112</v>
      </c>
      <c r="D145" s="7">
        <v>322</v>
      </c>
      <c r="E145" s="4" t="s">
        <v>14</v>
      </c>
      <c r="F145" s="4">
        <v>1</v>
      </c>
      <c r="G145" s="8" t="s">
        <v>15</v>
      </c>
      <c r="H145" s="9" t="s">
        <v>16</v>
      </c>
      <c r="I145" s="4">
        <v>1</v>
      </c>
      <c r="J14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5" s="4" t="str">
        <f t="shared" si="5"/>
        <v/>
      </c>
      <c r="M145" t="str">
        <v>how</v>
      </c>
      <c r="N145" s="4" cm="1">
        <f t="array" ref="N145">SUM(--(_xlfn.TEXTSPLIT($J$2,, " ") = M145))</f>
        <v>28</v>
      </c>
      <c r="O145">
        <v>56</v>
      </c>
      <c r="P145">
        <v>0</v>
      </c>
      <c r="Q145">
        <v>56</v>
      </c>
      <c r="R145" s="4"/>
      <c r="S145" s="10"/>
    </row>
    <row r="146" spans="1:19" x14ac:dyDescent="0.2">
      <c r="A146" s="4">
        <v>1</v>
      </c>
      <c r="B146" s="5">
        <v>45912</v>
      </c>
      <c r="C146" s="6">
        <v>0.22361111111111112</v>
      </c>
      <c r="D146" s="7">
        <v>322</v>
      </c>
      <c r="E146" s="4" t="s">
        <v>14</v>
      </c>
      <c r="F146" s="4">
        <v>1</v>
      </c>
      <c r="G146" s="8" t="s">
        <v>15</v>
      </c>
      <c r="H146" s="9" t="s">
        <v>16</v>
      </c>
      <c r="I146" s="4">
        <v>1</v>
      </c>
      <c r="J14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6" s="4" t="str">
        <f t="shared" si="5"/>
        <v/>
      </c>
      <c r="M146" t="str">
        <v>keep</v>
      </c>
      <c r="N146" s="4" cm="1">
        <f t="array" ref="N146">SUM(--(_xlfn.TEXTSPLIT($J$2,, " ") = M146))</f>
        <v>28</v>
      </c>
      <c r="O146">
        <v>56</v>
      </c>
      <c r="P146">
        <v>0</v>
      </c>
      <c r="Q146">
        <v>56</v>
      </c>
      <c r="R146" s="4"/>
      <c r="S146" s="10"/>
    </row>
    <row r="147" spans="1:19" x14ac:dyDescent="0.2">
      <c r="A147" s="4">
        <v>1</v>
      </c>
      <c r="B147" s="5">
        <v>45912</v>
      </c>
      <c r="C147" s="6">
        <v>0.22361111111111112</v>
      </c>
      <c r="D147" s="7">
        <v>322</v>
      </c>
      <c r="E147" s="4" t="s">
        <v>14</v>
      </c>
      <c r="F147" s="4">
        <v>1</v>
      </c>
      <c r="G147" s="8" t="s">
        <v>15</v>
      </c>
      <c r="H147" s="9" t="s">
        <v>16</v>
      </c>
      <c r="I147" s="4">
        <v>1</v>
      </c>
      <c r="J14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7" s="4" t="str">
        <f t="shared" si="5"/>
        <v/>
      </c>
      <c r="M147" t="str">
        <v>top</v>
      </c>
      <c r="N147" s="4" cm="1">
        <f t="array" ref="N147">SUM(--(_xlfn.TEXTSPLIT($J$2,, " ") = M147))</f>
        <v>28</v>
      </c>
      <c r="O147">
        <v>56</v>
      </c>
      <c r="P147">
        <v>0</v>
      </c>
      <c r="Q147">
        <v>56</v>
      </c>
      <c r="R147" s="4"/>
      <c r="S147" s="10"/>
    </row>
    <row r="148" spans="1:19" x14ac:dyDescent="0.2">
      <c r="A148" s="4">
        <v>1</v>
      </c>
      <c r="B148" s="5">
        <v>45912</v>
      </c>
      <c r="C148" s="6">
        <v>0.22361111111111112</v>
      </c>
      <c r="D148" s="7">
        <v>322</v>
      </c>
      <c r="E148" s="4" t="s">
        <v>14</v>
      </c>
      <c r="F148" s="4">
        <v>1</v>
      </c>
      <c r="G148" s="8" t="s">
        <v>15</v>
      </c>
      <c r="H148" s="9" t="s">
        <v>16</v>
      </c>
      <c r="I148" s="4">
        <v>1</v>
      </c>
      <c r="J14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8" s="4" t="str">
        <f t="shared" si="5"/>
        <v/>
      </c>
      <c r="M148" t="str">
        <v xml:space="preserve">half
</v>
      </c>
      <c r="N148" s="4" cm="1">
        <f t="array" ref="N148">SUM(--(_xlfn.TEXTSPLIT($J$2,, " ") = M148))</f>
        <v>28</v>
      </c>
      <c r="O148">
        <v>56</v>
      </c>
      <c r="P148">
        <v>0</v>
      </c>
      <c r="Q148">
        <v>56</v>
      </c>
      <c r="R148" s="4"/>
      <c r="S148" s="10"/>
    </row>
    <row r="149" spans="1:19" x14ac:dyDescent="0.2">
      <c r="A149" s="4">
        <v>1</v>
      </c>
      <c r="B149" s="5">
        <v>45912</v>
      </c>
      <c r="C149" s="6">
        <v>0.22361111111111112</v>
      </c>
      <c r="D149" s="7">
        <v>322</v>
      </c>
      <c r="E149" s="4" t="s">
        <v>14</v>
      </c>
      <c r="F149" s="4">
        <v>1</v>
      </c>
      <c r="G149" s="8" t="s">
        <v>15</v>
      </c>
      <c r="H149" s="9" t="s">
        <v>16</v>
      </c>
      <c r="I149" s="4">
        <v>1</v>
      </c>
      <c r="J14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49" s="4" t="str">
        <f t="shared" si="5"/>
        <v/>
      </c>
      <c r="M149" t="str">
        <v>Glued,</v>
      </c>
      <c r="N149" s="4" cm="1">
        <f t="array" ref="N149">SUM(--(_xlfn.TEXTSPLIT($J$2,, " ") = M149))</f>
        <v>84</v>
      </c>
      <c r="O149">
        <v>56</v>
      </c>
      <c r="P149">
        <v>0</v>
      </c>
      <c r="Q149">
        <v>56</v>
      </c>
      <c r="R149" s="4"/>
      <c r="S149" s="10"/>
    </row>
    <row r="150" spans="1:19" x14ac:dyDescent="0.2">
      <c r="A150" s="4">
        <v>1</v>
      </c>
      <c r="B150" s="5">
        <v>45912</v>
      </c>
      <c r="C150" s="6">
        <v>0.22361111111111112</v>
      </c>
      <c r="D150" s="7">
        <v>322</v>
      </c>
      <c r="E150" s="4" t="s">
        <v>14</v>
      </c>
      <c r="F150" s="4">
        <v>1</v>
      </c>
      <c r="G150" s="8" t="s">
        <v>15</v>
      </c>
      <c r="H150" s="9" t="s">
        <v>16</v>
      </c>
      <c r="I150" s="4">
        <v>1</v>
      </c>
      <c r="J15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0" s="4" t="str">
        <f t="shared" si="5"/>
        <v/>
      </c>
      <c r="M150" t="str">
        <v xml:space="preserve">glued
</v>
      </c>
      <c r="N150" s="4" cm="1">
        <f t="array" ref="N150">SUM(--(_xlfn.TEXTSPLIT($J$2,, " ") = M150))</f>
        <v>14</v>
      </c>
      <c r="O150">
        <v>56</v>
      </c>
      <c r="P150">
        <v>0</v>
      </c>
      <c r="Q150">
        <v>56</v>
      </c>
      <c r="R150" s="4"/>
      <c r="S150" s="10"/>
    </row>
    <row r="151" spans="1:19" x14ac:dyDescent="0.2">
      <c r="A151" s="4">
        <v>1</v>
      </c>
      <c r="B151" s="5">
        <v>45912</v>
      </c>
      <c r="C151" s="6">
        <v>0.22361111111111112</v>
      </c>
      <c r="D151" s="7">
        <v>322</v>
      </c>
      <c r="E151" s="4" t="s">
        <v>14</v>
      </c>
      <c r="F151" s="4">
        <v>1</v>
      </c>
      <c r="G151" s="8" t="s">
        <v>15</v>
      </c>
      <c r="H151" s="9" t="s">
        <v>16</v>
      </c>
      <c r="I151" s="4">
        <v>1</v>
      </c>
      <c r="J15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1" s="4" t="str">
        <f t="shared" si="5"/>
        <v/>
      </c>
      <c r="M151" t="str">
        <v/>
      </c>
      <c r="N151" s="4" cm="1">
        <f t="array" ref="N151">SUM(--(_xlfn.TEXTSPLIT($J$2,, " ") = M151))</f>
        <v>56</v>
      </c>
      <c r="O151">
        <v>56</v>
      </c>
      <c r="P151">
        <v>0</v>
      </c>
      <c r="Q151">
        <v>56</v>
      </c>
      <c r="R151" s="4"/>
      <c r="S151" s="10"/>
    </row>
    <row r="152" spans="1:19" x14ac:dyDescent="0.2">
      <c r="A152" s="4">
        <v>1</v>
      </c>
      <c r="B152" s="5">
        <v>45912</v>
      </c>
      <c r="C152" s="6">
        <v>0.22361111111111112</v>
      </c>
      <c r="D152" s="7">
        <v>322</v>
      </c>
      <c r="E152" s="4" t="s">
        <v>14</v>
      </c>
      <c r="F152" s="4">
        <v>1</v>
      </c>
      <c r="G152" s="8" t="s">
        <v>15</v>
      </c>
      <c r="H152" s="9" t="s">
        <v>16</v>
      </c>
      <c r="I152" s="4">
        <v>1</v>
      </c>
      <c r="J15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2" s="4" t="str">
        <f t="shared" si="5"/>
        <v/>
      </c>
      <c r="M152" t="str">
        <v xml:space="preserve">glued
</v>
      </c>
      <c r="N152" s="4" cm="1">
        <f t="array" ref="N152">SUM(--(_xlfn.TEXTSPLIT($J$2,, " ") = M152))</f>
        <v>14</v>
      </c>
      <c r="O152">
        <v>56</v>
      </c>
      <c r="P152">
        <v>0</v>
      </c>
      <c r="Q152">
        <v>56</v>
      </c>
      <c r="R152" s="4"/>
      <c r="S152" s="10"/>
    </row>
    <row r="153" spans="1:19" x14ac:dyDescent="0.2">
      <c r="A153" s="4">
        <v>1</v>
      </c>
      <c r="B153" s="5">
        <v>45912</v>
      </c>
      <c r="C153" s="6">
        <v>0.22361111111111112</v>
      </c>
      <c r="D153" s="7">
        <v>322</v>
      </c>
      <c r="E153" s="4" t="s">
        <v>14</v>
      </c>
      <c r="F153" s="4">
        <v>1</v>
      </c>
      <c r="G153" s="8" t="s">
        <v>15</v>
      </c>
      <c r="H153" s="9" t="s">
        <v>16</v>
      </c>
      <c r="I153" s="4">
        <v>1</v>
      </c>
      <c r="J15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3" s="4" t="str">
        <f t="shared" si="5"/>
        <v/>
      </c>
      <c r="M153" t="str">
        <v>are
I</v>
      </c>
      <c r="N153" s="4" cm="1">
        <f t="array" ref="N153">SUM(--(_xlfn.TEXTSPLIT($J$2,, " ") = M153))</f>
        <v>14</v>
      </c>
      <c r="O153">
        <v>56</v>
      </c>
      <c r="P153">
        <v>0</v>
      </c>
      <c r="Q153">
        <v>56</v>
      </c>
      <c r="R153" s="4"/>
      <c r="S153" s="10"/>
    </row>
    <row r="154" spans="1:19" x14ac:dyDescent="0.2">
      <c r="A154" s="4">
        <v>1</v>
      </c>
      <c r="B154" s="5">
        <v>45912</v>
      </c>
      <c r="C154" s="6">
        <v>0.22361111111111112</v>
      </c>
      <c r="D154" s="7">
        <v>322</v>
      </c>
      <c r="E154" s="4" t="s">
        <v>14</v>
      </c>
      <c r="F154" s="4">
        <v>1</v>
      </c>
      <c r="G154" s="8" t="s">
        <v>15</v>
      </c>
      <c r="H154" s="9" t="s">
        <v>16</v>
      </c>
      <c r="I154" s="4">
        <v>1</v>
      </c>
      <c r="J15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4" s="4" t="str">
        <f t="shared" si="5"/>
        <v/>
      </c>
      <c r="M154" t="str">
        <v xml:space="preserve">me
</v>
      </c>
      <c r="N154" s="4" cm="1">
        <f t="array" ref="N154">SUM(--(_xlfn.TEXTSPLIT($J$2,, " ") = M154))</f>
        <v>14</v>
      </c>
      <c r="O154">
        <v>56</v>
      </c>
      <c r="P154">
        <v>0</v>
      </c>
      <c r="Q154">
        <v>56</v>
      </c>
      <c r="R154" s="4"/>
      <c r="S154" s="10"/>
    </row>
    <row r="155" spans="1:19" x14ac:dyDescent="0.2">
      <c r="A155" s="4">
        <v>1</v>
      </c>
      <c r="B155" s="5">
        <v>45912</v>
      </c>
      <c r="C155" s="6">
        <v>0.22361111111111112</v>
      </c>
      <c r="D155" s="7">
        <v>322</v>
      </c>
      <c r="E155" s="4" t="s">
        <v>14</v>
      </c>
      <c r="F155" s="4">
        <v>1</v>
      </c>
      <c r="G155" s="8" t="s">
        <v>15</v>
      </c>
      <c r="H155" s="9" t="s">
        <v>16</v>
      </c>
      <c r="I155" s="4">
        <v>1</v>
      </c>
      <c r="J15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5" s="4" t="str">
        <f t="shared" si="5"/>
        <v/>
      </c>
      <c r="M155" t="str">
        <v>Entertain</v>
      </c>
      <c r="N155" s="4" cm="1">
        <f t="array" ref="N155">SUM(--(_xlfn.TEXTSPLIT($J$2,, " ") = M155))</f>
        <v>140</v>
      </c>
      <c r="O155">
        <v>56</v>
      </c>
      <c r="P155">
        <v>0</v>
      </c>
      <c r="Q155">
        <v>56</v>
      </c>
      <c r="R155" s="4"/>
      <c r="S155" s="10"/>
    </row>
    <row r="156" spans="1:19" x14ac:dyDescent="0.2">
      <c r="A156" s="4">
        <v>1</v>
      </c>
      <c r="B156" s="5">
        <v>45912</v>
      </c>
      <c r="C156" s="6">
        <v>0.22361111111111112</v>
      </c>
      <c r="D156" s="7">
        <v>322</v>
      </c>
      <c r="E156" s="4" t="s">
        <v>14</v>
      </c>
      <c r="F156" s="4">
        <v>1</v>
      </c>
      <c r="G156" s="8" t="s">
        <v>15</v>
      </c>
      <c r="H156" s="9" t="s">
        <v>16</v>
      </c>
      <c r="I156" s="4">
        <v>1</v>
      </c>
      <c r="J15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6" s="4" t="str">
        <f t="shared" si="5"/>
        <v/>
      </c>
      <c r="M156" t="str">
        <v>my,</v>
      </c>
      <c r="N156" s="4" cm="1">
        <f t="array" ref="N156">SUM(--(_xlfn.TEXTSPLIT($J$2,, " ") = M156))</f>
        <v>56</v>
      </c>
      <c r="O156">
        <v>56</v>
      </c>
      <c r="P156">
        <v>0</v>
      </c>
      <c r="Q156">
        <v>56</v>
      </c>
      <c r="R156" s="4"/>
      <c r="S156" s="10"/>
    </row>
    <row r="157" spans="1:19" x14ac:dyDescent="0.2">
      <c r="A157" s="4">
        <v>1</v>
      </c>
      <c r="B157" s="5">
        <v>45912</v>
      </c>
      <c r="C157" s="6">
        <v>0.22361111111111112</v>
      </c>
      <c r="D157" s="7">
        <v>322</v>
      </c>
      <c r="E157" s="4" t="s">
        <v>14</v>
      </c>
      <c r="F157" s="4">
        <v>1</v>
      </c>
      <c r="G157" s="8" t="s">
        <v>15</v>
      </c>
      <c r="H157" s="9" t="s">
        <v>16</v>
      </c>
      <c r="I157" s="4">
        <v>1</v>
      </c>
      <c r="J15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7" s="4" t="str">
        <f t="shared" si="5"/>
        <v/>
      </c>
      <c r="M157" t="str">
        <v xml:space="preserve">my
</v>
      </c>
      <c r="N157" s="4" cm="1">
        <f t="array" ref="N157">SUM(--(_xlfn.TEXTSPLIT($J$2,, " ") = M157))</f>
        <v>42</v>
      </c>
      <c r="O157">
        <v>56</v>
      </c>
      <c r="P157">
        <v>0</v>
      </c>
      <c r="Q157">
        <v>56</v>
      </c>
      <c r="R157" s="4"/>
      <c r="S157" s="10"/>
    </row>
    <row r="158" spans="1:19" x14ac:dyDescent="0.2">
      <c r="A158" s="4">
        <v>1</v>
      </c>
      <c r="B158" s="5">
        <v>45912</v>
      </c>
      <c r="C158" s="6">
        <v>0.22361111111111112</v>
      </c>
      <c r="D158" s="7">
        <v>322</v>
      </c>
      <c r="E158" s="4" t="s">
        <v>14</v>
      </c>
      <c r="F158" s="4">
        <v>1</v>
      </c>
      <c r="G158" s="8" t="s">
        <v>15</v>
      </c>
      <c r="H158" s="9" t="s">
        <v>16</v>
      </c>
      <c r="I158" s="4">
        <v>1</v>
      </c>
      <c r="J15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8" s="4" t="str">
        <f t="shared" si="5"/>
        <v/>
      </c>
      <c r="M158" t="str">
        <v xml:space="preserve">faith
</v>
      </c>
      <c r="N158" s="4" cm="1">
        <f t="array" ref="N158">SUM(--(_xlfn.TEXTSPLIT($J$2,, " ") = M158))</f>
        <v>42</v>
      </c>
      <c r="O158">
        <v>56</v>
      </c>
      <c r="P158">
        <v>0</v>
      </c>
      <c r="Q158">
        <v>56</v>
      </c>
      <c r="R158" s="4"/>
      <c r="S158" s="10"/>
    </row>
    <row r="159" spans="1:19" x14ac:dyDescent="0.2">
      <c r="A159" s="4">
        <v>1</v>
      </c>
      <c r="B159" s="5">
        <v>45912</v>
      </c>
      <c r="C159" s="6">
        <v>0.22361111111111112</v>
      </c>
      <c r="D159" s="7">
        <v>322</v>
      </c>
      <c r="E159" s="4" t="s">
        <v>14</v>
      </c>
      <c r="F159" s="4">
        <v>1</v>
      </c>
      <c r="G159" s="8" t="s">
        <v>15</v>
      </c>
      <c r="H159" s="9" t="s">
        <v>16</v>
      </c>
      <c r="I159" s="4">
        <v>1</v>
      </c>
      <c r="J15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59" s="4" t="str">
        <f t="shared" si="5"/>
        <v/>
      </c>
      <c r="M159" t="str">
        <v>last</v>
      </c>
      <c r="N159" s="4" cm="1">
        <f t="array" ref="N159">SUM(--(_xlfn.TEXTSPLIT($J$2,, " ") = M159))</f>
        <v>56</v>
      </c>
      <c r="O159">
        <v>56</v>
      </c>
      <c r="P159">
        <v>0</v>
      </c>
      <c r="Q159">
        <v>56</v>
      </c>
      <c r="R159" s="4"/>
      <c r="S159" s="10"/>
    </row>
    <row r="160" spans="1:19" x14ac:dyDescent="0.2">
      <c r="A160" s="4">
        <v>1</v>
      </c>
      <c r="B160" s="5">
        <v>45912</v>
      </c>
      <c r="C160" s="6">
        <v>0.22361111111111112</v>
      </c>
      <c r="D160" s="7">
        <v>322</v>
      </c>
      <c r="E160" s="4" t="s">
        <v>14</v>
      </c>
      <c r="F160" s="4">
        <v>1</v>
      </c>
      <c r="G160" s="8" t="s">
        <v>15</v>
      </c>
      <c r="H160" s="9" t="s">
        <v>16</v>
      </c>
      <c r="I160" s="4">
        <v>1</v>
      </c>
      <c r="J16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0" s="4" t="str">
        <f t="shared" si="5"/>
        <v/>
      </c>
      <c r="M160" t="str">
        <v>time,</v>
      </c>
      <c r="N160" s="4" cm="1">
        <f t="array" ref="N160">SUM(--(_xlfn.TEXTSPLIT($J$2,, " ") = M160))</f>
        <v>14</v>
      </c>
      <c r="O160">
        <v>56</v>
      </c>
      <c r="P160">
        <v>0</v>
      </c>
      <c r="Q160">
        <v>56</v>
      </c>
      <c r="R160" s="4"/>
      <c r="S160" s="10"/>
    </row>
    <row r="161" spans="1:19" x14ac:dyDescent="0.2">
      <c r="A161" s="4">
        <v>1</v>
      </c>
      <c r="B161" s="5">
        <v>45912</v>
      </c>
      <c r="C161" s="6">
        <v>0.22361111111111112</v>
      </c>
      <c r="D161" s="7">
        <v>322</v>
      </c>
      <c r="E161" s="4" t="s">
        <v>14</v>
      </c>
      <c r="F161" s="4">
        <v>1</v>
      </c>
      <c r="G161" s="8" t="s">
        <v>15</v>
      </c>
      <c r="H161" s="9" t="s">
        <v>16</v>
      </c>
      <c r="I161" s="4">
        <v>1</v>
      </c>
      <c r="J16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1" s="4" t="str">
        <f t="shared" si="5"/>
        <v/>
      </c>
      <c r="M161" t="str">
        <v xml:space="preserve">time
</v>
      </c>
      <c r="N161" s="4" cm="1">
        <f t="array" ref="N161">SUM(--(_xlfn.TEXTSPLIT($J$2,, " ") = M161))</f>
        <v>14</v>
      </c>
      <c r="O161">
        <v>56</v>
      </c>
      <c r="P161">
        <v>0</v>
      </c>
      <c r="Q161">
        <v>56</v>
      </c>
      <c r="R161" s="4"/>
      <c r="S161" s="10"/>
    </row>
    <row r="162" spans="1:19" x14ac:dyDescent="0.2">
      <c r="A162" s="4">
        <v>1</v>
      </c>
      <c r="B162" s="5">
        <v>45912</v>
      </c>
      <c r="C162" s="6">
        <v>0.22361111111111112</v>
      </c>
      <c r="D162" s="7">
        <v>322</v>
      </c>
      <c r="E162" s="4" t="s">
        <v>14</v>
      </c>
      <c r="F162" s="4">
        <v>1</v>
      </c>
      <c r="G162" s="8" t="s">
        <v>15</v>
      </c>
      <c r="H162" s="9" t="s">
        <v>16</v>
      </c>
      <c r="I162" s="4">
        <v>1</v>
      </c>
      <c r="J16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2" s="4" t="str">
        <f t="shared" si="5"/>
        <v/>
      </c>
      <c r="M162" t="str">
        <v>time</v>
      </c>
      <c r="N162" s="4" cm="1">
        <f t="array" ref="N162">SUM(--(_xlfn.TEXTSPLIT($J$2,, " ") = M162))</f>
        <v>28</v>
      </c>
      <c r="O162">
        <v>56</v>
      </c>
      <c r="P162">
        <v>0</v>
      </c>
      <c r="Q162">
        <v>56</v>
      </c>
      <c r="R162" s="4"/>
      <c r="S162" s="10"/>
    </row>
    <row r="163" spans="1:19" x14ac:dyDescent="0.2">
      <c r="A163" s="4">
        <v>1</v>
      </c>
      <c r="B163" s="5">
        <v>45912</v>
      </c>
      <c r="C163" s="6">
        <v>0.22361111111111112</v>
      </c>
      <c r="D163" s="7">
        <v>322</v>
      </c>
      <c r="E163" s="4" t="s">
        <v>14</v>
      </c>
      <c r="F163" s="4">
        <v>1</v>
      </c>
      <c r="G163" s="8" t="s">
        <v>15</v>
      </c>
      <c r="H163" s="9" t="s">
        <v>16</v>
      </c>
      <c r="I163" s="4">
        <v>1</v>
      </c>
      <c r="J16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3" s="4" t="str">
        <f t="shared" si="5"/>
        <v/>
      </c>
      <c r="M163" t="str">
        <v>that</v>
      </c>
      <c r="N163" s="4" cm="1">
        <f t="array" ref="N163">SUM(--(_xlfn.TEXTSPLIT($J$2,, " ") = M163))</f>
        <v>28</v>
      </c>
      <c r="O163">
        <v>56</v>
      </c>
      <c r="P163">
        <v>0</v>
      </c>
      <c r="Q163">
        <v>56</v>
      </c>
      <c r="R163" s="4"/>
      <c r="S163" s="10"/>
    </row>
    <row r="164" spans="1:19" x14ac:dyDescent="0.2">
      <c r="A164" s="4">
        <v>1</v>
      </c>
      <c r="B164" s="5">
        <v>45912</v>
      </c>
      <c r="C164" s="6">
        <v>0.22361111111111112</v>
      </c>
      <c r="D164" s="7">
        <v>322</v>
      </c>
      <c r="E164" s="4" t="s">
        <v>14</v>
      </c>
      <c r="F164" s="4">
        <v>1</v>
      </c>
      <c r="G164" s="8" t="s">
        <v>15</v>
      </c>
      <c r="H164" s="9" t="s">
        <v>16</v>
      </c>
      <c r="I164" s="4">
        <v>1</v>
      </c>
      <c r="J16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4" s="4" t="str">
        <f t="shared" si="5"/>
        <v/>
      </c>
      <c r="M164" t="str">
        <v xml:space="preserve">try
</v>
      </c>
      <c r="N164" s="4" cm="1">
        <f t="array" ref="N164">SUM(--(_xlfn.TEXTSPLIT($J$2,, " ") = M164))</f>
        <v>14</v>
      </c>
      <c r="O164">
        <v>56</v>
      </c>
      <c r="P164">
        <v>0</v>
      </c>
      <c r="Q164">
        <v>56</v>
      </c>
      <c r="R164" s="4"/>
      <c r="S164" s="10"/>
    </row>
    <row r="165" spans="1:19" x14ac:dyDescent="0.2">
      <c r="A165" s="4">
        <v>1</v>
      </c>
      <c r="B165" s="5">
        <v>45912</v>
      </c>
      <c r="C165" s="6">
        <v>0.22361111111111112</v>
      </c>
      <c r="D165" s="7">
        <v>322</v>
      </c>
      <c r="E165" s="4" t="s">
        <v>14</v>
      </c>
      <c r="F165" s="4">
        <v>1</v>
      </c>
      <c r="G165" s="8" t="s">
        <v>15</v>
      </c>
      <c r="H165" s="9" t="s">
        <v>16</v>
      </c>
      <c r="I165" s="4">
        <v>1</v>
      </c>
      <c r="J16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5" s="4" t="str">
        <f t="shared" si="5"/>
        <v/>
      </c>
      <c r="M165" t="str">
        <v>Address</v>
      </c>
      <c r="N165" s="4" cm="1">
        <f t="array" ref="N165">SUM(--(_xlfn.TEXTSPLIT($J$2,, " ") = M165))</f>
        <v>42</v>
      </c>
      <c r="O165">
        <v>56</v>
      </c>
      <c r="P165">
        <v>0</v>
      </c>
      <c r="Q165">
        <v>56</v>
      </c>
      <c r="R165" s="4"/>
      <c r="S165" s="10"/>
    </row>
    <row r="166" spans="1:19" x14ac:dyDescent="0.2">
      <c r="A166" s="4">
        <v>1</v>
      </c>
      <c r="B166" s="5">
        <v>45912</v>
      </c>
      <c r="C166" s="6">
        <v>0.22361111111111112</v>
      </c>
      <c r="D166" s="7">
        <v>322</v>
      </c>
      <c r="E166" s="4" t="s">
        <v>14</v>
      </c>
      <c r="F166" s="4">
        <v>1</v>
      </c>
      <c r="G166" s="8" t="s">
        <v>15</v>
      </c>
      <c r="H166" s="9" t="s">
        <v>16</v>
      </c>
      <c r="I166" s="4">
        <v>1</v>
      </c>
      <c r="J16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6" s="4" t="str">
        <f t="shared" si="5"/>
        <v/>
      </c>
      <c r="M166" t="str">
        <v>soul,</v>
      </c>
      <c r="N166" s="4" cm="1">
        <f t="array" ref="N166">SUM(--(_xlfn.TEXTSPLIT($J$2,, " ") = M166))</f>
        <v>28</v>
      </c>
      <c r="O166">
        <v>56</v>
      </c>
      <c r="P166">
        <v>0</v>
      </c>
      <c r="Q166">
        <v>56</v>
      </c>
      <c r="R166" s="4"/>
      <c r="S166" s="10"/>
    </row>
    <row r="167" spans="1:19" x14ac:dyDescent="0.2">
      <c r="A167" s="4">
        <v>1</v>
      </c>
      <c r="B167" s="5">
        <v>45912</v>
      </c>
      <c r="C167" s="6">
        <v>0.22361111111111112</v>
      </c>
      <c r="D167" s="7">
        <v>322</v>
      </c>
      <c r="E167" s="4" t="s">
        <v>14</v>
      </c>
      <c r="F167" s="4">
        <v>1</v>
      </c>
      <c r="G167" s="8" t="s">
        <v>15</v>
      </c>
      <c r="H167" s="9" t="s">
        <v>16</v>
      </c>
      <c r="I167" s="4">
        <v>1</v>
      </c>
      <c r="J16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7" s="4" t="str">
        <f t="shared" si="5"/>
        <v/>
      </c>
      <c r="M167" t="str">
        <v xml:space="preserve">soul
</v>
      </c>
      <c r="N167" s="4" cm="1">
        <f t="array" ref="N167">SUM(--(_xlfn.TEXTSPLIT($J$2,, " ") = M167))</f>
        <v>14</v>
      </c>
      <c r="O167">
        <v>56</v>
      </c>
      <c r="P167">
        <v>0</v>
      </c>
      <c r="Q167">
        <v>56</v>
      </c>
      <c r="R167" s="4"/>
      <c r="S167" s="10"/>
    </row>
    <row r="168" spans="1:19" x14ac:dyDescent="0.2">
      <c r="A168" s="4">
        <v>1</v>
      </c>
      <c r="B168" s="5">
        <v>45912</v>
      </c>
      <c r="C168" s="6">
        <v>0.22361111111111112</v>
      </c>
      <c r="D168" s="7">
        <v>322</v>
      </c>
      <c r="E168" s="4" t="s">
        <v>14</v>
      </c>
      <c r="F168" s="4">
        <v>1</v>
      </c>
      <c r="G168" s="8" t="s">
        <v>15</v>
      </c>
      <c r="H168" s="9" t="s">
        <v>16</v>
      </c>
      <c r="I168" s="4">
        <v>1</v>
      </c>
      <c r="J16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8" s="4" t="str">
        <f t="shared" si="5"/>
        <v/>
      </c>
      <c r="M168" t="str">
        <v>try</v>
      </c>
      <c r="N168" s="4" cm="1">
        <f t="array" ref="N168">SUM(--(_xlfn.TEXTSPLIT($J$2,, " ") = M168))</f>
        <v>14</v>
      </c>
      <c r="O168">
        <v>56</v>
      </c>
      <c r="P168">
        <v>0</v>
      </c>
      <c r="Q168">
        <v>56</v>
      </c>
      <c r="R168" s="4"/>
      <c r="S168" s="10"/>
    </row>
    <row r="169" spans="1:19" x14ac:dyDescent="0.2">
      <c r="A169" s="4">
        <v>1</v>
      </c>
      <c r="B169" s="5">
        <v>45912</v>
      </c>
      <c r="C169" s="6">
        <v>0.22361111111111112</v>
      </c>
      <c r="D169" s="7">
        <v>322</v>
      </c>
      <c r="E169" s="4" t="s">
        <v>14</v>
      </c>
      <c r="F169" s="4">
        <v>1</v>
      </c>
      <c r="G169" s="8" t="s">
        <v>15</v>
      </c>
      <c r="H169" s="9" t="s">
        <v>16</v>
      </c>
      <c r="I169" s="4">
        <v>1</v>
      </c>
      <c r="J16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69" s="4" t="str">
        <f t="shared" si="5"/>
        <v/>
      </c>
      <c r="N169" s="4" cm="1">
        <f t="array" ref="N169">SUM(--(_xlfn.TEXTSPLIT($J$2,, " ") = M169))</f>
        <v>56</v>
      </c>
      <c r="O169">
        <v>56</v>
      </c>
      <c r="P169">
        <v>0</v>
      </c>
      <c r="Q169">
        <v>56</v>
      </c>
      <c r="R169" s="4"/>
      <c r="S169" s="10"/>
    </row>
    <row r="170" spans="1:19" x14ac:dyDescent="0.2">
      <c r="A170" s="4">
        <v>1</v>
      </c>
      <c r="B170" s="5">
        <v>45912</v>
      </c>
      <c r="C170" s="6">
        <v>0.22361111111111112</v>
      </c>
      <c r="D170" s="7">
        <v>322</v>
      </c>
      <c r="E170" s="4" t="s">
        <v>14</v>
      </c>
      <c r="F170" s="4">
        <v>1</v>
      </c>
      <c r="G170" s="8" t="s">
        <v>15</v>
      </c>
      <c r="H170" s="9" t="s">
        <v>16</v>
      </c>
      <c r="I170" s="4">
        <v>1</v>
      </c>
      <c r="J17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0" s="4" t="str">
        <f t="shared" si="5"/>
        <v/>
      </c>
      <c r="N170" s="4" cm="1">
        <f t="array" ref="N170">SUM(--(_xlfn.TEXTSPLIT($J$2,, " ") = M170))</f>
        <v>56</v>
      </c>
      <c r="O170">
        <v>56</v>
      </c>
      <c r="P170">
        <v>0</v>
      </c>
      <c r="Q170">
        <v>56</v>
      </c>
      <c r="R170" s="4"/>
      <c r="S170" s="10"/>
    </row>
    <row r="171" spans="1:19" x14ac:dyDescent="0.2">
      <c r="A171" s="4">
        <v>1</v>
      </c>
      <c r="B171" s="5">
        <v>45912</v>
      </c>
      <c r="C171" s="6">
        <v>0.22361111111111112</v>
      </c>
      <c r="D171" s="7">
        <v>322</v>
      </c>
      <c r="E171" s="4" t="s">
        <v>14</v>
      </c>
      <c r="F171" s="4">
        <v>1</v>
      </c>
      <c r="G171" s="8" t="s">
        <v>15</v>
      </c>
      <c r="H171" s="9" t="s">
        <v>16</v>
      </c>
      <c r="I171" s="4">
        <v>1</v>
      </c>
      <c r="J17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1" s="4" t="str">
        <f t="shared" si="5"/>
        <v/>
      </c>
      <c r="N171" s="4" cm="1">
        <f t="array" ref="N171">SUM(--(_xlfn.TEXTSPLIT($J$2,, " ") = M171))</f>
        <v>56</v>
      </c>
      <c r="O171">
        <v>56</v>
      </c>
      <c r="P171">
        <v>0</v>
      </c>
      <c r="Q171">
        <v>56</v>
      </c>
      <c r="R171" s="4"/>
      <c r="S171" s="10"/>
    </row>
    <row r="172" spans="1:19" x14ac:dyDescent="0.2">
      <c r="A172" s="4">
        <v>1</v>
      </c>
      <c r="B172" s="5">
        <v>45912</v>
      </c>
      <c r="C172" s="6">
        <v>0.22361111111111112</v>
      </c>
      <c r="D172" s="7">
        <v>322</v>
      </c>
      <c r="E172" s="4" t="s">
        <v>14</v>
      </c>
      <c r="F172" s="4">
        <v>1</v>
      </c>
      <c r="G172" s="8" t="s">
        <v>15</v>
      </c>
      <c r="H172" s="9" t="s">
        <v>16</v>
      </c>
      <c r="I172" s="4">
        <v>1</v>
      </c>
      <c r="J17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2" s="4" t="str">
        <f t="shared" si="5"/>
        <v/>
      </c>
      <c r="N172" s="4" cm="1">
        <f t="array" ref="N172">SUM(--(_xlfn.TEXTSPLIT($J$2,, " ") = M172))</f>
        <v>56</v>
      </c>
      <c r="O172">
        <v>56</v>
      </c>
      <c r="P172">
        <v>0</v>
      </c>
      <c r="Q172">
        <v>56</v>
      </c>
      <c r="R172" s="4"/>
      <c r="S172" s="10"/>
    </row>
    <row r="173" spans="1:19" x14ac:dyDescent="0.2">
      <c r="A173" s="4">
        <v>1</v>
      </c>
      <c r="B173" s="5">
        <v>45912</v>
      </c>
      <c r="C173" s="6">
        <v>0.22361111111111112</v>
      </c>
      <c r="D173" s="7">
        <v>322</v>
      </c>
      <c r="E173" s="4" t="s">
        <v>14</v>
      </c>
      <c r="F173" s="4">
        <v>1</v>
      </c>
      <c r="G173" s="8" t="s">
        <v>15</v>
      </c>
      <c r="H173" s="9" t="s">
        <v>16</v>
      </c>
      <c r="I173" s="4">
        <v>1</v>
      </c>
      <c r="J17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3" s="4" t="str">
        <f t="shared" si="5"/>
        <v/>
      </c>
      <c r="N173" s="4" cm="1">
        <f t="array" ref="N173">SUM(--(_xlfn.TEXTSPLIT($J$2,, " ") = M173))</f>
        <v>56</v>
      </c>
      <c r="O173">
        <v>56</v>
      </c>
      <c r="P173">
        <v>0</v>
      </c>
      <c r="Q173">
        <v>56</v>
      </c>
      <c r="R173" s="4"/>
      <c r="S173" s="10"/>
    </row>
    <row r="174" spans="1:19" x14ac:dyDescent="0.2">
      <c r="A174" s="4">
        <v>1</v>
      </c>
      <c r="B174" s="5">
        <v>45912</v>
      </c>
      <c r="C174" s="6">
        <v>0.22361111111111112</v>
      </c>
      <c r="D174" s="7">
        <v>322</v>
      </c>
      <c r="E174" s="4" t="s">
        <v>14</v>
      </c>
      <c r="F174" s="4">
        <v>1</v>
      </c>
      <c r="G174" s="8" t="s">
        <v>15</v>
      </c>
      <c r="H174" s="9" t="s">
        <v>16</v>
      </c>
      <c r="I174" s="4">
        <v>1</v>
      </c>
      <c r="J17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4" s="4" t="str">
        <f t="shared" si="5"/>
        <v/>
      </c>
      <c r="N174" s="4" cm="1">
        <f t="array" ref="N174">SUM(--(_xlfn.TEXTSPLIT($J$2,, " ") = M174))</f>
        <v>56</v>
      </c>
      <c r="O174">
        <v>56</v>
      </c>
      <c r="P174">
        <v>0</v>
      </c>
      <c r="Q174">
        <v>56</v>
      </c>
      <c r="R174" s="4"/>
      <c r="S174" s="10"/>
    </row>
    <row r="175" spans="1:19" x14ac:dyDescent="0.2">
      <c r="A175" s="4">
        <v>1</v>
      </c>
      <c r="B175" s="5">
        <v>45912</v>
      </c>
      <c r="C175" s="6">
        <v>0.22361111111111112</v>
      </c>
      <c r="D175" s="7">
        <v>322</v>
      </c>
      <c r="E175" s="4" t="s">
        <v>14</v>
      </c>
      <c r="F175" s="4">
        <v>1</v>
      </c>
      <c r="G175" s="8" t="s">
        <v>15</v>
      </c>
      <c r="H175" s="9" t="s">
        <v>16</v>
      </c>
      <c r="I175" s="4">
        <v>1</v>
      </c>
      <c r="J17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5" s="4" t="str">
        <f t="shared" si="5"/>
        <v/>
      </c>
      <c r="N175" s="4" cm="1">
        <f t="array" ref="N175">SUM(--(_xlfn.TEXTSPLIT($J$2,, " ") = M175))</f>
        <v>56</v>
      </c>
      <c r="O175">
        <v>56</v>
      </c>
      <c r="P175">
        <v>0</v>
      </c>
      <c r="Q175">
        <v>56</v>
      </c>
      <c r="R175" s="4"/>
      <c r="S175" s="10"/>
    </row>
    <row r="176" spans="1:19" x14ac:dyDescent="0.2">
      <c r="A176" s="4">
        <v>1</v>
      </c>
      <c r="B176" s="5">
        <v>45912</v>
      </c>
      <c r="C176" s="6">
        <v>0.22361111111111112</v>
      </c>
      <c r="D176" s="7">
        <v>322</v>
      </c>
      <c r="E176" s="4" t="s">
        <v>14</v>
      </c>
      <c r="F176" s="4">
        <v>1</v>
      </c>
      <c r="G176" s="8" t="s">
        <v>15</v>
      </c>
      <c r="H176" s="9" t="s">
        <v>16</v>
      </c>
      <c r="I176" s="4">
        <v>1</v>
      </c>
      <c r="J17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6" s="4" t="str">
        <f t="shared" si="5"/>
        <v/>
      </c>
      <c r="N176" s="4" cm="1">
        <f t="array" ref="N176">SUM(--(_xlfn.TEXTSPLIT($J$2,, " ") = M176))</f>
        <v>56</v>
      </c>
      <c r="O176">
        <v>56</v>
      </c>
      <c r="P176">
        <v>0</v>
      </c>
      <c r="Q176">
        <v>56</v>
      </c>
      <c r="R176" s="4"/>
      <c r="S176" s="10"/>
    </row>
    <row r="177" spans="1:19" x14ac:dyDescent="0.2">
      <c r="A177" s="4">
        <v>1</v>
      </c>
      <c r="B177" s="5">
        <v>45912</v>
      </c>
      <c r="C177" s="6">
        <v>0.22361111111111112</v>
      </c>
      <c r="D177" s="7">
        <v>322</v>
      </c>
      <c r="E177" s="4" t="s">
        <v>14</v>
      </c>
      <c r="F177" s="4">
        <v>1</v>
      </c>
      <c r="G177" s="8" t="s">
        <v>15</v>
      </c>
      <c r="H177" s="9" t="s">
        <v>16</v>
      </c>
      <c r="I177" s="4">
        <v>1</v>
      </c>
      <c r="J17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7" s="4" t="str">
        <f t="shared" si="5"/>
        <v/>
      </c>
      <c r="N177" s="4" cm="1">
        <f t="array" ref="N177">SUM(--(_xlfn.TEXTSPLIT($J$2,, " ") = M177))</f>
        <v>56</v>
      </c>
      <c r="O177">
        <v>56</v>
      </c>
      <c r="P177">
        <v>0</v>
      </c>
      <c r="Q177">
        <v>56</v>
      </c>
      <c r="R177" s="4"/>
      <c r="S177" s="10"/>
    </row>
    <row r="178" spans="1:19" x14ac:dyDescent="0.2">
      <c r="A178" s="4">
        <v>1</v>
      </c>
      <c r="B178" s="5">
        <v>45912</v>
      </c>
      <c r="C178" s="6">
        <v>0.22361111111111112</v>
      </c>
      <c r="D178" s="7">
        <v>322</v>
      </c>
      <c r="E178" s="4" t="s">
        <v>14</v>
      </c>
      <c r="F178" s="4">
        <v>1</v>
      </c>
      <c r="G178" s="8" t="s">
        <v>15</v>
      </c>
      <c r="H178" s="9" t="s">
        <v>16</v>
      </c>
      <c r="I178" s="4">
        <v>1</v>
      </c>
      <c r="J17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8" s="4" t="str">
        <f t="shared" si="5"/>
        <v/>
      </c>
      <c r="N178" s="4" cm="1">
        <f t="array" ref="N178">SUM(--(_xlfn.TEXTSPLIT($J$2,, " ") = M178))</f>
        <v>56</v>
      </c>
      <c r="O178">
        <v>56</v>
      </c>
      <c r="P178">
        <v>0</v>
      </c>
      <c r="Q178">
        <v>56</v>
      </c>
      <c r="R178" s="4"/>
      <c r="S178" s="10"/>
    </row>
    <row r="179" spans="1:19" x14ac:dyDescent="0.2">
      <c r="A179" s="4">
        <v>1</v>
      </c>
      <c r="B179" s="5">
        <v>45912</v>
      </c>
      <c r="C179" s="6">
        <v>0.22361111111111112</v>
      </c>
      <c r="D179" s="7">
        <v>322</v>
      </c>
      <c r="E179" s="4" t="s">
        <v>14</v>
      </c>
      <c r="F179" s="4">
        <v>1</v>
      </c>
      <c r="G179" s="8" t="s">
        <v>15</v>
      </c>
      <c r="H179" s="9" t="s">
        <v>16</v>
      </c>
      <c r="I179" s="4">
        <v>1</v>
      </c>
      <c r="J17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79" s="4" t="str">
        <f t="shared" si="5"/>
        <v/>
      </c>
      <c r="N179" s="4" cm="1">
        <f t="array" ref="N179">SUM(--(_xlfn.TEXTSPLIT($J$2,, " ") = M179))</f>
        <v>56</v>
      </c>
      <c r="O179">
        <v>56</v>
      </c>
      <c r="P179">
        <v>0</v>
      </c>
      <c r="Q179">
        <v>56</v>
      </c>
      <c r="R179" s="4"/>
      <c r="S179" s="10"/>
    </row>
    <row r="180" spans="1:19" x14ac:dyDescent="0.2">
      <c r="A180" s="4">
        <v>1</v>
      </c>
      <c r="B180" s="5">
        <v>45912</v>
      </c>
      <c r="C180" s="6">
        <v>0.22361111111111112</v>
      </c>
      <c r="D180" s="7">
        <v>322</v>
      </c>
      <c r="E180" s="4" t="s">
        <v>14</v>
      </c>
      <c r="F180" s="4">
        <v>1</v>
      </c>
      <c r="G180" s="8" t="s">
        <v>15</v>
      </c>
      <c r="H180" s="9" t="s">
        <v>16</v>
      </c>
      <c r="I180" s="4">
        <v>1</v>
      </c>
      <c r="J18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0" s="4" t="str">
        <f t="shared" si="5"/>
        <v/>
      </c>
      <c r="N180" s="4" cm="1">
        <f t="array" ref="N180">SUM(--(_xlfn.TEXTSPLIT($J$2,, " ") = M180))</f>
        <v>56</v>
      </c>
      <c r="O180">
        <v>56</v>
      </c>
      <c r="P180">
        <v>0</v>
      </c>
      <c r="Q180">
        <v>56</v>
      </c>
      <c r="R180" s="4"/>
      <c r="S180" s="10"/>
    </row>
    <row r="181" spans="1:19" x14ac:dyDescent="0.2">
      <c r="A181" s="4">
        <v>1</v>
      </c>
      <c r="B181" s="5">
        <v>45912</v>
      </c>
      <c r="C181" s="6">
        <v>0.22361111111111112</v>
      </c>
      <c r="D181" s="7">
        <v>322</v>
      </c>
      <c r="E181" s="4" t="s">
        <v>14</v>
      </c>
      <c r="F181" s="4">
        <v>1</v>
      </c>
      <c r="G181" s="8" t="s">
        <v>15</v>
      </c>
      <c r="H181" s="9" t="s">
        <v>16</v>
      </c>
      <c r="I181" s="4">
        <v>1</v>
      </c>
      <c r="J18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1" s="4" t="str">
        <f t="shared" si="5"/>
        <v/>
      </c>
      <c r="N181" s="4" cm="1">
        <f t="array" ref="N181">SUM(--(_xlfn.TEXTSPLIT($J$2,, " ") = M181))</f>
        <v>56</v>
      </c>
      <c r="O181">
        <v>56</v>
      </c>
      <c r="P181">
        <v>0</v>
      </c>
      <c r="Q181">
        <v>56</v>
      </c>
      <c r="R181" s="4"/>
      <c r="S181" s="10"/>
    </row>
    <row r="182" spans="1:19" x14ac:dyDescent="0.2">
      <c r="A182" s="4">
        <v>1</v>
      </c>
      <c r="B182" s="5">
        <v>45912</v>
      </c>
      <c r="C182" s="6">
        <v>0.22361111111111112</v>
      </c>
      <c r="D182" s="7">
        <v>322</v>
      </c>
      <c r="E182" s="4" t="s">
        <v>14</v>
      </c>
      <c r="F182" s="4">
        <v>1</v>
      </c>
      <c r="G182" s="8" t="s">
        <v>15</v>
      </c>
      <c r="H182" s="9" t="s">
        <v>16</v>
      </c>
      <c r="I182" s="4">
        <v>1</v>
      </c>
      <c r="J18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2" s="4" t="str">
        <f t="shared" si="5"/>
        <v/>
      </c>
      <c r="N182" s="4" cm="1">
        <f t="array" ref="N182">SUM(--(_xlfn.TEXTSPLIT($J$2,, " ") = M182))</f>
        <v>56</v>
      </c>
      <c r="O182">
        <v>56</v>
      </c>
      <c r="P182">
        <v>0</v>
      </c>
      <c r="Q182">
        <v>56</v>
      </c>
      <c r="R182" s="4"/>
      <c r="S182" s="10"/>
    </row>
    <row r="183" spans="1:19" x14ac:dyDescent="0.2">
      <c r="A183" s="4">
        <v>1</v>
      </c>
      <c r="B183" s="5">
        <v>45912</v>
      </c>
      <c r="C183" s="6">
        <v>0.22361111111111112</v>
      </c>
      <c r="D183" s="7">
        <v>322</v>
      </c>
      <c r="E183" s="4" t="s">
        <v>14</v>
      </c>
      <c r="F183" s="4">
        <v>1</v>
      </c>
      <c r="G183" s="8" t="s">
        <v>15</v>
      </c>
      <c r="H183" s="9" t="s">
        <v>16</v>
      </c>
      <c r="I183" s="4">
        <v>1</v>
      </c>
      <c r="J18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3" s="4" t="str">
        <f t="shared" si="5"/>
        <v/>
      </c>
      <c r="N183" s="4" cm="1">
        <f t="array" ref="N183">SUM(--(_xlfn.TEXTSPLIT($J$2,, " ") = M183))</f>
        <v>56</v>
      </c>
      <c r="O183">
        <v>56</v>
      </c>
      <c r="P183">
        <v>0</v>
      </c>
      <c r="Q183">
        <v>56</v>
      </c>
      <c r="R183" s="4"/>
      <c r="S183" s="10"/>
    </row>
    <row r="184" spans="1:19" x14ac:dyDescent="0.2">
      <c r="A184" s="4">
        <v>1</v>
      </c>
      <c r="B184" s="5">
        <v>45912</v>
      </c>
      <c r="C184" s="6">
        <v>0.22361111111111112</v>
      </c>
      <c r="D184" s="7">
        <v>322</v>
      </c>
      <c r="E184" s="4" t="s">
        <v>14</v>
      </c>
      <c r="F184" s="4">
        <v>1</v>
      </c>
      <c r="G184" s="8" t="s">
        <v>15</v>
      </c>
      <c r="H184" s="9" t="s">
        <v>16</v>
      </c>
      <c r="I184" s="4">
        <v>1</v>
      </c>
      <c r="J18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4" s="4" t="str">
        <f t="shared" si="5"/>
        <v/>
      </c>
      <c r="N184" s="4" cm="1">
        <f t="array" ref="N184">SUM(--(_xlfn.TEXTSPLIT($J$2,, " ") = M184))</f>
        <v>56</v>
      </c>
      <c r="O184">
        <v>56</v>
      </c>
      <c r="P184">
        <v>0</v>
      </c>
      <c r="Q184">
        <v>56</v>
      </c>
      <c r="R184" s="4"/>
      <c r="S184" s="10"/>
    </row>
    <row r="185" spans="1:19" x14ac:dyDescent="0.2">
      <c r="A185" s="4">
        <v>1</v>
      </c>
      <c r="B185" s="5">
        <v>45912</v>
      </c>
      <c r="C185" s="6">
        <v>0.22361111111111112</v>
      </c>
      <c r="D185" s="7">
        <v>322</v>
      </c>
      <c r="E185" s="4" t="s">
        <v>14</v>
      </c>
      <c r="F185" s="4">
        <v>1</v>
      </c>
      <c r="G185" s="8" t="s">
        <v>15</v>
      </c>
      <c r="H185" s="9" t="s">
        <v>16</v>
      </c>
      <c r="I185" s="4">
        <v>1</v>
      </c>
      <c r="J185"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5" s="4" t="str">
        <f t="shared" si="5"/>
        <v/>
      </c>
      <c r="N185" s="4" cm="1">
        <f t="array" ref="N185">SUM(--(_xlfn.TEXTSPLIT($J$2,, " ") = M185))</f>
        <v>56</v>
      </c>
      <c r="O185">
        <v>56</v>
      </c>
      <c r="P185">
        <v>0</v>
      </c>
      <c r="Q185">
        <v>56</v>
      </c>
      <c r="R185" s="4"/>
      <c r="S185" s="10"/>
    </row>
    <row r="186" spans="1:19" x14ac:dyDescent="0.2">
      <c r="A186" s="4">
        <v>1</v>
      </c>
      <c r="B186" s="5">
        <v>45912</v>
      </c>
      <c r="C186" s="6">
        <v>0.22361111111111112</v>
      </c>
      <c r="D186" s="7">
        <v>322</v>
      </c>
      <c r="E186" s="4" t="s">
        <v>14</v>
      </c>
      <c r="F186" s="4">
        <v>1</v>
      </c>
      <c r="G186" s="8" t="s">
        <v>15</v>
      </c>
      <c r="H186" s="9" t="s">
        <v>16</v>
      </c>
      <c r="I186" s="4">
        <v>1</v>
      </c>
      <c r="J186"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6" s="4" t="str">
        <f t="shared" si="5"/>
        <v/>
      </c>
      <c r="N186" s="4" cm="1">
        <f t="array" ref="N186">SUM(--(_xlfn.TEXTSPLIT($J$2,, " ") = M186))</f>
        <v>56</v>
      </c>
      <c r="O186">
        <v>56</v>
      </c>
      <c r="P186">
        <v>0</v>
      </c>
      <c r="Q186">
        <v>56</v>
      </c>
      <c r="R186" s="4"/>
      <c r="S186" s="10"/>
    </row>
    <row r="187" spans="1:19" x14ac:dyDescent="0.2">
      <c r="A187" s="4">
        <v>1</v>
      </c>
      <c r="B187" s="5">
        <v>45912</v>
      </c>
      <c r="C187" s="6">
        <v>0.22361111111111112</v>
      </c>
      <c r="D187" s="7">
        <v>322</v>
      </c>
      <c r="E187" s="4" t="s">
        <v>14</v>
      </c>
      <c r="F187" s="4">
        <v>1</v>
      </c>
      <c r="G187" s="8" t="s">
        <v>15</v>
      </c>
      <c r="H187" s="9" t="s">
        <v>16</v>
      </c>
      <c r="I187" s="4">
        <v>1</v>
      </c>
      <c r="J187"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7" s="4" t="str">
        <f t="shared" si="5"/>
        <v/>
      </c>
      <c r="N187" s="4" cm="1">
        <f t="array" ref="N187">SUM(--(_xlfn.TEXTSPLIT($J$2,, " ") = M187))</f>
        <v>56</v>
      </c>
      <c r="O187">
        <v>56</v>
      </c>
      <c r="P187">
        <v>0</v>
      </c>
      <c r="Q187">
        <v>56</v>
      </c>
      <c r="R187" s="4"/>
      <c r="S187" s="10"/>
    </row>
    <row r="188" spans="1:19" x14ac:dyDescent="0.2">
      <c r="A188" s="4">
        <v>1</v>
      </c>
      <c r="B188" s="5">
        <v>45912</v>
      </c>
      <c r="C188" s="6">
        <v>0.22361111111111112</v>
      </c>
      <c r="D188" s="7">
        <v>322</v>
      </c>
      <c r="E188" s="4" t="s">
        <v>14</v>
      </c>
      <c r="F188" s="4">
        <v>1</v>
      </c>
      <c r="G188" s="8" t="s">
        <v>15</v>
      </c>
      <c r="H188" s="9" t="s">
        <v>16</v>
      </c>
      <c r="I188" s="4">
        <v>1</v>
      </c>
      <c r="J188"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8" s="4" t="str">
        <f t="shared" si="5"/>
        <v/>
      </c>
      <c r="N188" s="4" cm="1">
        <f t="array" ref="N188">SUM(--(_xlfn.TEXTSPLIT($J$2,, " ") = M188))</f>
        <v>56</v>
      </c>
      <c r="O188">
        <v>56</v>
      </c>
      <c r="P188">
        <v>0</v>
      </c>
      <c r="Q188">
        <v>56</v>
      </c>
      <c r="R188" s="4"/>
      <c r="S188" s="10"/>
    </row>
    <row r="189" spans="1:19" x14ac:dyDescent="0.2">
      <c r="A189" s="4">
        <v>1</v>
      </c>
      <c r="B189" s="5">
        <v>45912</v>
      </c>
      <c r="C189" s="6">
        <v>0.22361111111111112</v>
      </c>
      <c r="D189" s="7">
        <v>322</v>
      </c>
      <c r="E189" s="4" t="s">
        <v>14</v>
      </c>
      <c r="F189" s="4">
        <v>1</v>
      </c>
      <c r="G189" s="8" t="s">
        <v>15</v>
      </c>
      <c r="H189" s="9" t="s">
        <v>16</v>
      </c>
      <c r="I189" s="4">
        <v>1</v>
      </c>
      <c r="J189"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89" s="4" t="str">
        <f t="shared" si="5"/>
        <v/>
      </c>
      <c r="N189" s="4" cm="1">
        <f t="array" ref="N189">SUM(--(_xlfn.TEXTSPLIT($J$2,, " ") = M189))</f>
        <v>56</v>
      </c>
      <c r="O189">
        <v>56</v>
      </c>
      <c r="P189">
        <v>0</v>
      </c>
      <c r="Q189">
        <v>56</v>
      </c>
      <c r="R189" s="4"/>
      <c r="S189" s="10"/>
    </row>
    <row r="190" spans="1:19" x14ac:dyDescent="0.2">
      <c r="A190" s="4">
        <v>1</v>
      </c>
      <c r="B190" s="5">
        <v>45912</v>
      </c>
      <c r="C190" s="6">
        <v>0.22361111111111112</v>
      </c>
      <c r="D190" s="7">
        <v>322</v>
      </c>
      <c r="E190" s="4" t="s">
        <v>14</v>
      </c>
      <c r="F190" s="4">
        <v>1</v>
      </c>
      <c r="G190" s="8" t="s">
        <v>15</v>
      </c>
      <c r="H190" s="9" t="s">
        <v>16</v>
      </c>
      <c r="I190" s="4">
        <v>1</v>
      </c>
      <c r="J190"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0" s="4" t="str">
        <f t="shared" si="5"/>
        <v/>
      </c>
      <c r="N190" s="4" cm="1">
        <f t="array" ref="N190">SUM(--(_xlfn.TEXTSPLIT($J$2,, " ") = M190))</f>
        <v>56</v>
      </c>
      <c r="O190">
        <v>56</v>
      </c>
      <c r="P190">
        <v>0</v>
      </c>
      <c r="Q190">
        <v>56</v>
      </c>
      <c r="R190" s="4"/>
      <c r="S190" s="10"/>
    </row>
    <row r="191" spans="1:19" x14ac:dyDescent="0.2">
      <c r="A191" s="4">
        <v>1</v>
      </c>
      <c r="B191" s="5">
        <v>45912</v>
      </c>
      <c r="C191" s="6">
        <v>0.22361111111111112</v>
      </c>
      <c r="D191" s="7">
        <v>322</v>
      </c>
      <c r="E191" s="4" t="s">
        <v>14</v>
      </c>
      <c r="F191" s="4">
        <v>1</v>
      </c>
      <c r="G191" s="8" t="s">
        <v>15</v>
      </c>
      <c r="H191" s="9" t="s">
        <v>16</v>
      </c>
      <c r="I191" s="4">
        <v>1</v>
      </c>
      <c r="J191"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1" s="4" t="str">
        <f t="shared" si="5"/>
        <v/>
      </c>
      <c r="N191" s="4" cm="1">
        <f t="array" ref="N191">SUM(--(_xlfn.TEXTSPLIT($J$2,, " ") = M191))</f>
        <v>56</v>
      </c>
      <c r="O191">
        <v>56</v>
      </c>
      <c r="P191">
        <v>0</v>
      </c>
      <c r="Q191">
        <v>56</v>
      </c>
      <c r="R191" s="4"/>
      <c r="S191" s="10"/>
    </row>
    <row r="192" spans="1:19" x14ac:dyDescent="0.2">
      <c r="A192" s="4">
        <v>1</v>
      </c>
      <c r="B192" s="5">
        <v>45912</v>
      </c>
      <c r="C192" s="6">
        <v>0.22361111111111112</v>
      </c>
      <c r="D192" s="7">
        <v>322</v>
      </c>
      <c r="E192" s="4" t="s">
        <v>14</v>
      </c>
      <c r="F192" s="4">
        <v>1</v>
      </c>
      <c r="G192" s="8" t="s">
        <v>15</v>
      </c>
      <c r="H192" s="9" t="s">
        <v>16</v>
      </c>
      <c r="I192" s="4">
        <v>1</v>
      </c>
      <c r="J192"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2" s="4" t="str">
        <f t="shared" si="5"/>
        <v/>
      </c>
      <c r="N192" s="4" cm="1">
        <f t="array" ref="N192">SUM(--(_xlfn.TEXTSPLIT($J$2,, " ") = M192))</f>
        <v>56</v>
      </c>
      <c r="O192">
        <v>56</v>
      </c>
      <c r="P192">
        <v>0</v>
      </c>
      <c r="Q192">
        <v>56</v>
      </c>
      <c r="R192" s="4"/>
      <c r="S192" s="10"/>
    </row>
    <row r="193" spans="1:19" x14ac:dyDescent="0.2">
      <c r="A193" s="4">
        <v>1</v>
      </c>
      <c r="B193" s="5">
        <v>45912</v>
      </c>
      <c r="C193" s="6">
        <v>0.22361111111111112</v>
      </c>
      <c r="D193" s="7">
        <v>322</v>
      </c>
      <c r="E193" s="4" t="s">
        <v>14</v>
      </c>
      <c r="F193" s="4">
        <v>1</v>
      </c>
      <c r="G193" s="8" t="s">
        <v>15</v>
      </c>
      <c r="H193" s="9" t="s">
        <v>16</v>
      </c>
      <c r="I193" s="4">
        <v>1</v>
      </c>
      <c r="J193"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3" s="4" t="str">
        <f t="shared" si="5"/>
        <v/>
      </c>
      <c r="N193" s="4" cm="1">
        <f t="array" ref="N193">SUM(--(_xlfn.TEXTSPLIT($J$2,, " ") = M193))</f>
        <v>56</v>
      </c>
      <c r="O193">
        <v>56</v>
      </c>
      <c r="P193">
        <v>0</v>
      </c>
      <c r="Q193">
        <v>56</v>
      </c>
      <c r="R193" s="4"/>
      <c r="S193" s="10"/>
    </row>
    <row r="194" spans="1:19" x14ac:dyDescent="0.2">
      <c r="A194" s="4">
        <v>1</v>
      </c>
      <c r="B194" s="5">
        <v>45912</v>
      </c>
      <c r="C194" s="6">
        <v>0.22361111111111112</v>
      </c>
      <c r="D194" s="7">
        <v>322</v>
      </c>
      <c r="E194" s="4" t="s">
        <v>14</v>
      </c>
      <c r="F194" s="4">
        <v>1</v>
      </c>
      <c r="G194" s="8" t="s">
        <v>15</v>
      </c>
      <c r="H194" s="9" t="s">
        <v>16</v>
      </c>
      <c r="I194" s="4">
        <v>1</v>
      </c>
      <c r="J194" s="4" t="str">
        <f t="shared" si="4"/>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4" s="4" t="str">
        <f t="shared" si="5"/>
        <v/>
      </c>
      <c r="N194" s="4" cm="1">
        <f t="array" ref="N194">SUM(--(_xlfn.TEXTSPLIT($J$2,, " ") = M194))</f>
        <v>56</v>
      </c>
      <c r="O194">
        <v>56</v>
      </c>
      <c r="P194">
        <v>0</v>
      </c>
      <c r="Q194">
        <v>56</v>
      </c>
      <c r="R194" s="4"/>
      <c r="S194" s="10"/>
    </row>
    <row r="195" spans="1:19" x14ac:dyDescent="0.2">
      <c r="A195" s="4">
        <v>1</v>
      </c>
      <c r="B195" s="5">
        <v>45912</v>
      </c>
      <c r="C195" s="6">
        <v>0.22361111111111112</v>
      </c>
      <c r="D195" s="7">
        <v>322</v>
      </c>
      <c r="E195" s="4" t="s">
        <v>14</v>
      </c>
      <c r="F195" s="4">
        <v>1</v>
      </c>
      <c r="G195" s="8" t="s">
        <v>15</v>
      </c>
      <c r="H195" s="9" t="s">
        <v>16</v>
      </c>
      <c r="I195" s="4">
        <v>1</v>
      </c>
      <c r="J195" s="4" t="str">
        <f t="shared" ref="J195:J258" si="6">_xlfn.TEXTJOIN(" ", TRUE, H195:H208)</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5" s="4" t="str">
        <f t="shared" si="5"/>
        <v/>
      </c>
      <c r="N195" s="4" cm="1">
        <f t="array" ref="N195">SUM(--(_xlfn.TEXTSPLIT($J$2,, " ") = M195))</f>
        <v>56</v>
      </c>
      <c r="O195">
        <v>56</v>
      </c>
      <c r="P195">
        <v>0</v>
      </c>
      <c r="Q195">
        <v>56</v>
      </c>
      <c r="R195" s="4"/>
      <c r="S195" s="10"/>
    </row>
    <row r="196" spans="1:19" x14ac:dyDescent="0.2">
      <c r="A196" s="4">
        <v>1</v>
      </c>
      <c r="B196" s="5">
        <v>45912</v>
      </c>
      <c r="C196" s="6">
        <v>0.22361111111111112</v>
      </c>
      <c r="D196" s="7">
        <v>322</v>
      </c>
      <c r="E196" s="4" t="s">
        <v>14</v>
      </c>
      <c r="F196" s="4">
        <v>1</v>
      </c>
      <c r="G196" s="8" t="s">
        <v>15</v>
      </c>
      <c r="H196" s="9" t="s">
        <v>16</v>
      </c>
      <c r="I196" s="4">
        <v>1</v>
      </c>
      <c r="J19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6" s="4" t="str">
        <f t="shared" ref="L196:L259" si="7">_xlfn.REGEXREPLACE(K196, "[^A-Za-z ]", " ")</f>
        <v/>
      </c>
      <c r="N196" s="4" cm="1">
        <f t="array" ref="N196">SUM(--(_xlfn.TEXTSPLIT($J$2,, " ") = M196))</f>
        <v>56</v>
      </c>
      <c r="O196">
        <v>56</v>
      </c>
      <c r="P196">
        <v>0</v>
      </c>
      <c r="Q196">
        <v>56</v>
      </c>
      <c r="R196" s="4"/>
      <c r="S196" s="10"/>
    </row>
    <row r="197" spans="1:19" x14ac:dyDescent="0.2">
      <c r="A197" s="4">
        <v>1</v>
      </c>
      <c r="B197" s="5">
        <v>45912</v>
      </c>
      <c r="C197" s="6">
        <v>0.22361111111111112</v>
      </c>
      <c r="D197" s="7">
        <v>322</v>
      </c>
      <c r="E197" s="4" t="s">
        <v>14</v>
      </c>
      <c r="F197" s="4">
        <v>1</v>
      </c>
      <c r="G197" s="8" t="s">
        <v>15</v>
      </c>
      <c r="H197" s="9" t="s">
        <v>16</v>
      </c>
      <c r="I197" s="4">
        <v>1</v>
      </c>
      <c r="J19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7" s="4" t="str">
        <f t="shared" si="7"/>
        <v/>
      </c>
      <c r="N197" s="4" cm="1">
        <f t="array" ref="N197">SUM(--(_xlfn.TEXTSPLIT($J$2,, " ") = M197))</f>
        <v>56</v>
      </c>
      <c r="O197">
        <v>56</v>
      </c>
      <c r="P197">
        <v>0</v>
      </c>
      <c r="Q197">
        <v>56</v>
      </c>
      <c r="R197" s="4"/>
      <c r="S197" s="10"/>
    </row>
    <row r="198" spans="1:19" x14ac:dyDescent="0.2">
      <c r="A198" s="4">
        <v>1</v>
      </c>
      <c r="B198" s="5">
        <v>45912</v>
      </c>
      <c r="C198" s="6">
        <v>0.22361111111111112</v>
      </c>
      <c r="D198" s="7">
        <v>322</v>
      </c>
      <c r="E198" s="4" t="s">
        <v>14</v>
      </c>
      <c r="F198" s="4">
        <v>1</v>
      </c>
      <c r="G198" s="8" t="s">
        <v>15</v>
      </c>
      <c r="H198" s="9" t="s">
        <v>16</v>
      </c>
      <c r="I198" s="4">
        <v>1</v>
      </c>
      <c r="J19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8" s="4" t="str">
        <f t="shared" si="7"/>
        <v/>
      </c>
      <c r="N198" s="4" cm="1">
        <f t="array" ref="N198">SUM(--(_xlfn.TEXTSPLIT($J$2,, " ") = M198))</f>
        <v>56</v>
      </c>
      <c r="O198">
        <v>56</v>
      </c>
      <c r="P198">
        <v>0</v>
      </c>
      <c r="Q198">
        <v>56</v>
      </c>
      <c r="R198" s="4"/>
      <c r="S198" s="10"/>
    </row>
    <row r="199" spans="1:19" x14ac:dyDescent="0.2">
      <c r="A199" s="4">
        <v>1</v>
      </c>
      <c r="B199" s="5">
        <v>45912</v>
      </c>
      <c r="C199" s="6">
        <v>0.22361111111111112</v>
      </c>
      <c r="D199" s="7">
        <v>322</v>
      </c>
      <c r="E199" s="4" t="s">
        <v>14</v>
      </c>
      <c r="F199" s="4">
        <v>1</v>
      </c>
      <c r="G199" s="8" t="s">
        <v>15</v>
      </c>
      <c r="H199" s="9" t="s">
        <v>16</v>
      </c>
      <c r="I199" s="4">
        <v>1</v>
      </c>
      <c r="J19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199" s="4" t="str">
        <f t="shared" si="7"/>
        <v/>
      </c>
      <c r="N199" s="4" cm="1">
        <f t="array" ref="N199">SUM(--(_xlfn.TEXTSPLIT($J$2,, " ") = M199))</f>
        <v>56</v>
      </c>
      <c r="O199">
        <v>56</v>
      </c>
      <c r="P199">
        <v>0</v>
      </c>
      <c r="Q199">
        <v>56</v>
      </c>
      <c r="R199" s="4"/>
      <c r="S199" s="10"/>
    </row>
    <row r="200" spans="1:19" x14ac:dyDescent="0.2">
      <c r="A200" s="4">
        <v>1</v>
      </c>
      <c r="B200" s="5">
        <v>45912</v>
      </c>
      <c r="C200" s="6">
        <v>0.22361111111111112</v>
      </c>
      <c r="D200" s="7">
        <v>322</v>
      </c>
      <c r="E200" s="4" t="s">
        <v>14</v>
      </c>
      <c r="F200" s="4">
        <v>1</v>
      </c>
      <c r="G200" s="8" t="s">
        <v>15</v>
      </c>
      <c r="H200" s="9" t="s">
        <v>16</v>
      </c>
      <c r="I200" s="4">
        <v>1</v>
      </c>
      <c r="J20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0" s="4" t="str">
        <f t="shared" si="7"/>
        <v/>
      </c>
      <c r="N200" s="4" cm="1">
        <f t="array" ref="N200">SUM(--(_xlfn.TEXTSPLIT($J$2,, " ") = M200))</f>
        <v>56</v>
      </c>
      <c r="O200">
        <v>56</v>
      </c>
      <c r="P200">
        <v>0</v>
      </c>
      <c r="Q200">
        <v>56</v>
      </c>
      <c r="R200" s="4"/>
      <c r="S200" s="10"/>
    </row>
    <row r="201" spans="1:19" x14ac:dyDescent="0.2">
      <c r="A201" s="4">
        <v>1</v>
      </c>
      <c r="B201" s="5">
        <v>45912</v>
      </c>
      <c r="C201" s="6">
        <v>0.22361111111111112</v>
      </c>
      <c r="D201" s="7">
        <v>322</v>
      </c>
      <c r="E201" s="4" t="s">
        <v>14</v>
      </c>
      <c r="F201" s="4">
        <v>1</v>
      </c>
      <c r="G201" s="8" t="s">
        <v>15</v>
      </c>
      <c r="H201" s="9" t="s">
        <v>16</v>
      </c>
      <c r="I201" s="4">
        <v>1</v>
      </c>
      <c r="J20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1" s="4" t="str">
        <f t="shared" si="7"/>
        <v/>
      </c>
      <c r="N201" s="4" cm="1">
        <f t="array" ref="N201">SUM(--(_xlfn.TEXTSPLIT($J$2,, " ") = M201))</f>
        <v>56</v>
      </c>
      <c r="O201">
        <v>56</v>
      </c>
      <c r="P201">
        <v>0</v>
      </c>
      <c r="Q201">
        <v>56</v>
      </c>
      <c r="R201" s="4"/>
      <c r="S201" s="10"/>
    </row>
    <row r="202" spans="1:19" x14ac:dyDescent="0.2">
      <c r="A202" s="4">
        <v>1</v>
      </c>
      <c r="B202" s="5">
        <v>45912</v>
      </c>
      <c r="C202" s="6">
        <v>0.22361111111111112</v>
      </c>
      <c r="D202" s="7">
        <v>322</v>
      </c>
      <c r="E202" s="4" t="s">
        <v>14</v>
      </c>
      <c r="F202" s="4">
        <v>1</v>
      </c>
      <c r="G202" s="8" t="s">
        <v>15</v>
      </c>
      <c r="H202" s="9" t="s">
        <v>16</v>
      </c>
      <c r="I202" s="4">
        <v>1</v>
      </c>
      <c r="J20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2" s="4" t="str">
        <f t="shared" si="7"/>
        <v/>
      </c>
      <c r="N202" s="4" cm="1">
        <f t="array" ref="N202">SUM(--(_xlfn.TEXTSPLIT($J$2,, " ") = M202))</f>
        <v>56</v>
      </c>
      <c r="O202">
        <v>56</v>
      </c>
      <c r="P202">
        <v>0</v>
      </c>
      <c r="Q202">
        <v>56</v>
      </c>
      <c r="R202" s="4"/>
      <c r="S202" s="10"/>
    </row>
    <row r="203" spans="1:19" x14ac:dyDescent="0.2">
      <c r="A203" s="4">
        <v>1</v>
      </c>
      <c r="B203" s="5">
        <v>45912</v>
      </c>
      <c r="C203" s="6">
        <v>0.22361111111111112</v>
      </c>
      <c r="D203" s="7">
        <v>322</v>
      </c>
      <c r="E203" s="4" t="s">
        <v>14</v>
      </c>
      <c r="F203" s="4">
        <v>1</v>
      </c>
      <c r="G203" s="8" t="s">
        <v>15</v>
      </c>
      <c r="H203" s="9" t="s">
        <v>16</v>
      </c>
      <c r="I203" s="4">
        <v>1</v>
      </c>
      <c r="J20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3" s="4" t="str">
        <f t="shared" si="7"/>
        <v/>
      </c>
      <c r="N203" s="4" cm="1">
        <f t="array" ref="N203">SUM(--(_xlfn.TEXTSPLIT($J$2,, " ") = M203))</f>
        <v>56</v>
      </c>
      <c r="O203">
        <v>56</v>
      </c>
      <c r="P203">
        <v>0</v>
      </c>
      <c r="Q203">
        <v>56</v>
      </c>
      <c r="R203" s="4"/>
      <c r="S203" s="10"/>
    </row>
    <row r="204" spans="1:19" x14ac:dyDescent="0.2">
      <c r="A204" s="4">
        <v>1</v>
      </c>
      <c r="B204" s="5">
        <v>45912</v>
      </c>
      <c r="C204" s="6">
        <v>0.22361111111111112</v>
      </c>
      <c r="D204" s="7">
        <v>322</v>
      </c>
      <c r="E204" s="4" t="s">
        <v>14</v>
      </c>
      <c r="F204" s="4">
        <v>1</v>
      </c>
      <c r="G204" s="8" t="s">
        <v>15</v>
      </c>
      <c r="H204" s="9" t="s">
        <v>16</v>
      </c>
      <c r="I204" s="4">
        <v>1</v>
      </c>
      <c r="J20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4" s="4" t="str">
        <f t="shared" si="7"/>
        <v/>
      </c>
      <c r="N204" s="4" cm="1">
        <f t="array" ref="N204">SUM(--(_xlfn.TEXTSPLIT($J$2,, " ") = M204))</f>
        <v>56</v>
      </c>
      <c r="O204">
        <v>56</v>
      </c>
      <c r="P204">
        <v>0</v>
      </c>
      <c r="Q204">
        <v>56</v>
      </c>
      <c r="R204" s="4"/>
      <c r="S204" s="10"/>
    </row>
    <row r="205" spans="1:19" x14ac:dyDescent="0.2">
      <c r="A205" s="4">
        <v>1</v>
      </c>
      <c r="B205" s="5">
        <v>45912</v>
      </c>
      <c r="C205" s="6">
        <v>0.22361111111111112</v>
      </c>
      <c r="D205" s="7">
        <v>322</v>
      </c>
      <c r="E205" s="4" t="s">
        <v>14</v>
      </c>
      <c r="F205" s="4">
        <v>1</v>
      </c>
      <c r="G205" s="8" t="s">
        <v>15</v>
      </c>
      <c r="H205" s="9" t="s">
        <v>16</v>
      </c>
      <c r="I205" s="4">
        <v>1</v>
      </c>
      <c r="J20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5" s="4" t="str">
        <f t="shared" si="7"/>
        <v/>
      </c>
      <c r="N205" s="4" cm="1">
        <f t="array" ref="N205">SUM(--(_xlfn.TEXTSPLIT($J$2,, " ") = M205))</f>
        <v>56</v>
      </c>
      <c r="O205">
        <v>56</v>
      </c>
      <c r="P205">
        <v>0</v>
      </c>
      <c r="Q205">
        <v>56</v>
      </c>
      <c r="R205" s="4"/>
      <c r="S205" s="10"/>
    </row>
    <row r="206" spans="1:19" x14ac:dyDescent="0.2">
      <c r="A206" s="4">
        <v>1</v>
      </c>
      <c r="B206" s="5">
        <v>45912</v>
      </c>
      <c r="C206" s="6">
        <v>0.22361111111111112</v>
      </c>
      <c r="D206" s="7">
        <v>322</v>
      </c>
      <c r="E206" s="4" t="s">
        <v>14</v>
      </c>
      <c r="F206" s="4">
        <v>1</v>
      </c>
      <c r="G206" s="8" t="s">
        <v>15</v>
      </c>
      <c r="H206" s="9" t="s">
        <v>16</v>
      </c>
      <c r="I206" s="4">
        <v>1</v>
      </c>
      <c r="J20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6" s="4" t="str">
        <f t="shared" si="7"/>
        <v/>
      </c>
      <c r="N206" s="4" cm="1">
        <f t="array" ref="N206">SUM(--(_xlfn.TEXTSPLIT($J$2,, " ") = M206))</f>
        <v>56</v>
      </c>
      <c r="O206">
        <v>56</v>
      </c>
      <c r="P206">
        <v>0</v>
      </c>
      <c r="Q206">
        <v>56</v>
      </c>
      <c r="R206" s="4"/>
      <c r="S206" s="10"/>
    </row>
    <row r="207" spans="1:19" x14ac:dyDescent="0.2">
      <c r="A207" s="4">
        <v>1</v>
      </c>
      <c r="B207" s="5">
        <v>45912</v>
      </c>
      <c r="C207" s="6">
        <v>0.22361111111111112</v>
      </c>
      <c r="D207" s="7">
        <v>322</v>
      </c>
      <c r="E207" s="4" t="s">
        <v>14</v>
      </c>
      <c r="F207" s="4">
        <v>1</v>
      </c>
      <c r="G207" s="8" t="s">
        <v>15</v>
      </c>
      <c r="H207" s="9" t="s">
        <v>16</v>
      </c>
      <c r="I207" s="4">
        <v>1</v>
      </c>
      <c r="J20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7" s="4" t="str">
        <f t="shared" si="7"/>
        <v/>
      </c>
      <c r="N207" s="4" cm="1">
        <f t="array" ref="N207">SUM(--(_xlfn.TEXTSPLIT($J$2,, " ") = M207))</f>
        <v>56</v>
      </c>
      <c r="O207">
        <v>56</v>
      </c>
      <c r="P207">
        <v>0</v>
      </c>
      <c r="Q207">
        <v>56</v>
      </c>
      <c r="R207" s="4"/>
      <c r="S207" s="10"/>
    </row>
    <row r="208" spans="1:19" x14ac:dyDescent="0.2">
      <c r="A208" s="4">
        <v>1</v>
      </c>
      <c r="B208" s="5">
        <v>45912</v>
      </c>
      <c r="C208" s="6">
        <v>0.22361111111111112</v>
      </c>
      <c r="D208" s="7">
        <v>322</v>
      </c>
      <c r="E208" s="4" t="s">
        <v>14</v>
      </c>
      <c r="F208" s="4">
        <v>1</v>
      </c>
      <c r="G208" s="8" t="s">
        <v>15</v>
      </c>
      <c r="H208" s="9" t="s">
        <v>16</v>
      </c>
      <c r="I208" s="4">
        <v>1</v>
      </c>
      <c r="J20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8" s="4" t="str">
        <f t="shared" si="7"/>
        <v/>
      </c>
      <c r="N208" s="4" cm="1">
        <f t="array" ref="N208">SUM(--(_xlfn.TEXTSPLIT($J$2,, " ") = M208))</f>
        <v>56</v>
      </c>
      <c r="O208">
        <v>56</v>
      </c>
      <c r="P208">
        <v>0</v>
      </c>
      <c r="Q208">
        <v>56</v>
      </c>
      <c r="R208" s="4"/>
      <c r="S208" s="10"/>
    </row>
    <row r="209" spans="1:19" x14ac:dyDescent="0.2">
      <c r="A209" s="4">
        <v>1</v>
      </c>
      <c r="B209" s="5">
        <v>45912</v>
      </c>
      <c r="C209" s="6">
        <v>0.22361111111111112</v>
      </c>
      <c r="D209" s="7">
        <v>322</v>
      </c>
      <c r="E209" s="4" t="s">
        <v>14</v>
      </c>
      <c r="F209" s="4">
        <v>1</v>
      </c>
      <c r="G209" s="8" t="s">
        <v>15</v>
      </c>
      <c r="H209" s="9" t="s">
        <v>16</v>
      </c>
      <c r="I209" s="4">
        <v>1</v>
      </c>
      <c r="J20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09" s="4" t="str">
        <f t="shared" si="7"/>
        <v/>
      </c>
      <c r="N209" s="4" cm="1">
        <f t="array" ref="N209">SUM(--(_xlfn.TEXTSPLIT($J$2,, " ") = M209))</f>
        <v>56</v>
      </c>
      <c r="O209">
        <v>56</v>
      </c>
      <c r="P209">
        <v>0</v>
      </c>
      <c r="Q209">
        <v>56</v>
      </c>
      <c r="R209" s="4"/>
      <c r="S209" s="10"/>
    </row>
    <row r="210" spans="1:19" x14ac:dyDescent="0.2">
      <c r="A210" s="4">
        <v>1</v>
      </c>
      <c r="B210" s="5">
        <v>45912</v>
      </c>
      <c r="C210" s="6">
        <v>0.22361111111111112</v>
      </c>
      <c r="D210" s="7">
        <v>322</v>
      </c>
      <c r="E210" s="4" t="s">
        <v>14</v>
      </c>
      <c r="F210" s="4">
        <v>1</v>
      </c>
      <c r="G210" s="8" t="s">
        <v>15</v>
      </c>
      <c r="H210" s="9" t="s">
        <v>16</v>
      </c>
      <c r="I210" s="4">
        <v>1</v>
      </c>
      <c r="J21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0" s="4" t="str">
        <f t="shared" si="7"/>
        <v/>
      </c>
      <c r="N210" s="4" cm="1">
        <f t="array" ref="N210">SUM(--(_xlfn.TEXTSPLIT($J$2,, " ") = M210))</f>
        <v>56</v>
      </c>
      <c r="O210">
        <v>56</v>
      </c>
      <c r="P210">
        <v>0</v>
      </c>
      <c r="Q210">
        <v>56</v>
      </c>
      <c r="R210" s="4"/>
      <c r="S210" s="10"/>
    </row>
    <row r="211" spans="1:19" x14ac:dyDescent="0.2">
      <c r="A211" s="4">
        <v>1</v>
      </c>
      <c r="B211" s="5">
        <v>45912</v>
      </c>
      <c r="C211" s="6">
        <v>0.22361111111111112</v>
      </c>
      <c r="D211" s="7">
        <v>322</v>
      </c>
      <c r="E211" s="4" t="s">
        <v>14</v>
      </c>
      <c r="F211" s="4">
        <v>1</v>
      </c>
      <c r="G211" s="8" t="s">
        <v>15</v>
      </c>
      <c r="H211" s="9" t="s">
        <v>16</v>
      </c>
      <c r="I211" s="4">
        <v>1</v>
      </c>
      <c r="J21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1" s="4" t="str">
        <f t="shared" si="7"/>
        <v/>
      </c>
      <c r="N211" s="4" cm="1">
        <f t="array" ref="N211">SUM(--(_xlfn.TEXTSPLIT($J$2,, " ") = M211))</f>
        <v>56</v>
      </c>
      <c r="O211">
        <v>56</v>
      </c>
      <c r="P211">
        <v>0</v>
      </c>
      <c r="Q211">
        <v>56</v>
      </c>
      <c r="R211" s="4"/>
      <c r="S211" s="10"/>
    </row>
    <row r="212" spans="1:19" x14ac:dyDescent="0.2">
      <c r="A212" s="4">
        <v>1</v>
      </c>
      <c r="B212" s="5">
        <v>45912</v>
      </c>
      <c r="C212" s="6">
        <v>0.22361111111111112</v>
      </c>
      <c r="D212" s="7">
        <v>322</v>
      </c>
      <c r="E212" s="4" t="s">
        <v>14</v>
      </c>
      <c r="F212" s="4">
        <v>1</v>
      </c>
      <c r="G212" s="8" t="s">
        <v>15</v>
      </c>
      <c r="H212" s="9" t="s">
        <v>16</v>
      </c>
      <c r="I212" s="4">
        <v>1</v>
      </c>
      <c r="J21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2" s="4" t="str">
        <f t="shared" si="7"/>
        <v/>
      </c>
      <c r="N212" s="4" cm="1">
        <f t="array" ref="N212">SUM(--(_xlfn.TEXTSPLIT($J$2,, " ") = M212))</f>
        <v>56</v>
      </c>
      <c r="O212">
        <v>56</v>
      </c>
      <c r="P212">
        <v>0</v>
      </c>
      <c r="Q212">
        <v>56</v>
      </c>
      <c r="R212" s="4"/>
      <c r="S212" s="10"/>
    </row>
    <row r="213" spans="1:19" x14ac:dyDescent="0.2">
      <c r="A213" s="4">
        <v>1</v>
      </c>
      <c r="B213" s="5">
        <v>45912</v>
      </c>
      <c r="C213" s="6">
        <v>0.22361111111111112</v>
      </c>
      <c r="D213" s="7">
        <v>322</v>
      </c>
      <c r="E213" s="4" t="s">
        <v>14</v>
      </c>
      <c r="F213" s="4">
        <v>1</v>
      </c>
      <c r="G213" s="8" t="s">
        <v>15</v>
      </c>
      <c r="H213" s="9" t="s">
        <v>16</v>
      </c>
      <c r="I213" s="4">
        <v>1</v>
      </c>
      <c r="J21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3" s="4" t="str">
        <f t="shared" si="7"/>
        <v/>
      </c>
      <c r="N213" s="4" cm="1">
        <f t="array" ref="N213">SUM(--(_xlfn.TEXTSPLIT($J$2,, " ") = M213))</f>
        <v>56</v>
      </c>
      <c r="O213">
        <v>56</v>
      </c>
      <c r="P213">
        <v>0</v>
      </c>
      <c r="Q213">
        <v>56</v>
      </c>
      <c r="R213" s="4"/>
      <c r="S213" s="10"/>
    </row>
    <row r="214" spans="1:19" x14ac:dyDescent="0.2">
      <c r="A214" s="4">
        <v>1</v>
      </c>
      <c r="B214" s="5">
        <v>45912</v>
      </c>
      <c r="C214" s="6">
        <v>0.22361111111111112</v>
      </c>
      <c r="D214" s="7">
        <v>322</v>
      </c>
      <c r="E214" s="4" t="s">
        <v>14</v>
      </c>
      <c r="F214" s="4">
        <v>1</v>
      </c>
      <c r="G214" s="8" t="s">
        <v>15</v>
      </c>
      <c r="H214" s="9" t="s">
        <v>16</v>
      </c>
      <c r="I214" s="4">
        <v>1</v>
      </c>
      <c r="J21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4" s="4" t="str">
        <f t="shared" si="7"/>
        <v/>
      </c>
      <c r="N214" s="4" cm="1">
        <f t="array" ref="N214">SUM(--(_xlfn.TEXTSPLIT($J$2,, " ") = M214))</f>
        <v>56</v>
      </c>
      <c r="O214">
        <v>56</v>
      </c>
      <c r="P214">
        <v>0</v>
      </c>
      <c r="Q214">
        <v>56</v>
      </c>
      <c r="R214" s="4"/>
      <c r="S214" s="10"/>
    </row>
    <row r="215" spans="1:19" x14ac:dyDescent="0.2">
      <c r="A215" s="4">
        <v>1</v>
      </c>
      <c r="B215" s="5">
        <v>45912</v>
      </c>
      <c r="C215" s="6">
        <v>0.22361111111111112</v>
      </c>
      <c r="D215" s="7">
        <v>322</v>
      </c>
      <c r="E215" s="4" t="s">
        <v>14</v>
      </c>
      <c r="F215" s="4">
        <v>1</v>
      </c>
      <c r="G215" s="8" t="s">
        <v>15</v>
      </c>
      <c r="H215" s="9" t="s">
        <v>16</v>
      </c>
      <c r="I215" s="4">
        <v>1</v>
      </c>
      <c r="J21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5" s="4" t="str">
        <f t="shared" si="7"/>
        <v/>
      </c>
      <c r="N215" s="4" cm="1">
        <f t="array" ref="N215">SUM(--(_xlfn.TEXTSPLIT($J$2,, " ") = M215))</f>
        <v>56</v>
      </c>
      <c r="O215">
        <v>56</v>
      </c>
      <c r="P215">
        <v>0</v>
      </c>
      <c r="Q215">
        <v>56</v>
      </c>
      <c r="R215" s="4"/>
      <c r="S215" s="10"/>
    </row>
    <row r="216" spans="1:19" x14ac:dyDescent="0.2">
      <c r="A216" s="4">
        <v>1</v>
      </c>
      <c r="B216" s="5">
        <v>45912</v>
      </c>
      <c r="C216" s="6">
        <v>0.22361111111111112</v>
      </c>
      <c r="D216" s="7">
        <v>322</v>
      </c>
      <c r="E216" s="4" t="s">
        <v>14</v>
      </c>
      <c r="F216" s="4">
        <v>1</v>
      </c>
      <c r="G216" s="8" t="s">
        <v>15</v>
      </c>
      <c r="H216" s="9" t="s">
        <v>16</v>
      </c>
      <c r="I216" s="4">
        <v>1</v>
      </c>
      <c r="J21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6" s="4" t="str">
        <f t="shared" si="7"/>
        <v/>
      </c>
      <c r="N216" s="4" cm="1">
        <f t="array" ref="N216">SUM(--(_xlfn.TEXTSPLIT($J$2,, " ") = M216))</f>
        <v>56</v>
      </c>
      <c r="O216">
        <v>56</v>
      </c>
      <c r="P216">
        <v>0</v>
      </c>
      <c r="Q216">
        <v>56</v>
      </c>
      <c r="R216" s="4"/>
      <c r="S216" s="10"/>
    </row>
    <row r="217" spans="1:19" x14ac:dyDescent="0.2">
      <c r="A217" s="4">
        <v>1</v>
      </c>
      <c r="B217" s="5">
        <v>45912</v>
      </c>
      <c r="C217" s="6">
        <v>0.22361111111111112</v>
      </c>
      <c r="D217" s="7">
        <v>322</v>
      </c>
      <c r="E217" s="4" t="s">
        <v>14</v>
      </c>
      <c r="F217" s="4">
        <v>1</v>
      </c>
      <c r="G217" s="8" t="s">
        <v>15</v>
      </c>
      <c r="H217" s="9" t="s">
        <v>16</v>
      </c>
      <c r="I217" s="4">
        <v>1</v>
      </c>
      <c r="J21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7" s="4" t="str">
        <f t="shared" si="7"/>
        <v/>
      </c>
      <c r="N217" s="4" cm="1">
        <f t="array" ref="N217">SUM(--(_xlfn.TEXTSPLIT($J$2,, " ") = M217))</f>
        <v>56</v>
      </c>
      <c r="O217">
        <v>56</v>
      </c>
      <c r="P217">
        <v>0</v>
      </c>
      <c r="Q217">
        <v>56</v>
      </c>
      <c r="R217" s="4"/>
      <c r="S217" s="10"/>
    </row>
    <row r="218" spans="1:19" x14ac:dyDescent="0.2">
      <c r="A218" s="4">
        <v>1</v>
      </c>
      <c r="B218" s="5">
        <v>45912</v>
      </c>
      <c r="C218" s="6">
        <v>0.22361111111111112</v>
      </c>
      <c r="D218" s="7">
        <v>322</v>
      </c>
      <c r="E218" s="4" t="s">
        <v>14</v>
      </c>
      <c r="F218" s="4">
        <v>1</v>
      </c>
      <c r="G218" s="8" t="s">
        <v>15</v>
      </c>
      <c r="H218" s="9" t="s">
        <v>16</v>
      </c>
      <c r="I218" s="4">
        <v>1</v>
      </c>
      <c r="J21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8" s="4" t="str">
        <f t="shared" si="7"/>
        <v/>
      </c>
      <c r="N218" s="4" cm="1">
        <f t="array" ref="N218">SUM(--(_xlfn.TEXTSPLIT($J$2,, " ") = M218))</f>
        <v>56</v>
      </c>
      <c r="O218">
        <v>56</v>
      </c>
      <c r="P218">
        <v>0</v>
      </c>
      <c r="Q218">
        <v>56</v>
      </c>
      <c r="R218" s="4"/>
      <c r="S218" s="10"/>
    </row>
    <row r="219" spans="1:19" x14ac:dyDescent="0.2">
      <c r="A219" s="4">
        <v>1</v>
      </c>
      <c r="B219" s="5">
        <v>45912</v>
      </c>
      <c r="C219" s="6">
        <v>0.22361111111111112</v>
      </c>
      <c r="D219" s="7">
        <v>322</v>
      </c>
      <c r="E219" s="4" t="s">
        <v>14</v>
      </c>
      <c r="F219" s="4">
        <v>1</v>
      </c>
      <c r="G219" s="8" t="s">
        <v>15</v>
      </c>
      <c r="H219" s="9" t="s">
        <v>16</v>
      </c>
      <c r="I219" s="4">
        <v>1</v>
      </c>
      <c r="J21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19" s="4" t="str">
        <f t="shared" si="7"/>
        <v/>
      </c>
      <c r="N219" s="4" cm="1">
        <f t="array" ref="N219">SUM(--(_xlfn.TEXTSPLIT($J$2,, " ") = M219))</f>
        <v>56</v>
      </c>
      <c r="O219">
        <v>56</v>
      </c>
      <c r="P219">
        <v>0</v>
      </c>
      <c r="Q219">
        <v>56</v>
      </c>
      <c r="R219" s="4"/>
      <c r="S219" s="10"/>
    </row>
    <row r="220" spans="1:19" x14ac:dyDescent="0.2">
      <c r="A220" s="4">
        <v>1</v>
      </c>
      <c r="B220" s="5">
        <v>45912</v>
      </c>
      <c r="C220" s="6">
        <v>0.22361111111111112</v>
      </c>
      <c r="D220" s="7">
        <v>322</v>
      </c>
      <c r="E220" s="4" t="s">
        <v>14</v>
      </c>
      <c r="F220" s="4">
        <v>1</v>
      </c>
      <c r="G220" s="8" t="s">
        <v>15</v>
      </c>
      <c r="H220" s="9" t="s">
        <v>16</v>
      </c>
      <c r="I220" s="4">
        <v>1</v>
      </c>
      <c r="J22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0" s="4" t="str">
        <f t="shared" si="7"/>
        <v/>
      </c>
      <c r="N220" s="4" cm="1">
        <f t="array" ref="N220">SUM(--(_xlfn.TEXTSPLIT($J$2,, " ") = M220))</f>
        <v>56</v>
      </c>
      <c r="O220">
        <v>56</v>
      </c>
      <c r="P220">
        <v>0</v>
      </c>
      <c r="Q220">
        <v>56</v>
      </c>
      <c r="R220" s="4"/>
      <c r="S220" s="10"/>
    </row>
    <row r="221" spans="1:19" x14ac:dyDescent="0.2">
      <c r="A221" s="4">
        <v>1</v>
      </c>
      <c r="B221" s="5">
        <v>45912</v>
      </c>
      <c r="C221" s="6">
        <v>0.22361111111111112</v>
      </c>
      <c r="D221" s="7">
        <v>322</v>
      </c>
      <c r="E221" s="4" t="s">
        <v>14</v>
      </c>
      <c r="F221" s="4">
        <v>1</v>
      </c>
      <c r="G221" s="8" t="s">
        <v>15</v>
      </c>
      <c r="H221" s="9" t="s">
        <v>16</v>
      </c>
      <c r="I221" s="4">
        <v>1</v>
      </c>
      <c r="J22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1" s="4" t="str">
        <f t="shared" si="7"/>
        <v/>
      </c>
      <c r="N221" s="4" cm="1">
        <f t="array" ref="N221">SUM(--(_xlfn.TEXTSPLIT($J$2,, " ") = M221))</f>
        <v>56</v>
      </c>
      <c r="O221">
        <v>56</v>
      </c>
      <c r="P221">
        <v>0</v>
      </c>
      <c r="Q221">
        <v>56</v>
      </c>
      <c r="R221" s="4"/>
      <c r="S221" s="10"/>
    </row>
    <row r="222" spans="1:19" x14ac:dyDescent="0.2">
      <c r="A222" s="4">
        <v>1</v>
      </c>
      <c r="B222" s="5">
        <v>45912</v>
      </c>
      <c r="C222" s="6">
        <v>0.22361111111111112</v>
      </c>
      <c r="D222" s="7">
        <v>322</v>
      </c>
      <c r="E222" s="4" t="s">
        <v>14</v>
      </c>
      <c r="F222" s="4">
        <v>1</v>
      </c>
      <c r="G222" s="8" t="s">
        <v>15</v>
      </c>
      <c r="H222" s="9" t="s">
        <v>16</v>
      </c>
      <c r="I222" s="4">
        <v>1</v>
      </c>
      <c r="J22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2" s="4" t="str">
        <f t="shared" si="7"/>
        <v/>
      </c>
      <c r="N222" s="4" cm="1">
        <f t="array" ref="N222">SUM(--(_xlfn.TEXTSPLIT($J$2,, " ") = M222))</f>
        <v>56</v>
      </c>
      <c r="O222">
        <v>56</v>
      </c>
      <c r="P222">
        <v>0</v>
      </c>
      <c r="Q222">
        <v>56</v>
      </c>
      <c r="R222" s="4"/>
      <c r="S222" s="10"/>
    </row>
    <row r="223" spans="1:19" x14ac:dyDescent="0.2">
      <c r="A223" s="4">
        <v>1</v>
      </c>
      <c r="B223" s="5">
        <v>45912</v>
      </c>
      <c r="C223" s="6">
        <v>0.22361111111111112</v>
      </c>
      <c r="D223" s="7">
        <v>322</v>
      </c>
      <c r="E223" s="4" t="s">
        <v>14</v>
      </c>
      <c r="F223" s="4">
        <v>1</v>
      </c>
      <c r="G223" s="8" t="s">
        <v>15</v>
      </c>
      <c r="H223" s="9" t="s">
        <v>16</v>
      </c>
      <c r="I223" s="4">
        <v>1</v>
      </c>
      <c r="J22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3" s="4" t="str">
        <f t="shared" si="7"/>
        <v/>
      </c>
      <c r="N223" s="4" cm="1">
        <f t="array" ref="N223">SUM(--(_xlfn.TEXTSPLIT($J$2,, " ") = M223))</f>
        <v>56</v>
      </c>
      <c r="O223">
        <v>56</v>
      </c>
      <c r="P223">
        <v>0</v>
      </c>
      <c r="Q223">
        <v>56</v>
      </c>
      <c r="R223" s="4"/>
      <c r="S223" s="10"/>
    </row>
    <row r="224" spans="1:19" x14ac:dyDescent="0.2">
      <c r="A224" s="4">
        <v>1</v>
      </c>
      <c r="B224" s="5">
        <v>45912</v>
      </c>
      <c r="C224" s="6">
        <v>0.22361111111111112</v>
      </c>
      <c r="D224" s="7">
        <v>322</v>
      </c>
      <c r="E224" s="4" t="s">
        <v>14</v>
      </c>
      <c r="F224" s="4">
        <v>1</v>
      </c>
      <c r="G224" s="8" t="s">
        <v>15</v>
      </c>
      <c r="H224" s="9" t="s">
        <v>16</v>
      </c>
      <c r="I224" s="4">
        <v>1</v>
      </c>
      <c r="J22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4" s="4" t="str">
        <f t="shared" si="7"/>
        <v/>
      </c>
      <c r="N224" s="4" cm="1">
        <f t="array" ref="N224">SUM(--(_xlfn.TEXTSPLIT($J$2,, " ") = M224))</f>
        <v>56</v>
      </c>
      <c r="O224">
        <v>56</v>
      </c>
      <c r="P224">
        <v>0</v>
      </c>
      <c r="Q224">
        <v>56</v>
      </c>
      <c r="R224" s="4"/>
      <c r="S224" s="10"/>
    </row>
    <row r="225" spans="1:19" x14ac:dyDescent="0.2">
      <c r="A225" s="4">
        <v>1</v>
      </c>
      <c r="B225" s="5">
        <v>45912</v>
      </c>
      <c r="C225" s="6">
        <v>0.22361111111111112</v>
      </c>
      <c r="D225" s="7">
        <v>322</v>
      </c>
      <c r="E225" s="4" t="s">
        <v>14</v>
      </c>
      <c r="F225" s="4">
        <v>1</v>
      </c>
      <c r="G225" s="8" t="s">
        <v>15</v>
      </c>
      <c r="H225" s="9" t="s">
        <v>16</v>
      </c>
      <c r="I225" s="4">
        <v>1</v>
      </c>
      <c r="J22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5" s="4" t="str">
        <f t="shared" si="7"/>
        <v/>
      </c>
      <c r="N225" s="4" cm="1">
        <f t="array" ref="N225">SUM(--(_xlfn.TEXTSPLIT($J$2,, " ") = M225))</f>
        <v>56</v>
      </c>
      <c r="O225">
        <v>56</v>
      </c>
      <c r="P225">
        <v>0</v>
      </c>
      <c r="Q225">
        <v>56</v>
      </c>
      <c r="R225" s="4"/>
      <c r="S225" s="10"/>
    </row>
    <row r="226" spans="1:19" x14ac:dyDescent="0.2">
      <c r="A226" s="4">
        <v>1</v>
      </c>
      <c r="B226" s="5">
        <v>45912</v>
      </c>
      <c r="C226" s="6">
        <v>0.22361111111111112</v>
      </c>
      <c r="D226" s="7">
        <v>322</v>
      </c>
      <c r="E226" s="4" t="s">
        <v>14</v>
      </c>
      <c r="F226" s="4">
        <v>1</v>
      </c>
      <c r="G226" s="8" t="s">
        <v>15</v>
      </c>
      <c r="H226" s="9" t="s">
        <v>16</v>
      </c>
      <c r="I226" s="4">
        <v>1</v>
      </c>
      <c r="J22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6" s="4" t="str">
        <f t="shared" si="7"/>
        <v/>
      </c>
      <c r="N226" s="4" cm="1">
        <f t="array" ref="N226">SUM(--(_xlfn.TEXTSPLIT($J$2,, " ") = M226))</f>
        <v>56</v>
      </c>
      <c r="O226">
        <v>56</v>
      </c>
      <c r="P226">
        <v>0</v>
      </c>
      <c r="Q226">
        <v>56</v>
      </c>
      <c r="R226" s="4"/>
      <c r="S226" s="10"/>
    </row>
    <row r="227" spans="1:19" x14ac:dyDescent="0.2">
      <c r="A227" s="4">
        <v>1</v>
      </c>
      <c r="B227" s="5">
        <v>45912</v>
      </c>
      <c r="C227" s="6">
        <v>0.22361111111111112</v>
      </c>
      <c r="D227" s="7">
        <v>322</v>
      </c>
      <c r="E227" s="4" t="s">
        <v>14</v>
      </c>
      <c r="F227" s="4">
        <v>1</v>
      </c>
      <c r="G227" s="8" t="s">
        <v>15</v>
      </c>
      <c r="H227" s="9" t="s">
        <v>16</v>
      </c>
      <c r="I227" s="4">
        <v>1</v>
      </c>
      <c r="J22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7" s="4" t="str">
        <f t="shared" si="7"/>
        <v/>
      </c>
      <c r="N227" s="4" cm="1">
        <f t="array" ref="N227">SUM(--(_xlfn.TEXTSPLIT($J$2,, " ") = M227))</f>
        <v>56</v>
      </c>
      <c r="O227">
        <v>56</v>
      </c>
      <c r="P227">
        <v>0</v>
      </c>
      <c r="Q227">
        <v>56</v>
      </c>
      <c r="R227" s="4"/>
      <c r="S227" s="10"/>
    </row>
    <row r="228" spans="1:19" x14ac:dyDescent="0.2">
      <c r="A228" s="4">
        <v>1</v>
      </c>
      <c r="B228" s="5">
        <v>45912</v>
      </c>
      <c r="C228" s="6">
        <v>0.22361111111111112</v>
      </c>
      <c r="D228" s="7">
        <v>322</v>
      </c>
      <c r="E228" s="4" t="s">
        <v>14</v>
      </c>
      <c r="F228" s="4">
        <v>1</v>
      </c>
      <c r="G228" s="8" t="s">
        <v>15</v>
      </c>
      <c r="H228" s="9" t="s">
        <v>16</v>
      </c>
      <c r="I228" s="4">
        <v>1</v>
      </c>
      <c r="J22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8" s="4" t="str">
        <f t="shared" si="7"/>
        <v/>
      </c>
      <c r="N228" s="4" cm="1">
        <f t="array" ref="N228">SUM(--(_xlfn.TEXTSPLIT($J$2,, " ") = M228))</f>
        <v>56</v>
      </c>
      <c r="O228">
        <v>56</v>
      </c>
      <c r="P228">
        <v>0</v>
      </c>
      <c r="Q228">
        <v>56</v>
      </c>
      <c r="R228" s="4"/>
      <c r="S228" s="10"/>
    </row>
    <row r="229" spans="1:19" x14ac:dyDescent="0.2">
      <c r="A229" s="4">
        <v>1</v>
      </c>
      <c r="B229" s="5">
        <v>45912</v>
      </c>
      <c r="C229" s="6">
        <v>0.22361111111111112</v>
      </c>
      <c r="D229" s="7">
        <v>322</v>
      </c>
      <c r="E229" s="4" t="s">
        <v>14</v>
      </c>
      <c r="F229" s="4">
        <v>1</v>
      </c>
      <c r="G229" s="8" t="s">
        <v>15</v>
      </c>
      <c r="H229" s="9" t="s">
        <v>16</v>
      </c>
      <c r="I229" s="4">
        <v>1</v>
      </c>
      <c r="J22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29" s="4" t="str">
        <f t="shared" si="7"/>
        <v/>
      </c>
      <c r="N229" s="4" cm="1">
        <f t="array" ref="N229">SUM(--(_xlfn.TEXTSPLIT($J$2,, " ") = M229))</f>
        <v>56</v>
      </c>
      <c r="O229">
        <v>56</v>
      </c>
      <c r="P229">
        <v>0</v>
      </c>
      <c r="Q229">
        <v>56</v>
      </c>
      <c r="R229" s="4"/>
      <c r="S229" s="10"/>
    </row>
    <row r="230" spans="1:19" x14ac:dyDescent="0.2">
      <c r="A230" s="4">
        <v>1</v>
      </c>
      <c r="B230" s="5">
        <v>45912</v>
      </c>
      <c r="C230" s="6">
        <v>0.22361111111111112</v>
      </c>
      <c r="D230" s="7">
        <v>322</v>
      </c>
      <c r="E230" s="4" t="s">
        <v>14</v>
      </c>
      <c r="F230" s="4">
        <v>1</v>
      </c>
      <c r="G230" s="8" t="s">
        <v>15</v>
      </c>
      <c r="H230" s="9" t="s">
        <v>16</v>
      </c>
      <c r="I230" s="4">
        <v>1</v>
      </c>
      <c r="J23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0" s="4" t="str">
        <f t="shared" si="7"/>
        <v/>
      </c>
      <c r="N230" s="4" cm="1">
        <f t="array" ref="N230">SUM(--(_xlfn.TEXTSPLIT($J$2,, " ") = M230))</f>
        <v>56</v>
      </c>
      <c r="O230">
        <v>56</v>
      </c>
      <c r="P230">
        <v>0</v>
      </c>
      <c r="Q230">
        <v>56</v>
      </c>
      <c r="R230" s="4"/>
      <c r="S230" s="10"/>
    </row>
    <row r="231" spans="1:19" x14ac:dyDescent="0.2">
      <c r="A231" s="4">
        <v>1</v>
      </c>
      <c r="B231" s="5">
        <v>45912</v>
      </c>
      <c r="C231" s="6">
        <v>0.22361111111111112</v>
      </c>
      <c r="D231" s="7">
        <v>322</v>
      </c>
      <c r="E231" s="4" t="s">
        <v>14</v>
      </c>
      <c r="F231" s="4">
        <v>1</v>
      </c>
      <c r="G231" s="8" t="s">
        <v>15</v>
      </c>
      <c r="H231" s="9" t="s">
        <v>16</v>
      </c>
      <c r="I231" s="4">
        <v>1</v>
      </c>
      <c r="J23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1" s="4" t="str">
        <f t="shared" si="7"/>
        <v/>
      </c>
      <c r="N231" s="4" cm="1">
        <f t="array" ref="N231">SUM(--(_xlfn.TEXTSPLIT($J$2,, " ") = M231))</f>
        <v>56</v>
      </c>
      <c r="O231">
        <v>56</v>
      </c>
      <c r="P231">
        <v>0</v>
      </c>
      <c r="Q231">
        <v>56</v>
      </c>
      <c r="R231" s="4"/>
      <c r="S231" s="10"/>
    </row>
    <row r="232" spans="1:19" x14ac:dyDescent="0.2">
      <c r="A232" s="4">
        <v>1</v>
      </c>
      <c r="B232" s="5">
        <v>45912</v>
      </c>
      <c r="C232" s="6">
        <v>0.22361111111111112</v>
      </c>
      <c r="D232" s="7">
        <v>322</v>
      </c>
      <c r="E232" s="4" t="s">
        <v>14</v>
      </c>
      <c r="F232" s="4">
        <v>1</v>
      </c>
      <c r="G232" s="8" t="s">
        <v>15</v>
      </c>
      <c r="H232" s="9" t="s">
        <v>16</v>
      </c>
      <c r="I232" s="4">
        <v>1</v>
      </c>
      <c r="J23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2" s="4" t="str">
        <f t="shared" si="7"/>
        <v/>
      </c>
      <c r="N232" s="4" cm="1">
        <f t="array" ref="N232">SUM(--(_xlfn.TEXTSPLIT($J$2,, " ") = M232))</f>
        <v>56</v>
      </c>
      <c r="O232">
        <v>56</v>
      </c>
      <c r="P232">
        <v>0</v>
      </c>
      <c r="Q232">
        <v>56</v>
      </c>
      <c r="R232" s="4"/>
      <c r="S232" s="10"/>
    </row>
    <row r="233" spans="1:19" x14ac:dyDescent="0.2">
      <c r="A233" s="4">
        <v>1</v>
      </c>
      <c r="B233" s="5">
        <v>45912</v>
      </c>
      <c r="C233" s="6">
        <v>0.22361111111111112</v>
      </c>
      <c r="D233" s="7">
        <v>322</v>
      </c>
      <c r="E233" s="4" t="s">
        <v>14</v>
      </c>
      <c r="F233" s="4">
        <v>1</v>
      </c>
      <c r="G233" s="8" t="s">
        <v>15</v>
      </c>
      <c r="H233" s="9" t="s">
        <v>16</v>
      </c>
      <c r="I233" s="4">
        <v>1</v>
      </c>
      <c r="J23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3" s="4" t="str">
        <f t="shared" si="7"/>
        <v/>
      </c>
      <c r="N233" s="4" cm="1">
        <f t="array" ref="N233">SUM(--(_xlfn.TEXTSPLIT($J$2,, " ") = M233))</f>
        <v>56</v>
      </c>
      <c r="O233">
        <v>56</v>
      </c>
      <c r="P233">
        <v>0</v>
      </c>
      <c r="Q233">
        <v>56</v>
      </c>
      <c r="R233" s="4"/>
      <c r="S233" s="10"/>
    </row>
    <row r="234" spans="1:19" x14ac:dyDescent="0.2">
      <c r="A234" s="4">
        <v>1</v>
      </c>
      <c r="B234" s="5">
        <v>45912</v>
      </c>
      <c r="C234" s="6">
        <v>0.22361111111111112</v>
      </c>
      <c r="D234" s="7">
        <v>322</v>
      </c>
      <c r="E234" s="4" t="s">
        <v>14</v>
      </c>
      <c r="F234" s="4">
        <v>1</v>
      </c>
      <c r="G234" s="8" t="s">
        <v>15</v>
      </c>
      <c r="H234" s="9" t="s">
        <v>16</v>
      </c>
      <c r="I234" s="4">
        <v>1</v>
      </c>
      <c r="J23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4" s="4" t="str">
        <f t="shared" si="7"/>
        <v/>
      </c>
      <c r="N234" s="4" cm="1">
        <f t="array" ref="N234">SUM(--(_xlfn.TEXTSPLIT($J$2,, " ") = M234))</f>
        <v>56</v>
      </c>
      <c r="O234">
        <v>56</v>
      </c>
      <c r="P234">
        <v>0</v>
      </c>
      <c r="Q234">
        <v>56</v>
      </c>
      <c r="R234" s="4"/>
      <c r="S234" s="10"/>
    </row>
    <row r="235" spans="1:19" x14ac:dyDescent="0.2">
      <c r="A235" s="4">
        <v>1</v>
      </c>
      <c r="B235" s="5">
        <v>45912</v>
      </c>
      <c r="C235" s="6">
        <v>0.22361111111111112</v>
      </c>
      <c r="D235" s="7">
        <v>322</v>
      </c>
      <c r="E235" s="4" t="s">
        <v>14</v>
      </c>
      <c r="F235" s="4">
        <v>1</v>
      </c>
      <c r="G235" s="8" t="s">
        <v>15</v>
      </c>
      <c r="H235" s="9" t="s">
        <v>16</v>
      </c>
      <c r="I235" s="4">
        <v>1</v>
      </c>
      <c r="J23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5" s="4" t="str">
        <f t="shared" si="7"/>
        <v/>
      </c>
      <c r="N235" s="4" cm="1">
        <f t="array" ref="N235">SUM(--(_xlfn.TEXTSPLIT($J$2,, " ") = M235))</f>
        <v>56</v>
      </c>
      <c r="O235">
        <v>56</v>
      </c>
      <c r="P235">
        <v>0</v>
      </c>
      <c r="Q235">
        <v>56</v>
      </c>
      <c r="R235" s="4"/>
      <c r="S235" s="10"/>
    </row>
    <row r="236" spans="1:19" x14ac:dyDescent="0.2">
      <c r="A236" s="4">
        <v>1</v>
      </c>
      <c r="B236" s="5">
        <v>45912</v>
      </c>
      <c r="C236" s="6">
        <v>0.22361111111111112</v>
      </c>
      <c r="D236" s="7">
        <v>322</v>
      </c>
      <c r="E236" s="4" t="s">
        <v>14</v>
      </c>
      <c r="F236" s="4">
        <v>1</v>
      </c>
      <c r="G236" s="8" t="s">
        <v>15</v>
      </c>
      <c r="H236" s="9" t="s">
        <v>16</v>
      </c>
      <c r="I236" s="4">
        <v>1</v>
      </c>
      <c r="J23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6" s="4" t="str">
        <f t="shared" si="7"/>
        <v/>
      </c>
      <c r="N236" s="4" cm="1">
        <f t="array" ref="N236">SUM(--(_xlfn.TEXTSPLIT($J$2,, " ") = M236))</f>
        <v>56</v>
      </c>
      <c r="O236">
        <v>56</v>
      </c>
      <c r="P236">
        <v>0</v>
      </c>
      <c r="Q236">
        <v>56</v>
      </c>
      <c r="R236" s="4"/>
      <c r="S236" s="10"/>
    </row>
    <row r="237" spans="1:19" x14ac:dyDescent="0.2">
      <c r="A237" s="4">
        <v>1</v>
      </c>
      <c r="B237" s="5">
        <v>45912</v>
      </c>
      <c r="C237" s="6">
        <v>0.22361111111111112</v>
      </c>
      <c r="D237" s="7">
        <v>322</v>
      </c>
      <c r="E237" s="4" t="s">
        <v>14</v>
      </c>
      <c r="F237" s="4">
        <v>1</v>
      </c>
      <c r="G237" s="8" t="s">
        <v>15</v>
      </c>
      <c r="H237" s="9" t="s">
        <v>16</v>
      </c>
      <c r="I237" s="4">
        <v>1</v>
      </c>
      <c r="J23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7" s="4" t="str">
        <f t="shared" si="7"/>
        <v/>
      </c>
      <c r="N237" s="4" cm="1">
        <f t="array" ref="N237">SUM(--(_xlfn.TEXTSPLIT($J$2,, " ") = M237))</f>
        <v>56</v>
      </c>
      <c r="O237">
        <v>56</v>
      </c>
      <c r="P237">
        <v>0</v>
      </c>
      <c r="Q237">
        <v>56</v>
      </c>
      <c r="R237" s="4"/>
      <c r="S237" s="10"/>
    </row>
    <row r="238" spans="1:19" x14ac:dyDescent="0.2">
      <c r="A238" s="4">
        <v>1</v>
      </c>
      <c r="B238" s="5">
        <v>45912</v>
      </c>
      <c r="C238" s="6">
        <v>0.22361111111111112</v>
      </c>
      <c r="D238" s="7">
        <v>322</v>
      </c>
      <c r="E238" s="4" t="s">
        <v>14</v>
      </c>
      <c r="F238" s="4">
        <v>1</v>
      </c>
      <c r="G238" s="8" t="s">
        <v>15</v>
      </c>
      <c r="H238" s="9" t="s">
        <v>16</v>
      </c>
      <c r="I238" s="4">
        <v>1</v>
      </c>
      <c r="J23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8" s="4" t="str">
        <f t="shared" si="7"/>
        <v/>
      </c>
      <c r="N238" s="4" cm="1">
        <f t="array" ref="N238">SUM(--(_xlfn.TEXTSPLIT($J$2,, " ") = M238))</f>
        <v>56</v>
      </c>
      <c r="O238">
        <v>56</v>
      </c>
      <c r="P238">
        <v>0</v>
      </c>
      <c r="Q238">
        <v>56</v>
      </c>
      <c r="R238" s="4"/>
      <c r="S238" s="10"/>
    </row>
    <row r="239" spans="1:19" x14ac:dyDescent="0.2">
      <c r="A239" s="4">
        <v>1</v>
      </c>
      <c r="B239" s="5">
        <v>45912</v>
      </c>
      <c r="C239" s="6">
        <v>0.22361111111111112</v>
      </c>
      <c r="D239" s="7">
        <v>322</v>
      </c>
      <c r="E239" s="4" t="s">
        <v>14</v>
      </c>
      <c r="F239" s="4">
        <v>1</v>
      </c>
      <c r="G239" s="8" t="s">
        <v>15</v>
      </c>
      <c r="H239" s="9" t="s">
        <v>16</v>
      </c>
      <c r="I239" s="4">
        <v>1</v>
      </c>
      <c r="J23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39" s="4" t="str">
        <f t="shared" si="7"/>
        <v/>
      </c>
      <c r="N239" s="4" cm="1">
        <f t="array" ref="N239">SUM(--(_xlfn.TEXTSPLIT($J$2,, " ") = M239))</f>
        <v>56</v>
      </c>
      <c r="O239">
        <v>56</v>
      </c>
      <c r="P239">
        <v>0</v>
      </c>
      <c r="Q239">
        <v>56</v>
      </c>
      <c r="R239" s="4"/>
      <c r="S239" s="10"/>
    </row>
    <row r="240" spans="1:19" x14ac:dyDescent="0.2">
      <c r="A240" s="4">
        <v>1</v>
      </c>
      <c r="B240" s="5">
        <v>45912</v>
      </c>
      <c r="C240" s="6">
        <v>0.22361111111111112</v>
      </c>
      <c r="D240" s="7">
        <v>322</v>
      </c>
      <c r="E240" s="4" t="s">
        <v>14</v>
      </c>
      <c r="F240" s="4">
        <v>1</v>
      </c>
      <c r="G240" s="8" t="s">
        <v>15</v>
      </c>
      <c r="H240" s="9" t="s">
        <v>16</v>
      </c>
      <c r="I240" s="4">
        <v>1</v>
      </c>
      <c r="J24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0" s="4" t="str">
        <f t="shared" si="7"/>
        <v/>
      </c>
      <c r="N240" s="4" cm="1">
        <f t="array" ref="N240">SUM(--(_xlfn.TEXTSPLIT($J$2,, " ") = M240))</f>
        <v>56</v>
      </c>
      <c r="O240">
        <v>56</v>
      </c>
      <c r="P240">
        <v>0</v>
      </c>
      <c r="Q240">
        <v>56</v>
      </c>
      <c r="R240" s="4"/>
      <c r="S240" s="10"/>
    </row>
    <row r="241" spans="1:19" x14ac:dyDescent="0.2">
      <c r="A241" s="4">
        <v>1</v>
      </c>
      <c r="B241" s="5">
        <v>45912</v>
      </c>
      <c r="C241" s="6">
        <v>0.22361111111111112</v>
      </c>
      <c r="D241" s="7">
        <v>322</v>
      </c>
      <c r="E241" s="4" t="s">
        <v>14</v>
      </c>
      <c r="F241" s="4">
        <v>1</v>
      </c>
      <c r="G241" s="8" t="s">
        <v>15</v>
      </c>
      <c r="H241" s="9" t="s">
        <v>16</v>
      </c>
      <c r="I241" s="4">
        <v>1</v>
      </c>
      <c r="J24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1" s="4" t="str">
        <f t="shared" si="7"/>
        <v/>
      </c>
      <c r="N241" s="4" cm="1">
        <f t="array" ref="N241">SUM(--(_xlfn.TEXTSPLIT($J$2,, " ") = M241))</f>
        <v>56</v>
      </c>
      <c r="O241">
        <v>56</v>
      </c>
      <c r="P241">
        <v>0</v>
      </c>
      <c r="Q241">
        <v>56</v>
      </c>
      <c r="R241" s="4"/>
      <c r="S241" s="10"/>
    </row>
    <row r="242" spans="1:19" x14ac:dyDescent="0.2">
      <c r="A242" s="4">
        <v>1</v>
      </c>
      <c r="B242" s="5">
        <v>45912</v>
      </c>
      <c r="C242" s="6">
        <v>0.22361111111111112</v>
      </c>
      <c r="D242" s="7">
        <v>322</v>
      </c>
      <c r="E242" s="4" t="s">
        <v>14</v>
      </c>
      <c r="F242" s="4">
        <v>1</v>
      </c>
      <c r="G242" s="8" t="s">
        <v>15</v>
      </c>
      <c r="H242" s="9" t="s">
        <v>16</v>
      </c>
      <c r="I242" s="4">
        <v>1</v>
      </c>
      <c r="J24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2" s="4" t="str">
        <f t="shared" si="7"/>
        <v/>
      </c>
      <c r="N242" s="4" cm="1">
        <f t="array" ref="N242">SUM(--(_xlfn.TEXTSPLIT($J$2,, " ") = M242))</f>
        <v>56</v>
      </c>
      <c r="O242">
        <v>56</v>
      </c>
      <c r="P242">
        <v>0</v>
      </c>
      <c r="Q242">
        <v>56</v>
      </c>
      <c r="R242" s="4"/>
      <c r="S242" s="10"/>
    </row>
    <row r="243" spans="1:19" x14ac:dyDescent="0.2">
      <c r="A243" s="4">
        <v>1</v>
      </c>
      <c r="B243" s="5">
        <v>45912</v>
      </c>
      <c r="C243" s="6">
        <v>0.22361111111111112</v>
      </c>
      <c r="D243" s="7">
        <v>322</v>
      </c>
      <c r="E243" s="4" t="s">
        <v>14</v>
      </c>
      <c r="F243" s="4">
        <v>1</v>
      </c>
      <c r="G243" s="8" t="s">
        <v>15</v>
      </c>
      <c r="H243" s="9" t="s">
        <v>16</v>
      </c>
      <c r="I243" s="4">
        <v>1</v>
      </c>
      <c r="J24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3" s="4" t="str">
        <f t="shared" si="7"/>
        <v/>
      </c>
      <c r="N243" s="4" cm="1">
        <f t="array" ref="N243">SUM(--(_xlfn.TEXTSPLIT($J$2,, " ") = M243))</f>
        <v>56</v>
      </c>
      <c r="O243">
        <v>56</v>
      </c>
      <c r="P243">
        <v>0</v>
      </c>
      <c r="Q243">
        <v>56</v>
      </c>
      <c r="R243" s="4"/>
      <c r="S243" s="10"/>
    </row>
    <row r="244" spans="1:19" x14ac:dyDescent="0.2">
      <c r="A244" s="4">
        <v>1</v>
      </c>
      <c r="B244" s="5">
        <v>45912</v>
      </c>
      <c r="C244" s="6">
        <v>0.22361111111111112</v>
      </c>
      <c r="D244" s="7">
        <v>322</v>
      </c>
      <c r="E244" s="4" t="s">
        <v>14</v>
      </c>
      <c r="F244" s="4">
        <v>1</v>
      </c>
      <c r="G244" s="8" t="s">
        <v>15</v>
      </c>
      <c r="H244" s="9" t="s">
        <v>16</v>
      </c>
      <c r="I244" s="4">
        <v>1</v>
      </c>
      <c r="J24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4" s="4" t="str">
        <f t="shared" si="7"/>
        <v/>
      </c>
      <c r="N244" s="4" cm="1">
        <f t="array" ref="N244">SUM(--(_xlfn.TEXTSPLIT($J$2,, " ") = M244))</f>
        <v>56</v>
      </c>
      <c r="O244">
        <v>56</v>
      </c>
      <c r="P244">
        <v>0</v>
      </c>
      <c r="Q244">
        <v>56</v>
      </c>
      <c r="R244" s="4"/>
      <c r="S244" s="10"/>
    </row>
    <row r="245" spans="1:19" x14ac:dyDescent="0.2">
      <c r="A245" s="4">
        <v>1</v>
      </c>
      <c r="B245" s="5">
        <v>45912</v>
      </c>
      <c r="C245" s="6">
        <v>0.22361111111111112</v>
      </c>
      <c r="D245" s="7">
        <v>322</v>
      </c>
      <c r="E245" s="4" t="s">
        <v>14</v>
      </c>
      <c r="F245" s="4">
        <v>1</v>
      </c>
      <c r="G245" s="8" t="s">
        <v>15</v>
      </c>
      <c r="H245" s="9" t="s">
        <v>16</v>
      </c>
      <c r="I245" s="4">
        <v>1</v>
      </c>
      <c r="J24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5" s="4" t="str">
        <f t="shared" si="7"/>
        <v/>
      </c>
      <c r="N245" s="4" cm="1">
        <f t="array" ref="N245">SUM(--(_xlfn.TEXTSPLIT($J$2,, " ") = M245))</f>
        <v>56</v>
      </c>
      <c r="O245">
        <v>56</v>
      </c>
      <c r="P245">
        <v>0</v>
      </c>
      <c r="Q245">
        <v>56</v>
      </c>
      <c r="R245" s="4"/>
      <c r="S245" s="10"/>
    </row>
    <row r="246" spans="1:19" x14ac:dyDescent="0.2">
      <c r="A246" s="4">
        <v>1</v>
      </c>
      <c r="B246" s="5">
        <v>45912</v>
      </c>
      <c r="C246" s="6">
        <v>0.22361111111111112</v>
      </c>
      <c r="D246" s="7">
        <v>322</v>
      </c>
      <c r="E246" s="4" t="s">
        <v>14</v>
      </c>
      <c r="F246" s="4">
        <v>1</v>
      </c>
      <c r="G246" s="8" t="s">
        <v>15</v>
      </c>
      <c r="H246" s="9" t="s">
        <v>16</v>
      </c>
      <c r="I246" s="4">
        <v>1</v>
      </c>
      <c r="J24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6" s="4" t="str">
        <f t="shared" si="7"/>
        <v/>
      </c>
      <c r="N246" s="4" cm="1">
        <f t="array" ref="N246">SUM(--(_xlfn.TEXTSPLIT($J$2,, " ") = M246))</f>
        <v>56</v>
      </c>
      <c r="O246">
        <v>56</v>
      </c>
      <c r="P246">
        <v>0</v>
      </c>
      <c r="Q246">
        <v>56</v>
      </c>
      <c r="R246" s="4"/>
      <c r="S246" s="10"/>
    </row>
    <row r="247" spans="1:19" x14ac:dyDescent="0.2">
      <c r="A247" s="4">
        <v>1</v>
      </c>
      <c r="B247" s="5">
        <v>45912</v>
      </c>
      <c r="C247" s="6">
        <v>0.22361111111111112</v>
      </c>
      <c r="D247" s="7">
        <v>322</v>
      </c>
      <c r="E247" s="4" t="s">
        <v>14</v>
      </c>
      <c r="F247" s="4">
        <v>1</v>
      </c>
      <c r="G247" s="8" t="s">
        <v>15</v>
      </c>
      <c r="H247" s="9" t="s">
        <v>16</v>
      </c>
      <c r="I247" s="4">
        <v>1</v>
      </c>
      <c r="J24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7" s="4" t="str">
        <f t="shared" si="7"/>
        <v/>
      </c>
      <c r="N247" s="4" cm="1">
        <f t="array" ref="N247">SUM(--(_xlfn.TEXTSPLIT($J$2,, " ") = M247))</f>
        <v>56</v>
      </c>
      <c r="O247">
        <v>56</v>
      </c>
      <c r="P247">
        <v>0</v>
      </c>
      <c r="Q247">
        <v>56</v>
      </c>
      <c r="R247" s="4"/>
      <c r="S247" s="10"/>
    </row>
    <row r="248" spans="1:19" x14ac:dyDescent="0.2">
      <c r="A248" s="4">
        <v>1</v>
      </c>
      <c r="B248" s="5">
        <v>45912</v>
      </c>
      <c r="C248" s="6">
        <v>0.22361111111111112</v>
      </c>
      <c r="D248" s="7">
        <v>322</v>
      </c>
      <c r="E248" s="4" t="s">
        <v>14</v>
      </c>
      <c r="F248" s="4">
        <v>1</v>
      </c>
      <c r="G248" s="8" t="s">
        <v>15</v>
      </c>
      <c r="H248" s="9" t="s">
        <v>16</v>
      </c>
      <c r="I248" s="4">
        <v>1</v>
      </c>
      <c r="J24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8" s="4" t="str">
        <f t="shared" si="7"/>
        <v/>
      </c>
      <c r="N248" s="4" cm="1">
        <f t="array" ref="N248">SUM(--(_xlfn.TEXTSPLIT($J$2,, " ") = M248))</f>
        <v>56</v>
      </c>
      <c r="O248">
        <v>56</v>
      </c>
      <c r="P248">
        <v>0</v>
      </c>
      <c r="Q248">
        <v>56</v>
      </c>
      <c r="R248" s="4"/>
      <c r="S248" s="10"/>
    </row>
    <row r="249" spans="1:19" x14ac:dyDescent="0.2">
      <c r="A249" s="4">
        <v>1</v>
      </c>
      <c r="B249" s="5">
        <v>45912</v>
      </c>
      <c r="C249" s="6">
        <v>0.22361111111111112</v>
      </c>
      <c r="D249" s="7">
        <v>322</v>
      </c>
      <c r="E249" s="4" t="s">
        <v>14</v>
      </c>
      <c r="F249" s="4">
        <v>1</v>
      </c>
      <c r="G249" s="8" t="s">
        <v>15</v>
      </c>
      <c r="H249" s="9" t="s">
        <v>16</v>
      </c>
      <c r="I249" s="4">
        <v>1</v>
      </c>
      <c r="J249"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49" s="4" t="str">
        <f t="shared" si="7"/>
        <v/>
      </c>
      <c r="N249" s="4" cm="1">
        <f t="array" ref="N249">SUM(--(_xlfn.TEXTSPLIT($J$2,, " ") = M249))</f>
        <v>56</v>
      </c>
      <c r="O249">
        <v>56</v>
      </c>
      <c r="P249">
        <v>0</v>
      </c>
      <c r="Q249">
        <v>56</v>
      </c>
      <c r="R249" s="4"/>
      <c r="S249" s="10"/>
    </row>
    <row r="250" spans="1:19" x14ac:dyDescent="0.2">
      <c r="A250" s="4">
        <v>1</v>
      </c>
      <c r="B250" s="5">
        <v>45912</v>
      </c>
      <c r="C250" s="6">
        <v>0.22361111111111112</v>
      </c>
      <c r="D250" s="7">
        <v>322</v>
      </c>
      <c r="E250" s="4" t="s">
        <v>14</v>
      </c>
      <c r="F250" s="4">
        <v>1</v>
      </c>
      <c r="G250" s="8" t="s">
        <v>15</v>
      </c>
      <c r="H250" s="9" t="s">
        <v>16</v>
      </c>
      <c r="I250" s="4">
        <v>1</v>
      </c>
      <c r="J250"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0" s="4" t="str">
        <f t="shared" si="7"/>
        <v/>
      </c>
      <c r="N250" s="4" cm="1">
        <f t="array" ref="N250">SUM(--(_xlfn.TEXTSPLIT($J$2,, " ") = M250))</f>
        <v>56</v>
      </c>
      <c r="O250">
        <v>56</v>
      </c>
      <c r="P250">
        <v>0</v>
      </c>
      <c r="Q250">
        <v>56</v>
      </c>
      <c r="R250" s="4"/>
      <c r="S250" s="10"/>
    </row>
    <row r="251" spans="1:19" x14ac:dyDescent="0.2">
      <c r="A251" s="4">
        <v>1</v>
      </c>
      <c r="B251" s="5">
        <v>45912</v>
      </c>
      <c r="C251" s="6">
        <v>0.22361111111111112</v>
      </c>
      <c r="D251" s="7">
        <v>322</v>
      </c>
      <c r="E251" s="4" t="s">
        <v>14</v>
      </c>
      <c r="F251" s="4">
        <v>1</v>
      </c>
      <c r="G251" s="8" t="s">
        <v>15</v>
      </c>
      <c r="H251" s="9" t="s">
        <v>16</v>
      </c>
      <c r="I251" s="4">
        <v>1</v>
      </c>
      <c r="J251"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1" s="4" t="str">
        <f t="shared" si="7"/>
        <v/>
      </c>
      <c r="N251" s="4" cm="1">
        <f t="array" ref="N251">SUM(--(_xlfn.TEXTSPLIT($J$2,, " ") = M251))</f>
        <v>56</v>
      </c>
      <c r="O251">
        <v>56</v>
      </c>
      <c r="P251">
        <v>0</v>
      </c>
      <c r="Q251">
        <v>56</v>
      </c>
      <c r="R251" s="4"/>
      <c r="S251" s="10"/>
    </row>
    <row r="252" spans="1:19" x14ac:dyDescent="0.2">
      <c r="A252" s="4">
        <v>1</v>
      </c>
      <c r="B252" s="5">
        <v>45912</v>
      </c>
      <c r="C252" s="6">
        <v>0.22361111111111112</v>
      </c>
      <c r="D252" s="7">
        <v>322</v>
      </c>
      <c r="E252" s="4" t="s">
        <v>14</v>
      </c>
      <c r="F252" s="4">
        <v>1</v>
      </c>
      <c r="G252" s="8" t="s">
        <v>15</v>
      </c>
      <c r="H252" s="9" t="s">
        <v>16</v>
      </c>
      <c r="I252" s="4">
        <v>1</v>
      </c>
      <c r="J252"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2" s="4" t="str">
        <f t="shared" si="7"/>
        <v/>
      </c>
      <c r="N252" s="4" cm="1">
        <f t="array" ref="N252">SUM(--(_xlfn.TEXTSPLIT($J$2,, " ") = M252))</f>
        <v>56</v>
      </c>
      <c r="O252">
        <v>56</v>
      </c>
      <c r="P252">
        <v>0</v>
      </c>
      <c r="Q252">
        <v>56</v>
      </c>
      <c r="R252" s="4"/>
      <c r="S252" s="10"/>
    </row>
    <row r="253" spans="1:19" x14ac:dyDescent="0.2">
      <c r="A253" s="4">
        <v>1</v>
      </c>
      <c r="B253" s="5">
        <v>45912</v>
      </c>
      <c r="C253" s="6">
        <v>0.22361111111111112</v>
      </c>
      <c r="D253" s="7">
        <v>322</v>
      </c>
      <c r="E253" s="4" t="s">
        <v>14</v>
      </c>
      <c r="F253" s="4">
        <v>1</v>
      </c>
      <c r="G253" s="8" t="s">
        <v>15</v>
      </c>
      <c r="H253" s="9" t="s">
        <v>16</v>
      </c>
      <c r="I253" s="4">
        <v>1</v>
      </c>
      <c r="J253"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3" s="4" t="str">
        <f t="shared" si="7"/>
        <v/>
      </c>
      <c r="N253" s="4" cm="1">
        <f t="array" ref="N253">SUM(--(_xlfn.TEXTSPLIT($J$2,, " ") = M253))</f>
        <v>56</v>
      </c>
      <c r="O253">
        <v>56</v>
      </c>
      <c r="P253">
        <v>0</v>
      </c>
      <c r="Q253">
        <v>56</v>
      </c>
      <c r="R253" s="4"/>
      <c r="S253" s="10"/>
    </row>
    <row r="254" spans="1:19" x14ac:dyDescent="0.2">
      <c r="A254" s="4">
        <v>1</v>
      </c>
      <c r="B254" s="5">
        <v>45912</v>
      </c>
      <c r="C254" s="6">
        <v>0.22361111111111112</v>
      </c>
      <c r="D254" s="7">
        <v>322</v>
      </c>
      <c r="E254" s="4" t="s">
        <v>14</v>
      </c>
      <c r="F254" s="4">
        <v>1</v>
      </c>
      <c r="G254" s="8" t="s">
        <v>15</v>
      </c>
      <c r="H254" s="9" t="s">
        <v>16</v>
      </c>
      <c r="I254" s="4">
        <v>1</v>
      </c>
      <c r="J254"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4" s="4" t="str">
        <f t="shared" si="7"/>
        <v/>
      </c>
      <c r="N254" s="4" cm="1">
        <f t="array" ref="N254">SUM(--(_xlfn.TEXTSPLIT($J$2,, " ") = M254))</f>
        <v>56</v>
      </c>
      <c r="O254">
        <v>56</v>
      </c>
      <c r="P254">
        <v>0</v>
      </c>
      <c r="Q254">
        <v>56</v>
      </c>
      <c r="R254" s="4"/>
      <c r="S254" s="10"/>
    </row>
    <row r="255" spans="1:19" x14ac:dyDescent="0.2">
      <c r="A255" s="4">
        <v>1</v>
      </c>
      <c r="B255" s="5">
        <v>45912</v>
      </c>
      <c r="C255" s="6">
        <v>0.22361111111111112</v>
      </c>
      <c r="D255" s="7">
        <v>322</v>
      </c>
      <c r="E255" s="4" t="s">
        <v>14</v>
      </c>
      <c r="F255" s="4">
        <v>1</v>
      </c>
      <c r="G255" s="8" t="s">
        <v>15</v>
      </c>
      <c r="H255" s="9" t="s">
        <v>16</v>
      </c>
      <c r="I255" s="4">
        <v>1</v>
      </c>
      <c r="J255"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5" s="4" t="str">
        <f t="shared" si="7"/>
        <v/>
      </c>
      <c r="N255" s="4" cm="1">
        <f t="array" ref="N255">SUM(--(_xlfn.TEXTSPLIT($J$2,, " ") = M255))</f>
        <v>56</v>
      </c>
      <c r="O255">
        <v>56</v>
      </c>
      <c r="P255">
        <v>0</v>
      </c>
      <c r="Q255">
        <v>56</v>
      </c>
      <c r="R255" s="4"/>
      <c r="S255" s="10"/>
    </row>
    <row r="256" spans="1:19" x14ac:dyDescent="0.2">
      <c r="A256" s="4">
        <v>1</v>
      </c>
      <c r="B256" s="5">
        <v>45912</v>
      </c>
      <c r="C256" s="6">
        <v>0.22361111111111112</v>
      </c>
      <c r="D256" s="7">
        <v>322</v>
      </c>
      <c r="E256" s="4" t="s">
        <v>14</v>
      </c>
      <c r="F256" s="4">
        <v>1</v>
      </c>
      <c r="G256" s="8" t="s">
        <v>15</v>
      </c>
      <c r="H256" s="9" t="s">
        <v>16</v>
      </c>
      <c r="I256" s="4">
        <v>1</v>
      </c>
      <c r="J256"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6" s="4" t="str">
        <f t="shared" si="7"/>
        <v/>
      </c>
      <c r="N256" s="4" cm="1">
        <f t="array" ref="N256">SUM(--(_xlfn.TEXTSPLIT($J$2,, " ") = M256))</f>
        <v>56</v>
      </c>
      <c r="O256">
        <v>56</v>
      </c>
      <c r="P256">
        <v>0</v>
      </c>
      <c r="Q256">
        <v>56</v>
      </c>
      <c r="R256" s="4"/>
      <c r="S256" s="10"/>
    </row>
    <row r="257" spans="1:19" x14ac:dyDescent="0.2">
      <c r="A257" s="4">
        <v>1</v>
      </c>
      <c r="B257" s="5">
        <v>45912</v>
      </c>
      <c r="C257" s="6">
        <v>0.22361111111111112</v>
      </c>
      <c r="D257" s="7">
        <v>322</v>
      </c>
      <c r="E257" s="4" t="s">
        <v>14</v>
      </c>
      <c r="F257" s="4">
        <v>1</v>
      </c>
      <c r="G257" s="8" t="s">
        <v>15</v>
      </c>
      <c r="H257" s="9" t="s">
        <v>16</v>
      </c>
      <c r="I257" s="4">
        <v>1</v>
      </c>
      <c r="J257"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7" s="4" t="str">
        <f t="shared" si="7"/>
        <v/>
      </c>
      <c r="N257" s="4" cm="1">
        <f t="array" ref="N257">SUM(--(_xlfn.TEXTSPLIT($J$2,, " ") = M257))</f>
        <v>56</v>
      </c>
      <c r="O257">
        <v>56</v>
      </c>
      <c r="P257">
        <v>0</v>
      </c>
      <c r="Q257">
        <v>56</v>
      </c>
      <c r="R257" s="4"/>
      <c r="S257" s="10"/>
    </row>
    <row r="258" spans="1:19" x14ac:dyDescent="0.2">
      <c r="A258" s="4">
        <v>1</v>
      </c>
      <c r="B258" s="5">
        <v>45912</v>
      </c>
      <c r="C258" s="6">
        <v>0.22361111111111112</v>
      </c>
      <c r="D258" s="7">
        <v>322</v>
      </c>
      <c r="E258" s="4" t="s">
        <v>14</v>
      </c>
      <c r="F258" s="4">
        <v>1</v>
      </c>
      <c r="G258" s="8" t="s">
        <v>15</v>
      </c>
      <c r="H258" s="9" t="s">
        <v>16</v>
      </c>
      <c r="I258" s="4">
        <v>1</v>
      </c>
      <c r="J258" s="4" t="str">
        <f t="shared" si="6"/>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8" s="4" t="str">
        <f t="shared" si="7"/>
        <v/>
      </c>
      <c r="N258" s="4" cm="1">
        <f t="array" ref="N258">SUM(--(_xlfn.TEXTSPLIT($J$2,, " ") = M258))</f>
        <v>56</v>
      </c>
      <c r="O258">
        <v>56</v>
      </c>
      <c r="P258">
        <v>0</v>
      </c>
      <c r="Q258">
        <v>56</v>
      </c>
      <c r="R258" s="4"/>
      <c r="S258" s="10"/>
    </row>
    <row r="259" spans="1:19" x14ac:dyDescent="0.2">
      <c r="A259" s="4">
        <v>1</v>
      </c>
      <c r="B259" s="5">
        <v>45912</v>
      </c>
      <c r="C259" s="6">
        <v>0.22361111111111112</v>
      </c>
      <c r="D259" s="7">
        <v>322</v>
      </c>
      <c r="E259" s="4" t="s">
        <v>14</v>
      </c>
      <c r="F259" s="4">
        <v>1</v>
      </c>
      <c r="G259" s="8" t="s">
        <v>15</v>
      </c>
      <c r="H259" s="9" t="s">
        <v>16</v>
      </c>
      <c r="I259" s="4">
        <v>1</v>
      </c>
      <c r="J259" s="4" t="str">
        <f t="shared" ref="J259:J322" si="8">_xlfn.TEXTJOIN(" ", TRUE, H259:H272)</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59" s="4" t="str">
        <f t="shared" si="7"/>
        <v/>
      </c>
      <c r="N259" s="4" cm="1">
        <f t="array" ref="N259">SUM(--(_xlfn.TEXTSPLIT($J$2,, " ") = M259))</f>
        <v>56</v>
      </c>
      <c r="O259">
        <v>56</v>
      </c>
      <c r="P259">
        <v>0</v>
      </c>
      <c r="Q259">
        <v>56</v>
      </c>
      <c r="R259" s="4"/>
      <c r="S259" s="10"/>
    </row>
    <row r="260" spans="1:19" x14ac:dyDescent="0.2">
      <c r="A260" s="4">
        <v>1</v>
      </c>
      <c r="B260" s="5">
        <v>45912</v>
      </c>
      <c r="C260" s="6">
        <v>0.22361111111111112</v>
      </c>
      <c r="D260" s="7">
        <v>322</v>
      </c>
      <c r="E260" s="4" t="s">
        <v>14</v>
      </c>
      <c r="F260" s="4">
        <v>1</v>
      </c>
      <c r="G260" s="8" t="s">
        <v>15</v>
      </c>
      <c r="H260" s="9" t="s">
        <v>16</v>
      </c>
      <c r="I260" s="4">
        <v>1</v>
      </c>
      <c r="J26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0" s="4" t="str">
        <f t="shared" ref="L260:L323" si="9">_xlfn.REGEXREPLACE(K260, "[^A-Za-z ]", " ")</f>
        <v/>
      </c>
      <c r="N260" s="4" cm="1">
        <f t="array" ref="N260">SUM(--(_xlfn.TEXTSPLIT($J$2,, " ") = M260))</f>
        <v>56</v>
      </c>
      <c r="O260">
        <v>56</v>
      </c>
      <c r="P260">
        <v>0</v>
      </c>
      <c r="Q260">
        <v>56</v>
      </c>
      <c r="R260" s="4"/>
      <c r="S260" s="10"/>
    </row>
    <row r="261" spans="1:19" x14ac:dyDescent="0.2">
      <c r="A261" s="4">
        <v>1</v>
      </c>
      <c r="B261" s="5">
        <v>45912</v>
      </c>
      <c r="C261" s="6">
        <v>0.22361111111111112</v>
      </c>
      <c r="D261" s="7">
        <v>322</v>
      </c>
      <c r="E261" s="4" t="s">
        <v>14</v>
      </c>
      <c r="F261" s="4">
        <v>1</v>
      </c>
      <c r="G261" s="8" t="s">
        <v>15</v>
      </c>
      <c r="H261" s="9" t="s">
        <v>16</v>
      </c>
      <c r="I261" s="4">
        <v>1</v>
      </c>
      <c r="J26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1" s="4" t="str">
        <f t="shared" si="9"/>
        <v/>
      </c>
      <c r="N261" s="4" cm="1">
        <f t="array" ref="N261">SUM(--(_xlfn.TEXTSPLIT($J$2,, " ") = M261))</f>
        <v>56</v>
      </c>
      <c r="O261">
        <v>56</v>
      </c>
      <c r="P261">
        <v>0</v>
      </c>
      <c r="Q261">
        <v>56</v>
      </c>
      <c r="R261" s="4"/>
      <c r="S261" s="10"/>
    </row>
    <row r="262" spans="1:19" x14ac:dyDescent="0.2">
      <c r="A262" s="4">
        <v>1</v>
      </c>
      <c r="B262" s="5">
        <v>45912</v>
      </c>
      <c r="C262" s="6">
        <v>0.22361111111111112</v>
      </c>
      <c r="D262" s="7">
        <v>322</v>
      </c>
      <c r="E262" s="4" t="s">
        <v>14</v>
      </c>
      <c r="F262" s="4">
        <v>1</v>
      </c>
      <c r="G262" s="8" t="s">
        <v>15</v>
      </c>
      <c r="H262" s="9" t="s">
        <v>16</v>
      </c>
      <c r="I262" s="4">
        <v>1</v>
      </c>
      <c r="J26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2" s="4" t="str">
        <f t="shared" si="9"/>
        <v/>
      </c>
      <c r="N262" s="4" cm="1">
        <f t="array" ref="N262">SUM(--(_xlfn.TEXTSPLIT($J$2,, " ") = M262))</f>
        <v>56</v>
      </c>
      <c r="O262">
        <v>56</v>
      </c>
      <c r="P262">
        <v>0</v>
      </c>
      <c r="Q262">
        <v>56</v>
      </c>
      <c r="R262" s="4"/>
      <c r="S262" s="10"/>
    </row>
    <row r="263" spans="1:19" x14ac:dyDescent="0.2">
      <c r="A263" s="4">
        <v>1</v>
      </c>
      <c r="B263" s="5">
        <v>45912</v>
      </c>
      <c r="C263" s="6">
        <v>0.22361111111111112</v>
      </c>
      <c r="D263" s="7">
        <v>322</v>
      </c>
      <c r="E263" s="4" t="s">
        <v>14</v>
      </c>
      <c r="F263" s="4">
        <v>1</v>
      </c>
      <c r="G263" s="8" t="s">
        <v>15</v>
      </c>
      <c r="H263" s="9" t="s">
        <v>16</v>
      </c>
      <c r="I263" s="4">
        <v>1</v>
      </c>
      <c r="J26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3" s="4" t="str">
        <f t="shared" si="9"/>
        <v/>
      </c>
      <c r="N263" s="4" cm="1">
        <f t="array" ref="N263">SUM(--(_xlfn.TEXTSPLIT($J$2,, " ") = M263))</f>
        <v>56</v>
      </c>
      <c r="O263">
        <v>56</v>
      </c>
      <c r="P263">
        <v>0</v>
      </c>
      <c r="Q263">
        <v>56</v>
      </c>
      <c r="R263" s="4"/>
      <c r="S263" s="10"/>
    </row>
    <row r="264" spans="1:19" x14ac:dyDescent="0.2">
      <c r="A264" s="4">
        <v>1</v>
      </c>
      <c r="B264" s="5">
        <v>45912</v>
      </c>
      <c r="C264" s="6">
        <v>0.22361111111111112</v>
      </c>
      <c r="D264" s="7">
        <v>322</v>
      </c>
      <c r="E264" s="4" t="s">
        <v>14</v>
      </c>
      <c r="F264" s="4">
        <v>1</v>
      </c>
      <c r="G264" s="8" t="s">
        <v>15</v>
      </c>
      <c r="H264" s="9" t="s">
        <v>16</v>
      </c>
      <c r="I264" s="4">
        <v>1</v>
      </c>
      <c r="J26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4" s="4" t="str">
        <f t="shared" si="9"/>
        <v/>
      </c>
      <c r="N264" s="4" cm="1">
        <f t="array" ref="N264">SUM(--(_xlfn.TEXTSPLIT($J$2,, " ") = M264))</f>
        <v>56</v>
      </c>
      <c r="O264">
        <v>56</v>
      </c>
      <c r="P264">
        <v>0</v>
      </c>
      <c r="Q264">
        <v>56</v>
      </c>
      <c r="R264" s="4"/>
      <c r="S264" s="10"/>
    </row>
    <row r="265" spans="1:19" x14ac:dyDescent="0.2">
      <c r="A265" s="4">
        <v>1</v>
      </c>
      <c r="B265" s="5">
        <v>45912</v>
      </c>
      <c r="C265" s="6">
        <v>0.22361111111111112</v>
      </c>
      <c r="D265" s="7">
        <v>322</v>
      </c>
      <c r="E265" s="4" t="s">
        <v>14</v>
      </c>
      <c r="F265" s="4">
        <v>1</v>
      </c>
      <c r="G265" s="8" t="s">
        <v>15</v>
      </c>
      <c r="H265" s="9" t="s">
        <v>16</v>
      </c>
      <c r="I265" s="4">
        <v>1</v>
      </c>
      <c r="J26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5" s="4" t="str">
        <f t="shared" si="9"/>
        <v/>
      </c>
      <c r="N265" s="4" cm="1">
        <f t="array" ref="N265">SUM(--(_xlfn.TEXTSPLIT($J$2,, " ") = M265))</f>
        <v>56</v>
      </c>
      <c r="O265">
        <v>56</v>
      </c>
      <c r="P265">
        <v>0</v>
      </c>
      <c r="Q265">
        <v>56</v>
      </c>
      <c r="R265" s="4"/>
      <c r="S265" s="10"/>
    </row>
    <row r="266" spans="1:19" x14ac:dyDescent="0.2">
      <c r="A266" s="4">
        <v>1</v>
      </c>
      <c r="B266" s="5">
        <v>45912</v>
      </c>
      <c r="C266" s="6">
        <v>0.22361111111111112</v>
      </c>
      <c r="D266" s="7">
        <v>322</v>
      </c>
      <c r="E266" s="4" t="s">
        <v>14</v>
      </c>
      <c r="F266" s="4">
        <v>1</v>
      </c>
      <c r="G266" s="8" t="s">
        <v>15</v>
      </c>
      <c r="H266" s="9" t="s">
        <v>16</v>
      </c>
      <c r="I266" s="4">
        <v>1</v>
      </c>
      <c r="J26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6" s="4" t="str">
        <f t="shared" si="9"/>
        <v/>
      </c>
      <c r="N266" s="4" cm="1">
        <f t="array" ref="N266">SUM(--(_xlfn.TEXTSPLIT($J$2,, " ") = M266))</f>
        <v>56</v>
      </c>
      <c r="O266">
        <v>56</v>
      </c>
      <c r="P266">
        <v>0</v>
      </c>
      <c r="Q266">
        <v>56</v>
      </c>
      <c r="R266" s="4"/>
      <c r="S266" s="10"/>
    </row>
    <row r="267" spans="1:19" x14ac:dyDescent="0.2">
      <c r="A267" s="4">
        <v>1</v>
      </c>
      <c r="B267" s="5">
        <v>45912</v>
      </c>
      <c r="C267" s="6">
        <v>0.22361111111111112</v>
      </c>
      <c r="D267" s="7">
        <v>322</v>
      </c>
      <c r="E267" s="4" t="s">
        <v>14</v>
      </c>
      <c r="F267" s="4">
        <v>1</v>
      </c>
      <c r="G267" s="8" t="s">
        <v>15</v>
      </c>
      <c r="H267" s="9" t="s">
        <v>16</v>
      </c>
      <c r="I267" s="4">
        <v>1</v>
      </c>
      <c r="J26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7" s="4" t="str">
        <f t="shared" si="9"/>
        <v/>
      </c>
      <c r="N267" s="4" cm="1">
        <f t="array" ref="N267">SUM(--(_xlfn.TEXTSPLIT($J$2,, " ") = M267))</f>
        <v>56</v>
      </c>
      <c r="O267">
        <v>56</v>
      </c>
      <c r="P267">
        <v>0</v>
      </c>
      <c r="Q267">
        <v>56</v>
      </c>
      <c r="R267" s="4"/>
      <c r="S267" s="10"/>
    </row>
    <row r="268" spans="1:19" x14ac:dyDescent="0.2">
      <c r="A268" s="4">
        <v>1</v>
      </c>
      <c r="B268" s="5">
        <v>45912</v>
      </c>
      <c r="C268" s="6">
        <v>0.22361111111111112</v>
      </c>
      <c r="D268" s="7">
        <v>322</v>
      </c>
      <c r="E268" s="4" t="s">
        <v>14</v>
      </c>
      <c r="F268" s="4">
        <v>1</v>
      </c>
      <c r="G268" s="8" t="s">
        <v>15</v>
      </c>
      <c r="H268" s="9" t="s">
        <v>16</v>
      </c>
      <c r="I268" s="4">
        <v>1</v>
      </c>
      <c r="J26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8" s="4" t="str">
        <f t="shared" si="9"/>
        <v/>
      </c>
      <c r="N268" s="4" cm="1">
        <f t="array" ref="N268">SUM(--(_xlfn.TEXTSPLIT($J$2,, " ") = M268))</f>
        <v>56</v>
      </c>
      <c r="O268">
        <v>56</v>
      </c>
      <c r="P268">
        <v>0</v>
      </c>
      <c r="Q268">
        <v>56</v>
      </c>
      <c r="R268" s="4"/>
      <c r="S268" s="10"/>
    </row>
    <row r="269" spans="1:19" x14ac:dyDescent="0.2">
      <c r="A269" s="4">
        <v>1</v>
      </c>
      <c r="B269" s="5">
        <v>45912</v>
      </c>
      <c r="C269" s="6">
        <v>0.22361111111111112</v>
      </c>
      <c r="D269" s="7">
        <v>322</v>
      </c>
      <c r="E269" s="4" t="s">
        <v>14</v>
      </c>
      <c r="F269" s="4">
        <v>1</v>
      </c>
      <c r="G269" s="8" t="s">
        <v>15</v>
      </c>
      <c r="H269" s="9" t="s">
        <v>16</v>
      </c>
      <c r="I269" s="4">
        <v>1</v>
      </c>
      <c r="J26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69" s="4" t="str">
        <f t="shared" si="9"/>
        <v/>
      </c>
      <c r="N269" s="4" cm="1">
        <f t="array" ref="N269">SUM(--(_xlfn.TEXTSPLIT($J$2,, " ") = M269))</f>
        <v>56</v>
      </c>
      <c r="O269">
        <v>56</v>
      </c>
      <c r="P269">
        <v>0</v>
      </c>
      <c r="Q269">
        <v>56</v>
      </c>
      <c r="R269" s="4"/>
      <c r="S269" s="10"/>
    </row>
    <row r="270" spans="1:19" x14ac:dyDescent="0.2">
      <c r="A270" s="4">
        <v>1</v>
      </c>
      <c r="B270" s="5">
        <v>45912</v>
      </c>
      <c r="C270" s="6">
        <v>0.22361111111111112</v>
      </c>
      <c r="D270" s="7">
        <v>322</v>
      </c>
      <c r="E270" s="4" t="s">
        <v>14</v>
      </c>
      <c r="F270" s="4">
        <v>1</v>
      </c>
      <c r="G270" s="8" t="s">
        <v>15</v>
      </c>
      <c r="H270" s="9" t="s">
        <v>16</v>
      </c>
      <c r="I270" s="4">
        <v>1</v>
      </c>
      <c r="J27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0" s="4" t="str">
        <f t="shared" si="9"/>
        <v/>
      </c>
      <c r="N270" s="4" cm="1">
        <f t="array" ref="N270">SUM(--(_xlfn.TEXTSPLIT($J$2,, " ") = M270))</f>
        <v>56</v>
      </c>
      <c r="O270">
        <v>56</v>
      </c>
      <c r="P270">
        <v>0</v>
      </c>
      <c r="Q270">
        <v>56</v>
      </c>
      <c r="R270" s="4"/>
      <c r="S270" s="10"/>
    </row>
    <row r="271" spans="1:19" x14ac:dyDescent="0.2">
      <c r="A271" s="4">
        <v>1</v>
      </c>
      <c r="B271" s="5">
        <v>45912</v>
      </c>
      <c r="C271" s="6">
        <v>0.22361111111111112</v>
      </c>
      <c r="D271" s="7">
        <v>322</v>
      </c>
      <c r="E271" s="4" t="s">
        <v>14</v>
      </c>
      <c r="F271" s="4">
        <v>1</v>
      </c>
      <c r="G271" s="8" t="s">
        <v>15</v>
      </c>
      <c r="H271" s="9" t="s">
        <v>16</v>
      </c>
      <c r="I271" s="4">
        <v>1</v>
      </c>
      <c r="J27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1" s="4" t="str">
        <f t="shared" si="9"/>
        <v/>
      </c>
      <c r="N271" s="4" cm="1">
        <f t="array" ref="N271">SUM(--(_xlfn.TEXTSPLIT($J$2,, " ") = M271))</f>
        <v>56</v>
      </c>
      <c r="O271">
        <v>56</v>
      </c>
      <c r="P271">
        <v>0</v>
      </c>
      <c r="Q271">
        <v>56</v>
      </c>
      <c r="R271" s="4"/>
      <c r="S271" s="10"/>
    </row>
    <row r="272" spans="1:19" x14ac:dyDescent="0.2">
      <c r="A272" s="4">
        <v>1</v>
      </c>
      <c r="B272" s="5">
        <v>45912</v>
      </c>
      <c r="C272" s="6">
        <v>0.22361111111111112</v>
      </c>
      <c r="D272" s="7">
        <v>322</v>
      </c>
      <c r="E272" s="4" t="s">
        <v>14</v>
      </c>
      <c r="F272" s="4">
        <v>1</v>
      </c>
      <c r="G272" s="8" t="s">
        <v>15</v>
      </c>
      <c r="H272" s="9" t="s">
        <v>16</v>
      </c>
      <c r="I272" s="4">
        <v>1</v>
      </c>
      <c r="J27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2" s="4" t="str">
        <f t="shared" si="9"/>
        <v/>
      </c>
      <c r="N272" s="4" cm="1">
        <f t="array" ref="N272">SUM(--(_xlfn.TEXTSPLIT($J$2,, " ") = M272))</f>
        <v>56</v>
      </c>
      <c r="O272">
        <v>56</v>
      </c>
      <c r="P272">
        <v>0</v>
      </c>
      <c r="Q272">
        <v>56</v>
      </c>
      <c r="R272" s="4"/>
      <c r="S272" s="10"/>
    </row>
    <row r="273" spans="1:19" x14ac:dyDescent="0.2">
      <c r="A273" s="4">
        <v>1</v>
      </c>
      <c r="B273" s="5">
        <v>45912</v>
      </c>
      <c r="C273" s="6">
        <v>0.22361111111111112</v>
      </c>
      <c r="D273" s="7">
        <v>322</v>
      </c>
      <c r="E273" s="4" t="s">
        <v>14</v>
      </c>
      <c r="F273" s="4">
        <v>1</v>
      </c>
      <c r="G273" s="8" t="s">
        <v>15</v>
      </c>
      <c r="H273" s="9" t="s">
        <v>16</v>
      </c>
      <c r="I273" s="4">
        <v>1</v>
      </c>
      <c r="J27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3" s="4" t="str">
        <f t="shared" si="9"/>
        <v/>
      </c>
      <c r="N273" s="4" cm="1">
        <f t="array" ref="N273">SUM(--(_xlfn.TEXTSPLIT($J$2,, " ") = M273))</f>
        <v>56</v>
      </c>
      <c r="O273">
        <v>56</v>
      </c>
      <c r="P273">
        <v>0</v>
      </c>
      <c r="Q273">
        <v>56</v>
      </c>
      <c r="R273" s="4"/>
      <c r="S273" s="10"/>
    </row>
    <row r="274" spans="1:19" x14ac:dyDescent="0.2">
      <c r="A274" s="4">
        <v>1</v>
      </c>
      <c r="B274" s="5">
        <v>45912</v>
      </c>
      <c r="C274" s="6">
        <v>0.22361111111111112</v>
      </c>
      <c r="D274" s="7">
        <v>322</v>
      </c>
      <c r="E274" s="4" t="s">
        <v>14</v>
      </c>
      <c r="F274" s="4">
        <v>1</v>
      </c>
      <c r="G274" s="8" t="s">
        <v>15</v>
      </c>
      <c r="H274" s="9" t="s">
        <v>16</v>
      </c>
      <c r="I274" s="4">
        <v>1</v>
      </c>
      <c r="J27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4" s="4" t="str">
        <f t="shared" si="9"/>
        <v/>
      </c>
      <c r="N274" s="4" cm="1">
        <f t="array" ref="N274">SUM(--(_xlfn.TEXTSPLIT($J$2,, " ") = M274))</f>
        <v>56</v>
      </c>
      <c r="O274">
        <v>56</v>
      </c>
      <c r="P274">
        <v>0</v>
      </c>
      <c r="Q274">
        <v>56</v>
      </c>
      <c r="R274" s="4"/>
      <c r="S274" s="10"/>
    </row>
    <row r="275" spans="1:19" x14ac:dyDescent="0.2">
      <c r="A275" s="4">
        <v>1</v>
      </c>
      <c r="B275" s="5">
        <v>45912</v>
      </c>
      <c r="C275" s="6">
        <v>0.22361111111111112</v>
      </c>
      <c r="D275" s="7">
        <v>322</v>
      </c>
      <c r="E275" s="4" t="s">
        <v>14</v>
      </c>
      <c r="F275" s="4">
        <v>1</v>
      </c>
      <c r="G275" s="8" t="s">
        <v>15</v>
      </c>
      <c r="H275" s="9" t="s">
        <v>16</v>
      </c>
      <c r="I275" s="4">
        <v>1</v>
      </c>
      <c r="J27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5" s="4" t="str">
        <f t="shared" si="9"/>
        <v/>
      </c>
      <c r="N275" s="4" cm="1">
        <f t="array" ref="N275">SUM(--(_xlfn.TEXTSPLIT($J$2,, " ") = M275))</f>
        <v>56</v>
      </c>
      <c r="O275">
        <v>56</v>
      </c>
      <c r="P275">
        <v>0</v>
      </c>
      <c r="Q275">
        <v>56</v>
      </c>
      <c r="R275" s="4"/>
      <c r="S275" s="10"/>
    </row>
    <row r="276" spans="1:19" x14ac:dyDescent="0.2">
      <c r="A276" s="4">
        <v>1</v>
      </c>
      <c r="B276" s="5">
        <v>45912</v>
      </c>
      <c r="C276" s="6">
        <v>0.22361111111111112</v>
      </c>
      <c r="D276" s="7">
        <v>322</v>
      </c>
      <c r="E276" s="4" t="s">
        <v>14</v>
      </c>
      <c r="F276" s="4">
        <v>1</v>
      </c>
      <c r="G276" s="8" t="s">
        <v>15</v>
      </c>
      <c r="H276" s="9" t="s">
        <v>16</v>
      </c>
      <c r="I276" s="4">
        <v>1</v>
      </c>
      <c r="J27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6" s="4" t="str">
        <f t="shared" si="9"/>
        <v/>
      </c>
      <c r="N276" s="4" cm="1">
        <f t="array" ref="N276">SUM(--(_xlfn.TEXTSPLIT($J$2,, " ") = M276))</f>
        <v>56</v>
      </c>
      <c r="O276">
        <v>56</v>
      </c>
      <c r="P276">
        <v>0</v>
      </c>
      <c r="Q276">
        <v>56</v>
      </c>
      <c r="R276" s="4"/>
      <c r="S276" s="10"/>
    </row>
    <row r="277" spans="1:19" x14ac:dyDescent="0.2">
      <c r="A277" s="4">
        <v>1</v>
      </c>
      <c r="B277" s="5">
        <v>45912</v>
      </c>
      <c r="C277" s="6">
        <v>0.22361111111111112</v>
      </c>
      <c r="D277" s="7">
        <v>322</v>
      </c>
      <c r="E277" s="4" t="s">
        <v>14</v>
      </c>
      <c r="F277" s="4">
        <v>1</v>
      </c>
      <c r="G277" s="8" t="s">
        <v>15</v>
      </c>
      <c r="H277" s="9" t="s">
        <v>16</v>
      </c>
      <c r="I277" s="4">
        <v>1</v>
      </c>
      <c r="J27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7" s="4" t="str">
        <f t="shared" si="9"/>
        <v/>
      </c>
      <c r="N277" s="4" cm="1">
        <f t="array" ref="N277">SUM(--(_xlfn.TEXTSPLIT($J$2,, " ") = M277))</f>
        <v>56</v>
      </c>
      <c r="O277">
        <v>56</v>
      </c>
      <c r="P277">
        <v>0</v>
      </c>
      <c r="Q277">
        <v>56</v>
      </c>
      <c r="R277" s="4"/>
      <c r="S277" s="10"/>
    </row>
    <row r="278" spans="1:19" x14ac:dyDescent="0.2">
      <c r="A278" s="4">
        <v>1</v>
      </c>
      <c r="B278" s="5">
        <v>45912</v>
      </c>
      <c r="C278" s="6">
        <v>0.22361111111111112</v>
      </c>
      <c r="D278" s="7">
        <v>322</v>
      </c>
      <c r="E278" s="4" t="s">
        <v>14</v>
      </c>
      <c r="F278" s="4">
        <v>1</v>
      </c>
      <c r="G278" s="8" t="s">
        <v>15</v>
      </c>
      <c r="H278" s="9" t="s">
        <v>16</v>
      </c>
      <c r="I278" s="4">
        <v>1</v>
      </c>
      <c r="J27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8" s="4" t="str">
        <f t="shared" si="9"/>
        <v/>
      </c>
      <c r="N278" s="4" cm="1">
        <f t="array" ref="N278">SUM(--(_xlfn.TEXTSPLIT($J$2,, " ") = M278))</f>
        <v>56</v>
      </c>
      <c r="O278">
        <v>56</v>
      </c>
      <c r="P278">
        <v>0</v>
      </c>
      <c r="Q278">
        <v>56</v>
      </c>
      <c r="R278" s="4"/>
      <c r="S278" s="10"/>
    </row>
    <row r="279" spans="1:19" x14ac:dyDescent="0.2">
      <c r="A279" s="4">
        <v>1</v>
      </c>
      <c r="B279" s="5">
        <v>45912</v>
      </c>
      <c r="C279" s="6">
        <v>0.22361111111111112</v>
      </c>
      <c r="D279" s="7">
        <v>322</v>
      </c>
      <c r="E279" s="4" t="s">
        <v>14</v>
      </c>
      <c r="F279" s="4">
        <v>1</v>
      </c>
      <c r="G279" s="8" t="s">
        <v>15</v>
      </c>
      <c r="H279" s="9" t="s">
        <v>16</v>
      </c>
      <c r="I279" s="4">
        <v>1</v>
      </c>
      <c r="J27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79" s="4" t="str">
        <f t="shared" si="9"/>
        <v/>
      </c>
      <c r="N279" s="4" cm="1">
        <f t="array" ref="N279">SUM(--(_xlfn.TEXTSPLIT($J$2,, " ") = M279))</f>
        <v>56</v>
      </c>
      <c r="O279">
        <v>56</v>
      </c>
      <c r="P279">
        <v>0</v>
      </c>
      <c r="Q279">
        <v>56</v>
      </c>
      <c r="R279" s="4"/>
      <c r="S279" s="10"/>
    </row>
    <row r="280" spans="1:19" x14ac:dyDescent="0.2">
      <c r="A280" s="4">
        <v>1</v>
      </c>
      <c r="B280" s="5">
        <v>45912</v>
      </c>
      <c r="C280" s="6">
        <v>0.22361111111111112</v>
      </c>
      <c r="D280" s="7">
        <v>322</v>
      </c>
      <c r="E280" s="4" t="s">
        <v>14</v>
      </c>
      <c r="F280" s="4">
        <v>1</v>
      </c>
      <c r="G280" s="8" t="s">
        <v>15</v>
      </c>
      <c r="H280" s="9" t="s">
        <v>16</v>
      </c>
      <c r="I280" s="4">
        <v>1</v>
      </c>
      <c r="J28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0" s="4" t="str">
        <f t="shared" si="9"/>
        <v/>
      </c>
      <c r="N280" s="4" cm="1">
        <f t="array" ref="N280">SUM(--(_xlfn.TEXTSPLIT($J$2,, " ") = M280))</f>
        <v>56</v>
      </c>
      <c r="O280">
        <v>56</v>
      </c>
      <c r="P280">
        <v>0</v>
      </c>
      <c r="Q280">
        <v>56</v>
      </c>
      <c r="R280" s="4"/>
      <c r="S280" s="10"/>
    </row>
    <row r="281" spans="1:19" x14ac:dyDescent="0.2">
      <c r="A281" s="4">
        <v>1</v>
      </c>
      <c r="B281" s="5">
        <v>45912</v>
      </c>
      <c r="C281" s="6">
        <v>0.22361111111111112</v>
      </c>
      <c r="D281" s="7">
        <v>322</v>
      </c>
      <c r="E281" s="4" t="s">
        <v>14</v>
      </c>
      <c r="F281" s="4">
        <v>1</v>
      </c>
      <c r="G281" s="8" t="s">
        <v>15</v>
      </c>
      <c r="H281" s="9" t="s">
        <v>16</v>
      </c>
      <c r="I281" s="4">
        <v>1</v>
      </c>
      <c r="J28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1" s="4" t="str">
        <f t="shared" si="9"/>
        <v/>
      </c>
      <c r="N281" s="4" cm="1">
        <f t="array" ref="N281">SUM(--(_xlfn.TEXTSPLIT($J$2,, " ") = M281))</f>
        <v>56</v>
      </c>
      <c r="O281">
        <v>56</v>
      </c>
      <c r="P281">
        <v>0</v>
      </c>
      <c r="Q281">
        <v>56</v>
      </c>
      <c r="R281" s="4"/>
      <c r="S281" s="10"/>
    </row>
    <row r="282" spans="1:19" x14ac:dyDescent="0.2">
      <c r="A282" s="4">
        <v>1</v>
      </c>
      <c r="B282" s="5">
        <v>45912</v>
      </c>
      <c r="C282" s="6">
        <v>0.22361111111111112</v>
      </c>
      <c r="D282" s="7">
        <v>322</v>
      </c>
      <c r="E282" s="4" t="s">
        <v>14</v>
      </c>
      <c r="F282" s="4">
        <v>1</v>
      </c>
      <c r="G282" s="8" t="s">
        <v>15</v>
      </c>
      <c r="H282" s="9" t="s">
        <v>16</v>
      </c>
      <c r="I282" s="4">
        <v>1</v>
      </c>
      <c r="J28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2" s="4" t="str">
        <f t="shared" si="9"/>
        <v/>
      </c>
      <c r="N282" s="4" cm="1">
        <f t="array" ref="N282">SUM(--(_xlfn.TEXTSPLIT($J$2,, " ") = M282))</f>
        <v>56</v>
      </c>
      <c r="O282">
        <v>56</v>
      </c>
      <c r="P282">
        <v>0</v>
      </c>
      <c r="Q282">
        <v>56</v>
      </c>
      <c r="R282" s="4"/>
      <c r="S282" s="10"/>
    </row>
    <row r="283" spans="1:19" x14ac:dyDescent="0.2">
      <c r="A283" s="4">
        <v>1</v>
      </c>
      <c r="B283" s="5">
        <v>45912</v>
      </c>
      <c r="C283" s="6">
        <v>0.22361111111111112</v>
      </c>
      <c r="D283" s="7">
        <v>322</v>
      </c>
      <c r="E283" s="4" t="s">
        <v>14</v>
      </c>
      <c r="F283" s="4">
        <v>1</v>
      </c>
      <c r="G283" s="8" t="s">
        <v>15</v>
      </c>
      <c r="H283" s="9" t="s">
        <v>16</v>
      </c>
      <c r="I283" s="4">
        <v>1</v>
      </c>
      <c r="J28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3" s="4" t="str">
        <f t="shared" si="9"/>
        <v/>
      </c>
      <c r="N283" s="4" cm="1">
        <f t="array" ref="N283">SUM(--(_xlfn.TEXTSPLIT($J$2,, " ") = M283))</f>
        <v>56</v>
      </c>
      <c r="O283">
        <v>56</v>
      </c>
      <c r="P283">
        <v>0</v>
      </c>
      <c r="Q283">
        <v>56</v>
      </c>
      <c r="R283" s="4"/>
      <c r="S283" s="10"/>
    </row>
    <row r="284" spans="1:19" x14ac:dyDescent="0.2">
      <c r="A284" s="4">
        <v>1</v>
      </c>
      <c r="B284" s="5">
        <v>45912</v>
      </c>
      <c r="C284" s="6">
        <v>0.22361111111111112</v>
      </c>
      <c r="D284" s="7">
        <v>322</v>
      </c>
      <c r="E284" s="4" t="s">
        <v>14</v>
      </c>
      <c r="F284" s="4">
        <v>1</v>
      </c>
      <c r="G284" s="8" t="s">
        <v>15</v>
      </c>
      <c r="H284" s="9" t="s">
        <v>16</v>
      </c>
      <c r="I284" s="4">
        <v>1</v>
      </c>
      <c r="J28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4" s="4" t="str">
        <f t="shared" si="9"/>
        <v/>
      </c>
      <c r="N284" s="4" cm="1">
        <f t="array" ref="N284">SUM(--(_xlfn.TEXTSPLIT($J$2,, " ") = M284))</f>
        <v>56</v>
      </c>
      <c r="O284">
        <v>56</v>
      </c>
      <c r="P284">
        <v>0</v>
      </c>
      <c r="Q284">
        <v>56</v>
      </c>
      <c r="R284" s="4"/>
      <c r="S284" s="10"/>
    </row>
    <row r="285" spans="1:19" x14ac:dyDescent="0.2">
      <c r="A285" s="4">
        <v>1</v>
      </c>
      <c r="B285" s="5">
        <v>45912</v>
      </c>
      <c r="C285" s="6">
        <v>0.22361111111111112</v>
      </c>
      <c r="D285" s="7">
        <v>322</v>
      </c>
      <c r="E285" s="4" t="s">
        <v>14</v>
      </c>
      <c r="F285" s="4">
        <v>1</v>
      </c>
      <c r="G285" s="8" t="s">
        <v>15</v>
      </c>
      <c r="H285" s="9" t="s">
        <v>16</v>
      </c>
      <c r="I285" s="4">
        <v>1</v>
      </c>
      <c r="J28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5" s="4" t="str">
        <f t="shared" si="9"/>
        <v/>
      </c>
      <c r="N285" s="4" cm="1">
        <f t="array" ref="N285">SUM(--(_xlfn.TEXTSPLIT($J$2,, " ") = M285))</f>
        <v>56</v>
      </c>
      <c r="O285">
        <v>56</v>
      </c>
      <c r="P285">
        <v>0</v>
      </c>
      <c r="Q285">
        <v>56</v>
      </c>
      <c r="R285" s="4"/>
      <c r="S285" s="10"/>
    </row>
    <row r="286" spans="1:19" x14ac:dyDescent="0.2">
      <c r="A286" s="4">
        <v>1</v>
      </c>
      <c r="B286" s="5">
        <v>45912</v>
      </c>
      <c r="C286" s="6">
        <v>0.22361111111111112</v>
      </c>
      <c r="D286" s="7">
        <v>322</v>
      </c>
      <c r="E286" s="4" t="s">
        <v>14</v>
      </c>
      <c r="F286" s="4">
        <v>1</v>
      </c>
      <c r="G286" s="8" t="s">
        <v>15</v>
      </c>
      <c r="H286" s="9" t="s">
        <v>16</v>
      </c>
      <c r="I286" s="4">
        <v>1</v>
      </c>
      <c r="J28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6" s="4" t="str">
        <f t="shared" si="9"/>
        <v/>
      </c>
      <c r="N286" s="4" cm="1">
        <f t="array" ref="N286">SUM(--(_xlfn.TEXTSPLIT($J$2,, " ") = M286))</f>
        <v>56</v>
      </c>
      <c r="O286">
        <v>56</v>
      </c>
      <c r="P286">
        <v>0</v>
      </c>
      <c r="Q286">
        <v>56</v>
      </c>
      <c r="R286" s="4"/>
      <c r="S286" s="10"/>
    </row>
    <row r="287" spans="1:19" x14ac:dyDescent="0.2">
      <c r="A287" s="4">
        <v>1</v>
      </c>
      <c r="B287" s="5">
        <v>45912</v>
      </c>
      <c r="C287" s="6">
        <v>0.22361111111111112</v>
      </c>
      <c r="D287" s="7">
        <v>322</v>
      </c>
      <c r="E287" s="4" t="s">
        <v>14</v>
      </c>
      <c r="F287" s="4">
        <v>1</v>
      </c>
      <c r="G287" s="8" t="s">
        <v>15</v>
      </c>
      <c r="H287" s="9" t="s">
        <v>16</v>
      </c>
      <c r="I287" s="4">
        <v>1</v>
      </c>
      <c r="J28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7" s="4" t="str">
        <f t="shared" si="9"/>
        <v/>
      </c>
      <c r="N287" s="4" cm="1">
        <f t="array" ref="N287">SUM(--(_xlfn.TEXTSPLIT($J$2,, " ") = M287))</f>
        <v>56</v>
      </c>
      <c r="O287">
        <v>42</v>
      </c>
      <c r="P287" t="str">
        <v>city</v>
      </c>
      <c r="Q287">
        <v>42</v>
      </c>
      <c r="R287" s="4"/>
      <c r="S287" s="10"/>
    </row>
    <row r="288" spans="1:19" x14ac:dyDescent="0.2">
      <c r="A288" s="4">
        <v>1</v>
      </c>
      <c r="B288" s="5">
        <v>45912</v>
      </c>
      <c r="C288" s="6">
        <v>0.22361111111111112</v>
      </c>
      <c r="D288" s="7">
        <v>322</v>
      </c>
      <c r="E288" s="4" t="s">
        <v>14</v>
      </c>
      <c r="F288" s="4">
        <v>1</v>
      </c>
      <c r="G288" s="8" t="s">
        <v>15</v>
      </c>
      <c r="H288" s="9" t="s">
        <v>16</v>
      </c>
      <c r="I288" s="4">
        <v>1</v>
      </c>
      <c r="J28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8" s="4" t="str">
        <f t="shared" si="9"/>
        <v/>
      </c>
      <c r="N288" s="4" cm="1">
        <f t="array" ref="N288">SUM(--(_xlfn.TEXTSPLIT($J$2,, " ") = M288))</f>
        <v>56</v>
      </c>
      <c r="O288">
        <v>42</v>
      </c>
      <c r="P288" t="str">
        <v>But</v>
      </c>
      <c r="Q288">
        <v>42</v>
      </c>
      <c r="R288" s="4"/>
      <c r="S288" s="10"/>
    </row>
    <row r="289" spans="1:19" x14ac:dyDescent="0.2">
      <c r="A289" s="4">
        <v>1</v>
      </c>
      <c r="B289" s="5">
        <v>45912</v>
      </c>
      <c r="C289" s="6">
        <v>0.22361111111111112</v>
      </c>
      <c r="D289" s="7">
        <v>322</v>
      </c>
      <c r="E289" s="4" t="s">
        <v>14</v>
      </c>
      <c r="F289" s="4">
        <v>1</v>
      </c>
      <c r="G289" s="8" t="s">
        <v>15</v>
      </c>
      <c r="H289" s="9" t="s">
        <v>16</v>
      </c>
      <c r="I289" s="4">
        <v>1</v>
      </c>
      <c r="J28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89" s="4" t="str">
        <f t="shared" si="9"/>
        <v/>
      </c>
      <c r="N289" s="4" cm="1">
        <f t="array" ref="N289">SUM(--(_xlfn.TEXTSPLIT($J$2,, " ") = M289))</f>
        <v>56</v>
      </c>
      <c r="O289">
        <v>42</v>
      </c>
      <c r="P289" t="str">
        <v>Abandoned</v>
      </c>
      <c r="Q289">
        <v>42</v>
      </c>
      <c r="R289" s="4"/>
      <c r="S289" s="10"/>
    </row>
    <row r="290" spans="1:19" x14ac:dyDescent="0.2">
      <c r="A290" s="4">
        <v>1</v>
      </c>
      <c r="B290" s="5">
        <v>45912</v>
      </c>
      <c r="C290" s="6">
        <v>0.22361111111111112</v>
      </c>
      <c r="D290" s="7">
        <v>322</v>
      </c>
      <c r="E290" s="4" t="s">
        <v>14</v>
      </c>
      <c r="F290" s="4">
        <v>1</v>
      </c>
      <c r="G290" s="8" t="s">
        <v>15</v>
      </c>
      <c r="H290" s="9" t="s">
        <v>16</v>
      </c>
      <c r="I290" s="4">
        <v>1</v>
      </c>
      <c r="J29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0" s="4" t="str">
        <f t="shared" si="9"/>
        <v/>
      </c>
      <c r="N290" s="4" cm="1">
        <f t="array" ref="N290">SUM(--(_xlfn.TEXTSPLIT($J$2,, " ") = M290))</f>
        <v>56</v>
      </c>
      <c r="O290">
        <v>42</v>
      </c>
      <c r="P290" t="str">
        <v>by</v>
      </c>
      <c r="Q290">
        <v>42</v>
      </c>
      <c r="R290" s="4"/>
      <c r="S290" s="10"/>
    </row>
    <row r="291" spans="1:19" x14ac:dyDescent="0.2">
      <c r="A291" s="4">
        <v>1</v>
      </c>
      <c r="B291" s="5">
        <v>45912</v>
      </c>
      <c r="C291" s="6">
        <v>0.22361111111111112</v>
      </c>
      <c r="D291" s="7">
        <v>322</v>
      </c>
      <c r="E291" s="4" t="s">
        <v>14</v>
      </c>
      <c r="F291" s="4">
        <v>1</v>
      </c>
      <c r="G291" s="8" t="s">
        <v>15</v>
      </c>
      <c r="H291" s="9" t="s">
        <v>16</v>
      </c>
      <c r="I291" s="4">
        <v>1</v>
      </c>
      <c r="J29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1" s="4" t="str">
        <f t="shared" si="9"/>
        <v/>
      </c>
      <c r="N291" s="4" cm="1">
        <f t="array" ref="N291">SUM(--(_xlfn.TEXTSPLIT($J$2,, " ") = M291))</f>
        <v>56</v>
      </c>
      <c r="O291">
        <v>42</v>
      </c>
      <c r="P291" t="str">
        <v xml:space="preserve">my
</v>
      </c>
      <c r="Q291">
        <v>42</v>
      </c>
      <c r="R291" s="4"/>
      <c r="S291" s="10"/>
    </row>
    <row r="292" spans="1:19" x14ac:dyDescent="0.2">
      <c r="A292" s="4">
        <v>1</v>
      </c>
      <c r="B292" s="5">
        <v>45912</v>
      </c>
      <c r="C292" s="6">
        <v>0.22361111111111112</v>
      </c>
      <c r="D292" s="7">
        <v>322</v>
      </c>
      <c r="E292" s="4" t="s">
        <v>14</v>
      </c>
      <c r="F292" s="4">
        <v>1</v>
      </c>
      <c r="G292" s="8" t="s">
        <v>15</v>
      </c>
      <c r="H292" s="9" t="s">
        <v>16</v>
      </c>
      <c r="I292" s="4">
        <v>1</v>
      </c>
      <c r="J29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2" s="4" t="str">
        <f t="shared" si="9"/>
        <v/>
      </c>
      <c r="N292" s="4" cm="1">
        <f t="array" ref="N292">SUM(--(_xlfn.TEXTSPLIT($J$2,, " ") = M292))</f>
        <v>56</v>
      </c>
      <c r="O292">
        <v>42</v>
      </c>
      <c r="P292" t="str">
        <v xml:space="preserve">faith
</v>
      </c>
      <c r="Q292">
        <v>42</v>
      </c>
      <c r="R292" s="4"/>
      <c r="S292" s="10"/>
    </row>
    <row r="293" spans="1:19" x14ac:dyDescent="0.2">
      <c r="A293" s="4">
        <v>1</v>
      </c>
      <c r="B293" s="5">
        <v>45912</v>
      </c>
      <c r="C293" s="6">
        <v>0.22361111111111112</v>
      </c>
      <c r="D293" s="7">
        <v>322</v>
      </c>
      <c r="E293" s="4" t="s">
        <v>14</v>
      </c>
      <c r="F293" s="4">
        <v>1</v>
      </c>
      <c r="G293" s="8" t="s">
        <v>15</v>
      </c>
      <c r="H293" s="9" t="s">
        <v>16</v>
      </c>
      <c r="I293" s="4">
        <v>1</v>
      </c>
      <c r="J29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3" s="4" t="str">
        <f t="shared" si="9"/>
        <v/>
      </c>
      <c r="N293" s="4" cm="1">
        <f t="array" ref="N293">SUM(--(_xlfn.TEXTSPLIT($J$2,, " ") = M293))</f>
        <v>56</v>
      </c>
      <c r="O293">
        <v>42</v>
      </c>
      <c r="P293" t="str">
        <v>Address</v>
      </c>
      <c r="Q293">
        <v>42</v>
      </c>
      <c r="R293" s="4"/>
      <c r="S293" s="10"/>
    </row>
    <row r="294" spans="1:19" x14ac:dyDescent="0.2">
      <c r="A294" s="4">
        <v>1</v>
      </c>
      <c r="B294" s="5">
        <v>45912</v>
      </c>
      <c r="C294" s="6">
        <v>0.22361111111111112</v>
      </c>
      <c r="D294" s="7">
        <v>322</v>
      </c>
      <c r="E294" s="4" t="s">
        <v>14</v>
      </c>
      <c r="F294" s="4">
        <v>1</v>
      </c>
      <c r="G294" s="8" t="s">
        <v>15</v>
      </c>
      <c r="H294" s="9" t="s">
        <v>16</v>
      </c>
      <c r="I294" s="4">
        <v>1</v>
      </c>
      <c r="J29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4" s="4" t="str">
        <f t="shared" si="9"/>
        <v/>
      </c>
      <c r="N294" s="4" cm="1">
        <f t="array" ref="N294">SUM(--(_xlfn.TEXTSPLIT($J$2,, " ") = M294))</f>
        <v>56</v>
      </c>
      <c r="O294">
        <v>28</v>
      </c>
      <c r="P294" t="str">
        <v>Square</v>
      </c>
      <c r="Q294">
        <v>28</v>
      </c>
      <c r="R294" s="4"/>
      <c r="S294" s="10"/>
    </row>
    <row r="295" spans="1:19" x14ac:dyDescent="0.2">
      <c r="A295" s="4">
        <v>1</v>
      </c>
      <c r="B295" s="5">
        <v>45912</v>
      </c>
      <c r="C295" s="6">
        <v>0.22361111111111112</v>
      </c>
      <c r="D295" s="7">
        <v>322</v>
      </c>
      <c r="E295" s="4" t="s">
        <v>14</v>
      </c>
      <c r="F295" s="4">
        <v>1</v>
      </c>
      <c r="G295" s="8" t="s">
        <v>15</v>
      </c>
      <c r="H295" s="9" t="s">
        <v>16</v>
      </c>
      <c r="I295" s="4">
        <v>1</v>
      </c>
      <c r="J29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5" s="4" t="str">
        <f t="shared" si="9"/>
        <v/>
      </c>
      <c r="N295" s="4" cm="1">
        <f t="array" ref="N295">SUM(--(_xlfn.TEXTSPLIT($J$2,, " ") = M295))</f>
        <v>56</v>
      </c>
      <c r="O295">
        <v>28</v>
      </c>
      <c r="P295" t="str">
        <v>take</v>
      </c>
      <c r="Q295">
        <v>28</v>
      </c>
      <c r="R295" s="4"/>
      <c r="S295" s="10"/>
    </row>
    <row r="296" spans="1:19" x14ac:dyDescent="0.2">
      <c r="A296" s="4">
        <v>1</v>
      </c>
      <c r="B296" s="5">
        <v>45912</v>
      </c>
      <c r="C296" s="6">
        <v>0.22361111111111112</v>
      </c>
      <c r="D296" s="7">
        <v>322</v>
      </c>
      <c r="E296" s="4" t="s">
        <v>14</v>
      </c>
      <c r="F296" s="4">
        <v>1</v>
      </c>
      <c r="G296" s="8" t="s">
        <v>15</v>
      </c>
      <c r="H296" s="9" t="s">
        <v>16</v>
      </c>
      <c r="I296" s="4">
        <v>1</v>
      </c>
      <c r="J29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6" s="4" t="str">
        <f t="shared" si="9"/>
        <v/>
      </c>
      <c r="N296" s="4" cm="1">
        <f t="array" ref="N296">SUM(--(_xlfn.TEXTSPLIT($J$2,, " ") = M296))</f>
        <v>56</v>
      </c>
      <c r="O296">
        <v>28</v>
      </c>
      <c r="P296" t="str">
        <v>your</v>
      </c>
      <c r="Q296">
        <v>28</v>
      </c>
      <c r="R296" s="4"/>
      <c r="S296" s="10"/>
    </row>
    <row r="297" spans="1:19" x14ac:dyDescent="0.2">
      <c r="A297" s="4">
        <v>1</v>
      </c>
      <c r="B297" s="5">
        <v>45912</v>
      </c>
      <c r="C297" s="6">
        <v>0.22361111111111112</v>
      </c>
      <c r="D297" s="7">
        <v>322</v>
      </c>
      <c r="E297" s="4" t="s">
        <v>14</v>
      </c>
      <c r="F297" s="4">
        <v>1</v>
      </c>
      <c r="G297" s="8" t="s">
        <v>15</v>
      </c>
      <c r="H297" s="9" t="s">
        <v>16</v>
      </c>
      <c r="I297" s="4">
        <v>1</v>
      </c>
      <c r="J29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7" s="4" t="str">
        <f t="shared" si="9"/>
        <v/>
      </c>
      <c r="N297" s="4" cm="1">
        <f t="array" ref="N297">SUM(--(_xlfn.TEXTSPLIT($J$2,, " ") = M297))</f>
        <v>56</v>
      </c>
      <c r="O297">
        <v>28</v>
      </c>
      <c r="P297" t="str">
        <v>Pair</v>
      </c>
      <c r="Q297">
        <v>28</v>
      </c>
      <c r="R297" s="4"/>
      <c r="S297" s="10"/>
    </row>
    <row r="298" spans="1:19" x14ac:dyDescent="0.2">
      <c r="A298" s="4">
        <v>1</v>
      </c>
      <c r="B298" s="5">
        <v>45912</v>
      </c>
      <c r="C298" s="6">
        <v>0.22361111111111112</v>
      </c>
      <c r="D298" s="7">
        <v>322</v>
      </c>
      <c r="E298" s="4" t="s">
        <v>14</v>
      </c>
      <c r="F298" s="4">
        <v>1</v>
      </c>
      <c r="G298" s="8" t="s">
        <v>15</v>
      </c>
      <c r="H298" s="9" t="s">
        <v>16</v>
      </c>
      <c r="I298" s="4">
        <v>1</v>
      </c>
      <c r="J29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8" s="4" t="str">
        <f t="shared" si="9"/>
        <v/>
      </c>
      <c r="N298" s="4" cm="1">
        <f t="array" ref="N298">SUM(--(_xlfn.TEXTSPLIT($J$2,, " ") = M298))</f>
        <v>56</v>
      </c>
      <c r="O298">
        <v>28</v>
      </c>
      <c r="P298" t="str">
        <v>of</v>
      </c>
      <c r="Q298">
        <v>28</v>
      </c>
      <c r="R298" s="4"/>
      <c r="S298" s="10"/>
    </row>
    <row r="299" spans="1:19" x14ac:dyDescent="0.2">
      <c r="A299" s="4">
        <v>1</v>
      </c>
      <c r="B299" s="5">
        <v>45912</v>
      </c>
      <c r="C299" s="6">
        <v>0.22361111111111112</v>
      </c>
      <c r="D299" s="7">
        <v>322</v>
      </c>
      <c r="E299" s="4" t="s">
        <v>14</v>
      </c>
      <c r="F299" s="4">
        <v>1</v>
      </c>
      <c r="G299" s="8" t="s">
        <v>15</v>
      </c>
      <c r="H299" s="9" t="s">
        <v>16</v>
      </c>
      <c r="I299" s="4">
        <v>1</v>
      </c>
      <c r="J29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299" s="4" t="str">
        <f t="shared" si="9"/>
        <v/>
      </c>
      <c r="N299" s="4" cm="1">
        <f t="array" ref="N299">SUM(--(_xlfn.TEXTSPLIT($J$2,, " ") = M299))</f>
        <v>56</v>
      </c>
      <c r="O299">
        <v>28</v>
      </c>
      <c r="P299" t="str">
        <v>they're</v>
      </c>
      <c r="Q299">
        <v>28</v>
      </c>
      <c r="R299" s="4"/>
      <c r="S299" s="10"/>
    </row>
    <row r="300" spans="1:19" x14ac:dyDescent="0.2">
      <c r="A300" s="4">
        <v>1</v>
      </c>
      <c r="B300" s="5">
        <v>45912</v>
      </c>
      <c r="C300" s="6">
        <v>0.22361111111111112</v>
      </c>
      <c r="D300" s="7">
        <v>322</v>
      </c>
      <c r="E300" s="4" t="s">
        <v>14</v>
      </c>
      <c r="F300" s="4">
        <v>1</v>
      </c>
      <c r="G300" s="8" t="s">
        <v>15</v>
      </c>
      <c r="H300" s="9" t="s">
        <v>16</v>
      </c>
      <c r="I300" s="4">
        <v>1</v>
      </c>
      <c r="J30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0" s="4" t="str">
        <f t="shared" si="9"/>
        <v/>
      </c>
      <c r="N300" s="4" cm="1">
        <f t="array" ref="N300">SUM(--(_xlfn.TEXTSPLIT($J$2,, " ") = M300))</f>
        <v>56</v>
      </c>
      <c r="O300">
        <v>28</v>
      </c>
      <c r="P300" t="str">
        <v>furthest</v>
      </c>
      <c r="Q300">
        <v>28</v>
      </c>
      <c r="R300" s="4"/>
      <c r="S300" s="10"/>
    </row>
    <row r="301" spans="1:19" x14ac:dyDescent="0.2">
      <c r="A301" s="4">
        <v>1</v>
      </c>
      <c r="B301" s="5">
        <v>45912</v>
      </c>
      <c r="C301" s="6">
        <v>0.22361111111111112</v>
      </c>
      <c r="D301" s="7">
        <v>322</v>
      </c>
      <c r="E301" s="4" t="s">
        <v>14</v>
      </c>
      <c r="F301" s="4">
        <v>1</v>
      </c>
      <c r="G301" s="8" t="s">
        <v>15</v>
      </c>
      <c r="H301" s="9" t="s">
        <v>16</v>
      </c>
      <c r="I301" s="4">
        <v>1</v>
      </c>
      <c r="J30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1" s="4" t="str">
        <f t="shared" si="9"/>
        <v/>
      </c>
      <c r="N301" s="4" cm="1">
        <f t="array" ref="N301">SUM(--(_xlfn.TEXTSPLIT($J$2,, " ") = M301))</f>
        <v>56</v>
      </c>
      <c r="O301">
        <v>28</v>
      </c>
      <c r="P301" t="str">
        <v>we've</v>
      </c>
      <c r="Q301">
        <v>28</v>
      </c>
      <c r="R301" s="4"/>
      <c r="S301" s="10"/>
    </row>
    <row r="302" spans="1:19" x14ac:dyDescent="0.2">
      <c r="A302" s="4">
        <v>1</v>
      </c>
      <c r="B302" s="5">
        <v>45912</v>
      </c>
      <c r="C302" s="6">
        <v>0.22361111111111112</v>
      </c>
      <c r="D302" s="7">
        <v>322</v>
      </c>
      <c r="E302" s="4" t="s">
        <v>14</v>
      </c>
      <c r="F302" s="4">
        <v>1</v>
      </c>
      <c r="G302" s="8" t="s">
        <v>15</v>
      </c>
      <c r="H302" s="9" t="s">
        <v>16</v>
      </c>
      <c r="I302" s="4">
        <v>1</v>
      </c>
      <c r="J30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2" s="4" t="str">
        <f t="shared" si="9"/>
        <v/>
      </c>
      <c r="N302" s="4" cm="1">
        <f t="array" ref="N302">SUM(--(_xlfn.TEXTSPLIT($J$2,, " ") = M302))</f>
        <v>56</v>
      </c>
      <c r="O302">
        <v>28</v>
      </c>
      <c r="P302" t="str">
        <v xml:space="preserve">reached
</v>
      </c>
      <c r="Q302">
        <v>28</v>
      </c>
      <c r="R302" s="4"/>
      <c r="S302" s="10"/>
    </row>
    <row r="303" spans="1:19" x14ac:dyDescent="0.2">
      <c r="A303" s="4">
        <v>1</v>
      </c>
      <c r="B303" s="5">
        <v>45912</v>
      </c>
      <c r="C303" s="6">
        <v>0.22361111111111112</v>
      </c>
      <c r="D303" s="7">
        <v>322</v>
      </c>
      <c r="E303" s="4" t="s">
        <v>14</v>
      </c>
      <c r="F303" s="4">
        <v>1</v>
      </c>
      <c r="G303" s="8" t="s">
        <v>15</v>
      </c>
      <c r="H303" s="9" t="s">
        <v>16</v>
      </c>
      <c r="I303" s="4">
        <v>1</v>
      </c>
      <c r="J30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3" s="4" t="str">
        <f t="shared" si="9"/>
        <v/>
      </c>
      <c r="N303" s="4" cm="1">
        <f t="array" ref="N303">SUM(--(_xlfn.TEXTSPLIT($J$2,, " ") = M303))</f>
        <v>56</v>
      </c>
      <c r="O303">
        <v>28</v>
      </c>
      <c r="P303" t="str">
        <v>it's</v>
      </c>
      <c r="Q303">
        <v>28</v>
      </c>
      <c r="R303" s="4"/>
      <c r="S303" s="10"/>
    </row>
    <row r="304" spans="1:19" x14ac:dyDescent="0.2">
      <c r="A304" s="4">
        <v>1</v>
      </c>
      <c r="B304" s="5">
        <v>45912</v>
      </c>
      <c r="C304" s="6">
        <v>0.22361111111111112</v>
      </c>
      <c r="D304" s="7">
        <v>322</v>
      </c>
      <c r="E304" s="4" t="s">
        <v>14</v>
      </c>
      <c r="F304" s="4">
        <v>1</v>
      </c>
      <c r="G304" s="8" t="s">
        <v>15</v>
      </c>
      <c r="H304" s="9" t="s">
        <v>16</v>
      </c>
      <c r="I304" s="4">
        <v>1</v>
      </c>
      <c r="J30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4" s="4" t="str">
        <f t="shared" si="9"/>
        <v/>
      </c>
      <c r="N304" s="4" cm="1">
        <f t="array" ref="N304">SUM(--(_xlfn.TEXTSPLIT($J$2,, " ") = M304))</f>
        <v>56</v>
      </c>
      <c r="O304">
        <v>28</v>
      </c>
      <c r="P304" t="str">
        <v xml:space="preserve">breach
</v>
      </c>
      <c r="Q304">
        <v>28</v>
      </c>
      <c r="R304" s="4"/>
      <c r="S304" s="10"/>
    </row>
    <row r="305" spans="1:19" x14ac:dyDescent="0.2">
      <c r="A305" s="4">
        <v>1</v>
      </c>
      <c r="B305" s="5">
        <v>45912</v>
      </c>
      <c r="C305" s="6">
        <v>0.22361111111111112</v>
      </c>
      <c r="D305" s="7">
        <v>322</v>
      </c>
      <c r="E305" s="4" t="s">
        <v>14</v>
      </c>
      <c r="F305" s="4">
        <v>1</v>
      </c>
      <c r="G305" s="8" t="s">
        <v>15</v>
      </c>
      <c r="H305" s="9" t="s">
        <v>16</v>
      </c>
      <c r="I305" s="4">
        <v>1</v>
      </c>
      <c r="J30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5" s="4" t="str">
        <f t="shared" si="9"/>
        <v/>
      </c>
      <c r="N305" s="4" cm="1">
        <f t="array" ref="N305">SUM(--(_xlfn.TEXTSPLIT($J$2,, " ") = M305))</f>
        <v>56</v>
      </c>
      <c r="O305">
        <v>28</v>
      </c>
      <c r="P305" t="str">
        <v xml:space="preserve">walls
</v>
      </c>
      <c r="Q305">
        <v>28</v>
      </c>
      <c r="R305" s="4"/>
      <c r="S305" s="10"/>
    </row>
    <row r="306" spans="1:19" x14ac:dyDescent="0.2">
      <c r="A306" s="4">
        <v>1</v>
      </c>
      <c r="B306" s="5">
        <v>45912</v>
      </c>
      <c r="C306" s="6">
        <v>0.22361111111111112</v>
      </c>
      <c r="D306" s="7">
        <v>322</v>
      </c>
      <c r="E306" s="4" t="s">
        <v>14</v>
      </c>
      <c r="F306" s="4">
        <v>1</v>
      </c>
      <c r="G306" s="8" t="s">
        <v>15</v>
      </c>
      <c r="H306" s="9" t="s">
        <v>16</v>
      </c>
      <c r="I306" s="4">
        <v>1</v>
      </c>
      <c r="J30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6" s="4" t="str">
        <f t="shared" si="9"/>
        <v/>
      </c>
      <c r="N306" s="4" cm="1">
        <f t="array" ref="N306">SUM(--(_xlfn.TEXTSPLIT($J$2,, " ") = M306))</f>
        <v>56</v>
      </c>
      <c r="O306">
        <v>28</v>
      </c>
      <c r="P306" t="str">
        <v xml:space="preserve">through
</v>
      </c>
      <c r="Q306">
        <v>28</v>
      </c>
      <c r="R306" s="4"/>
      <c r="S306" s="10"/>
    </row>
    <row r="307" spans="1:19" x14ac:dyDescent="0.2">
      <c r="A307" s="4">
        <v>1</v>
      </c>
      <c r="B307" s="5">
        <v>45912</v>
      </c>
      <c r="C307" s="6">
        <v>0.22361111111111112</v>
      </c>
      <c r="D307" s="7">
        <v>322</v>
      </c>
      <c r="E307" s="4" t="s">
        <v>14</v>
      </c>
      <c r="F307" s="4">
        <v>1</v>
      </c>
      <c r="G307" s="8" t="s">
        <v>15</v>
      </c>
      <c r="H307" s="9" t="s">
        <v>16</v>
      </c>
      <c r="I307" s="4">
        <v>1</v>
      </c>
      <c r="J30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7" s="4" t="str">
        <f t="shared" si="9"/>
        <v/>
      </c>
      <c r="N307" s="4" cm="1">
        <f t="array" ref="N307">SUM(--(_xlfn.TEXTSPLIT($J$2,, " ") = M307))</f>
        <v>56</v>
      </c>
      <c r="O307">
        <v>28</v>
      </c>
      <c r="P307" t="str">
        <v>night</v>
      </c>
      <c r="Q307">
        <v>28</v>
      </c>
      <c r="R307" s="4"/>
      <c r="S307" s="10"/>
    </row>
    <row r="308" spans="1:19" x14ac:dyDescent="0.2">
      <c r="A308" s="4">
        <v>1</v>
      </c>
      <c r="B308" s="5">
        <v>45912</v>
      </c>
      <c r="C308" s="6">
        <v>0.22361111111111112</v>
      </c>
      <c r="D308" s="7">
        <v>322</v>
      </c>
      <c r="E308" s="4" t="s">
        <v>14</v>
      </c>
      <c r="F308" s="4">
        <v>1</v>
      </c>
      <c r="G308" s="8" t="s">
        <v>15</v>
      </c>
      <c r="H308" s="9" t="s">
        <v>16</v>
      </c>
      <c r="I308" s="4">
        <v>1</v>
      </c>
      <c r="J30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8" s="4" t="str">
        <f t="shared" si="9"/>
        <v/>
      </c>
      <c r="N308" s="4" cm="1">
        <f t="array" ref="N308">SUM(--(_xlfn.TEXTSPLIT($J$2,, " ") = M308))</f>
        <v>56</v>
      </c>
      <c r="O308">
        <v>28</v>
      </c>
      <c r="P308" t="str">
        <v>has</v>
      </c>
      <c r="Q308">
        <v>28</v>
      </c>
      <c r="R308" s="4"/>
      <c r="S308" s="10"/>
    </row>
    <row r="309" spans="1:19" x14ac:dyDescent="0.2">
      <c r="A309" s="4">
        <v>1</v>
      </c>
      <c r="B309" s="5">
        <v>45912</v>
      </c>
      <c r="C309" s="6">
        <v>0.22361111111111112</v>
      </c>
      <c r="D309" s="7">
        <v>322</v>
      </c>
      <c r="E309" s="4" t="s">
        <v>14</v>
      </c>
      <c r="F309" s="4">
        <v>1</v>
      </c>
      <c r="G309" s="8" t="s">
        <v>15</v>
      </c>
      <c r="H309" s="9" t="s">
        <v>16</v>
      </c>
      <c r="I309" s="4">
        <v>1</v>
      </c>
      <c r="J30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09" s="4" t="str">
        <f t="shared" si="9"/>
        <v/>
      </c>
      <c r="N309" s="4" cm="1">
        <f t="array" ref="N309">SUM(--(_xlfn.TEXTSPLIT($J$2,, " ") = M309))</f>
        <v>56</v>
      </c>
      <c r="O309">
        <v>28</v>
      </c>
      <c r="P309" t="str">
        <v xml:space="preserve">fallen
</v>
      </c>
      <c r="Q309">
        <v>28</v>
      </c>
      <c r="R309" s="4"/>
      <c r="S309" s="10"/>
    </row>
    <row r="310" spans="1:19" x14ac:dyDescent="0.2">
      <c r="A310" s="4">
        <v>1</v>
      </c>
      <c r="B310" s="5">
        <v>45912</v>
      </c>
      <c r="C310" s="6">
        <v>0.22361111111111112</v>
      </c>
      <c r="D310" s="7">
        <v>322</v>
      </c>
      <c r="E310" s="4" t="s">
        <v>14</v>
      </c>
      <c r="F310" s="4">
        <v>1</v>
      </c>
      <c r="G310" s="8" t="s">
        <v>15</v>
      </c>
      <c r="H310" s="9" t="s">
        <v>16</v>
      </c>
      <c r="I310" s="4">
        <v>1</v>
      </c>
      <c r="J31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0" s="4" t="str">
        <f t="shared" si="9"/>
        <v/>
      </c>
      <c r="N310" s="4" cm="1">
        <f t="array" ref="N310">SUM(--(_xlfn.TEXTSPLIT($J$2,, " ") = M310))</f>
        <v>56</v>
      </c>
      <c r="O310">
        <v>28</v>
      </c>
      <c r="P310" t="str">
        <v xml:space="preserve">sun
</v>
      </c>
      <c r="Q310">
        <v>28</v>
      </c>
      <c r="R310" s="4"/>
      <c r="S310" s="10"/>
    </row>
    <row r="311" spans="1:19" x14ac:dyDescent="0.2">
      <c r="A311" s="4">
        <v>1</v>
      </c>
      <c r="B311" s="5">
        <v>45912</v>
      </c>
      <c r="C311" s="6">
        <v>0.22361111111111112</v>
      </c>
      <c r="D311" s="7">
        <v>322</v>
      </c>
      <c r="E311" s="4" t="s">
        <v>14</v>
      </c>
      <c r="F311" s="4">
        <v>1</v>
      </c>
      <c r="G311" s="8" t="s">
        <v>15</v>
      </c>
      <c r="H311" s="9" t="s">
        <v>16</v>
      </c>
      <c r="I311" s="4">
        <v>1</v>
      </c>
      <c r="J31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1" s="4" t="str">
        <f t="shared" si="9"/>
        <v/>
      </c>
      <c r="N311" s="4" cm="1">
        <f t="array" ref="N311">SUM(--(_xlfn.TEXTSPLIT($J$2,, " ") = M311))</f>
        <v>56</v>
      </c>
      <c r="O311">
        <v>28</v>
      </c>
      <c r="P311" t="str">
        <v>you,</v>
      </c>
      <c r="Q311">
        <v>28</v>
      </c>
      <c r="R311" s="4"/>
      <c r="S311" s="10"/>
    </row>
    <row r="312" spans="1:19" x14ac:dyDescent="0.2">
      <c r="A312" s="4">
        <v>1</v>
      </c>
      <c r="B312" s="5">
        <v>45912</v>
      </c>
      <c r="C312" s="6">
        <v>0.22361111111111112</v>
      </c>
      <c r="D312" s="7">
        <v>322</v>
      </c>
      <c r="E312" s="4" t="s">
        <v>14</v>
      </c>
      <c r="F312" s="4">
        <v>1</v>
      </c>
      <c r="G312" s="8" t="s">
        <v>15</v>
      </c>
      <c r="H312" s="9" t="s">
        <v>16</v>
      </c>
      <c r="I312" s="4">
        <v>1</v>
      </c>
      <c r="J31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2" s="4" t="str">
        <f t="shared" si="9"/>
        <v/>
      </c>
      <c r="N312" s="4" cm="1">
        <f t="array" ref="N312">SUM(--(_xlfn.TEXTSPLIT($J$2,, " ") = M312))</f>
        <v>56</v>
      </c>
      <c r="O312">
        <v>28</v>
      </c>
      <c r="P312" t="str">
        <v>me</v>
      </c>
      <c r="Q312">
        <v>28</v>
      </c>
      <c r="R312" s="4"/>
      <c r="S312" s="10"/>
    </row>
    <row r="313" spans="1:19" x14ac:dyDescent="0.2">
      <c r="A313" s="4">
        <v>1</v>
      </c>
      <c r="B313" s="5">
        <v>45912</v>
      </c>
      <c r="C313" s="6">
        <v>0.22361111111111112</v>
      </c>
      <c r="D313" s="7">
        <v>322</v>
      </c>
      <c r="E313" s="4" t="s">
        <v>14</v>
      </c>
      <c r="F313" s="4">
        <v>1</v>
      </c>
      <c r="G313" s="8" t="s">
        <v>15</v>
      </c>
      <c r="H313" s="9" t="s">
        <v>16</v>
      </c>
      <c r="I313" s="4">
        <v>1</v>
      </c>
      <c r="J313"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3" s="4" t="str">
        <f t="shared" si="9"/>
        <v/>
      </c>
      <c r="N313" s="4" cm="1">
        <f t="array" ref="N313">SUM(--(_xlfn.TEXTSPLIT($J$2,, " ") = M313))</f>
        <v>56</v>
      </c>
      <c r="O313">
        <v>28</v>
      </c>
      <c r="P313" t="str">
        <v>was</v>
      </c>
      <c r="Q313">
        <v>28</v>
      </c>
      <c r="R313" s="4"/>
      <c r="S313" s="10"/>
    </row>
    <row r="314" spans="1:19" x14ac:dyDescent="0.2">
      <c r="A314" s="4">
        <v>1</v>
      </c>
      <c r="B314" s="5">
        <v>45912</v>
      </c>
      <c r="C314" s="6">
        <v>0.22361111111111112</v>
      </c>
      <c r="D314" s="7">
        <v>322</v>
      </c>
      <c r="E314" s="4" t="s">
        <v>14</v>
      </c>
      <c r="F314" s="4">
        <v>1</v>
      </c>
      <c r="G314" s="8" t="s">
        <v>15</v>
      </c>
      <c r="H314" s="9" t="s">
        <v>16</v>
      </c>
      <c r="I314" s="4">
        <v>1</v>
      </c>
      <c r="J314"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4" s="4" t="str">
        <f t="shared" si="9"/>
        <v/>
      </c>
      <c r="N314" s="4" cm="1">
        <f t="array" ref="N314">SUM(--(_xlfn.TEXTSPLIT($J$2,, " ") = M314))</f>
        <v>56</v>
      </c>
      <c r="O314">
        <v>28</v>
      </c>
      <c r="P314" t="str">
        <v>thought</v>
      </c>
      <c r="Q314">
        <v>28</v>
      </c>
      <c r="R314" s="4"/>
      <c r="S314" s="10"/>
    </row>
    <row r="315" spans="1:19" x14ac:dyDescent="0.2">
      <c r="A315" s="4">
        <v>1</v>
      </c>
      <c r="B315" s="5">
        <v>45912</v>
      </c>
      <c r="C315" s="6">
        <v>0.22361111111111112</v>
      </c>
      <c r="D315" s="7">
        <v>322</v>
      </c>
      <c r="E315" s="4" t="s">
        <v>14</v>
      </c>
      <c r="F315" s="4">
        <v>1</v>
      </c>
      <c r="G315" s="8" t="s">
        <v>15</v>
      </c>
      <c r="H315" s="9" t="s">
        <v>16</v>
      </c>
      <c r="I315" s="4">
        <v>1</v>
      </c>
      <c r="J315"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5" s="4" t="str">
        <f t="shared" si="9"/>
        <v/>
      </c>
      <c r="N315" s="4" cm="1">
        <f t="array" ref="N315">SUM(--(_xlfn.TEXTSPLIT($J$2,, " ") = M315))</f>
        <v>56</v>
      </c>
      <c r="O315">
        <v>28</v>
      </c>
      <c r="P315" t="str">
        <v>would</v>
      </c>
      <c r="Q315">
        <v>28</v>
      </c>
      <c r="R315" s="4"/>
      <c r="S315" s="10"/>
    </row>
    <row r="316" spans="1:19" x14ac:dyDescent="0.2">
      <c r="A316" s="4">
        <v>1</v>
      </c>
      <c r="B316" s="5">
        <v>45912</v>
      </c>
      <c r="C316" s="6">
        <v>0.22361111111111112</v>
      </c>
      <c r="D316" s="7">
        <v>322</v>
      </c>
      <c r="E316" s="4" t="s">
        <v>14</v>
      </c>
      <c r="F316" s="4">
        <v>1</v>
      </c>
      <c r="G316" s="8" t="s">
        <v>15</v>
      </c>
      <c r="H316" s="9" t="s">
        <v>16</v>
      </c>
      <c r="I316" s="4">
        <v>1</v>
      </c>
      <c r="J316"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6" s="4" t="str">
        <f t="shared" si="9"/>
        <v/>
      </c>
      <c r="N316" s="4" cm="1">
        <f t="array" ref="N316">SUM(--(_xlfn.TEXTSPLIT($J$2,, " ") = M316))</f>
        <v>56</v>
      </c>
      <c r="O316">
        <v>28</v>
      </c>
      <c r="P316" t="str">
        <v>smile</v>
      </c>
      <c r="Q316">
        <v>28</v>
      </c>
      <c r="R316" s="4"/>
      <c r="S316" s="10"/>
    </row>
    <row r="317" spans="1:19" x14ac:dyDescent="0.2">
      <c r="A317" s="4">
        <v>1</v>
      </c>
      <c r="B317" s="5">
        <v>45912</v>
      </c>
      <c r="C317" s="6">
        <v>0.22361111111111112</v>
      </c>
      <c r="D317" s="7">
        <v>322</v>
      </c>
      <c r="E317" s="4" t="s">
        <v>14</v>
      </c>
      <c r="F317" s="4">
        <v>1</v>
      </c>
      <c r="G317" s="8" t="s">
        <v>15</v>
      </c>
      <c r="H317" s="9" t="s">
        <v>16</v>
      </c>
      <c r="I317" s="4">
        <v>1</v>
      </c>
      <c r="J317"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7" s="4" t="str">
        <f t="shared" si="9"/>
        <v/>
      </c>
      <c r="N317" s="4" cm="1">
        <f t="array" ref="N317">SUM(--(_xlfn.TEXTSPLIT($J$2,, " ") = M317))</f>
        <v>56</v>
      </c>
      <c r="O317">
        <v>28</v>
      </c>
      <c r="P317" t="str">
        <v>wraps</v>
      </c>
      <c r="Q317">
        <v>28</v>
      </c>
      <c r="R317" s="4"/>
      <c r="S317" s="10"/>
    </row>
    <row r="318" spans="1:19" x14ac:dyDescent="0.2">
      <c r="A318" s="4">
        <v>1</v>
      </c>
      <c r="B318" s="5">
        <v>45912</v>
      </c>
      <c r="C318" s="6">
        <v>0.22361111111111112</v>
      </c>
      <c r="D318" s="7">
        <v>322</v>
      </c>
      <c r="E318" s="4" t="s">
        <v>14</v>
      </c>
      <c r="F318" s="4">
        <v>1</v>
      </c>
      <c r="G318" s="8" t="s">
        <v>15</v>
      </c>
      <c r="H318" s="9" t="s">
        <v>16</v>
      </c>
      <c r="I318" s="4">
        <v>1</v>
      </c>
      <c r="J318"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8" s="4" t="str">
        <f t="shared" si="9"/>
        <v/>
      </c>
      <c r="N318" s="4" cm="1">
        <f t="array" ref="N318">SUM(--(_xlfn.TEXTSPLIT($J$2,, " ") = M318))</f>
        <v>56</v>
      </c>
      <c r="O318">
        <v>28</v>
      </c>
      <c r="P318" t="str">
        <v>head,</v>
      </c>
      <c r="Q318">
        <v>28</v>
      </c>
      <c r="R318" s="4"/>
      <c r="S318" s="10"/>
    </row>
    <row r="319" spans="1:19" x14ac:dyDescent="0.2">
      <c r="A319" s="4">
        <v>1</v>
      </c>
      <c r="B319" s="5">
        <v>45912</v>
      </c>
      <c r="C319" s="6">
        <v>0.22361111111111112</v>
      </c>
      <c r="D319" s="7">
        <v>322</v>
      </c>
      <c r="E319" s="4" t="s">
        <v>14</v>
      </c>
      <c r="F319" s="4">
        <v>1</v>
      </c>
      <c r="G319" s="8" t="s">
        <v>15</v>
      </c>
      <c r="H319" s="9" t="s">
        <v>16</v>
      </c>
      <c r="I319" s="4">
        <v>1</v>
      </c>
      <c r="J319"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19" s="4" t="str">
        <f t="shared" si="9"/>
        <v/>
      </c>
      <c r="N319" s="4" cm="1">
        <f t="array" ref="N319">SUM(--(_xlfn.TEXTSPLIT($J$2,, " ") = M319))</f>
        <v>56</v>
      </c>
      <c r="O319">
        <v>28</v>
      </c>
      <c r="P319" t="str">
        <v>splitting</v>
      </c>
      <c r="Q319">
        <v>28</v>
      </c>
      <c r="R319" s="4"/>
      <c r="S319" s="10"/>
    </row>
    <row r="320" spans="1:19" x14ac:dyDescent="0.2">
      <c r="A320" s="4">
        <v>1</v>
      </c>
      <c r="B320" s="5">
        <v>45912</v>
      </c>
      <c r="C320" s="6">
        <v>0.22361111111111112</v>
      </c>
      <c r="D320" s="7">
        <v>322</v>
      </c>
      <c r="E320" s="4" t="s">
        <v>14</v>
      </c>
      <c r="F320" s="4">
        <v>1</v>
      </c>
      <c r="G320" s="8" t="s">
        <v>15</v>
      </c>
      <c r="H320" s="9" t="s">
        <v>16</v>
      </c>
      <c r="I320" s="4">
        <v>1</v>
      </c>
      <c r="J320"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0" s="4" t="str">
        <f t="shared" si="9"/>
        <v/>
      </c>
      <c r="N320" s="4" cm="1">
        <f t="array" ref="N320">SUM(--(_xlfn.TEXTSPLIT($J$2,, " ") = M320))</f>
        <v>56</v>
      </c>
      <c r="O320">
        <v>28</v>
      </c>
      <c r="P320" t="str">
        <v xml:space="preserve">in
</v>
      </c>
      <c r="Q320">
        <v>28</v>
      </c>
      <c r="R320" s="4"/>
      <c r="S320" s="10"/>
    </row>
    <row r="321" spans="1:19" x14ac:dyDescent="0.2">
      <c r="A321" s="4">
        <v>1</v>
      </c>
      <c r="B321" s="5">
        <v>45912</v>
      </c>
      <c r="C321" s="6">
        <v>0.22361111111111112</v>
      </c>
      <c r="D321" s="7">
        <v>322</v>
      </c>
      <c r="E321" s="4" t="s">
        <v>14</v>
      </c>
      <c r="F321" s="4">
        <v>1</v>
      </c>
      <c r="G321" s="8" t="s">
        <v>15</v>
      </c>
      <c r="H321" s="9" t="s">
        <v>16</v>
      </c>
      <c r="I321" s="4">
        <v>1</v>
      </c>
      <c r="J321"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1" s="4" t="str">
        <f t="shared" si="9"/>
        <v/>
      </c>
      <c r="N321" s="4" cm="1">
        <f t="array" ref="N321">SUM(--(_xlfn.TEXTSPLIT($J$2,, " ") = M321))</f>
        <v>56</v>
      </c>
      <c r="O321">
        <v>28</v>
      </c>
      <c r="P321" t="str">
        <v xml:space="preserve">two
</v>
      </c>
      <c r="Q321">
        <v>28</v>
      </c>
      <c r="R321" s="4"/>
      <c r="S321" s="10"/>
    </row>
    <row r="322" spans="1:19" x14ac:dyDescent="0.2">
      <c r="A322" s="4">
        <v>1</v>
      </c>
      <c r="B322" s="5">
        <v>45912</v>
      </c>
      <c r="C322" s="6">
        <v>0.22361111111111112</v>
      </c>
      <c r="D322" s="7">
        <v>322</v>
      </c>
      <c r="E322" s="4" t="s">
        <v>14</v>
      </c>
      <c r="F322" s="4">
        <v>1</v>
      </c>
      <c r="G322" s="8" t="s">
        <v>15</v>
      </c>
      <c r="H322" s="9" t="s">
        <v>16</v>
      </c>
      <c r="I322" s="4">
        <v>1</v>
      </c>
      <c r="J322" s="4" t="str">
        <f t="shared" si="8"/>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2" s="4" t="str">
        <f t="shared" si="9"/>
        <v/>
      </c>
      <c r="N322" s="4" cm="1">
        <f t="array" ref="N322">SUM(--(_xlfn.TEXTSPLIT($J$2,, " ") = M322))</f>
        <v>56</v>
      </c>
      <c r="O322">
        <v>28</v>
      </c>
      <c r="P322" t="str">
        <v>don't</v>
      </c>
      <c r="Q322">
        <v>28</v>
      </c>
      <c r="R322" s="4"/>
      <c r="S322" s="10"/>
    </row>
    <row r="323" spans="1:19" x14ac:dyDescent="0.2">
      <c r="A323" s="4">
        <v>1</v>
      </c>
      <c r="B323" s="5">
        <v>45912</v>
      </c>
      <c r="C323" s="6">
        <v>0.22361111111111112</v>
      </c>
      <c r="D323" s="7">
        <v>322</v>
      </c>
      <c r="E323" s="4" t="s">
        <v>14</v>
      </c>
      <c r="F323" s="4">
        <v>1</v>
      </c>
      <c r="G323" s="8" t="s">
        <v>15</v>
      </c>
      <c r="H323" s="9" t="s">
        <v>16</v>
      </c>
      <c r="I323" s="4">
        <v>1</v>
      </c>
      <c r="J323" s="4" t="str">
        <f t="shared" ref="J323:J386" si="10">_xlfn.TEXTJOIN(" ", TRUE, H323:H336)</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3" s="4" t="str">
        <f t="shared" si="9"/>
        <v/>
      </c>
      <c r="N323" s="4" cm="1">
        <f t="array" ref="N323">SUM(--(_xlfn.TEXTSPLIT($J$2,, " ") = M323))</f>
        <v>56</v>
      </c>
      <c r="O323">
        <v>28</v>
      </c>
      <c r="P323" t="str">
        <v>have</v>
      </c>
      <c r="Q323">
        <v>28</v>
      </c>
      <c r="R323" s="4"/>
      <c r="S323" s="10"/>
    </row>
    <row r="324" spans="1:19" x14ac:dyDescent="0.2">
      <c r="A324" s="4">
        <v>1</v>
      </c>
      <c r="B324" s="5">
        <v>45912</v>
      </c>
      <c r="C324" s="6">
        <v>0.22361111111111112</v>
      </c>
      <c r="D324" s="7">
        <v>322</v>
      </c>
      <c r="E324" s="4" t="s">
        <v>14</v>
      </c>
      <c r="F324" s="4">
        <v>1</v>
      </c>
      <c r="G324" s="8" t="s">
        <v>15</v>
      </c>
      <c r="H324" s="9" t="s">
        <v>16</v>
      </c>
      <c r="I324" s="4">
        <v>1</v>
      </c>
      <c r="J32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4" s="4" t="str">
        <f t="shared" ref="L324:L387" si="11">_xlfn.REGEXREPLACE(K324, "[^A-Za-z ]", " ")</f>
        <v/>
      </c>
      <c r="N324" s="4" cm="1">
        <f t="array" ref="N324">SUM(--(_xlfn.TEXTSPLIT($J$2,, " ") = M324))</f>
        <v>56</v>
      </c>
      <c r="O324">
        <v>28</v>
      </c>
      <c r="P324" t="str">
        <v>clue</v>
      </c>
      <c r="Q324">
        <v>28</v>
      </c>
      <c r="R324" s="4"/>
      <c r="S324" s="10"/>
    </row>
    <row r="325" spans="1:19" x14ac:dyDescent="0.2">
      <c r="A325" s="4">
        <v>1</v>
      </c>
      <c r="B325" s="5">
        <v>45912</v>
      </c>
      <c r="C325" s="6">
        <v>0.22361111111111112</v>
      </c>
      <c r="D325" s="7">
        <v>322</v>
      </c>
      <c r="E325" s="4" t="s">
        <v>14</v>
      </c>
      <c r="F325" s="4">
        <v>1</v>
      </c>
      <c r="G325" s="8" t="s">
        <v>15</v>
      </c>
      <c r="H325" s="9" t="s">
        <v>16</v>
      </c>
      <c r="I325" s="4">
        <v>1</v>
      </c>
      <c r="J32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5" s="4" t="str">
        <f t="shared" si="11"/>
        <v/>
      </c>
      <c r="N325" s="4" cm="1">
        <f t="array" ref="N325">SUM(--(_xlfn.TEXTSPLIT($J$2,, " ") = M325))</f>
        <v>56</v>
      </c>
      <c r="O325">
        <v>28</v>
      </c>
      <c r="P325" t="str">
        <v>how</v>
      </c>
      <c r="Q325">
        <v>28</v>
      </c>
      <c r="R325" s="4"/>
      <c r="S325" s="10"/>
    </row>
    <row r="326" spans="1:19" x14ac:dyDescent="0.2">
      <c r="A326" s="4">
        <v>1</v>
      </c>
      <c r="B326" s="5">
        <v>45912</v>
      </c>
      <c r="C326" s="6">
        <v>0.22361111111111112</v>
      </c>
      <c r="D326" s="7">
        <v>322</v>
      </c>
      <c r="E326" s="4" t="s">
        <v>14</v>
      </c>
      <c r="F326" s="4">
        <v>1</v>
      </c>
      <c r="G326" s="8" t="s">
        <v>15</v>
      </c>
      <c r="H326" s="9" t="s">
        <v>16</v>
      </c>
      <c r="I326" s="4">
        <v>1</v>
      </c>
      <c r="J32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6" s="4" t="str">
        <f t="shared" si="11"/>
        <v/>
      </c>
      <c r="N326" s="4" cm="1">
        <f t="array" ref="N326">SUM(--(_xlfn.TEXTSPLIT($J$2,, " ") = M326))</f>
        <v>56</v>
      </c>
      <c r="O326">
        <v>28</v>
      </c>
      <c r="P326" t="str">
        <v>keep</v>
      </c>
      <c r="Q326">
        <v>28</v>
      </c>
      <c r="R326" s="4"/>
      <c r="S326" s="10"/>
    </row>
    <row r="327" spans="1:19" x14ac:dyDescent="0.2">
      <c r="A327" s="4">
        <v>1</v>
      </c>
      <c r="B327" s="5">
        <v>45912</v>
      </c>
      <c r="C327" s="6">
        <v>0.22361111111111112</v>
      </c>
      <c r="D327" s="7">
        <v>322</v>
      </c>
      <c r="E327" s="4" t="s">
        <v>14</v>
      </c>
      <c r="F327" s="4">
        <v>1</v>
      </c>
      <c r="G327" s="8" t="s">
        <v>15</v>
      </c>
      <c r="H327" s="9" t="s">
        <v>16</v>
      </c>
      <c r="I327" s="4">
        <v>1</v>
      </c>
      <c r="J32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7" s="4" t="str">
        <f t="shared" si="11"/>
        <v/>
      </c>
      <c r="N327" s="4" cm="1">
        <f t="array" ref="N327">SUM(--(_xlfn.TEXTSPLIT($J$2,, " ") = M327))</f>
        <v>56</v>
      </c>
      <c r="O327">
        <v>28</v>
      </c>
      <c r="P327" t="str">
        <v>top</v>
      </c>
      <c r="Q327">
        <v>28</v>
      </c>
      <c r="R327" s="4"/>
      <c r="S327" s="10"/>
    </row>
    <row r="328" spans="1:19" x14ac:dyDescent="0.2">
      <c r="A328" s="4">
        <v>1</v>
      </c>
      <c r="B328" s="5">
        <v>45912</v>
      </c>
      <c r="C328" s="6">
        <v>0.22361111111111112</v>
      </c>
      <c r="D328" s="7">
        <v>322</v>
      </c>
      <c r="E328" s="4" t="s">
        <v>14</v>
      </c>
      <c r="F328" s="4">
        <v>1</v>
      </c>
      <c r="G328" s="8" t="s">
        <v>15</v>
      </c>
      <c r="H328" s="9" t="s">
        <v>16</v>
      </c>
      <c r="I328" s="4">
        <v>1</v>
      </c>
      <c r="J32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8" s="4" t="str">
        <f t="shared" si="11"/>
        <v/>
      </c>
      <c r="N328" s="4" cm="1">
        <f t="array" ref="N328">SUM(--(_xlfn.TEXTSPLIT($J$2,, " ") = M328))</f>
        <v>56</v>
      </c>
      <c r="O328">
        <v>28</v>
      </c>
      <c r="P328" t="str">
        <v xml:space="preserve">half
</v>
      </c>
      <c r="Q328">
        <v>28</v>
      </c>
      <c r="R328" s="4"/>
      <c r="S328" s="10"/>
    </row>
    <row r="329" spans="1:19" x14ac:dyDescent="0.2">
      <c r="A329" s="4">
        <v>1</v>
      </c>
      <c r="B329" s="5">
        <v>45912</v>
      </c>
      <c r="C329" s="6">
        <v>0.22361111111111112</v>
      </c>
      <c r="D329" s="7">
        <v>322</v>
      </c>
      <c r="E329" s="4" t="s">
        <v>14</v>
      </c>
      <c r="F329" s="4">
        <v>1</v>
      </c>
      <c r="G329" s="8" t="s">
        <v>15</v>
      </c>
      <c r="H329" s="9" t="s">
        <v>16</v>
      </c>
      <c r="I329" s="4">
        <v>1</v>
      </c>
      <c r="J32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29" s="4" t="str">
        <f t="shared" si="11"/>
        <v/>
      </c>
      <c r="N329" s="4" cm="1">
        <f t="array" ref="N329">SUM(--(_xlfn.TEXTSPLIT($J$2,, " ") = M329))</f>
        <v>56</v>
      </c>
      <c r="O329">
        <v>28</v>
      </c>
      <c r="P329" t="str">
        <v>time</v>
      </c>
      <c r="Q329">
        <v>28</v>
      </c>
      <c r="R329" s="4"/>
      <c r="S329" s="10"/>
    </row>
    <row r="330" spans="1:19" x14ac:dyDescent="0.2">
      <c r="A330" s="4">
        <v>1</v>
      </c>
      <c r="B330" s="5">
        <v>45912</v>
      </c>
      <c r="C330" s="6">
        <v>0.22361111111111112</v>
      </c>
      <c r="D330" s="7">
        <v>322</v>
      </c>
      <c r="E330" s="4" t="s">
        <v>14</v>
      </c>
      <c r="F330" s="4">
        <v>1</v>
      </c>
      <c r="G330" s="8" t="s">
        <v>15</v>
      </c>
      <c r="H330" s="9" t="s">
        <v>16</v>
      </c>
      <c r="I330" s="4">
        <v>1</v>
      </c>
      <c r="J33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0" s="4" t="str">
        <f t="shared" si="11"/>
        <v/>
      </c>
      <c r="N330" s="4" cm="1">
        <f t="array" ref="N330">SUM(--(_xlfn.TEXTSPLIT($J$2,, " ") = M330))</f>
        <v>56</v>
      </c>
      <c r="O330">
        <v>28</v>
      </c>
      <c r="P330" t="str">
        <v>that</v>
      </c>
      <c r="Q330">
        <v>28</v>
      </c>
      <c r="R330" s="4"/>
      <c r="S330" s="10"/>
    </row>
    <row r="331" spans="1:19" x14ac:dyDescent="0.2">
      <c r="A331" s="4">
        <v>1</v>
      </c>
      <c r="B331" s="5">
        <v>45912</v>
      </c>
      <c r="C331" s="6">
        <v>0.22361111111111112</v>
      </c>
      <c r="D331" s="7">
        <v>322</v>
      </c>
      <c r="E331" s="4" t="s">
        <v>14</v>
      </c>
      <c r="F331" s="4">
        <v>1</v>
      </c>
      <c r="G331" s="8" t="s">
        <v>15</v>
      </c>
      <c r="H331" s="9" t="s">
        <v>16</v>
      </c>
      <c r="I331" s="4">
        <v>1</v>
      </c>
      <c r="J33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1" s="4" t="str">
        <f t="shared" si="11"/>
        <v/>
      </c>
      <c r="N331" s="4" cm="1">
        <f t="array" ref="N331">SUM(--(_xlfn.TEXTSPLIT($J$2,, " ") = M331))</f>
        <v>56</v>
      </c>
      <c r="O331">
        <v>28</v>
      </c>
      <c r="P331" t="str">
        <v>soul,</v>
      </c>
      <c r="Q331">
        <v>28</v>
      </c>
      <c r="R331" s="4"/>
      <c r="S331" s="10"/>
    </row>
    <row r="332" spans="1:19" x14ac:dyDescent="0.2">
      <c r="A332" s="4">
        <v>1</v>
      </c>
      <c r="B332" s="5">
        <v>45912</v>
      </c>
      <c r="C332" s="6">
        <v>0.22361111111111112</v>
      </c>
      <c r="D332" s="7">
        <v>322</v>
      </c>
      <c r="E332" s="4" t="s">
        <v>14</v>
      </c>
      <c r="F332" s="4">
        <v>1</v>
      </c>
      <c r="G332" s="8" t="s">
        <v>15</v>
      </c>
      <c r="H332" s="9" t="s">
        <v>16</v>
      </c>
      <c r="I332" s="4">
        <v>1</v>
      </c>
      <c r="J33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2" s="4" t="str">
        <f t="shared" si="11"/>
        <v/>
      </c>
      <c r="N332" s="4" cm="1">
        <f t="array" ref="N332">SUM(--(_xlfn.TEXTSPLIT($J$2,, " ") = M332))</f>
        <v>56</v>
      </c>
      <c r="O332">
        <v>14</v>
      </c>
      <c r="P332" t="str">
        <v>right,</v>
      </c>
      <c r="Q332">
        <v>14</v>
      </c>
      <c r="R332" s="4"/>
      <c r="S332" s="10"/>
    </row>
    <row r="333" spans="1:19" x14ac:dyDescent="0.2">
      <c r="A333" s="4">
        <v>1</v>
      </c>
      <c r="B333" s="5">
        <v>45912</v>
      </c>
      <c r="C333" s="6">
        <v>0.22361111111111112</v>
      </c>
      <c r="D333" s="7">
        <v>322</v>
      </c>
      <c r="E333" s="4" t="s">
        <v>14</v>
      </c>
      <c r="F333" s="4">
        <v>1</v>
      </c>
      <c r="G333" s="8" t="s">
        <v>15</v>
      </c>
      <c r="H333" s="9" t="s">
        <v>16</v>
      </c>
      <c r="I333" s="4">
        <v>1</v>
      </c>
      <c r="J33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3" s="4" t="str">
        <f t="shared" si="11"/>
        <v/>
      </c>
      <c r="N333" s="4" cm="1">
        <f t="array" ref="N333">SUM(--(_xlfn.TEXTSPLIT($J$2,, " ") = M333))</f>
        <v>56</v>
      </c>
      <c r="O333">
        <v>14</v>
      </c>
      <c r="P333" t="str">
        <v>throw</v>
      </c>
      <c r="Q333">
        <v>14</v>
      </c>
      <c r="R333" s="4"/>
      <c r="S333" s="10"/>
    </row>
    <row r="334" spans="1:19" x14ac:dyDescent="0.2">
      <c r="A334" s="4">
        <v>1</v>
      </c>
      <c r="B334" s="5">
        <v>45912</v>
      </c>
      <c r="C334" s="6">
        <v>0.22361111111111112</v>
      </c>
      <c r="D334" s="7">
        <v>322</v>
      </c>
      <c r="E334" s="4" t="s">
        <v>14</v>
      </c>
      <c r="F334" s="4">
        <v>1</v>
      </c>
      <c r="G334" s="8" t="s">
        <v>15</v>
      </c>
      <c r="H334" s="9" t="s">
        <v>16</v>
      </c>
      <c r="I334" s="4">
        <v>1</v>
      </c>
      <c r="J33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4" s="4" t="str">
        <f t="shared" si="11"/>
        <v/>
      </c>
      <c r="N334" s="4" cm="1">
        <f t="array" ref="N334">SUM(--(_xlfn.TEXTSPLIT($J$2,, " ") = M334))</f>
        <v>56</v>
      </c>
      <c r="O334">
        <v>14</v>
      </c>
      <c r="P334" t="str">
        <v xml:space="preserve">left
</v>
      </c>
      <c r="Q334">
        <v>14</v>
      </c>
      <c r="R334" s="4"/>
      <c r="S334" s="10"/>
    </row>
    <row r="335" spans="1:19" x14ac:dyDescent="0.2">
      <c r="A335" s="4">
        <v>1</v>
      </c>
      <c r="B335" s="5">
        <v>45912</v>
      </c>
      <c r="C335" s="6">
        <v>0.22361111111111112</v>
      </c>
      <c r="D335" s="7">
        <v>322</v>
      </c>
      <c r="E335" s="4" t="s">
        <v>14</v>
      </c>
      <c r="F335" s="4">
        <v>1</v>
      </c>
      <c r="G335" s="8" t="s">
        <v>15</v>
      </c>
      <c r="H335" s="9" t="s">
        <v>16</v>
      </c>
      <c r="I335" s="4">
        <v>1</v>
      </c>
      <c r="J33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5" s="4" t="str">
        <f t="shared" si="11"/>
        <v/>
      </c>
      <c r="N335" s="4" cm="1">
        <f t="array" ref="N335">SUM(--(_xlfn.TEXTSPLIT($J$2,, " ") = M335))</f>
        <v>56</v>
      </c>
      <c r="O335">
        <v>14</v>
      </c>
      <c r="P335" t="str">
        <v>I'ma</v>
      </c>
      <c r="Q335">
        <v>14</v>
      </c>
      <c r="R335" s="4"/>
      <c r="S335" s="10"/>
    </row>
    <row r="336" spans="1:19" x14ac:dyDescent="0.2">
      <c r="A336" s="4">
        <v>1</v>
      </c>
      <c r="B336" s="5">
        <v>45912</v>
      </c>
      <c r="C336" s="6">
        <v>0.22361111111111112</v>
      </c>
      <c r="D336" s="7">
        <v>322</v>
      </c>
      <c r="E336" s="4" t="s">
        <v>14</v>
      </c>
      <c r="F336" s="4">
        <v>1</v>
      </c>
      <c r="G336" s="8" t="s">
        <v>15</v>
      </c>
      <c r="H336" s="9" t="s">
        <v>16</v>
      </c>
      <c r="I336" s="4">
        <v>1</v>
      </c>
      <c r="J33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6" s="4" t="str">
        <f t="shared" si="11"/>
        <v/>
      </c>
      <c r="N336" s="4" cm="1">
        <f t="array" ref="N336">SUM(--(_xlfn.TEXTSPLIT($J$2,, " ") = M336))</f>
        <v>56</v>
      </c>
      <c r="O336">
        <v>14</v>
      </c>
      <c r="P336" t="str">
        <v>right</v>
      </c>
      <c r="Q336">
        <v>14</v>
      </c>
      <c r="R336" s="4"/>
      <c r="S336" s="10"/>
    </row>
    <row r="337" spans="1:19" x14ac:dyDescent="0.2">
      <c r="A337" s="4">
        <v>1</v>
      </c>
      <c r="B337" s="5">
        <v>45912</v>
      </c>
      <c r="C337" s="6">
        <v>0.22361111111111112</v>
      </c>
      <c r="D337" s="7">
        <v>322</v>
      </c>
      <c r="E337" s="4" t="s">
        <v>14</v>
      </c>
      <c r="F337" s="4">
        <v>1</v>
      </c>
      <c r="G337" s="8" t="s">
        <v>15</v>
      </c>
      <c r="H337" s="9" t="s">
        <v>16</v>
      </c>
      <c r="I337" s="4">
        <v>1</v>
      </c>
      <c r="J33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7" s="4" t="str">
        <f t="shared" si="11"/>
        <v/>
      </c>
      <c r="N337" s="4" cm="1">
        <f t="array" ref="N337">SUM(--(_xlfn.TEXTSPLIT($J$2,, " ") = M337))</f>
        <v>56</v>
      </c>
      <c r="O337">
        <v>14</v>
      </c>
      <c r="P337" t="str">
        <v xml:space="preserve">chest
</v>
      </c>
      <c r="Q337">
        <v>14</v>
      </c>
      <c r="R337" s="4"/>
      <c r="S337" s="10"/>
    </row>
    <row r="338" spans="1:19" x14ac:dyDescent="0.2">
      <c r="A338" s="4">
        <v>1</v>
      </c>
      <c r="B338" s="5">
        <v>45912</v>
      </c>
      <c r="C338" s="6">
        <v>0.22361111111111112</v>
      </c>
      <c r="D338" s="7">
        <v>322</v>
      </c>
      <c r="E338" s="4" t="s">
        <v>14</v>
      </c>
      <c r="F338" s="4">
        <v>1</v>
      </c>
      <c r="G338" s="8" t="s">
        <v>15</v>
      </c>
      <c r="H338" s="9" t="s">
        <v>16</v>
      </c>
      <c r="I338" s="4">
        <v>1</v>
      </c>
      <c r="J33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8" s="4" t="str">
        <f t="shared" si="11"/>
        <v/>
      </c>
      <c r="N338" s="4" cm="1">
        <f t="array" ref="N338">SUM(--(_xlfn.TEXTSPLIT($J$2,, " ") = M338))</f>
        <v>56</v>
      </c>
      <c r="O338">
        <v>14</v>
      </c>
      <c r="P338" t="str">
        <v>Warpath</v>
      </c>
      <c r="Q338">
        <v>14</v>
      </c>
      <c r="R338" s="4"/>
      <c r="S338" s="10"/>
    </row>
    <row r="339" spans="1:19" x14ac:dyDescent="0.2">
      <c r="A339" s="4">
        <v>1</v>
      </c>
      <c r="B339" s="5">
        <v>45912</v>
      </c>
      <c r="C339" s="6">
        <v>0.22361111111111112</v>
      </c>
      <c r="D339" s="7">
        <v>322</v>
      </c>
      <c r="E339" s="4" t="s">
        <v>14</v>
      </c>
      <c r="F339" s="4">
        <v>1</v>
      </c>
      <c r="G339" s="8" t="s">
        <v>15</v>
      </c>
      <c r="H339" s="9" t="s">
        <v>16</v>
      </c>
      <c r="I339" s="4">
        <v>1</v>
      </c>
      <c r="J33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39" s="4" t="str">
        <f t="shared" si="11"/>
        <v/>
      </c>
      <c r="N339" s="4" cm="1">
        <f t="array" ref="N339">SUM(--(_xlfn.TEXTSPLIT($J$2,, " ") = M339))</f>
        <v>56</v>
      </c>
      <c r="O339">
        <v>14</v>
      </c>
      <c r="P339" t="str">
        <v>etched</v>
      </c>
      <c r="Q339">
        <v>14</v>
      </c>
      <c r="R339" s="4"/>
      <c r="S339" s="10"/>
    </row>
    <row r="340" spans="1:19" x14ac:dyDescent="0.2">
      <c r="A340" s="4">
        <v>1</v>
      </c>
      <c r="B340" s="5">
        <v>45912</v>
      </c>
      <c r="C340" s="6">
        <v>0.22361111111111112</v>
      </c>
      <c r="D340" s="7">
        <v>322</v>
      </c>
      <c r="E340" s="4" t="s">
        <v>14</v>
      </c>
      <c r="F340" s="4">
        <v>1</v>
      </c>
      <c r="G340" s="8" t="s">
        <v>15</v>
      </c>
      <c r="H340" s="9" t="s">
        <v>16</v>
      </c>
      <c r="I340" s="4">
        <v>1</v>
      </c>
      <c r="J34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0" s="4" t="str">
        <f t="shared" si="11"/>
        <v/>
      </c>
      <c r="N340" s="4" cm="1">
        <f t="array" ref="N340">SUM(--(_xlfn.TEXTSPLIT($J$2,, " ") = M340))</f>
        <v>56</v>
      </c>
      <c r="O340">
        <v>14</v>
      </c>
      <c r="P340" t="str">
        <v xml:space="preserve">surface
</v>
      </c>
      <c r="Q340">
        <v>14</v>
      </c>
      <c r="R340" s="4"/>
      <c r="S340" s="10"/>
    </row>
    <row r="341" spans="1:19" x14ac:dyDescent="0.2">
      <c r="A341" s="4">
        <v>1</v>
      </c>
      <c r="B341" s="5">
        <v>45912</v>
      </c>
      <c r="C341" s="6">
        <v>0.22361111111111112</v>
      </c>
      <c r="D341" s="7">
        <v>322</v>
      </c>
      <c r="E341" s="4" t="s">
        <v>14</v>
      </c>
      <c r="F341" s="4">
        <v>1</v>
      </c>
      <c r="G341" s="8" t="s">
        <v>15</v>
      </c>
      <c r="H341" s="9" t="s">
        <v>16</v>
      </c>
      <c r="I341" s="4">
        <v>1</v>
      </c>
      <c r="J34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1" s="4" t="str">
        <f t="shared" si="11"/>
        <v/>
      </c>
      <c r="N341" s="4" cm="1">
        <f t="array" ref="N341">SUM(--(_xlfn.TEXTSPLIT($J$2,, " ") = M341))</f>
        <v>56</v>
      </c>
      <c r="O341">
        <v>14</v>
      </c>
      <c r="P341" t="str">
        <v>Lines</v>
      </c>
      <c r="Q341">
        <v>14</v>
      </c>
      <c r="R341" s="4"/>
      <c r="S341" s="10"/>
    </row>
    <row r="342" spans="1:19" x14ac:dyDescent="0.2">
      <c r="A342" s="4">
        <v>1</v>
      </c>
      <c r="B342" s="5">
        <v>45912</v>
      </c>
      <c r="C342" s="6">
        <v>0.22361111111111112</v>
      </c>
      <c r="D342" s="7">
        <v>322</v>
      </c>
      <c r="E342" s="4" t="s">
        <v>14</v>
      </c>
      <c r="F342" s="4">
        <v>1</v>
      </c>
      <c r="G342" s="8" t="s">
        <v>15</v>
      </c>
      <c r="H342" s="9" t="s">
        <v>16</v>
      </c>
      <c r="I342" s="4">
        <v>1</v>
      </c>
      <c r="J34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2" s="4" t="str">
        <f t="shared" si="11"/>
        <v/>
      </c>
      <c r="N342" s="4" cm="1">
        <f t="array" ref="N342">SUM(--(_xlfn.TEXTSPLIT($J$2,, " ") = M342))</f>
        <v>56</v>
      </c>
      <c r="O342">
        <v>14</v>
      </c>
      <c r="P342" t="str">
        <v>yellow</v>
      </c>
      <c r="Q342">
        <v>14</v>
      </c>
      <c r="R342" s="4"/>
      <c r="S342" s="10"/>
    </row>
    <row r="343" spans="1:19" x14ac:dyDescent="0.2">
      <c r="A343" s="4">
        <v>1</v>
      </c>
      <c r="B343" s="5">
        <v>45912</v>
      </c>
      <c r="C343" s="6">
        <v>0.22361111111111112</v>
      </c>
      <c r="D343" s="7">
        <v>322</v>
      </c>
      <c r="E343" s="4" t="s">
        <v>14</v>
      </c>
      <c r="F343" s="4">
        <v>1</v>
      </c>
      <c r="G343" s="8" t="s">
        <v>15</v>
      </c>
      <c r="H343" s="9" t="s">
        <v>16</v>
      </c>
      <c r="I343" s="4">
        <v>1</v>
      </c>
      <c r="J34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3" s="4" t="str">
        <f t="shared" si="11"/>
        <v/>
      </c>
      <c r="N343" s="4" cm="1">
        <f t="array" ref="N343">SUM(--(_xlfn.TEXTSPLIT($J$2,, " ") = M343))</f>
        <v>56</v>
      </c>
      <c r="O343">
        <v>14</v>
      </c>
      <c r="P343" t="str">
        <v>tape,</v>
      </c>
      <c r="Q343">
        <v>14</v>
      </c>
      <c r="R343" s="4"/>
      <c r="S343" s="10"/>
    </row>
    <row r="344" spans="1:19" x14ac:dyDescent="0.2">
      <c r="A344" s="4">
        <v>1</v>
      </c>
      <c r="B344" s="5">
        <v>45912</v>
      </c>
      <c r="C344" s="6">
        <v>0.22361111111111112</v>
      </c>
      <c r="D344" s="7">
        <v>322</v>
      </c>
      <c r="E344" s="4" t="s">
        <v>14</v>
      </c>
      <c r="F344" s="4">
        <v>1</v>
      </c>
      <c r="G344" s="8" t="s">
        <v>15</v>
      </c>
      <c r="H344" s="9" t="s">
        <v>16</v>
      </c>
      <c r="I344" s="4">
        <v>1</v>
      </c>
      <c r="J34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4" s="4" t="str">
        <f t="shared" si="11"/>
        <v/>
      </c>
      <c r="N344" s="4" cm="1">
        <f t="array" ref="N344">SUM(--(_xlfn.TEXTSPLIT($J$2,, " ") = M344))</f>
        <v>56</v>
      </c>
      <c r="O344">
        <v>14</v>
      </c>
      <c r="P344" t="str">
        <v>moving</v>
      </c>
      <c r="Q344">
        <v>14</v>
      </c>
      <c r="R344" s="4"/>
      <c r="S344" s="10"/>
    </row>
    <row r="345" spans="1:19" x14ac:dyDescent="0.2">
      <c r="A345" s="4">
        <v>1</v>
      </c>
      <c r="B345" s="5">
        <v>45912</v>
      </c>
      <c r="C345" s="6">
        <v>0.22361111111111112</v>
      </c>
      <c r="D345" s="7">
        <v>322</v>
      </c>
      <c r="E345" s="4" t="s">
        <v>14</v>
      </c>
      <c r="F345" s="4">
        <v>1</v>
      </c>
      <c r="G345" s="8" t="s">
        <v>15</v>
      </c>
      <c r="H345" s="9" t="s">
        <v>16</v>
      </c>
      <c r="I345" s="4">
        <v>1</v>
      </c>
      <c r="J34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5" s="4" t="str">
        <f t="shared" si="11"/>
        <v/>
      </c>
      <c r="N345" s="4" cm="1">
        <f t="array" ref="N345">SUM(--(_xlfn.TEXTSPLIT($J$2,, " ") = M345))</f>
        <v>56</v>
      </c>
      <c r="O345">
        <v>14</v>
      </c>
      <c r="P345" t="str">
        <v>quiet</v>
      </c>
      <c r="Q345">
        <v>14</v>
      </c>
      <c r="R345" s="4"/>
      <c r="S345" s="10"/>
    </row>
    <row r="346" spans="1:19" x14ac:dyDescent="0.2">
      <c r="A346" s="4">
        <v>1</v>
      </c>
      <c r="B346" s="5">
        <v>45912</v>
      </c>
      <c r="C346" s="6">
        <v>0.22361111111111112</v>
      </c>
      <c r="D346" s="7">
        <v>322</v>
      </c>
      <c r="E346" s="4" t="s">
        <v>14</v>
      </c>
      <c r="F346" s="4">
        <v>1</v>
      </c>
      <c r="G346" s="8" t="s">
        <v>15</v>
      </c>
      <c r="H346" s="9" t="s">
        <v>16</v>
      </c>
      <c r="I346" s="4">
        <v>1</v>
      </c>
      <c r="J34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6" s="4" t="str">
        <f t="shared" si="11"/>
        <v/>
      </c>
      <c r="N346" s="4" cm="1">
        <f t="array" ref="N346">SUM(--(_xlfn.TEXTSPLIT($J$2,, " ") = M346))</f>
        <v>56</v>
      </c>
      <c r="O346">
        <v>14</v>
      </c>
      <c r="P346" t="str">
        <v>like</v>
      </c>
      <c r="Q346">
        <v>14</v>
      </c>
      <c r="R346" s="4"/>
      <c r="S346" s="10"/>
    </row>
    <row r="347" spans="1:19" x14ac:dyDescent="0.2">
      <c r="A347" s="4">
        <v>1</v>
      </c>
      <c r="B347" s="5">
        <v>45912</v>
      </c>
      <c r="C347" s="6">
        <v>0.22361111111111112</v>
      </c>
      <c r="D347" s="7">
        <v>322</v>
      </c>
      <c r="E347" s="4" t="s">
        <v>14</v>
      </c>
      <c r="F347" s="4">
        <v>1</v>
      </c>
      <c r="G347" s="8" t="s">
        <v>15</v>
      </c>
      <c r="H347" s="9" t="s">
        <v>16</v>
      </c>
      <c r="I347" s="4">
        <v>1</v>
      </c>
      <c r="J34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7" s="4" t="str">
        <f t="shared" si="11"/>
        <v/>
      </c>
      <c r="N347" s="4" cm="1">
        <f t="array" ref="N347">SUM(--(_xlfn.TEXTSPLIT($J$2,, " ") = M347))</f>
        <v>56</v>
      </c>
      <c r="O347">
        <v>14</v>
      </c>
      <c r="P347" t="str">
        <v xml:space="preserve">a
</v>
      </c>
      <c r="Q347">
        <v>14</v>
      </c>
      <c r="R347" s="4"/>
      <c r="S347" s="10"/>
    </row>
    <row r="348" spans="1:19" x14ac:dyDescent="0.2">
      <c r="A348" s="4">
        <v>1</v>
      </c>
      <c r="B348" s="5">
        <v>45912</v>
      </c>
      <c r="C348" s="6">
        <v>0.22361111111111112</v>
      </c>
      <c r="D348" s="7">
        <v>322</v>
      </c>
      <c r="E348" s="4" t="s">
        <v>14</v>
      </c>
      <c r="F348" s="4">
        <v>1</v>
      </c>
      <c r="G348" s="8" t="s">
        <v>15</v>
      </c>
      <c r="H348" s="9" t="s">
        <v>16</v>
      </c>
      <c r="I348" s="4">
        <v>1</v>
      </c>
      <c r="J34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8" s="4" t="str">
        <f t="shared" si="11"/>
        <v/>
      </c>
      <c r="N348" s="4" cm="1">
        <f t="array" ref="N348">SUM(--(_xlfn.TEXTSPLIT($J$2,, " ") = M348))</f>
        <v>56</v>
      </c>
      <c r="O348">
        <v>14</v>
      </c>
      <c r="P348" t="str">
        <v>Serpentine</v>
      </c>
      <c r="Q348">
        <v>14</v>
      </c>
      <c r="R348" s="4"/>
      <c r="S348" s="10"/>
    </row>
    <row r="349" spans="1:19" x14ac:dyDescent="0.2">
      <c r="A349" s="4">
        <v>1</v>
      </c>
      <c r="B349" s="5">
        <v>45912</v>
      </c>
      <c r="C349" s="6">
        <v>0.22361111111111112</v>
      </c>
      <c r="D349" s="7">
        <v>322</v>
      </c>
      <c r="E349" s="4" t="s">
        <v>14</v>
      </c>
      <c r="F349" s="4">
        <v>1</v>
      </c>
      <c r="G349" s="8" t="s">
        <v>15</v>
      </c>
      <c r="H349" s="9" t="s">
        <v>16</v>
      </c>
      <c r="I349" s="4">
        <v>1</v>
      </c>
      <c r="J34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49" s="4" t="str">
        <f t="shared" si="11"/>
        <v/>
      </c>
      <c r="N349" s="4" cm="1">
        <f t="array" ref="N349">SUM(--(_xlfn.TEXTSPLIT($J$2,, " ") = M349))</f>
        <v>56</v>
      </c>
      <c r="O349">
        <v>14</v>
      </c>
      <c r="P349" t="str">
        <v xml:space="preserve">formation
</v>
      </c>
      <c r="Q349">
        <v>14</v>
      </c>
      <c r="R349" s="4"/>
      <c r="S349" s="10"/>
    </row>
    <row r="350" spans="1:19" x14ac:dyDescent="0.2">
      <c r="A350" s="4">
        <v>1</v>
      </c>
      <c r="B350" s="5">
        <v>45912</v>
      </c>
      <c r="C350" s="6">
        <v>0.22361111111111112</v>
      </c>
      <c r="D350" s="7">
        <v>322</v>
      </c>
      <c r="E350" s="4" t="s">
        <v>14</v>
      </c>
      <c r="F350" s="4">
        <v>1</v>
      </c>
      <c r="G350" s="8" t="s">
        <v>15</v>
      </c>
      <c r="H350" s="9" t="s">
        <v>16</v>
      </c>
      <c r="I350" s="4">
        <v>1</v>
      </c>
      <c r="J35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0" s="4" t="str">
        <f t="shared" si="11"/>
        <v/>
      </c>
      <c r="N350" s="4" cm="1">
        <f t="array" ref="N350">SUM(--(_xlfn.TEXTSPLIT($J$2,, " ") = M350))</f>
        <v>56</v>
      </c>
      <c r="O350">
        <v>14</v>
      </c>
      <c r="P350" t="str">
        <v>Buddy,</v>
      </c>
      <c r="Q350">
        <v>14</v>
      </c>
      <c r="R350" s="4"/>
      <c r="S350" s="10"/>
    </row>
    <row r="351" spans="1:19" x14ac:dyDescent="0.2">
      <c r="A351" s="4">
        <v>1</v>
      </c>
      <c r="B351" s="5">
        <v>45912</v>
      </c>
      <c r="C351" s="6">
        <v>0.22361111111111112</v>
      </c>
      <c r="D351" s="7">
        <v>322</v>
      </c>
      <c r="E351" s="4" t="s">
        <v>14</v>
      </c>
      <c r="F351" s="4">
        <v>1</v>
      </c>
      <c r="G351" s="8" t="s">
        <v>15</v>
      </c>
      <c r="H351" s="9" t="s">
        <v>16</v>
      </c>
      <c r="I351" s="4">
        <v>1</v>
      </c>
      <c r="J35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1" s="4" t="str">
        <f t="shared" si="11"/>
        <v/>
      </c>
      <c r="N351" s="4" cm="1">
        <f t="array" ref="N351">SUM(--(_xlfn.TEXTSPLIT($J$2,, " ") = M351))</f>
        <v>56</v>
      </c>
      <c r="O351">
        <v>14</v>
      </c>
      <c r="P351" t="str">
        <v>that's</v>
      </c>
      <c r="Q351">
        <v>14</v>
      </c>
      <c r="R351" s="4"/>
      <c r="S351" s="10"/>
    </row>
    <row r="352" spans="1:19" x14ac:dyDescent="0.2">
      <c r="A352" s="4">
        <v>1</v>
      </c>
      <c r="B352" s="5">
        <v>45912</v>
      </c>
      <c r="C352" s="6">
        <v>0.22361111111111112</v>
      </c>
      <c r="D352" s="7">
        <v>322</v>
      </c>
      <c r="E352" s="4" t="s">
        <v>14</v>
      </c>
      <c r="F352" s="4">
        <v>1</v>
      </c>
      <c r="G352" s="8" t="s">
        <v>15</v>
      </c>
      <c r="H352" s="9" t="s">
        <v>16</v>
      </c>
      <c r="I352" s="4">
        <v>1</v>
      </c>
      <c r="J35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2" s="4" t="str">
        <f t="shared" si="11"/>
        <v/>
      </c>
      <c r="N352" s="4" cm="1">
        <f t="array" ref="N352">SUM(--(_xlfn.TEXTSPLIT($J$2,, " ") = M352))</f>
        <v>56</v>
      </c>
      <c r="O352">
        <v>14</v>
      </c>
      <c r="P352" t="str">
        <v>team,</v>
      </c>
      <c r="Q352">
        <v>14</v>
      </c>
      <c r="R352" s="4"/>
      <c r="S352" s="10"/>
    </row>
    <row r="353" spans="1:19" x14ac:dyDescent="0.2">
      <c r="A353" s="4">
        <v>1</v>
      </c>
      <c r="B353" s="5">
        <v>45912</v>
      </c>
      <c r="C353" s="6">
        <v>0.22361111111111112</v>
      </c>
      <c r="D353" s="7">
        <v>322</v>
      </c>
      <c r="E353" s="4" t="s">
        <v>14</v>
      </c>
      <c r="F353" s="4">
        <v>1</v>
      </c>
      <c r="G353" s="8" t="s">
        <v>15</v>
      </c>
      <c r="H353" s="9" t="s">
        <v>16</v>
      </c>
      <c r="I353" s="4">
        <v>1</v>
      </c>
      <c r="J35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3" s="4" t="str">
        <f t="shared" si="11"/>
        <v/>
      </c>
      <c r="N353" s="4" cm="1">
        <f t="array" ref="N353">SUM(--(_xlfn.TEXTSPLIT($J$2,, " ") = M353))</f>
        <v>56</v>
      </c>
      <c r="O353">
        <v>14</v>
      </c>
      <c r="P353" t="str">
        <v>pretty</v>
      </c>
      <c r="Q353">
        <v>14</v>
      </c>
      <c r="R353" s="4"/>
      <c r="S353" s="10"/>
    </row>
    <row r="354" spans="1:19" x14ac:dyDescent="0.2">
      <c r="A354" s="4">
        <v>1</v>
      </c>
      <c r="B354" s="5">
        <v>45912</v>
      </c>
      <c r="C354" s="6">
        <v>0.22361111111111112</v>
      </c>
      <c r="D354" s="7">
        <v>322</v>
      </c>
      <c r="E354" s="4" t="s">
        <v>14</v>
      </c>
      <c r="F354" s="4">
        <v>1</v>
      </c>
      <c r="G354" s="8" t="s">
        <v>15</v>
      </c>
      <c r="H354" s="9" t="s">
        <v>16</v>
      </c>
      <c r="I354" s="4">
        <v>1</v>
      </c>
      <c r="J35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4" s="4" t="str">
        <f t="shared" si="11"/>
        <v/>
      </c>
      <c r="N354" s="4" cm="1">
        <f t="array" ref="N354">SUM(--(_xlfn.TEXTSPLIT($J$2,, " ") = M354))</f>
        <v>56</v>
      </c>
      <c r="O354">
        <v>14</v>
      </c>
      <c r="P354" t="str">
        <v xml:space="preserve">impatient
</v>
      </c>
      <c r="Q354">
        <v>14</v>
      </c>
      <c r="R354" s="4"/>
      <c r="S354" s="10"/>
    </row>
    <row r="355" spans="1:19" x14ac:dyDescent="0.2">
      <c r="A355" s="4">
        <v>1</v>
      </c>
      <c r="B355" s="5">
        <v>45912</v>
      </c>
      <c r="C355" s="6">
        <v>0.22361111111111112</v>
      </c>
      <c r="D355" s="7">
        <v>322</v>
      </c>
      <c r="E355" s="4" t="s">
        <v>14</v>
      </c>
      <c r="F355" s="4">
        <v>1</v>
      </c>
      <c r="G355" s="8" t="s">
        <v>15</v>
      </c>
      <c r="H355" s="9" t="s">
        <v>16</v>
      </c>
      <c r="I355" s="4">
        <v>1</v>
      </c>
      <c r="J35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5" s="4" t="str">
        <f t="shared" si="11"/>
        <v/>
      </c>
      <c r="N355" s="4" cm="1">
        <f t="array" ref="N355">SUM(--(_xlfn.TEXTSPLIT($J$2,, " ") = M355))</f>
        <v>56</v>
      </c>
      <c r="O355">
        <v>14</v>
      </c>
      <c r="P355" t="str">
        <v>waiting</v>
      </c>
      <c r="Q355">
        <v>14</v>
      </c>
      <c r="R355" s="4"/>
      <c r="S355" s="10"/>
    </row>
    <row r="356" spans="1:19" x14ac:dyDescent="0.2">
      <c r="A356" s="4">
        <v>1</v>
      </c>
      <c r="B356" s="5">
        <v>45912</v>
      </c>
      <c r="C356" s="6">
        <v>0.22361111111111112</v>
      </c>
      <c r="D356" s="7">
        <v>322</v>
      </c>
      <c r="E356" s="4" t="s">
        <v>14</v>
      </c>
      <c r="F356" s="4">
        <v>1</v>
      </c>
      <c r="G356" s="8" t="s">
        <v>15</v>
      </c>
      <c r="H356" s="9" t="s">
        <v>16</v>
      </c>
      <c r="I356" s="4">
        <v>1</v>
      </c>
      <c r="J35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6" s="4" t="str">
        <f t="shared" si="11"/>
        <v/>
      </c>
      <c r="N356" s="4" cm="1">
        <f t="array" ref="N356">SUM(--(_xlfn.TEXTSPLIT($J$2,, " ") = M356))</f>
        <v>56</v>
      </c>
      <c r="O356">
        <v>14</v>
      </c>
      <c r="P356" t="str">
        <v>might</v>
      </c>
      <c r="Q356">
        <v>14</v>
      </c>
      <c r="R356" s="4"/>
      <c r="S356" s="10"/>
    </row>
    <row r="357" spans="1:19" x14ac:dyDescent="0.2">
      <c r="A357" s="4">
        <v>1</v>
      </c>
      <c r="B357" s="5">
        <v>45912</v>
      </c>
      <c r="C357" s="6">
        <v>0.22361111111111112</v>
      </c>
      <c r="D357" s="7">
        <v>322</v>
      </c>
      <c r="E357" s="4" t="s">
        <v>14</v>
      </c>
      <c r="F357" s="4">
        <v>1</v>
      </c>
      <c r="G357" s="8" t="s">
        <v>15</v>
      </c>
      <c r="H357" s="9" t="s">
        <v>16</v>
      </c>
      <c r="I357" s="4">
        <v>1</v>
      </c>
      <c r="J35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7" s="4" t="str">
        <f t="shared" si="11"/>
        <v/>
      </c>
      <c r="N357" s="4" cm="1">
        <f t="array" ref="N357">SUM(--(_xlfn.TEXTSPLIT($J$2,, " ") = M357))</f>
        <v>56</v>
      </c>
      <c r="O357">
        <v>14</v>
      </c>
      <c r="P357" t="str">
        <v>be</v>
      </c>
      <c r="Q357">
        <v>14</v>
      </c>
      <c r="R357" s="4"/>
      <c r="S357" s="10"/>
    </row>
    <row r="358" spans="1:19" x14ac:dyDescent="0.2">
      <c r="A358" s="4">
        <v>1</v>
      </c>
      <c r="B358" s="5">
        <v>45912</v>
      </c>
      <c r="C358" s="6">
        <v>0.22361111111111112</v>
      </c>
      <c r="D358" s="7">
        <v>322</v>
      </c>
      <c r="E358" s="4" t="s">
        <v>14</v>
      </c>
      <c r="F358" s="4">
        <v>1</v>
      </c>
      <c r="G358" s="8" t="s">
        <v>15</v>
      </c>
      <c r="H358" s="9" t="s">
        <v>16</v>
      </c>
      <c r="I358" s="4">
        <v>1</v>
      </c>
      <c r="J35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8" s="4" t="str">
        <f t="shared" si="11"/>
        <v/>
      </c>
      <c r="N358" s="4" cm="1">
        <f t="array" ref="N358">SUM(--(_xlfn.TEXTSPLIT($J$2,, " ") = M358))</f>
        <v>56</v>
      </c>
      <c r="O358">
        <v>14</v>
      </c>
      <c r="P358" t="str">
        <v>come</v>
      </c>
      <c r="Q358">
        <v>14</v>
      </c>
      <c r="R358" s="4"/>
      <c r="S358" s="10"/>
    </row>
    <row r="359" spans="1:19" x14ac:dyDescent="0.2">
      <c r="A359" s="4">
        <v>1</v>
      </c>
      <c r="B359" s="5">
        <v>45912</v>
      </c>
      <c r="C359" s="6">
        <v>0.22361111111111112</v>
      </c>
      <c r="D359" s="7">
        <v>322</v>
      </c>
      <c r="E359" s="4" t="s">
        <v>14</v>
      </c>
      <c r="F359" s="4">
        <v>1</v>
      </c>
      <c r="G359" s="8" t="s">
        <v>15</v>
      </c>
      <c r="H359" s="9" t="s">
        <v>16</v>
      </c>
      <c r="I359" s="4">
        <v>1</v>
      </c>
      <c r="J35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59" s="4" t="str">
        <f t="shared" si="11"/>
        <v/>
      </c>
      <c r="N359" s="4" cm="1">
        <f t="array" ref="N359">SUM(--(_xlfn.TEXTSPLIT($J$2,, " ") = M359))</f>
        <v>56</v>
      </c>
      <c r="O359">
        <v>14</v>
      </c>
      <c r="P359" t="str">
        <v>tell</v>
      </c>
      <c r="Q359">
        <v>14</v>
      </c>
      <c r="R359" s="4"/>
      <c r="S359" s="10"/>
    </row>
    <row r="360" spans="1:19" x14ac:dyDescent="0.2">
      <c r="A360" s="4">
        <v>1</v>
      </c>
      <c r="B360" s="5">
        <v>45912</v>
      </c>
      <c r="C360" s="6">
        <v>0.22361111111111112</v>
      </c>
      <c r="D360" s="7">
        <v>322</v>
      </c>
      <c r="E360" s="4" t="s">
        <v>14</v>
      </c>
      <c r="F360" s="4">
        <v>1</v>
      </c>
      <c r="G360" s="8" t="s">
        <v>15</v>
      </c>
      <c r="H360" s="9" t="s">
        <v>16</v>
      </c>
      <c r="I360" s="4">
        <v>1</v>
      </c>
      <c r="J36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0" s="4" t="str">
        <f t="shared" si="11"/>
        <v/>
      </c>
      <c r="N360" s="4" cm="1">
        <f t="array" ref="N360">SUM(--(_xlfn.TEXTSPLIT($J$2,, " ") = M360))</f>
        <v>56</v>
      </c>
      <c r="O360">
        <v>14</v>
      </c>
      <c r="P360" t="str">
        <v xml:space="preserve">when
</v>
      </c>
      <c r="Q360">
        <v>14</v>
      </c>
      <c r="R360" s="4"/>
      <c r="S360" s="10"/>
    </row>
    <row r="361" spans="1:19" x14ac:dyDescent="0.2">
      <c r="A361" s="4">
        <v>1</v>
      </c>
      <c r="B361" s="5">
        <v>45912</v>
      </c>
      <c r="C361" s="6">
        <v>0.22361111111111112</v>
      </c>
      <c r="D361" s="7">
        <v>322</v>
      </c>
      <c r="E361" s="4" t="s">
        <v>14</v>
      </c>
      <c r="F361" s="4">
        <v>1</v>
      </c>
      <c r="G361" s="8" t="s">
        <v>15</v>
      </c>
      <c r="H361" s="9" t="s">
        <v>16</v>
      </c>
      <c r="I361" s="4">
        <v>1</v>
      </c>
      <c r="J36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1" s="4" t="str">
        <f t="shared" si="11"/>
        <v/>
      </c>
      <c r="N361" s="4" cm="1">
        <f t="array" ref="N361">SUM(--(_xlfn.TEXTSPLIT($J$2,, " ") = M361))</f>
        <v>56</v>
      </c>
      <c r="O361">
        <v>14</v>
      </c>
      <c r="P361" t="str">
        <v>run</v>
      </c>
      <c r="Q361">
        <v>14</v>
      </c>
      <c r="R361" s="4"/>
      <c r="S361" s="10"/>
    </row>
    <row r="362" spans="1:19" x14ac:dyDescent="0.2">
      <c r="A362" s="4">
        <v>1</v>
      </c>
      <c r="B362" s="5">
        <v>45912</v>
      </c>
      <c r="C362" s="6">
        <v>0.22361111111111112</v>
      </c>
      <c r="D362" s="7">
        <v>322</v>
      </c>
      <c r="E362" s="4" t="s">
        <v>14</v>
      </c>
      <c r="F362" s="4">
        <v>1</v>
      </c>
      <c r="G362" s="8" t="s">
        <v>15</v>
      </c>
      <c r="H362" s="9" t="s">
        <v>16</v>
      </c>
      <c r="I362" s="4">
        <v>1</v>
      </c>
      <c r="J36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2" s="4" t="str">
        <f t="shared" si="11"/>
        <v/>
      </c>
      <c r="N362" s="4" cm="1">
        <f t="array" ref="N362">SUM(--(_xlfn.TEXTSPLIT($J$2,, " ") = M362))</f>
        <v>56</v>
      </c>
      <c r="O362">
        <v>14</v>
      </c>
      <c r="P362" t="str">
        <v xml:space="preserve">end
</v>
      </c>
      <c r="Q362">
        <v>14</v>
      </c>
      <c r="R362" s="4"/>
      <c r="S362" s="10"/>
    </row>
    <row r="363" spans="1:19" x14ac:dyDescent="0.2">
      <c r="A363" s="4">
        <v>1</v>
      </c>
      <c r="B363" s="5">
        <v>45912</v>
      </c>
      <c r="C363" s="6">
        <v>0.22361111111111112</v>
      </c>
      <c r="D363" s="7">
        <v>322</v>
      </c>
      <c r="E363" s="4" t="s">
        <v>14</v>
      </c>
      <c r="F363" s="4">
        <v>1</v>
      </c>
      <c r="G363" s="8" t="s">
        <v>15</v>
      </c>
      <c r="H363" s="9" t="s">
        <v>16</v>
      </c>
      <c r="I363" s="4">
        <v>1</v>
      </c>
      <c r="J36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3" s="4" t="str">
        <f t="shared" si="11"/>
        <v/>
      </c>
      <c r="N363" s="4" cm="1">
        <f t="array" ref="N363">SUM(--(_xlfn.TEXTSPLIT($J$2,, " ") = M363))</f>
        <v>56</v>
      </c>
      <c r="O363">
        <v>14</v>
      </c>
      <c r="P363" t="str">
        <v>write</v>
      </c>
      <c r="Q363">
        <v>14</v>
      </c>
      <c r="R363" s="4"/>
      <c r="S363" s="10"/>
    </row>
    <row r="364" spans="1:19" x14ac:dyDescent="0.2">
      <c r="A364" s="4">
        <v>1</v>
      </c>
      <c r="B364" s="5">
        <v>45912</v>
      </c>
      <c r="C364" s="6">
        <v>0.22361111111111112</v>
      </c>
      <c r="D364" s="7">
        <v>322</v>
      </c>
      <c r="E364" s="4" t="s">
        <v>14</v>
      </c>
      <c r="F364" s="4">
        <v>1</v>
      </c>
      <c r="G364" s="8" t="s">
        <v>15</v>
      </c>
      <c r="H364" s="9" t="s">
        <v>16</v>
      </c>
      <c r="I364" s="4">
        <v>1</v>
      </c>
      <c r="J36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4" s="4" t="str">
        <f t="shared" si="11"/>
        <v/>
      </c>
      <c r="N364" s="4" cm="1">
        <f t="array" ref="N364">SUM(--(_xlfn.TEXTSPLIT($J$2,, " ") = M364))</f>
        <v>56</v>
      </c>
      <c r="O364">
        <v>14</v>
      </c>
      <c r="P364" t="str">
        <v>promise</v>
      </c>
      <c r="Q364">
        <v>14</v>
      </c>
      <c r="R364" s="4"/>
      <c r="S364" s="10"/>
    </row>
    <row r="365" spans="1:19" x14ac:dyDescent="0.2">
      <c r="A365" s="4">
        <v>1</v>
      </c>
      <c r="B365" s="5">
        <v>45912</v>
      </c>
      <c r="C365" s="6">
        <v>0.22361111111111112</v>
      </c>
      <c r="D365" s="7">
        <v>322</v>
      </c>
      <c r="E365" s="4" t="s">
        <v>14</v>
      </c>
      <c r="F365" s="4">
        <v>1</v>
      </c>
      <c r="G365" s="8" t="s">
        <v>15</v>
      </c>
      <c r="H365" s="9" t="s">
        <v>16</v>
      </c>
      <c r="I365" s="4">
        <v>1</v>
      </c>
      <c r="J36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5" s="4" t="str">
        <f t="shared" si="11"/>
        <v/>
      </c>
      <c r="N365" s="4" cm="1">
        <f t="array" ref="N365">SUM(--(_xlfn.TEXTSPLIT($J$2,, " ") = M365))</f>
        <v>56</v>
      </c>
      <c r="O365">
        <v>14</v>
      </c>
      <c r="P365" t="str">
        <v>pencil,</v>
      </c>
      <c r="Q365">
        <v>14</v>
      </c>
      <c r="R365" s="4"/>
      <c r="S365" s="10"/>
    </row>
    <row r="366" spans="1:19" x14ac:dyDescent="0.2">
      <c r="A366" s="4">
        <v>1</v>
      </c>
      <c r="B366" s="5">
        <v>45912</v>
      </c>
      <c r="C366" s="6">
        <v>0.22361111111111112</v>
      </c>
      <c r="D366" s="7">
        <v>322</v>
      </c>
      <c r="E366" s="4" t="s">
        <v>14</v>
      </c>
      <c r="F366" s="4">
        <v>1</v>
      </c>
      <c r="G366" s="8" t="s">
        <v>15</v>
      </c>
      <c r="H366" s="9" t="s">
        <v>16</v>
      </c>
      <c r="I366" s="4">
        <v>1</v>
      </c>
      <c r="J36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6" s="4" t="str">
        <f t="shared" si="11"/>
        <v/>
      </c>
      <c r="N366" s="4" cm="1">
        <f t="array" ref="N366">SUM(--(_xlfn.TEXTSPLIT($J$2,, " ") = M366))</f>
        <v>56</v>
      </c>
      <c r="O366">
        <v>14</v>
      </c>
      <c r="P366" t="str">
        <v>loyalty's</v>
      </c>
      <c r="Q366">
        <v>14</v>
      </c>
      <c r="R366" s="4"/>
      <c r="S366" s="10"/>
    </row>
    <row r="367" spans="1:19" x14ac:dyDescent="0.2">
      <c r="A367" s="4">
        <v>1</v>
      </c>
      <c r="B367" s="5">
        <v>45912</v>
      </c>
      <c r="C367" s="6">
        <v>0.22361111111111112</v>
      </c>
      <c r="D367" s="7">
        <v>322</v>
      </c>
      <c r="E367" s="4" t="s">
        <v>14</v>
      </c>
      <c r="F367" s="4">
        <v>1</v>
      </c>
      <c r="G367" s="8" t="s">
        <v>15</v>
      </c>
      <c r="H367" s="9" t="s">
        <v>16</v>
      </c>
      <c r="I367" s="4">
        <v>1</v>
      </c>
      <c r="J36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7" s="4" t="str">
        <f t="shared" si="11"/>
        <v/>
      </c>
      <c r="N367" s="4" cm="1">
        <f t="array" ref="N367">SUM(--(_xlfn.TEXTSPLIT($J$2,, " ") = M367))</f>
        <v>56</v>
      </c>
      <c r="O367">
        <v>14</v>
      </c>
      <c r="P367" t="str">
        <v xml:space="preserve">pen
</v>
      </c>
      <c r="Q367">
        <v>14</v>
      </c>
      <c r="R367" s="4"/>
      <c r="S367" s="10"/>
    </row>
    <row r="368" spans="1:19" x14ac:dyDescent="0.2">
      <c r="A368" s="4">
        <v>1</v>
      </c>
      <c r="B368" s="5">
        <v>45912</v>
      </c>
      <c r="C368" s="6">
        <v>0.22361111111111112</v>
      </c>
      <c r="D368" s="7">
        <v>322</v>
      </c>
      <c r="E368" s="4" t="s">
        <v>14</v>
      </c>
      <c r="F368" s="4">
        <v>1</v>
      </c>
      <c r="G368" s="8" t="s">
        <v>15</v>
      </c>
      <c r="H368" s="9" t="s">
        <v>16</v>
      </c>
      <c r="I368" s="4">
        <v>1</v>
      </c>
      <c r="J36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8" s="4" t="str">
        <f t="shared" si="11"/>
        <v/>
      </c>
      <c r="N368" s="4" cm="1">
        <f t="array" ref="N368">SUM(--(_xlfn.TEXTSPLIT($J$2,, " ") = M368))</f>
        <v>56</v>
      </c>
      <c r="O368">
        <v>14</v>
      </c>
      <c r="P368" t="str">
        <v>Use</v>
      </c>
      <c r="Q368">
        <v>14</v>
      </c>
      <c r="R368" s="4"/>
      <c r="S368" s="10"/>
    </row>
    <row r="369" spans="1:19" x14ac:dyDescent="0.2">
      <c r="A369" s="4">
        <v>1</v>
      </c>
      <c r="B369" s="5">
        <v>45912</v>
      </c>
      <c r="C369" s="6">
        <v>0.22361111111111112</v>
      </c>
      <c r="D369" s="7">
        <v>322</v>
      </c>
      <c r="E369" s="4" t="s">
        <v>14</v>
      </c>
      <c r="F369" s="4">
        <v>1</v>
      </c>
      <c r="G369" s="8" t="s">
        <v>15</v>
      </c>
      <c r="H369" s="9" t="s">
        <v>16</v>
      </c>
      <c r="I369" s="4">
        <v>1</v>
      </c>
      <c r="J36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69" s="4" t="str">
        <f t="shared" si="11"/>
        <v/>
      </c>
      <c r="N369" s="4" cm="1">
        <f t="array" ref="N369">SUM(--(_xlfn.TEXTSPLIT($J$2,, " ") = M369))</f>
        <v>56</v>
      </c>
      <c r="O369">
        <v>14</v>
      </c>
      <c r="P369" t="str">
        <v>mistake</v>
      </c>
      <c r="Q369">
        <v>14</v>
      </c>
      <c r="R369" s="4"/>
      <c r="S369" s="10"/>
    </row>
    <row r="370" spans="1:19" x14ac:dyDescent="0.2">
      <c r="A370" s="4">
        <v>1</v>
      </c>
      <c r="B370" s="5">
        <v>45912</v>
      </c>
      <c r="C370" s="6">
        <v>0.22361111111111112</v>
      </c>
      <c r="D370" s="7">
        <v>322</v>
      </c>
      <c r="E370" s="4" t="s">
        <v>14</v>
      </c>
      <c r="F370" s="4">
        <v>1</v>
      </c>
      <c r="G370" s="8" t="s">
        <v>15</v>
      </c>
      <c r="H370" s="9" t="s">
        <v>16</v>
      </c>
      <c r="I370" s="4">
        <v>1</v>
      </c>
      <c r="J37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0" s="4" t="str">
        <f t="shared" si="11"/>
        <v/>
      </c>
      <c r="N370" s="4" cm="1">
        <f t="array" ref="N370">SUM(--(_xlfn.TEXTSPLIT($J$2,, " ") = M370))</f>
        <v>56</v>
      </c>
      <c r="O370">
        <v>14</v>
      </c>
      <c r="P370" t="str">
        <v>as</v>
      </c>
      <c r="Q370">
        <v>14</v>
      </c>
      <c r="R370" s="4"/>
      <c r="S370" s="10"/>
    </row>
    <row r="371" spans="1:19" x14ac:dyDescent="0.2">
      <c r="A371" s="4">
        <v>1</v>
      </c>
      <c r="B371" s="5">
        <v>45912</v>
      </c>
      <c r="C371" s="6">
        <v>0.22361111111111112</v>
      </c>
      <c r="D371" s="7">
        <v>322</v>
      </c>
      <c r="E371" s="4" t="s">
        <v>14</v>
      </c>
      <c r="F371" s="4">
        <v>1</v>
      </c>
      <c r="G371" s="8" t="s">
        <v>15</v>
      </c>
      <c r="H371" s="9" t="s">
        <v>16</v>
      </c>
      <c r="I371" s="4">
        <v>1</v>
      </c>
      <c r="J37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1" s="4" t="str">
        <f t="shared" si="11"/>
        <v/>
      </c>
      <c r="N371" s="4" cm="1">
        <f t="array" ref="N371">SUM(--(_xlfn.TEXTSPLIT($J$2,, " ") = M371))</f>
        <v>56</v>
      </c>
      <c r="O371">
        <v>14</v>
      </c>
      <c r="P371" t="str">
        <v>crooked</v>
      </c>
      <c r="Q371">
        <v>14</v>
      </c>
      <c r="R371" s="4"/>
      <c r="S371" s="10"/>
    </row>
    <row r="372" spans="1:19" x14ac:dyDescent="0.2">
      <c r="A372" s="4">
        <v>1</v>
      </c>
      <c r="B372" s="5">
        <v>45912</v>
      </c>
      <c r="C372" s="6">
        <v>0.22361111111111112</v>
      </c>
      <c r="D372" s="7">
        <v>322</v>
      </c>
      <c r="E372" s="4" t="s">
        <v>14</v>
      </c>
      <c r="F372" s="4">
        <v>1</v>
      </c>
      <c r="G372" s="8" t="s">
        <v>15</v>
      </c>
      <c r="H372" s="9" t="s">
        <v>16</v>
      </c>
      <c r="I372" s="4">
        <v>1</v>
      </c>
      <c r="J37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2" s="4" t="str">
        <f t="shared" si="11"/>
        <v/>
      </c>
      <c r="N372" s="4" cm="1">
        <f t="array" ref="N372">SUM(--(_xlfn.TEXTSPLIT($J$2,, " ") = M372))</f>
        <v>56</v>
      </c>
      <c r="O372">
        <v>14</v>
      </c>
      <c r="P372" t="str">
        <v>stencil,</v>
      </c>
      <c r="Q372">
        <v>14</v>
      </c>
      <c r="R372" s="4"/>
      <c r="S372" s="10"/>
    </row>
    <row r="373" spans="1:19" x14ac:dyDescent="0.2">
      <c r="A373" s="4">
        <v>1</v>
      </c>
      <c r="B373" s="5">
        <v>45912</v>
      </c>
      <c r="C373" s="6">
        <v>0.22361111111111112</v>
      </c>
      <c r="D373" s="7">
        <v>322</v>
      </c>
      <c r="E373" s="4" t="s">
        <v>14</v>
      </c>
      <c r="F373" s="4">
        <v>1</v>
      </c>
      <c r="G373" s="8" t="s">
        <v>15</v>
      </c>
      <c r="H373" s="9" t="s">
        <v>16</v>
      </c>
      <c r="I373" s="4">
        <v>1</v>
      </c>
      <c r="J37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3" s="4" t="str">
        <f t="shared" si="11"/>
        <v/>
      </c>
      <c r="N373" s="4" cm="1">
        <f t="array" ref="N373">SUM(--(_xlfn.TEXTSPLIT($J$2,, " ") = M373))</f>
        <v>56</v>
      </c>
      <c r="O373">
        <v>14</v>
      </c>
      <c r="P373" t="str">
        <v>then</v>
      </c>
      <c r="Q373">
        <v>14</v>
      </c>
      <c r="R373" s="4"/>
      <c r="S373" s="10"/>
    </row>
    <row r="374" spans="1:19" x14ac:dyDescent="0.2">
      <c r="A374" s="4">
        <v>1</v>
      </c>
      <c r="B374" s="5">
        <v>45912</v>
      </c>
      <c r="C374" s="6">
        <v>0.22361111111111112</v>
      </c>
      <c r="D374" s="7">
        <v>322</v>
      </c>
      <c r="E374" s="4" t="s">
        <v>14</v>
      </c>
      <c r="F374" s="4">
        <v>1</v>
      </c>
      <c r="G374" s="8" t="s">
        <v>15</v>
      </c>
      <c r="H374" s="9" t="s">
        <v>16</v>
      </c>
      <c r="I374" s="4">
        <v>1</v>
      </c>
      <c r="J37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4" s="4" t="str">
        <f t="shared" si="11"/>
        <v/>
      </c>
      <c r="N374" s="4" cm="1">
        <f t="array" ref="N374">SUM(--(_xlfn.TEXTSPLIT($J$2,, " ") = M374))</f>
        <v>56</v>
      </c>
      <c r="O374">
        <v>14</v>
      </c>
      <c r="P374" t="str">
        <v>we</v>
      </c>
      <c r="Q374">
        <v>14</v>
      </c>
      <c r="R374" s="4"/>
      <c r="S374" s="10"/>
    </row>
    <row r="375" spans="1:19" x14ac:dyDescent="0.2">
      <c r="A375" s="4">
        <v>1</v>
      </c>
      <c r="B375" s="5">
        <v>45912</v>
      </c>
      <c r="C375" s="6">
        <v>0.22361111111111112</v>
      </c>
      <c r="D375" s="7">
        <v>322</v>
      </c>
      <c r="E375" s="4" t="s">
        <v>14</v>
      </c>
      <c r="F375" s="4">
        <v>1</v>
      </c>
      <c r="G375" s="8" t="s">
        <v>15</v>
      </c>
      <c r="H375" s="9" t="s">
        <v>16</v>
      </c>
      <c r="I375" s="4">
        <v>1</v>
      </c>
      <c r="J37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5" s="4" t="str">
        <f t="shared" si="11"/>
        <v/>
      </c>
      <c r="N375" s="4" cm="1">
        <f t="array" ref="N375">SUM(--(_xlfn.TEXTSPLIT($J$2,, " ") = M375))</f>
        <v>56</v>
      </c>
      <c r="O375">
        <v>14</v>
      </c>
      <c r="P375" t="str">
        <v>trace</v>
      </c>
      <c r="Q375">
        <v>14</v>
      </c>
      <c r="R375" s="4"/>
      <c r="S375" s="10"/>
    </row>
    <row r="376" spans="1:19" x14ac:dyDescent="0.2">
      <c r="A376" s="4">
        <v>1</v>
      </c>
      <c r="B376" s="5">
        <v>45912</v>
      </c>
      <c r="C376" s="6">
        <v>0.22361111111111112</v>
      </c>
      <c r="D376" s="7">
        <v>322</v>
      </c>
      <c r="E376" s="4" t="s">
        <v>14</v>
      </c>
      <c r="F376" s="4">
        <v>1</v>
      </c>
      <c r="G376" s="8" t="s">
        <v>15</v>
      </c>
      <c r="H376" s="9" t="s">
        <v>16</v>
      </c>
      <c r="I376" s="4">
        <v>1</v>
      </c>
      <c r="J37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6" s="4" t="str">
        <f t="shared" si="11"/>
        <v/>
      </c>
      <c r="N376" s="4" cm="1">
        <f t="array" ref="N376">SUM(--(_xlfn.TEXTSPLIT($J$2,, " ") = M376))</f>
        <v>56</v>
      </c>
      <c r="O376">
        <v>14</v>
      </c>
      <c r="P376" t="str">
        <v>back</v>
      </c>
      <c r="Q376">
        <v>14</v>
      </c>
      <c r="R376" s="4"/>
      <c r="S376" s="10"/>
    </row>
    <row r="377" spans="1:19" x14ac:dyDescent="0.2">
      <c r="A377" s="4">
        <v>1</v>
      </c>
      <c r="B377" s="5">
        <v>45912</v>
      </c>
      <c r="C377" s="6">
        <v>0.22361111111111112</v>
      </c>
      <c r="D377" s="7">
        <v>322</v>
      </c>
      <c r="E377" s="4" t="s">
        <v>14</v>
      </c>
      <c r="F377" s="4">
        <v>1</v>
      </c>
      <c r="G377" s="8" t="s">
        <v>15</v>
      </c>
      <c r="H377" s="9" t="s">
        <v>16</v>
      </c>
      <c r="I377" s="4">
        <v>1</v>
      </c>
      <c r="J377"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7" s="4" t="str">
        <f t="shared" si="11"/>
        <v/>
      </c>
      <c r="N377" s="4" cm="1">
        <f t="array" ref="N377">SUM(--(_xlfn.TEXTSPLIT($J$2,, " ") = M377))</f>
        <v>56</v>
      </c>
      <c r="O377">
        <v>14</v>
      </c>
      <c r="P377" t="str">
        <v xml:space="preserve">again
</v>
      </c>
      <c r="Q377">
        <v>14</v>
      </c>
      <c r="R377" s="4"/>
      <c r="S377" s="10"/>
    </row>
    <row r="378" spans="1:19" x14ac:dyDescent="0.2">
      <c r="A378" s="4">
        <v>1</v>
      </c>
      <c r="B378" s="5">
        <v>45912</v>
      </c>
      <c r="C378" s="6">
        <v>0.22361111111111112</v>
      </c>
      <c r="D378" s="7">
        <v>322</v>
      </c>
      <c r="E378" s="4" t="s">
        <v>14</v>
      </c>
      <c r="F378" s="4">
        <v>1</v>
      </c>
      <c r="G378" s="8" t="s">
        <v>15</v>
      </c>
      <c r="H378" s="9" t="s">
        <v>16</v>
      </c>
      <c r="I378" s="4">
        <v>1</v>
      </c>
      <c r="J378"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8" s="4" t="str">
        <f t="shared" si="11"/>
        <v/>
      </c>
      <c r="N378" s="4" cm="1">
        <f t="array" ref="N378">SUM(--(_xlfn.TEXTSPLIT($J$2,, " ") = M378))</f>
        <v>56</v>
      </c>
      <c r="O378">
        <v>14</v>
      </c>
      <c r="P378" t="str">
        <v>From</v>
      </c>
      <c r="Q378">
        <v>14</v>
      </c>
      <c r="R378" s="4"/>
      <c r="S378" s="10"/>
    </row>
    <row r="379" spans="1:19" x14ac:dyDescent="0.2">
      <c r="A379" s="4">
        <v>1</v>
      </c>
      <c r="B379" s="5">
        <v>45912</v>
      </c>
      <c r="C379" s="6">
        <v>0.22361111111111112</v>
      </c>
      <c r="D379" s="7">
        <v>322</v>
      </c>
      <c r="E379" s="4" t="s">
        <v>14</v>
      </c>
      <c r="F379" s="4">
        <v>1</v>
      </c>
      <c r="G379" s="8" t="s">
        <v>15</v>
      </c>
      <c r="H379" s="9" t="s">
        <v>16</v>
      </c>
      <c r="I379" s="4">
        <v>1</v>
      </c>
      <c r="J379"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79" s="4" t="str">
        <f t="shared" si="11"/>
        <v/>
      </c>
      <c r="N379" s="4" cm="1">
        <f t="array" ref="N379">SUM(--(_xlfn.TEXTSPLIT($J$2,, " ") = M379))</f>
        <v>56</v>
      </c>
      <c r="O379">
        <v>14</v>
      </c>
      <c r="P379" t="str">
        <v>mainland</v>
      </c>
      <c r="Q379">
        <v>14</v>
      </c>
      <c r="R379" s="4"/>
      <c r="S379" s="10"/>
    </row>
    <row r="380" spans="1:19" x14ac:dyDescent="0.2">
      <c r="A380" s="4">
        <v>1</v>
      </c>
      <c r="B380" s="5">
        <v>45912</v>
      </c>
      <c r="C380" s="6">
        <v>0.22361111111111112</v>
      </c>
      <c r="D380" s="7">
        <v>322</v>
      </c>
      <c r="E380" s="4" t="s">
        <v>14</v>
      </c>
      <c r="F380" s="4">
        <v>1</v>
      </c>
      <c r="G380" s="8" t="s">
        <v>15</v>
      </c>
      <c r="H380" s="9" t="s">
        <v>16</v>
      </c>
      <c r="I380" s="4">
        <v>1</v>
      </c>
      <c r="J380"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0" s="4" t="str">
        <f t="shared" si="11"/>
        <v/>
      </c>
      <c r="N380" s="4" cm="1">
        <f t="array" ref="N380">SUM(--(_xlfn.TEXTSPLIT($J$2,, " ") = M380))</f>
        <v>56</v>
      </c>
      <c r="O380">
        <v>14</v>
      </c>
      <c r="P380" t="str">
        <v>island</v>
      </c>
      <c r="Q380">
        <v>14</v>
      </c>
      <c r="R380" s="4"/>
      <c r="S380" s="10"/>
    </row>
    <row r="381" spans="1:19" x14ac:dyDescent="0.2">
      <c r="A381" s="4">
        <v>1</v>
      </c>
      <c r="B381" s="5">
        <v>45912</v>
      </c>
      <c r="C381" s="6">
        <v>0.22361111111111112</v>
      </c>
      <c r="D381" s="7">
        <v>322</v>
      </c>
      <c r="E381" s="4" t="s">
        <v>14</v>
      </c>
      <c r="F381" s="4">
        <v>1</v>
      </c>
      <c r="G381" s="8" t="s">
        <v>15</v>
      </c>
      <c r="H381" s="9" t="s">
        <v>16</v>
      </c>
      <c r="I381" s="4">
        <v>1</v>
      </c>
      <c r="J381"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1" s="4" t="str">
        <f t="shared" si="11"/>
        <v/>
      </c>
      <c r="N381" s="4" cm="1">
        <f t="array" ref="N381">SUM(--(_xlfn.TEXTSPLIT($J$2,, " ") = M381))</f>
        <v>56</v>
      </c>
      <c r="O381">
        <v>14</v>
      </c>
      <c r="P381" t="str">
        <v xml:space="preserve">violence
</v>
      </c>
      <c r="Q381">
        <v>14</v>
      </c>
      <c r="R381" s="4"/>
      <c r="S381" s="10"/>
    </row>
    <row r="382" spans="1:19" x14ac:dyDescent="0.2">
      <c r="A382" s="4">
        <v>1</v>
      </c>
      <c r="B382" s="5">
        <v>45912</v>
      </c>
      <c r="C382" s="6">
        <v>0.22361111111111112</v>
      </c>
      <c r="D382" s="7">
        <v>322</v>
      </c>
      <c r="E382" s="4" t="s">
        <v>14</v>
      </c>
      <c r="F382" s="4">
        <v>1</v>
      </c>
      <c r="G382" s="8" t="s">
        <v>15</v>
      </c>
      <c r="H382" s="9" t="s">
        <v>16</v>
      </c>
      <c r="I382" s="4">
        <v>1</v>
      </c>
      <c r="J382"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2" s="4" t="str">
        <f t="shared" si="11"/>
        <v/>
      </c>
      <c r="N382" s="4" cm="1">
        <f t="array" ref="N382">SUM(--(_xlfn.TEXTSPLIT($J$2,, " ") = M382))</f>
        <v>56</v>
      </c>
      <c r="O382">
        <v>14</v>
      </c>
      <c r="P382" t="str">
        <v>same</v>
      </c>
      <c r="Q382">
        <v>14</v>
      </c>
      <c r="R382" s="4"/>
      <c r="S382" s="10"/>
    </row>
    <row r="383" spans="1:19" x14ac:dyDescent="0.2">
      <c r="A383" s="4">
        <v>1</v>
      </c>
      <c r="B383" s="5">
        <v>45912</v>
      </c>
      <c r="C383" s="6">
        <v>0.22361111111111112</v>
      </c>
      <c r="D383" s="7">
        <v>322</v>
      </c>
      <c r="E383" s="4" t="s">
        <v>14</v>
      </c>
      <c r="F383" s="4">
        <v>1</v>
      </c>
      <c r="G383" s="8" t="s">
        <v>15</v>
      </c>
      <c r="H383" s="9" t="s">
        <v>16</v>
      </c>
      <c r="I383" s="4">
        <v>1</v>
      </c>
      <c r="J383"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3" s="4" t="str">
        <f t="shared" si="11"/>
        <v/>
      </c>
      <c r="N383" s="4" cm="1">
        <f t="array" ref="N383">SUM(--(_xlfn.TEXTSPLIT($J$2,, " ") = M383))</f>
        <v>56</v>
      </c>
      <c r="O383">
        <v>14</v>
      </c>
      <c r="P383" t="str">
        <v>plan</v>
      </c>
      <c r="Q383">
        <v>14</v>
      </c>
      <c r="R383" s="4"/>
      <c r="S383" s="10"/>
    </row>
    <row r="384" spans="1:19" x14ac:dyDescent="0.2">
      <c r="A384" s="4">
        <v>1</v>
      </c>
      <c r="B384" s="5">
        <v>45912</v>
      </c>
      <c r="C384" s="6">
        <v>0.22361111111111112</v>
      </c>
      <c r="D384" s="7">
        <v>322</v>
      </c>
      <c r="E384" s="4" t="s">
        <v>14</v>
      </c>
      <c r="F384" s="4">
        <v>1</v>
      </c>
      <c r="G384" s="8" t="s">
        <v>15</v>
      </c>
      <c r="H384" s="9" t="s">
        <v>16</v>
      </c>
      <c r="I384" s="4">
        <v>1</v>
      </c>
      <c r="J384"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4" s="4" t="str">
        <f t="shared" si="11"/>
        <v/>
      </c>
      <c r="N384" s="4" cm="1">
        <f t="array" ref="N384">SUM(--(_xlfn.TEXTSPLIT($J$2,, " ") = M384))</f>
        <v>56</v>
      </c>
      <c r="O384">
        <v>14</v>
      </c>
      <c r="P384" t="str">
        <v>for</v>
      </c>
      <c r="Q384">
        <v>14</v>
      </c>
      <c r="R384" s="4"/>
      <c r="S384" s="10"/>
    </row>
    <row r="385" spans="1:19" x14ac:dyDescent="0.2">
      <c r="A385" s="4">
        <v>1</v>
      </c>
      <c r="B385" s="5">
        <v>45912</v>
      </c>
      <c r="C385" s="6">
        <v>0.22361111111111112</v>
      </c>
      <c r="D385" s="7">
        <v>322</v>
      </c>
      <c r="E385" s="4" t="s">
        <v>14</v>
      </c>
      <c r="F385" s="4">
        <v>1</v>
      </c>
      <c r="G385" s="8" t="s">
        <v>15</v>
      </c>
      <c r="H385" s="9" t="s">
        <v>16</v>
      </c>
      <c r="I385" s="4">
        <v>1</v>
      </c>
      <c r="J385"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5" s="4" t="str">
        <f t="shared" si="11"/>
        <v/>
      </c>
      <c r="N385" s="4" cm="1">
        <f t="array" ref="N385">SUM(--(_xlfn.TEXTSPLIT($J$2,, " ") = M385))</f>
        <v>56</v>
      </c>
      <c r="O385">
        <v>14</v>
      </c>
      <c r="P385" t="str">
        <v>while,</v>
      </c>
      <c r="Q385">
        <v>14</v>
      </c>
      <c r="R385" s="4"/>
      <c r="S385" s="10"/>
    </row>
    <row r="386" spans="1:19" x14ac:dyDescent="0.2">
      <c r="A386" s="4">
        <v>1</v>
      </c>
      <c r="B386" s="5">
        <v>45912</v>
      </c>
      <c r="C386" s="6">
        <v>0.22361111111111112</v>
      </c>
      <c r="D386" s="7">
        <v>322</v>
      </c>
      <c r="E386" s="4" t="s">
        <v>14</v>
      </c>
      <c r="F386" s="4">
        <v>1</v>
      </c>
      <c r="G386" s="8" t="s">
        <v>15</v>
      </c>
      <c r="H386" s="9" t="s">
        <v>16</v>
      </c>
      <c r="I386" s="4">
        <v>1</v>
      </c>
      <c r="J386" s="4" t="str">
        <f t="shared" si="10"/>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6" s="4" t="str">
        <f t="shared" si="11"/>
        <v/>
      </c>
      <c r="N386" s="4" cm="1">
        <f t="array" ref="N386">SUM(--(_xlfn.TEXTSPLIT($J$2,, " ") = M386))</f>
        <v>56</v>
      </c>
      <c r="O386">
        <v>14</v>
      </c>
      <c r="P386" t="str">
        <v xml:space="preserve">decided
</v>
      </c>
      <c r="Q386">
        <v>14</v>
      </c>
      <c r="R386" s="4"/>
      <c r="S386" s="10"/>
    </row>
    <row r="387" spans="1:19" x14ac:dyDescent="0.2">
      <c r="A387" s="4">
        <v>1</v>
      </c>
      <c r="B387" s="5">
        <v>45912</v>
      </c>
      <c r="C387" s="6">
        <v>0.22361111111111112</v>
      </c>
      <c r="D387" s="7">
        <v>322</v>
      </c>
      <c r="E387" s="4" t="s">
        <v>14</v>
      </c>
      <c r="F387" s="4">
        <v>1</v>
      </c>
      <c r="G387" s="8" t="s">
        <v>15</v>
      </c>
      <c r="H387" s="9" t="s">
        <v>16</v>
      </c>
      <c r="I387" s="4">
        <v>1</v>
      </c>
      <c r="J387" s="4" t="str">
        <f t="shared" ref="J387:J421" si="12">_xlfn.TEXTJOIN(" ", TRUE, H387:H400)</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7" s="4" t="str">
        <f t="shared" si="11"/>
        <v/>
      </c>
      <c r="N387" s="4" cm="1">
        <f t="array" ref="N387">SUM(--(_xlfn.TEXTSPLIT($J$2,, " ") = M387))</f>
        <v>56</v>
      </c>
      <c r="O387">
        <v>14</v>
      </c>
      <c r="P387" t="str">
        <v>send</v>
      </c>
      <c r="Q387">
        <v>14</v>
      </c>
      <c r="R387" s="4"/>
      <c r="S387" s="10"/>
    </row>
    <row r="388" spans="1:19" x14ac:dyDescent="0.2">
      <c r="A388" s="4">
        <v>1</v>
      </c>
      <c r="B388" s="5">
        <v>45912</v>
      </c>
      <c r="C388" s="6">
        <v>0.22361111111111112</v>
      </c>
      <c r="D388" s="7">
        <v>322</v>
      </c>
      <c r="E388" s="4" t="s">
        <v>14</v>
      </c>
      <c r="F388" s="4">
        <v>1</v>
      </c>
      <c r="G388" s="8" t="s">
        <v>15</v>
      </c>
      <c r="H388" s="9" t="s">
        <v>16</v>
      </c>
      <c r="I388" s="4">
        <v>1</v>
      </c>
      <c r="J388"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8" s="4" t="str">
        <f t="shared" ref="L388:L451" si="13">_xlfn.REGEXREPLACE(K388, "[^A-Za-z ]", " ")</f>
        <v/>
      </c>
      <c r="N388" s="4" cm="1">
        <f t="array" ref="N388">SUM(--(_xlfn.TEXTSPLIT($J$2,, " ") = M388))</f>
        <v>56</v>
      </c>
      <c r="O388">
        <v>14</v>
      </c>
      <c r="P388" t="str">
        <v>and</v>
      </c>
      <c r="Q388">
        <v>14</v>
      </c>
      <c r="R388" s="4"/>
      <c r="S388" s="10"/>
    </row>
    <row r="389" spans="1:19" x14ac:dyDescent="0.2">
      <c r="A389" s="4">
        <v>1</v>
      </c>
      <c r="B389" s="5">
        <v>45912</v>
      </c>
      <c r="C389" s="6">
        <v>0.22361111111111112</v>
      </c>
      <c r="D389" s="7">
        <v>322</v>
      </c>
      <c r="E389" s="4" t="s">
        <v>14</v>
      </c>
      <c r="F389" s="4">
        <v>1</v>
      </c>
      <c r="G389" s="8" t="s">
        <v>15</v>
      </c>
      <c r="H389" s="9" t="s">
        <v>16</v>
      </c>
      <c r="I389" s="4">
        <v>1</v>
      </c>
      <c r="J389"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89" s="4" t="str">
        <f t="shared" si="13"/>
        <v/>
      </c>
      <c r="N389" s="4" cm="1">
        <f t="array" ref="N389">SUM(--(_xlfn.TEXTSPLIT($J$2,, " ") = M389))</f>
        <v>56</v>
      </c>
      <c r="O389">
        <v>14</v>
      </c>
      <c r="P389" t="str">
        <v>rip</v>
      </c>
      <c r="Q389">
        <v>14</v>
      </c>
      <c r="R389" s="4"/>
      <c r="S389" s="10"/>
    </row>
    <row r="390" spans="1:19" x14ac:dyDescent="0.2">
      <c r="A390" s="4">
        <v>1</v>
      </c>
      <c r="B390" s="5">
        <v>45912</v>
      </c>
      <c r="C390" s="6">
        <v>0.22361111111111112</v>
      </c>
      <c r="D390" s="7">
        <v>322</v>
      </c>
      <c r="E390" s="4" t="s">
        <v>14</v>
      </c>
      <c r="F390" s="4">
        <v>1</v>
      </c>
      <c r="G390" s="8" t="s">
        <v>15</v>
      </c>
      <c r="H390" s="9" t="s">
        <v>16</v>
      </c>
      <c r="I390" s="4">
        <v>1</v>
      </c>
      <c r="J390"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0" s="4" t="str">
        <f t="shared" si="13"/>
        <v/>
      </c>
      <c r="N390" s="4" cm="1">
        <f t="array" ref="N390">SUM(--(_xlfn.TEXTSPLIT($J$2,, " ") = M390))</f>
        <v>56</v>
      </c>
      <c r="O390">
        <v>14</v>
      </c>
      <c r="P390" t="str">
        <v>outta</v>
      </c>
      <c r="Q390">
        <v>14</v>
      </c>
      <c r="R390" s="4"/>
      <c r="S390" s="10"/>
    </row>
    <row r="391" spans="1:19" x14ac:dyDescent="0.2">
      <c r="A391" s="4">
        <v>1</v>
      </c>
      <c r="B391" s="5">
        <v>45912</v>
      </c>
      <c r="C391" s="6">
        <v>0.22361111111111112</v>
      </c>
      <c r="D391" s="7">
        <v>322</v>
      </c>
      <c r="E391" s="4" t="s">
        <v>14</v>
      </c>
      <c r="F391" s="4">
        <v>1</v>
      </c>
      <c r="G391" s="8" t="s">
        <v>15</v>
      </c>
      <c r="H391" s="9" t="s">
        <v>16</v>
      </c>
      <c r="I391" s="4">
        <v>1</v>
      </c>
      <c r="J391"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1" s="4" t="str">
        <f t="shared" si="13"/>
        <v/>
      </c>
      <c r="N391" s="4" cm="1">
        <f t="array" ref="N391">SUM(--(_xlfn.TEXTSPLIT($J$2,, " ") = M391))</f>
        <v>56</v>
      </c>
      <c r="O391">
        <v>14</v>
      </c>
      <c r="P391" t="str">
        <v xml:space="preserve">seat
</v>
      </c>
      <c r="Q391">
        <v>14</v>
      </c>
      <c r="R391" s="4"/>
      <c r="S391" s="10"/>
    </row>
    <row r="392" spans="1:19" x14ac:dyDescent="0.2">
      <c r="A392" s="4">
        <v>1</v>
      </c>
      <c r="B392" s="5">
        <v>45912</v>
      </c>
      <c r="C392" s="6">
        <v>0.22361111111111112</v>
      </c>
      <c r="D392" s="7">
        <v>322</v>
      </c>
      <c r="E392" s="4" t="s">
        <v>14</v>
      </c>
      <c r="F392" s="4">
        <v>1</v>
      </c>
      <c r="G392" s="8" t="s">
        <v>15</v>
      </c>
      <c r="H392" s="9" t="s">
        <v>16</v>
      </c>
      <c r="I392" s="4">
        <v>1</v>
      </c>
      <c r="J392"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2" s="4" t="str">
        <f t="shared" si="13"/>
        <v/>
      </c>
      <c r="N392" s="4" cm="1">
        <f t="array" ref="N392">SUM(--(_xlfn.TEXTSPLIT($J$2,, " ") = M392))</f>
        <v>56</v>
      </c>
      <c r="O392">
        <v>14</v>
      </c>
      <c r="P392" t="str">
        <v>see,</v>
      </c>
      <c r="Q392">
        <v>14</v>
      </c>
      <c r="R392" s="4"/>
      <c r="S392" s="10"/>
    </row>
    <row r="393" spans="1:19" x14ac:dyDescent="0.2">
      <c r="A393" s="4">
        <v>1</v>
      </c>
      <c r="B393" s="5">
        <v>45912</v>
      </c>
      <c r="C393" s="6">
        <v>0.22361111111111112</v>
      </c>
      <c r="D393" s="7">
        <v>322</v>
      </c>
      <c r="E393" s="4" t="s">
        <v>14</v>
      </c>
      <c r="F393" s="4">
        <v>1</v>
      </c>
      <c r="G393" s="8" t="s">
        <v>15</v>
      </c>
      <c r="H393" s="9" t="s">
        <v>16</v>
      </c>
      <c r="I393" s="4">
        <v>1</v>
      </c>
      <c r="J393"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3" s="4" t="str">
        <f t="shared" si="13"/>
        <v/>
      </c>
      <c r="N393" s="4" cm="1">
        <f t="array" ref="N393">SUM(--(_xlfn.TEXTSPLIT($J$2,, " ") = M393))</f>
        <v>56</v>
      </c>
      <c r="O393">
        <v>14</v>
      </c>
      <c r="P393" t="str">
        <v>no</v>
      </c>
      <c r="Q393">
        <v>14</v>
      </c>
      <c r="R393" s="4"/>
      <c r="S393" s="10"/>
    </row>
    <row r="394" spans="1:19" x14ac:dyDescent="0.2">
      <c r="A394" s="4">
        <v>1</v>
      </c>
      <c r="B394" s="5">
        <v>45912</v>
      </c>
      <c r="C394" s="6">
        <v>0.22361111111111112</v>
      </c>
      <c r="D394" s="7">
        <v>322</v>
      </c>
      <c r="E394" s="4" t="s">
        <v>14</v>
      </c>
      <c r="F394" s="4">
        <v>1</v>
      </c>
      <c r="G394" s="8" t="s">
        <v>15</v>
      </c>
      <c r="H394" s="9" t="s">
        <v>16</v>
      </c>
      <c r="I394" s="4">
        <v>1</v>
      </c>
      <c r="J394"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4" s="4" t="str">
        <f t="shared" si="13"/>
        <v/>
      </c>
      <c r="N394" s="4" cm="1">
        <f t="array" ref="N394">SUM(--(_xlfn.TEXTSPLIT($J$2,, " ") = M394))</f>
        <v>56</v>
      </c>
      <c r="O394">
        <v>14</v>
      </c>
      <c r="P394" t="str">
        <v>entrance,</v>
      </c>
      <c r="Q394">
        <v>14</v>
      </c>
      <c r="R394" s="4"/>
      <c r="S394" s="10"/>
    </row>
    <row r="395" spans="1:19" x14ac:dyDescent="0.2">
      <c r="A395" s="4">
        <v>1</v>
      </c>
      <c r="B395" s="5">
        <v>45912</v>
      </c>
      <c r="C395" s="6">
        <v>0.22361111111111112</v>
      </c>
      <c r="D395" s="7">
        <v>322</v>
      </c>
      <c r="E395" s="4" t="s">
        <v>14</v>
      </c>
      <c r="F395" s="4">
        <v>1</v>
      </c>
      <c r="G395" s="8" t="s">
        <v>15</v>
      </c>
      <c r="H395" s="9" t="s">
        <v>16</v>
      </c>
      <c r="I395" s="4">
        <v>1</v>
      </c>
      <c r="J395"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5" s="4" t="str">
        <f t="shared" si="13"/>
        <v/>
      </c>
      <c r="N395" s="4" cm="1">
        <f t="array" ref="N395">SUM(--(_xlfn.TEXTSPLIT($J$2,, " ") = M395))</f>
        <v>56</v>
      </c>
      <c r="O395">
        <v>14</v>
      </c>
      <c r="P395" t="str">
        <v>there</v>
      </c>
      <c r="Q395">
        <v>14</v>
      </c>
      <c r="R395" s="4"/>
      <c r="S395" s="10"/>
    </row>
    <row r="396" spans="1:19" x14ac:dyDescent="0.2">
      <c r="A396" s="4">
        <v>1</v>
      </c>
      <c r="B396" s="5">
        <v>45912</v>
      </c>
      <c r="C396" s="6">
        <v>0.22361111111111112</v>
      </c>
      <c r="D396" s="7">
        <v>322</v>
      </c>
      <c r="E396" s="4" t="s">
        <v>14</v>
      </c>
      <c r="F396" s="4">
        <v>1</v>
      </c>
      <c r="G396" s="8" t="s">
        <v>15</v>
      </c>
      <c r="H396" s="9" t="s">
        <v>16</v>
      </c>
      <c r="I396" s="4">
        <v>1</v>
      </c>
      <c r="J396"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6" s="4" t="str">
        <f t="shared" si="13"/>
        <v/>
      </c>
      <c r="N396" s="4" cm="1">
        <f t="array" ref="N396">SUM(--(_xlfn.TEXTSPLIT($J$2,, " ") = M396))</f>
        <v>56</v>
      </c>
      <c r="O396">
        <v>14</v>
      </c>
      <c r="P396" t="str">
        <v>not</v>
      </c>
      <c r="Q396">
        <v>14</v>
      </c>
      <c r="R396" s="4"/>
      <c r="S396" s="10"/>
    </row>
    <row r="397" spans="1:19" x14ac:dyDescent="0.2">
      <c r="A397" s="4">
        <v>1</v>
      </c>
      <c r="B397" s="5">
        <v>45912</v>
      </c>
      <c r="C397" s="6">
        <v>0.22361111111111112</v>
      </c>
      <c r="D397" s="7">
        <v>322</v>
      </c>
      <c r="E397" s="4" t="s">
        <v>14</v>
      </c>
      <c r="F397" s="4">
        <v>1</v>
      </c>
      <c r="G397" s="8" t="s">
        <v>15</v>
      </c>
      <c r="H397" s="9" t="s">
        <v>16</v>
      </c>
      <c r="I397" s="4">
        <v>1</v>
      </c>
      <c r="J397"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7" s="4" t="str">
        <f t="shared" si="13"/>
        <v/>
      </c>
      <c r="N397" s="4" cm="1">
        <f t="array" ref="N397">SUM(--(_xlfn.TEXTSPLIT($J$2,, " ") = M397))</f>
        <v>56</v>
      </c>
      <c r="O397">
        <v>14</v>
      </c>
      <c r="P397" t="str">
        <v xml:space="preserve">retreat
</v>
      </c>
      <c r="Q397">
        <v>14</v>
      </c>
      <c r="R397" s="4"/>
      <c r="S397" s="10"/>
    </row>
    <row r="398" spans="1:19" x14ac:dyDescent="0.2">
      <c r="A398" s="4">
        <v>1</v>
      </c>
      <c r="B398" s="5">
        <v>45912</v>
      </c>
      <c r="C398" s="6">
        <v>0.22361111111111112</v>
      </c>
      <c r="D398" s="7">
        <v>322</v>
      </c>
      <c r="E398" s="4" t="s">
        <v>14</v>
      </c>
      <c r="F398" s="4">
        <v>1</v>
      </c>
      <c r="G398" s="8" t="s">
        <v>15</v>
      </c>
      <c r="H398" s="9" t="s">
        <v>16</v>
      </c>
      <c r="I398" s="4">
        <v>1</v>
      </c>
      <c r="J398"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8" s="4" t="str">
        <f t="shared" si="13"/>
        <v/>
      </c>
      <c r="N398" s="4" cm="1">
        <f t="array" ref="N398">SUM(--(_xlfn.TEXTSPLIT($J$2,, " ") = M398))</f>
        <v>56</v>
      </c>
      <c r="O398">
        <v>14</v>
      </c>
      <c r="P398" t="str">
        <v>I'm</v>
      </c>
      <c r="Q398">
        <v>14</v>
      </c>
      <c r="R398" s="4"/>
      <c r="S398" s="10"/>
    </row>
    <row r="399" spans="1:19" x14ac:dyDescent="0.2">
      <c r="A399" s="4">
        <v>1</v>
      </c>
      <c r="B399" s="5">
        <v>45912</v>
      </c>
      <c r="C399" s="6">
        <v>0.22361111111111112</v>
      </c>
      <c r="D399" s="7">
        <v>322</v>
      </c>
      <c r="E399" s="4" t="s">
        <v>14</v>
      </c>
      <c r="F399" s="4">
        <v>1</v>
      </c>
      <c r="G399" s="8" t="s">
        <v>15</v>
      </c>
      <c r="H399" s="9" t="s">
        <v>16</v>
      </c>
      <c r="I399" s="4">
        <v>1</v>
      </c>
      <c r="J399"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399" s="4" t="str">
        <f t="shared" si="13"/>
        <v/>
      </c>
      <c r="N399" s="4" cm="1">
        <f t="array" ref="N399">SUM(--(_xlfn.TEXTSPLIT($J$2,, " ") = M399))</f>
        <v>56</v>
      </c>
      <c r="O399">
        <v>14</v>
      </c>
      <c r="P399" t="str">
        <v>wondering</v>
      </c>
      <c r="Q399">
        <v>14</v>
      </c>
      <c r="R399" s="4"/>
      <c r="S399" s="10"/>
    </row>
    <row r="400" spans="1:19" x14ac:dyDescent="0.2">
      <c r="A400" s="4">
        <v>1</v>
      </c>
      <c r="B400" s="5">
        <v>45912</v>
      </c>
      <c r="C400" s="6">
        <v>0.22361111111111112</v>
      </c>
      <c r="D400" s="7">
        <v>322</v>
      </c>
      <c r="E400" s="4" t="s">
        <v>14</v>
      </c>
      <c r="F400" s="4">
        <v>1</v>
      </c>
      <c r="G400" s="8" t="s">
        <v>15</v>
      </c>
      <c r="H400" s="9" t="s">
        <v>16</v>
      </c>
      <c r="I400" s="4">
        <v>1</v>
      </c>
      <c r="J400"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0" s="4" t="str">
        <f t="shared" si="13"/>
        <v/>
      </c>
      <c r="N400" s="4" cm="1">
        <f t="array" ref="N400">SUM(--(_xlfn.TEXTSPLIT($J$2,, " ") = M400))</f>
        <v>56</v>
      </c>
      <c r="O400">
        <v>14</v>
      </c>
      <c r="P400" t="str">
        <v>what</v>
      </c>
      <c r="Q400">
        <v>14</v>
      </c>
      <c r="R400" s="4"/>
      <c r="S400" s="10"/>
    </row>
    <row r="401" spans="1:19" x14ac:dyDescent="0.2">
      <c r="A401" s="4">
        <v>1</v>
      </c>
      <c r="B401" s="5">
        <v>45912</v>
      </c>
      <c r="C401" s="6">
        <v>0.22361111111111112</v>
      </c>
      <c r="D401" s="7">
        <v>322</v>
      </c>
      <c r="E401" s="4" t="s">
        <v>14</v>
      </c>
      <c r="F401" s="4">
        <v>1</v>
      </c>
      <c r="G401" s="8" t="s">
        <v>15</v>
      </c>
      <c r="H401" s="9" t="s">
        <v>16</v>
      </c>
      <c r="I401" s="4">
        <v>1</v>
      </c>
      <c r="J401"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1" s="4" t="str">
        <f t="shared" si="13"/>
        <v/>
      </c>
      <c r="N401" s="4" cm="1">
        <f t="array" ref="N401">SUM(--(_xlfn.TEXTSPLIT($J$2,, " ") = M401))</f>
        <v>56</v>
      </c>
      <c r="O401">
        <v>14</v>
      </c>
      <c r="P401" t="str">
        <v>happen,</v>
      </c>
      <c r="Q401">
        <v>14</v>
      </c>
      <c r="R401" s="4"/>
      <c r="S401" s="10"/>
    </row>
    <row r="402" spans="1:19" x14ac:dyDescent="0.2">
      <c r="A402" s="4">
        <v>1</v>
      </c>
      <c r="B402" s="5">
        <v>45912</v>
      </c>
      <c r="C402" s="6">
        <v>0.22361111111111112</v>
      </c>
      <c r="D402" s="7">
        <v>322</v>
      </c>
      <c r="E402" s="4" t="s">
        <v>14</v>
      </c>
      <c r="F402" s="4">
        <v>1</v>
      </c>
      <c r="G402" s="8" t="s">
        <v>15</v>
      </c>
      <c r="H402" s="9" t="s">
        <v>16</v>
      </c>
      <c r="I402" s="4">
        <v>1</v>
      </c>
      <c r="J402"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2" s="4" t="str">
        <f t="shared" si="13"/>
        <v/>
      </c>
      <c r="N402" s="4" cm="1">
        <f t="array" ref="N402">SUM(--(_xlfn.TEXTSPLIT($J$2,, " ") = M402))</f>
        <v>56</v>
      </c>
      <c r="O402">
        <v>14</v>
      </c>
      <c r="P402" t="str">
        <v>who</v>
      </c>
      <c r="Q402">
        <v>14</v>
      </c>
      <c r="R402" s="4"/>
      <c r="S402" s="10"/>
    </row>
    <row r="403" spans="1:19" x14ac:dyDescent="0.2">
      <c r="A403" s="4">
        <v>1</v>
      </c>
      <c r="B403" s="5">
        <v>45912</v>
      </c>
      <c r="C403" s="6">
        <v>0.22361111111111112</v>
      </c>
      <c r="D403" s="7">
        <v>322</v>
      </c>
      <c r="E403" s="4" t="s">
        <v>14</v>
      </c>
      <c r="F403" s="4">
        <v>1</v>
      </c>
      <c r="G403" s="8" t="s">
        <v>15</v>
      </c>
      <c r="H403" s="9" t="s">
        <v>16</v>
      </c>
      <c r="I403" s="4">
        <v>1</v>
      </c>
      <c r="J403"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3" s="4" t="str">
        <f t="shared" si="13"/>
        <v/>
      </c>
      <c r="N403" s="4" cm="1">
        <f t="array" ref="N403">SUM(--(_xlfn.TEXTSPLIT($J$2,, " ") = M403))</f>
        <v>56</v>
      </c>
      <c r="O403">
        <v>14</v>
      </c>
      <c r="P403" t="str">
        <v xml:space="preserve">be
</v>
      </c>
      <c r="Q403">
        <v>14</v>
      </c>
      <c r="R403" s="4"/>
      <c r="S403" s="10"/>
    </row>
    <row r="404" spans="1:19" x14ac:dyDescent="0.2">
      <c r="A404" s="4">
        <v>1</v>
      </c>
      <c r="B404" s="5">
        <v>45912</v>
      </c>
      <c r="C404" s="6">
        <v>0.22361111111111112</v>
      </c>
      <c r="D404" s="7">
        <v>322</v>
      </c>
      <c r="E404" s="4" t="s">
        <v>14</v>
      </c>
      <c r="F404" s="4">
        <v>1</v>
      </c>
      <c r="G404" s="8" t="s">
        <v>15</v>
      </c>
      <c r="H404" s="9" t="s">
        <v>16</v>
      </c>
      <c r="I404" s="4">
        <v>1</v>
      </c>
      <c r="J404"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4" s="4" t="str">
        <f t="shared" si="13"/>
        <v/>
      </c>
      <c r="N404" s="4" cm="1">
        <f t="array" ref="N404">SUM(--(_xlfn.TEXTSPLIT($J$2,, " ") = M404))</f>
        <v>56</v>
      </c>
      <c r="O404">
        <v>14</v>
      </c>
      <c r="P404" t="str">
        <v>sideswipe</v>
      </c>
      <c r="Q404">
        <v>14</v>
      </c>
      <c r="R404" s="4"/>
      <c r="S404" s="10"/>
    </row>
    <row r="405" spans="1:19" x14ac:dyDescent="0.2">
      <c r="A405" s="4">
        <v>1</v>
      </c>
      <c r="B405" s="5">
        <v>45912</v>
      </c>
      <c r="C405" s="6">
        <v>0.22361111111111112</v>
      </c>
      <c r="D405" s="7">
        <v>322</v>
      </c>
      <c r="E405" s="4" t="s">
        <v>14</v>
      </c>
      <c r="F405" s="4">
        <v>1</v>
      </c>
      <c r="G405" s="8" t="s">
        <v>15</v>
      </c>
      <c r="H405" s="9" t="s">
        <v>16</v>
      </c>
      <c r="I405" s="4">
        <v>1</v>
      </c>
      <c r="J405"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5" s="4" t="str">
        <f t="shared" si="13"/>
        <v/>
      </c>
      <c r="N405" s="4" cm="1">
        <f t="array" ref="N405">SUM(--(_xlfn.TEXTSPLIT($J$2,, " ") = M405))</f>
        <v>56</v>
      </c>
      <c r="O405">
        <v>14</v>
      </c>
      <c r="P405" t="str">
        <v>or</v>
      </c>
      <c r="Q405">
        <v>14</v>
      </c>
      <c r="R405" s="4"/>
      <c r="S405" s="10"/>
    </row>
    <row r="406" spans="1:19" x14ac:dyDescent="0.2">
      <c r="A406" s="4">
        <v>1</v>
      </c>
      <c r="B406" s="5">
        <v>45912</v>
      </c>
      <c r="C406" s="6">
        <v>0.22361111111111112</v>
      </c>
      <c r="D406" s="7">
        <v>322</v>
      </c>
      <c r="E406" s="4" t="s">
        <v>14</v>
      </c>
      <c r="F406" s="4">
        <v>1</v>
      </c>
      <c r="G406" s="8" t="s">
        <v>15</v>
      </c>
      <c r="H406" s="9" t="s">
        <v>16</v>
      </c>
      <c r="I406" s="4">
        <v>1</v>
      </c>
      <c r="J406"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6" s="4" t="str">
        <f t="shared" si="13"/>
        <v/>
      </c>
      <c r="N406" s="4" cm="1">
        <f t="array" ref="N406">SUM(--(_xlfn.TEXTSPLIT($J$2,, " ") = M406))</f>
        <v>56</v>
      </c>
      <c r="O406">
        <v>14</v>
      </c>
      <c r="P406" t="str">
        <v>did</v>
      </c>
      <c r="Q406">
        <v>14</v>
      </c>
      <c r="R406" s="4"/>
      <c r="S406" s="10"/>
    </row>
    <row r="407" spans="1:19" x14ac:dyDescent="0.2">
      <c r="A407" s="4">
        <v>1</v>
      </c>
      <c r="B407" s="5">
        <v>45912</v>
      </c>
      <c r="C407" s="6">
        <v>0.22361111111111112</v>
      </c>
      <c r="D407" s="7">
        <v>322</v>
      </c>
      <c r="E407" s="4" t="s">
        <v>14</v>
      </c>
      <c r="F407" s="4">
        <v>1</v>
      </c>
      <c r="G407" s="8" t="s">
        <v>15</v>
      </c>
      <c r="H407" s="9" t="s">
        <v>16</v>
      </c>
      <c r="I407" s="4">
        <v>1</v>
      </c>
      <c r="J407"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7" s="4" t="str">
        <f t="shared" si="13"/>
        <v/>
      </c>
      <c r="N407" s="4" cm="1">
        <f t="array" ref="N407">SUM(--(_xlfn.TEXTSPLIT($J$2,, " ") = M407))</f>
        <v>56</v>
      </c>
      <c r="O407">
        <v>14</v>
      </c>
      <c r="P407" t="str">
        <v>picture</v>
      </c>
      <c r="Q407">
        <v>14</v>
      </c>
      <c r="R407" s="4"/>
      <c r="S407" s="10"/>
    </row>
    <row r="408" spans="1:19" x14ac:dyDescent="0.2">
      <c r="A408" s="4">
        <v>1</v>
      </c>
      <c r="B408" s="5">
        <v>45912</v>
      </c>
      <c r="C408" s="6">
        <v>0.22361111111111112</v>
      </c>
      <c r="D408" s="7">
        <v>322</v>
      </c>
      <c r="E408" s="4" t="s">
        <v>14</v>
      </c>
      <c r="F408" s="4">
        <v>1</v>
      </c>
      <c r="G408" s="8" t="s">
        <v>15</v>
      </c>
      <c r="H408" s="9" t="s">
        <v>16</v>
      </c>
      <c r="I408" s="4">
        <v>1</v>
      </c>
      <c r="J408"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L408" s="4" t="str">
        <f t="shared" si="13"/>
        <v/>
      </c>
      <c r="N408" s="4" cm="1">
        <f t="array" ref="N408">SUM(--(_xlfn.TEXTSPLIT($J$2,, " ") = M408))</f>
        <v>56</v>
      </c>
      <c r="O408">
        <v>14</v>
      </c>
      <c r="P408" t="str">
        <v xml:space="preserve">dream?
</v>
      </c>
      <c r="Q408">
        <v>14</v>
      </c>
      <c r="R408" s="4"/>
      <c r="S408" s="10"/>
    </row>
    <row r="409" spans="1:19" x14ac:dyDescent="0.2">
      <c r="A409" s="4">
        <v>1</v>
      </c>
      <c r="B409" s="5">
        <v>45912</v>
      </c>
      <c r="C409" s="6">
        <v>0.22361111111111112</v>
      </c>
      <c r="D409" s="7">
        <v>322</v>
      </c>
      <c r="E409" s="4" t="s">
        <v>14</v>
      </c>
      <c r="F409" s="4">
        <v>1</v>
      </c>
      <c r="G409" s="8" t="s">
        <v>15</v>
      </c>
      <c r="H409" s="9" t="s">
        <v>16</v>
      </c>
      <c r="I409" s="4">
        <v>1</v>
      </c>
      <c r="J409"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v>
      </c>
      <c r="L409" s="4" t="str">
        <f t="shared" si="13"/>
        <v/>
      </c>
      <c r="N409" s="4" cm="1">
        <f t="array" ref="N409">SUM(--(_xlfn.TEXTSPLIT($J$2,, " ") = M409))</f>
        <v>56</v>
      </c>
      <c r="O409">
        <v>14</v>
      </c>
      <c r="P409" t="str">
        <v>Buckle</v>
      </c>
      <c r="Q409">
        <v>14</v>
      </c>
      <c r="R409" s="4"/>
      <c r="S409" s="10"/>
    </row>
    <row r="410" spans="1:19" x14ac:dyDescent="0.2">
      <c r="A410" s="4">
        <v>1</v>
      </c>
      <c r="B410" s="5">
        <v>45912</v>
      </c>
      <c r="C410" s="6">
        <v>0.22361111111111112</v>
      </c>
      <c r="D410" s="7">
        <v>322</v>
      </c>
      <c r="E410" s="4" t="s">
        <v>14</v>
      </c>
      <c r="F410" s="4">
        <v>1</v>
      </c>
      <c r="G410" s="8" t="s">
        <v>15</v>
      </c>
      <c r="H410" s="9" t="s">
        <v>16</v>
      </c>
      <c r="I410" s="4">
        <v>1</v>
      </c>
      <c r="J410"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0" s="4" t="str">
        <f t="shared" si="13"/>
        <v/>
      </c>
      <c r="N410" s="4" cm="1">
        <f t="array" ref="N410">SUM(--(_xlfn.TEXTSPLIT($J$2,, " ") = M410))</f>
        <v>56</v>
      </c>
      <c r="O410">
        <v>14</v>
      </c>
      <c r="P410" t="str">
        <v>down,</v>
      </c>
      <c r="Q410">
        <v>14</v>
      </c>
      <c r="R410" s="4"/>
      <c r="S410" s="10"/>
    </row>
    <row r="411" spans="1:19" x14ac:dyDescent="0.2">
      <c r="A411" s="4">
        <v>1</v>
      </c>
      <c r="B411" s="5">
        <v>45912</v>
      </c>
      <c r="C411" s="6">
        <v>0.22361111111111112</v>
      </c>
      <c r="D411" s="7">
        <v>322</v>
      </c>
      <c r="E411" s="4" t="s">
        <v>14</v>
      </c>
      <c r="F411" s="4">
        <v>1</v>
      </c>
      <c r="G411" s="8" t="s">
        <v>15</v>
      </c>
      <c r="H411" s="9" t="s">
        <v>16</v>
      </c>
      <c r="I411" s="4">
        <v>1</v>
      </c>
      <c r="J411"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1" s="4" t="str">
        <f t="shared" si="13"/>
        <v/>
      </c>
      <c r="N411" s="4" cm="1">
        <f t="array" ref="N411">SUM(--(_xlfn.TEXTSPLIT($J$2,, " ") = M411))</f>
        <v>56</v>
      </c>
      <c r="O411">
        <v>14</v>
      </c>
      <c r="P411" t="str">
        <v>possibly</v>
      </c>
      <c r="Q411">
        <v>14</v>
      </c>
      <c r="R411" s="4"/>
      <c r="S411" s="10"/>
    </row>
    <row r="412" spans="1:19" x14ac:dyDescent="0.2">
      <c r="A412" s="4">
        <v>1</v>
      </c>
      <c r="B412" s="5">
        <v>45912</v>
      </c>
      <c r="C412" s="6">
        <v>0.22361111111111112</v>
      </c>
      <c r="D412" s="7">
        <v>322</v>
      </c>
      <c r="E412" s="4" t="s">
        <v>14</v>
      </c>
      <c r="F412" s="4">
        <v>1</v>
      </c>
      <c r="G412" s="8" t="s">
        <v>15</v>
      </c>
      <c r="H412" s="9" t="s">
        <v>16</v>
      </c>
      <c r="I412" s="4">
        <v>1</v>
      </c>
      <c r="J412"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2" s="4" t="str">
        <f t="shared" si="13"/>
        <v/>
      </c>
      <c r="N412" s="4" cm="1">
        <f t="array" ref="N412">SUM(--(_xlfn.TEXTSPLIT($J$2,, " ") = M412))</f>
        <v>56</v>
      </c>
      <c r="O412">
        <v>14</v>
      </c>
      <c r="P412" t="str">
        <v xml:space="preserve">sun
</v>
      </c>
      <c r="Q412">
        <v>14</v>
      </c>
      <c r="R412" s="4"/>
      <c r="S412" s="10"/>
    </row>
    <row r="413" spans="1:19" x14ac:dyDescent="0.2">
      <c r="A413" s="4">
        <v>1</v>
      </c>
      <c r="B413" s="5">
        <v>45912</v>
      </c>
      <c r="C413" s="6">
        <v>0.22361111111111112</v>
      </c>
      <c r="D413" s="7">
        <v>322</v>
      </c>
      <c r="E413" s="4" t="s">
        <v>14</v>
      </c>
      <c r="F413" s="4">
        <v>1</v>
      </c>
      <c r="G413" s="8" t="s">
        <v>15</v>
      </c>
      <c r="H413" s="9" t="s">
        <v>16</v>
      </c>
      <c r="I413" s="4">
        <v>1</v>
      </c>
      <c r="J413"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3" s="4" t="str">
        <f t="shared" si="13"/>
        <v/>
      </c>
      <c r="N413" s="4" cm="1">
        <f t="array" ref="N413">SUM(--(_xlfn.TEXTSPLIT($J$2,, " ") = M413))</f>
        <v>56</v>
      </c>
      <c r="O413">
        <v>14</v>
      </c>
      <c r="P413" t="str">
        <v xml:space="preserve">glued
</v>
      </c>
      <c r="Q413">
        <v>14</v>
      </c>
      <c r="R413" s="4"/>
      <c r="S413" s="10"/>
    </row>
    <row r="414" spans="1:19" x14ac:dyDescent="0.2">
      <c r="A414" s="4">
        <v>1</v>
      </c>
      <c r="B414" s="5">
        <v>45912</v>
      </c>
      <c r="C414" s="6">
        <v>0.22361111111111112</v>
      </c>
      <c r="D414" s="7">
        <v>322</v>
      </c>
      <c r="E414" s="4" t="s">
        <v>14</v>
      </c>
      <c r="F414" s="4">
        <v>1</v>
      </c>
      <c r="G414" s="8" t="s">
        <v>15</v>
      </c>
      <c r="H414" s="9" t="s">
        <v>16</v>
      </c>
      <c r="I414" s="4">
        <v>1</v>
      </c>
      <c r="J414"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4" s="4" t="str">
        <f t="shared" si="13"/>
        <v/>
      </c>
      <c r="N414" s="4" cm="1">
        <f t="array" ref="N414">SUM(--(_xlfn.TEXTSPLIT($J$2,, " ") = M414))</f>
        <v>56</v>
      </c>
      <c r="O414">
        <v>14</v>
      </c>
      <c r="P414" t="str">
        <v xml:space="preserve">glued
</v>
      </c>
      <c r="Q414">
        <v>14</v>
      </c>
      <c r="R414" s="4"/>
      <c r="S414" s="10"/>
    </row>
    <row r="415" spans="1:19" x14ac:dyDescent="0.2">
      <c r="A415" s="4">
        <v>1</v>
      </c>
      <c r="B415" s="5">
        <v>45912</v>
      </c>
      <c r="C415" s="6">
        <v>0.22361111111111112</v>
      </c>
      <c r="D415" s="7">
        <v>322</v>
      </c>
      <c r="E415" s="4" t="s">
        <v>14</v>
      </c>
      <c r="F415" s="4">
        <v>1</v>
      </c>
      <c r="G415" s="8" t="s">
        <v>15</v>
      </c>
      <c r="H415" s="9" t="s">
        <v>16</v>
      </c>
      <c r="I415" s="4">
        <v>1</v>
      </c>
      <c r="J415"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5" s="4" t="str">
        <f t="shared" si="13"/>
        <v/>
      </c>
      <c r="N415" s="4" cm="1">
        <f t="array" ref="N415">SUM(--(_xlfn.TEXTSPLIT($J$2,, " ") = M415))</f>
        <v>56</v>
      </c>
      <c r="O415">
        <v>14</v>
      </c>
      <c r="P415" t="str">
        <v>are
I</v>
      </c>
      <c r="Q415">
        <v>14</v>
      </c>
      <c r="R415" s="4"/>
      <c r="S415" s="10"/>
    </row>
    <row r="416" spans="1:19" x14ac:dyDescent="0.2">
      <c r="A416" s="4">
        <v>1</v>
      </c>
      <c r="B416" s="5">
        <v>45912</v>
      </c>
      <c r="C416" s="6">
        <v>0.22361111111111112</v>
      </c>
      <c r="D416" s="7">
        <v>322</v>
      </c>
      <c r="E416" s="4" t="s">
        <v>14</v>
      </c>
      <c r="F416" s="4">
        <v>1</v>
      </c>
      <c r="G416" s="8" t="s">
        <v>15</v>
      </c>
      <c r="H416" s="9" t="s">
        <v>16</v>
      </c>
      <c r="I416" s="4">
        <v>1</v>
      </c>
      <c r="J416"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6" s="4" t="str">
        <f t="shared" si="13"/>
        <v/>
      </c>
      <c r="N416" s="4" cm="1">
        <f t="array" ref="N416">SUM(--(_xlfn.TEXTSPLIT($J$2,, " ") = M416))</f>
        <v>56</v>
      </c>
      <c r="O416">
        <v>14</v>
      </c>
      <c r="P416" t="str">
        <v xml:space="preserve">me
</v>
      </c>
      <c r="Q416">
        <v>14</v>
      </c>
      <c r="R416" s="4"/>
      <c r="S416" s="10"/>
    </row>
    <row r="417" spans="1:22" x14ac:dyDescent="0.2">
      <c r="A417" s="4">
        <v>1</v>
      </c>
      <c r="B417" s="5">
        <v>45912</v>
      </c>
      <c r="C417" s="6">
        <v>0.22361111111111112</v>
      </c>
      <c r="D417" s="7">
        <v>322</v>
      </c>
      <c r="E417" s="4" t="s">
        <v>14</v>
      </c>
      <c r="F417" s="4">
        <v>1</v>
      </c>
      <c r="G417" s="8" t="s">
        <v>15</v>
      </c>
      <c r="H417" s="9" t="s">
        <v>16</v>
      </c>
      <c r="I417" s="4">
        <v>1</v>
      </c>
      <c r="J417"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7" s="4" t="str">
        <f t="shared" si="13"/>
        <v/>
      </c>
      <c r="N417" s="4" cm="1">
        <f t="array" ref="N417">SUM(--(_xlfn.TEXTSPLIT($J$2,, " ") = M417))</f>
        <v>56</v>
      </c>
      <c r="O417">
        <v>14</v>
      </c>
      <c r="P417" t="str">
        <v>time,</v>
      </c>
      <c r="Q417">
        <v>14</v>
      </c>
      <c r="R417" s="4"/>
      <c r="S417" s="10"/>
    </row>
    <row r="418" spans="1:22" x14ac:dyDescent="0.2">
      <c r="A418" s="4">
        <v>1</v>
      </c>
      <c r="B418" s="5">
        <v>45912</v>
      </c>
      <c r="C418" s="6">
        <v>0.22361111111111112</v>
      </c>
      <c r="D418" s="7">
        <v>322</v>
      </c>
      <c r="E418" s="4" t="s">
        <v>14</v>
      </c>
      <c r="F418" s="4">
        <v>1</v>
      </c>
      <c r="G418" s="8" t="s">
        <v>15</v>
      </c>
      <c r="H418" s="9" t="s">
        <v>16</v>
      </c>
      <c r="I418" s="4">
        <v>1</v>
      </c>
      <c r="J418"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8" s="4" t="str">
        <f t="shared" si="13"/>
        <v/>
      </c>
      <c r="N418" s="4" cm="1">
        <f t="array" ref="N418">SUM(--(_xlfn.TEXTSPLIT($J$2,, " ") = M418))</f>
        <v>56</v>
      </c>
      <c r="O418">
        <v>14</v>
      </c>
      <c r="P418" t="str">
        <v xml:space="preserve">time
</v>
      </c>
      <c r="Q418">
        <v>14</v>
      </c>
      <c r="R418" s="4"/>
      <c r="S418" s="10"/>
    </row>
    <row r="419" spans="1:22" x14ac:dyDescent="0.2">
      <c r="A419" s="4">
        <v>1</v>
      </c>
      <c r="B419" s="5">
        <v>45912</v>
      </c>
      <c r="C419" s="6">
        <v>0.22361111111111112</v>
      </c>
      <c r="D419" s="7">
        <v>322</v>
      </c>
      <c r="E419" s="4" t="s">
        <v>14</v>
      </c>
      <c r="F419" s="4">
        <v>1</v>
      </c>
      <c r="G419" s="8" t="s">
        <v>15</v>
      </c>
      <c r="H419" s="9" t="s">
        <v>16</v>
      </c>
      <c r="I419" s="4">
        <v>1</v>
      </c>
      <c r="J419"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19" s="4" t="str">
        <f t="shared" si="13"/>
        <v/>
      </c>
      <c r="N419" s="4" cm="1">
        <f t="array" ref="N419">SUM(--(_xlfn.TEXTSPLIT($J$2,, " ") = M419))</f>
        <v>56</v>
      </c>
      <c r="O419">
        <v>14</v>
      </c>
      <c r="P419" t="str">
        <v xml:space="preserve">try
</v>
      </c>
      <c r="Q419">
        <v>14</v>
      </c>
      <c r="R419" s="4"/>
      <c r="S419" s="10"/>
    </row>
    <row r="420" spans="1:22" x14ac:dyDescent="0.2">
      <c r="A420" s="4">
        <v>1</v>
      </c>
      <c r="B420" s="5">
        <v>45912</v>
      </c>
      <c r="C420" s="6">
        <v>0.22361111111111112</v>
      </c>
      <c r="D420" s="7">
        <v>322</v>
      </c>
      <c r="E420" s="4" t="s">
        <v>14</v>
      </c>
      <c r="F420" s="4">
        <v>1</v>
      </c>
      <c r="G420" s="8" t="s">
        <v>15</v>
      </c>
      <c r="H420" s="9" t="s">
        <v>16</v>
      </c>
      <c r="I420" s="4">
        <v>1</v>
      </c>
      <c r="J420"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20" s="4" t="str">
        <f t="shared" si="13"/>
        <v/>
      </c>
      <c r="N420" s="4" cm="1">
        <f t="array" ref="N420">SUM(--(_xlfn.TEXTSPLIT($J$2,, " ") = M420))</f>
        <v>56</v>
      </c>
      <c r="O420">
        <v>14</v>
      </c>
      <c r="P420" t="str">
        <v xml:space="preserve">soul
</v>
      </c>
      <c r="Q420">
        <v>14</v>
      </c>
      <c r="R420" s="4"/>
      <c r="S420" s="10"/>
    </row>
    <row r="421" spans="1:22" x14ac:dyDescent="0.2">
      <c r="A421" s="4">
        <v>1</v>
      </c>
      <c r="B421" s="5">
        <v>45912</v>
      </c>
      <c r="C421" s="6">
        <v>0.22361111111111112</v>
      </c>
      <c r="D421" s="7">
        <v>322</v>
      </c>
      <c r="E421" s="4" t="s">
        <v>14</v>
      </c>
      <c r="F421" s="4">
        <v>1</v>
      </c>
      <c r="G421" s="8" t="s">
        <v>15</v>
      </c>
      <c r="H421" s="9" t="s">
        <v>16</v>
      </c>
      <c r="I421" s="4">
        <v>1</v>
      </c>
      <c r="J421" s="4" t="str">
        <f t="shared" si="12"/>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 Lyrics 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L421" s="4" t="str">
        <f t="shared" si="13"/>
        <v/>
      </c>
      <c r="N421" s="4" cm="1">
        <f t="array" ref="N421">SUM(--(_xlfn.TEXTSPLIT($J$2,, " ") = M421))</f>
        <v>56</v>
      </c>
      <c r="O421">
        <v>14</v>
      </c>
      <c r="P421" t="str">
        <v>try</v>
      </c>
      <c r="Q421">
        <v>14</v>
      </c>
      <c r="R421" s="4"/>
      <c r="S421" s="10"/>
    </row>
    <row r="422" spans="1:22" x14ac:dyDescent="0.2">
      <c r="A422" s="1"/>
      <c r="B422" s="1" t="s">
        <v>0</v>
      </c>
      <c r="C422" s="2" t="s">
        <v>1</v>
      </c>
      <c r="D422" s="3" t="s">
        <v>2</v>
      </c>
      <c r="E422" s="1" t="s">
        <v>3</v>
      </c>
      <c r="F422" s="1" t="s">
        <v>4</v>
      </c>
      <c r="G422" s="1" t="s">
        <v>5</v>
      </c>
      <c r="H422" s="1" t="s">
        <v>6</v>
      </c>
      <c r="I422" s="1" t="s">
        <v>7</v>
      </c>
      <c r="J422" s="2" t="s">
        <v>8</v>
      </c>
      <c r="K422" s="2" t="s">
        <v>9</v>
      </c>
      <c r="L422" s="4" t="str">
        <f t="shared" si="13"/>
        <v>TEXTSPLIT</v>
      </c>
      <c r="M422" s="2" t="s">
        <v>10</v>
      </c>
      <c r="N422" s="2" t="s">
        <v>11</v>
      </c>
      <c r="O422" s="1" t="s">
        <v>22</v>
      </c>
      <c r="P422" s="2" t="s">
        <v>12</v>
      </c>
      <c r="Q422" s="2"/>
      <c r="R422" s="4" t="s">
        <v>23</v>
      </c>
      <c r="S422" s="10"/>
    </row>
    <row r="423" spans="1:22" s="4" customFormat="1" x14ac:dyDescent="0.2">
      <c r="A423" s="4">
        <v>2</v>
      </c>
      <c r="B423" s="5">
        <v>45912</v>
      </c>
      <c r="C423" s="6">
        <v>0.14027777777777778</v>
      </c>
      <c r="D423" s="7">
        <v>202</v>
      </c>
      <c r="E423" s="4" t="s">
        <v>17</v>
      </c>
      <c r="F423" s="4">
        <v>2</v>
      </c>
      <c r="G423" s="8" t="s">
        <v>15</v>
      </c>
      <c r="H423" s="9" t="s">
        <v>18</v>
      </c>
      <c r="I423" s="4">
        <v>1</v>
      </c>
      <c r="J423" s="4" t="str">
        <f>_xlfn.TEXTJOIN(" ", TRUE, H423:H436)</f>
        <v>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K423" s="4" t="str" cm="1">
        <f t="array" ref="K423:K851">_xlfn.TEXTSPLIT(J423, ," ")</f>
        <v>Raw</v>
      </c>
      <c r="L423" s="4" t="str">
        <f>_xlfn.REGEXREPLACE(K423, "[^A-Za-z ]", " ")</f>
        <v>Raw</v>
      </c>
      <c r="M423" s="4" t="str" cm="1">
        <f t="array" ref="M423:M541">_xlfn.UNIQUE(_xlfn.TEXTSPLIT(J423, , " "))</f>
        <v>Raw</v>
      </c>
      <c r="N423" s="4" cm="1">
        <f t="array" ref="N423">SUM(--(_xlfn.TEXTSPLIT($J$423,, " ") = M423))</f>
        <v>11</v>
      </c>
      <c r="O423" s="4" cm="1">
        <f t="array" ref="O423:O851">_xlfn._xlws.SORT(N423:N851, ,-1)</f>
        <v>32</v>
      </c>
      <c r="P423" s="4" t="str" cm="1">
        <f t="array" ref="P423:Q851">_xlfn.SORTBY(M423:N851, N423:N851, -1)</f>
        <v>slowing</v>
      </c>
      <c r="Q423" s="4">
        <v>32</v>
      </c>
      <c r="R423" s="4">
        <v>851</v>
      </c>
      <c r="S423" s="10"/>
      <c r="T423"/>
      <c r="U423"/>
      <c r="V423"/>
    </row>
    <row r="424" spans="1:22" x14ac:dyDescent="0.2">
      <c r="E424" s="4" t="s">
        <v>17</v>
      </c>
      <c r="K424" t="str">
        <v xml:space="preserve">fear
</v>
      </c>
      <c r="L424" s="4" t="str">
        <f t="shared" si="13"/>
        <v xml:space="preserve">fear </v>
      </c>
      <c r="M424" t="str">
        <v xml:space="preserve">fear
</v>
      </c>
      <c r="N424" s="4" cm="1">
        <f t="array" ref="N424">SUM(--(_xlfn.TEXTSPLIT($J$423,, " ") = M424))</f>
        <v>1</v>
      </c>
      <c r="O424">
        <v>19</v>
      </c>
      <c r="P424" t="str">
        <v xml:space="preserve">down)
</v>
      </c>
      <c r="Q424">
        <v>19</v>
      </c>
      <c r="R424" s="4"/>
      <c r="S424" s="10"/>
    </row>
    <row r="425" spans="1:22" x14ac:dyDescent="0.2">
      <c r="E425" s="4" t="s">
        <v>17</v>
      </c>
      <c r="K425" t="str">
        <v>Raw</v>
      </c>
      <c r="L425" s="4" t="str">
        <f t="shared" si="13"/>
        <v>Raw</v>
      </c>
      <c r="M425" t="str">
        <v xml:space="preserve">fear
</v>
      </c>
      <c r="N425" s="4" cm="1">
        <f t="array" ref="N425">SUM(--(_xlfn.TEXTSPLIT($J$423,, " ") = M425))</f>
        <v>1</v>
      </c>
      <c r="O425">
        <v>17</v>
      </c>
      <c r="P425" t="str">
        <v>(Never</v>
      </c>
      <c r="Q425">
        <v>17</v>
      </c>
      <c r="R425" s="4"/>
      <c r="S425" s="10"/>
    </row>
    <row r="426" spans="1:22" x14ac:dyDescent="0.2">
      <c r="E426" s="4" t="s">
        <v>17</v>
      </c>
      <c r="K426" t="str">
        <v xml:space="preserve">fear
</v>
      </c>
      <c r="L426" s="4" t="str">
        <f t="shared" si="13"/>
        <v xml:space="preserve">fear  </v>
      </c>
      <c r="M426" t="str">
        <v>fear</v>
      </c>
      <c r="N426" s="4" cm="1">
        <f t="array" ref="N426">SUM(--(_xlfn.TEXTSPLIT($J$423,, " ") = M426))</f>
        <v>9</v>
      </c>
      <c r="O426">
        <v>16</v>
      </c>
      <c r="P426" t="str">
        <v>never</v>
      </c>
      <c r="Q426">
        <v>16</v>
      </c>
      <c r="R426" s="4"/>
      <c r="S426" s="10"/>
    </row>
    <row r="427" spans="1:22" x14ac:dyDescent="0.2">
      <c r="E427" s="4" t="s">
        <v>17</v>
      </c>
      <c r="K427" t="str">
        <v>Raw</v>
      </c>
      <c r="L427" s="4" t="str">
        <f t="shared" si="13"/>
        <v>Raw</v>
      </c>
      <c r="M427" t="str">
        <v>moves</v>
      </c>
      <c r="N427" s="4" cm="1">
        <f t="array" ref="N427">SUM(--(_xlfn.TEXTSPLIT($J$423,, " ") = M427))</f>
        <v>9</v>
      </c>
      <c r="O427">
        <v>11</v>
      </c>
      <c r="P427" t="str">
        <v>Raw</v>
      </c>
      <c r="Q427">
        <v>11</v>
      </c>
      <c r="R427" s="4"/>
      <c r="S427" s="10"/>
    </row>
    <row r="428" spans="1:22" x14ac:dyDescent="0.2">
      <c r="E428" s="4" t="s">
        <v>17</v>
      </c>
      <c r="K428" t="str">
        <v>fear</v>
      </c>
      <c r="L428" s="4" t="str">
        <f t="shared" si="13"/>
        <v>fear</v>
      </c>
      <c r="M428" t="str">
        <v>me,</v>
      </c>
      <c r="N428" s="4" cm="1">
        <f t="array" ref="N428">SUM(--(_xlfn.TEXTSPLIT($J$423,, " ") = M428))</f>
        <v>9</v>
      </c>
      <c r="O428">
        <v>11</v>
      </c>
      <c r="P428" t="str">
        <v>is</v>
      </c>
      <c r="Q428">
        <v>11</v>
      </c>
      <c r="R428" s="4"/>
      <c r="S428" s="10"/>
    </row>
    <row r="429" spans="1:22" x14ac:dyDescent="0.2">
      <c r="E429" s="4" t="s">
        <v>17</v>
      </c>
      <c r="K429" t="str">
        <v>moves</v>
      </c>
      <c r="L429" s="4" t="str">
        <f t="shared" si="13"/>
        <v>moves</v>
      </c>
      <c r="M429" t="str">
        <v>sounds</v>
      </c>
      <c r="N429" s="4" cm="1">
        <f t="array" ref="N429">SUM(--(_xlfn.TEXTSPLIT($J$423,, " ") = M429))</f>
        <v>9</v>
      </c>
      <c r="O429">
        <v>11</v>
      </c>
      <c r="P429" t="str">
        <v>ah,</v>
      </c>
      <c r="Q429">
        <v>11</v>
      </c>
      <c r="R429" s="4"/>
      <c r="S429" s="10"/>
    </row>
    <row r="430" spans="1:22" x14ac:dyDescent="0.2">
      <c r="E430" s="4" t="s">
        <v>17</v>
      </c>
      <c r="K430" t="str">
        <v>me,</v>
      </c>
      <c r="L430" s="4" t="str">
        <f t="shared" si="13"/>
        <v xml:space="preserve">me </v>
      </c>
      <c r="M430" t="str">
        <v>of</v>
      </c>
      <c r="N430" s="4" cm="1">
        <f t="array" ref="N430">SUM(--(_xlfn.TEXTSPLIT($J$423,, " ") = M430))</f>
        <v>9</v>
      </c>
      <c r="O430">
        <v>9</v>
      </c>
      <c r="P430" t="str">
        <v>fear</v>
      </c>
      <c r="Q430">
        <v>9</v>
      </c>
      <c r="R430" s="4"/>
      <c r="S430" s="10"/>
    </row>
    <row r="431" spans="1:22" x14ac:dyDescent="0.2">
      <c r="E431" s="4" t="s">
        <v>17</v>
      </c>
      <c r="K431" t="str">
        <v>sounds</v>
      </c>
      <c r="L431" s="4" t="str">
        <f t="shared" si="13"/>
        <v>sounds</v>
      </c>
      <c r="M431" t="str">
        <v>empty</v>
      </c>
      <c r="N431" s="4" cm="1">
        <f t="array" ref="N431">SUM(--(_xlfn.TEXTSPLIT($J$423,, " ") = M431))</f>
        <v>9</v>
      </c>
      <c r="O431">
        <v>9</v>
      </c>
      <c r="P431" t="str">
        <v>moves</v>
      </c>
      <c r="Q431">
        <v>9</v>
      </c>
      <c r="R431" s="4"/>
      <c r="S431" s="10"/>
    </row>
    <row r="432" spans="1:22" x14ac:dyDescent="0.2">
      <c r="E432" s="4" t="s">
        <v>17</v>
      </c>
      <c r="K432" t="str">
        <v>of</v>
      </c>
      <c r="L432" s="4" t="str">
        <f t="shared" si="13"/>
        <v>of</v>
      </c>
      <c r="M432" t="str">
        <v xml:space="preserve">Uzis
</v>
      </c>
      <c r="N432" s="4" cm="1">
        <f t="array" ref="N432">SUM(--(_xlfn.TEXTSPLIT($J$423,, " ") = M432))</f>
        <v>5</v>
      </c>
      <c r="O432">
        <v>9</v>
      </c>
      <c r="P432" t="str">
        <v>me,</v>
      </c>
      <c r="Q432">
        <v>9</v>
      </c>
      <c r="R432" s="4"/>
      <c r="S432" s="10"/>
    </row>
    <row r="433" spans="5:19" x14ac:dyDescent="0.2">
      <c r="E433" s="4" t="s">
        <v>17</v>
      </c>
      <c r="K433" t="str">
        <v>empty</v>
      </c>
      <c r="L433" s="4" t="str">
        <f t="shared" si="13"/>
        <v>empty</v>
      </c>
      <c r="M433" t="str">
        <v>Life</v>
      </c>
      <c r="N433" s="4" cm="1">
        <f t="array" ref="N433">SUM(--(_xlfn.TEXTSPLIT($J$423,, " ") = M433))</f>
        <v>9</v>
      </c>
      <c r="O433">
        <v>9</v>
      </c>
      <c r="P433" t="str">
        <v>sounds</v>
      </c>
      <c r="Q433">
        <v>9</v>
      </c>
      <c r="R433" s="4"/>
      <c r="S433" s="10"/>
    </row>
    <row r="434" spans="5:19" x14ac:dyDescent="0.2">
      <c r="E434" s="4" t="s">
        <v>17</v>
      </c>
      <c r="K434" t="str">
        <v xml:space="preserve">Uzis
</v>
      </c>
      <c r="L434" s="4" t="str">
        <f t="shared" si="13"/>
        <v xml:space="preserve">Uzis </v>
      </c>
      <c r="M434" t="str">
        <v>is</v>
      </c>
      <c r="N434" s="4" cm="1">
        <f t="array" ref="N434">SUM(--(_xlfn.TEXTSPLIT($J$423,, " ") = M434))</f>
        <v>11</v>
      </c>
      <c r="O434">
        <v>9</v>
      </c>
      <c r="P434" t="str">
        <v>of</v>
      </c>
      <c r="Q434">
        <v>9</v>
      </c>
      <c r="R434" s="4"/>
      <c r="S434" s="10"/>
    </row>
    <row r="435" spans="5:19" x14ac:dyDescent="0.2">
      <c r="E435" s="4" t="s">
        <v>17</v>
      </c>
      <c r="K435" t="str">
        <v>Life</v>
      </c>
      <c r="L435" s="4" t="str">
        <f t="shared" si="13"/>
        <v>Life</v>
      </c>
      <c r="M435" t="str">
        <v>just</v>
      </c>
      <c r="N435" s="4" cm="1">
        <f t="array" ref="N435">SUM(--(_xlfn.TEXTSPLIT($J$423,, " ") = M435))</f>
        <v>9</v>
      </c>
      <c r="O435">
        <v>9</v>
      </c>
      <c r="P435" t="str">
        <v>empty</v>
      </c>
      <c r="Q435">
        <v>9</v>
      </c>
      <c r="R435" s="4"/>
      <c r="S435" s="10"/>
    </row>
    <row r="436" spans="5:19" x14ac:dyDescent="0.2">
      <c r="E436" s="4" t="s">
        <v>17</v>
      </c>
      <c r="K436" t="str">
        <v>is</v>
      </c>
      <c r="L436" s="4" t="str">
        <f t="shared" si="13"/>
        <v>is</v>
      </c>
      <c r="M436" t="str">
        <v>forever</v>
      </c>
      <c r="N436" s="4" cm="1">
        <f t="array" ref="N436">SUM(--(_xlfn.TEXTSPLIT($J$423,, " ") = M436))</f>
        <v>9</v>
      </c>
      <c r="O436">
        <v>9</v>
      </c>
      <c r="P436" t="str">
        <v>Life</v>
      </c>
      <c r="Q436">
        <v>9</v>
      </c>
      <c r="R436" s="4"/>
      <c r="S436" s="10"/>
    </row>
    <row r="437" spans="5:19" x14ac:dyDescent="0.2">
      <c r="E437" s="4" t="s">
        <v>17</v>
      </c>
      <c r="K437" t="str">
        <v>just</v>
      </c>
      <c r="L437" s="4" t="str">
        <f t="shared" si="13"/>
        <v>just</v>
      </c>
      <c r="M437" t="str">
        <v>nipping</v>
      </c>
      <c r="N437" s="4" cm="1">
        <f t="array" ref="N437">SUM(--(_xlfn.TEXTSPLIT($J$423,, " ") = M437))</f>
        <v>4</v>
      </c>
      <c r="O437">
        <v>9</v>
      </c>
      <c r="P437" t="str">
        <v>just</v>
      </c>
      <c r="Q437">
        <v>9</v>
      </c>
      <c r="R437" s="4"/>
      <c r="S437" s="10"/>
    </row>
    <row r="438" spans="5:19" x14ac:dyDescent="0.2">
      <c r="E438" s="4" t="s">
        <v>17</v>
      </c>
      <c r="K438" t="str">
        <v>forever</v>
      </c>
      <c r="L438" s="4" t="str">
        <f t="shared" si="13"/>
        <v>forever</v>
      </c>
      <c r="M438" t="str">
        <v>heels,</v>
      </c>
      <c r="N438" s="4" cm="1">
        <f t="array" ref="N438">SUM(--(_xlfn.TEXTSPLIT($J$423,, " ") = M438))</f>
        <v>4</v>
      </c>
      <c r="O438">
        <v>9</v>
      </c>
      <c r="P438" t="str">
        <v>forever</v>
      </c>
      <c r="Q438">
        <v>9</v>
      </c>
      <c r="R438" s="4"/>
      <c r="S438" s="10"/>
    </row>
    <row r="439" spans="5:19" x14ac:dyDescent="0.2">
      <c r="E439" s="4" t="s">
        <v>17</v>
      </c>
      <c r="K439" t="str">
        <v>nipping</v>
      </c>
      <c r="L439" s="4" t="str">
        <f t="shared" si="13"/>
        <v>nipping</v>
      </c>
      <c r="M439" t="str">
        <v>never</v>
      </c>
      <c r="N439" s="4" cm="1">
        <f t="array" ref="N439">SUM(--(_xlfn.TEXTSPLIT($J$423,, " ") = M439))</f>
        <v>16</v>
      </c>
      <c r="O439">
        <v>8</v>
      </c>
      <c r="P439" t="str">
        <v>I</v>
      </c>
      <c r="Q439">
        <v>8</v>
      </c>
      <c r="R439" s="4"/>
      <c r="S439" s="10"/>
    </row>
    <row r="440" spans="5:19" x14ac:dyDescent="0.2">
      <c r="E440" s="4" t="s">
        <v>17</v>
      </c>
      <c r="K440" t="str">
        <v>heels,</v>
      </c>
      <c r="L440" s="4" t="str">
        <f t="shared" si="13"/>
        <v xml:space="preserve">heels </v>
      </c>
      <c r="M440" t="str">
        <v>slowing</v>
      </c>
      <c r="N440" s="4" cm="1">
        <f t="array" ref="N440">SUM(--(_xlfn.TEXTSPLIT($J$423,, " ") = M440))</f>
        <v>32</v>
      </c>
      <c r="O440">
        <v>7</v>
      </c>
      <c r="P440" t="str">
        <v>You</v>
      </c>
      <c r="Q440">
        <v>7</v>
      </c>
      <c r="R440" s="4"/>
      <c r="S440" s="10"/>
    </row>
    <row r="441" spans="5:19" x14ac:dyDescent="0.2">
      <c r="E441" s="4" t="s">
        <v>17</v>
      </c>
      <c r="K441" t="str">
        <v>never</v>
      </c>
      <c r="L441" s="4" t="str">
        <f t="shared" si="13"/>
        <v>never</v>
      </c>
      <c r="M441" t="str">
        <v xml:space="preserve">down
</v>
      </c>
      <c r="N441" s="4" cm="1">
        <f t="array" ref="N441">SUM(--(_xlfn.TEXTSPLIT($J$423,, " ") = M441))</f>
        <v>6</v>
      </c>
      <c r="O441">
        <v>7</v>
      </c>
      <c r="P441" t="str">
        <v>And</v>
      </c>
      <c r="Q441">
        <v>7</v>
      </c>
      <c r="R441" s="4"/>
      <c r="S441" s="10"/>
    </row>
    <row r="442" spans="5:19" x14ac:dyDescent="0.2">
      <c r="E442" s="4" t="s">
        <v>17</v>
      </c>
      <c r="K442" t="str">
        <v>slowing</v>
      </c>
      <c r="L442" s="4" t="str">
        <f t="shared" si="13"/>
        <v>slowing</v>
      </c>
      <c r="M442" t="str">
        <v>gripping</v>
      </c>
      <c r="N442" s="4" cm="1">
        <f t="array" ref="N442">SUM(--(_xlfn.TEXTSPLIT($J$423,, " ") = M442))</f>
        <v>5</v>
      </c>
      <c r="O442">
        <v>7</v>
      </c>
      <c r="P442" t="str">
        <v>to</v>
      </c>
      <c r="Q442">
        <v>7</v>
      </c>
      <c r="R442" s="4"/>
      <c r="S442" s="10"/>
    </row>
    <row r="443" spans="5:19" x14ac:dyDescent="0.2">
      <c r="E443" s="4" t="s">
        <v>17</v>
      </c>
      <c r="K443" t="str">
        <v xml:space="preserve">down
</v>
      </c>
      <c r="L443" s="4" t="str">
        <f t="shared" si="13"/>
        <v xml:space="preserve">down </v>
      </c>
      <c r="M443" t="str">
        <v>feels,</v>
      </c>
      <c r="N443" s="4" cm="1">
        <f t="array" ref="N443">SUM(--(_xlfn.TEXTSPLIT($J$423,, " ") = M443))</f>
        <v>5</v>
      </c>
      <c r="O443">
        <v>6</v>
      </c>
      <c r="P443" t="str">
        <v xml:space="preserve">down
</v>
      </c>
      <c r="Q443">
        <v>6</v>
      </c>
      <c r="R443" s="4"/>
      <c r="S443" s="10"/>
    </row>
    <row r="444" spans="5:19" x14ac:dyDescent="0.2">
      <c r="E444" s="4" t="s">
        <v>17</v>
      </c>
      <c r="K444" t="str">
        <v>Raw</v>
      </c>
      <c r="L444" s="4" t="str">
        <f t="shared" si="13"/>
        <v>Raw</v>
      </c>
      <c r="M444" t="str">
        <v xml:space="preserve">down
</v>
      </c>
      <c r="N444" s="4" cm="1">
        <f t="array" ref="N444">SUM(--(_xlfn.TEXTSPLIT($J$423,, " ") = M444))</f>
        <v>2</v>
      </c>
      <c r="O444">
        <v>6</v>
      </c>
      <c r="P444" t="str">
        <v>the</v>
      </c>
      <c r="Q444">
        <v>6</v>
      </c>
      <c r="R444" s="4"/>
      <c r="S444" s="10"/>
    </row>
    <row r="445" spans="5:19" x14ac:dyDescent="0.2">
      <c r="E445" s="4" t="s">
        <v>17</v>
      </c>
      <c r="K445" t="str">
        <v>fear</v>
      </c>
      <c r="L445" s="4" t="str">
        <f t="shared" si="13"/>
        <v>fear</v>
      </c>
      <c r="M445" t="str">
        <v>You</v>
      </c>
      <c r="N445" s="4" cm="1">
        <f t="array" ref="N445">SUM(--(_xlfn.TEXTSPLIT($J$423,, " ") = M445))</f>
        <v>7</v>
      </c>
      <c r="O445">
        <v>6</v>
      </c>
      <c r="P445" t="str">
        <v>go,</v>
      </c>
      <c r="Q445">
        <v>6</v>
      </c>
      <c r="R445" s="4"/>
      <c r="S445" s="10"/>
    </row>
    <row r="446" spans="5:19" x14ac:dyDescent="0.2">
      <c r="E446" s="4" t="s">
        <v>17</v>
      </c>
      <c r="K446" t="str">
        <v>moves</v>
      </c>
      <c r="L446" s="4" t="str">
        <f t="shared" si="13"/>
        <v>moves</v>
      </c>
      <c r="M446" t="str">
        <v>know</v>
      </c>
      <c r="N446" s="4" cm="1">
        <f t="array" ref="N446">SUM(--(_xlfn.TEXTSPLIT($J$423,, " ") = M446))</f>
        <v>3</v>
      </c>
      <c r="O446">
        <v>6</v>
      </c>
      <c r="P446" t="str">
        <v>ooh,</v>
      </c>
      <c r="Q446">
        <v>6</v>
      </c>
      <c r="R446" s="4"/>
      <c r="S446" s="10"/>
    </row>
    <row r="447" spans="5:19" x14ac:dyDescent="0.2">
      <c r="E447" s="4" t="s">
        <v>17</v>
      </c>
      <c r="K447" t="str">
        <v>me,</v>
      </c>
      <c r="L447" s="4" t="str">
        <f t="shared" si="13"/>
        <v xml:space="preserve">me </v>
      </c>
      <c r="M447" t="str">
        <v>what</v>
      </c>
      <c r="N447" s="4" cm="1">
        <f t="array" ref="N447">SUM(--(_xlfn.TEXTSPLIT($J$423,, " ") = M447))</f>
        <v>3</v>
      </c>
      <c r="O447">
        <v>5</v>
      </c>
      <c r="P447" t="str">
        <v xml:space="preserve">Uzis
</v>
      </c>
      <c r="Q447">
        <v>5</v>
      </c>
      <c r="R447" s="4"/>
      <c r="S447" s="10"/>
    </row>
    <row r="448" spans="5:19" x14ac:dyDescent="0.2">
      <c r="E448" s="4" t="s">
        <v>17</v>
      </c>
      <c r="K448" t="str">
        <v>sounds</v>
      </c>
      <c r="L448" s="4" t="str">
        <f t="shared" si="13"/>
        <v>sounds</v>
      </c>
      <c r="M448" t="str">
        <v>scares</v>
      </c>
      <c r="N448" s="4" cm="1">
        <f t="array" ref="N448">SUM(--(_xlfn.TEXTSPLIT($J$423,, " ") = M448))</f>
        <v>2</v>
      </c>
      <c r="O448">
        <v>5</v>
      </c>
      <c r="P448" t="str">
        <v>gripping</v>
      </c>
      <c r="Q448">
        <v>5</v>
      </c>
      <c r="R448" s="4"/>
      <c r="S448" s="10"/>
    </row>
    <row r="449" spans="5:19" x14ac:dyDescent="0.2">
      <c r="E449" s="4" t="s">
        <v>17</v>
      </c>
      <c r="K449" t="str">
        <v>of</v>
      </c>
      <c r="L449" s="4" t="str">
        <f t="shared" si="13"/>
        <v>of</v>
      </c>
      <c r="M449" t="str">
        <v>me?</v>
      </c>
      <c r="N449" s="4" cm="1">
        <f t="array" ref="N449">SUM(--(_xlfn.TEXTSPLIT($J$423,, " ") = M449))</f>
        <v>3</v>
      </c>
      <c r="O449">
        <v>5</v>
      </c>
      <c r="P449" t="str">
        <v>feels,</v>
      </c>
      <c r="Q449">
        <v>5</v>
      </c>
      <c r="R449" s="4"/>
      <c r="S449" s="10"/>
    </row>
    <row r="450" spans="5:19" x14ac:dyDescent="0.2">
      <c r="E450" s="4" t="s">
        <v>17</v>
      </c>
      <c r="K450" t="str">
        <v>empty</v>
      </c>
      <c r="L450" s="4" t="str">
        <f t="shared" si="13"/>
        <v>empty</v>
      </c>
      <c r="M450" t="str">
        <v>Nah,</v>
      </c>
      <c r="N450" s="4" cm="1">
        <f t="array" ref="N450">SUM(--(_xlfn.TEXTSPLIT($J$423,, " ") = M450))</f>
        <v>2</v>
      </c>
      <c r="O450">
        <v>5</v>
      </c>
      <c r="P450" t="str">
        <v>(Ah,</v>
      </c>
      <c r="Q450">
        <v>5</v>
      </c>
      <c r="R450" s="4"/>
      <c r="S450" s="10"/>
    </row>
    <row r="451" spans="5:19" x14ac:dyDescent="0.2">
      <c r="E451" s="4" t="s">
        <v>17</v>
      </c>
      <c r="K451" t="str">
        <v xml:space="preserve">Uzis
</v>
      </c>
      <c r="L451" s="4" t="str">
        <f t="shared" si="13"/>
        <v xml:space="preserve">Uzis </v>
      </c>
      <c r="M451" t="str">
        <v>it's</v>
      </c>
      <c r="N451" s="4" cm="1">
        <f t="array" ref="N451">SUM(--(_xlfn.TEXTSPLIT($J$423,, " ") = M451))</f>
        <v>2</v>
      </c>
      <c r="O451">
        <v>5</v>
      </c>
      <c r="P451" t="str">
        <v xml:space="preserve">ah)
</v>
      </c>
      <c r="Q451">
        <v>5</v>
      </c>
      <c r="R451" s="4"/>
      <c r="S451" s="10"/>
    </row>
    <row r="452" spans="5:19" x14ac:dyDescent="0.2">
      <c r="E452" s="4" t="s">
        <v>17</v>
      </c>
      <c r="K452" t="str">
        <v>Life</v>
      </c>
      <c r="L452" s="4" t="str">
        <f t="shared" ref="L452:L515" si="14">_xlfn.REGEXREPLACE(K452, "[^A-Za-z ]", " ")</f>
        <v>Life</v>
      </c>
      <c r="M452" t="str">
        <v xml:space="preserve">stupid
</v>
      </c>
      <c r="N452" s="4" cm="1">
        <f t="array" ref="N452">SUM(--(_xlfn.TEXTSPLIT($J$423,, " ") = M452))</f>
        <v>2</v>
      </c>
      <c r="O452">
        <v>4</v>
      </c>
      <c r="P452" t="str">
        <v>nipping</v>
      </c>
      <c r="Q452">
        <v>4</v>
      </c>
      <c r="R452" s="4"/>
      <c r="S452" s="10"/>
    </row>
    <row r="453" spans="5:19" x14ac:dyDescent="0.2">
      <c r="E453" s="4" t="s">
        <v>17</v>
      </c>
      <c r="K453" t="str">
        <v>is</v>
      </c>
      <c r="L453" s="4" t="str">
        <f t="shared" si="14"/>
        <v>is</v>
      </c>
      <c r="M453" t="str">
        <v>You've</v>
      </c>
      <c r="N453" s="4" cm="1">
        <f t="array" ref="N453">SUM(--(_xlfn.TEXTSPLIT($J$423,, " ") = M453))</f>
        <v>1</v>
      </c>
      <c r="O453">
        <v>4</v>
      </c>
      <c r="P453" t="str">
        <v>heels,</v>
      </c>
      <c r="Q453">
        <v>4</v>
      </c>
      <c r="R453" s="4"/>
      <c r="S453" s="10"/>
    </row>
    <row r="454" spans="5:19" x14ac:dyDescent="0.2">
      <c r="E454" s="4" t="s">
        <v>17</v>
      </c>
      <c r="K454" t="str">
        <v>just</v>
      </c>
      <c r="L454" s="4" t="str">
        <f t="shared" si="14"/>
        <v>just</v>
      </c>
      <c r="M454" t="str">
        <v>met</v>
      </c>
      <c r="N454" s="4" cm="1">
        <f t="array" ref="N454">SUM(--(_xlfn.TEXTSPLIT($J$423,, " ") = M454))</f>
        <v>1</v>
      </c>
      <c r="O454">
        <v>4</v>
      </c>
      <c r="P454" t="str">
        <v>Uzis</v>
      </c>
      <c r="Q454">
        <v>4</v>
      </c>
      <c r="R454" s="4"/>
      <c r="S454" s="10"/>
    </row>
    <row r="455" spans="5:19" x14ac:dyDescent="0.2">
      <c r="E455" s="4" t="s">
        <v>17</v>
      </c>
      <c r="K455" t="str">
        <v>forever</v>
      </c>
      <c r="L455" s="4" t="str">
        <f t="shared" si="14"/>
        <v>forever</v>
      </c>
      <c r="M455" t="str">
        <v>my</v>
      </c>
      <c r="N455" s="4" cm="1">
        <f t="array" ref="N455">SUM(--(_xlfn.TEXTSPLIT($J$423,, " ") = M455))</f>
        <v>1</v>
      </c>
      <c r="O455">
        <v>3</v>
      </c>
      <c r="P455" t="str">
        <v>know</v>
      </c>
      <c r="Q455">
        <v>3</v>
      </c>
      <c r="R455" s="4"/>
      <c r="S455" s="10"/>
    </row>
    <row r="456" spans="5:19" x14ac:dyDescent="0.2">
      <c r="E456" s="4" t="s">
        <v>17</v>
      </c>
      <c r="K456" t="str">
        <v>gripping</v>
      </c>
      <c r="L456" s="4" t="str">
        <f t="shared" si="14"/>
        <v>gripping</v>
      </c>
      <c r="M456" t="str">
        <v>fears,</v>
      </c>
      <c r="N456" s="4" cm="1">
        <f t="array" ref="N456">SUM(--(_xlfn.TEXTSPLIT($J$423,, " ") = M456))</f>
        <v>1</v>
      </c>
      <c r="O456">
        <v>3</v>
      </c>
      <c r="P456" t="str">
        <v>what</v>
      </c>
      <c r="Q456">
        <v>3</v>
      </c>
      <c r="R456" s="4"/>
      <c r="S456" s="10"/>
    </row>
    <row r="457" spans="5:19" x14ac:dyDescent="0.2">
      <c r="E457" s="4" t="s">
        <v>17</v>
      </c>
      <c r="K457" t="str">
        <v>feels,</v>
      </c>
      <c r="L457" s="4" t="str">
        <f t="shared" si="14"/>
        <v xml:space="preserve">feels </v>
      </c>
      <c r="M457" t="str">
        <v>they're</v>
      </c>
      <c r="N457" s="4" cm="1">
        <f t="array" ref="N457">SUM(--(_xlfn.TEXTSPLIT($J$423,, " ") = M457))</f>
        <v>1</v>
      </c>
      <c r="O457">
        <v>3</v>
      </c>
      <c r="P457" t="str">
        <v>me?</v>
      </c>
      <c r="Q457">
        <v>3</v>
      </c>
      <c r="R457" s="4"/>
      <c r="S457" s="10"/>
    </row>
    <row r="458" spans="5:19" x14ac:dyDescent="0.2">
      <c r="E458" s="4" t="s">
        <v>17</v>
      </c>
      <c r="K458" t="str">
        <v>never</v>
      </c>
      <c r="L458" s="4" t="str">
        <f t="shared" si="14"/>
        <v>never</v>
      </c>
      <c r="M458" t="str">
        <v>all</v>
      </c>
      <c r="N458" s="4" cm="1">
        <f t="array" ref="N458">SUM(--(_xlfn.TEXTSPLIT($J$423,, " ") = M458))</f>
        <v>2</v>
      </c>
      <c r="O458">
        <v>3</v>
      </c>
      <c r="P458" t="str">
        <v>Not</v>
      </c>
      <c r="Q458">
        <v>3</v>
      </c>
      <c r="R458" s="4"/>
      <c r="S458" s="10"/>
    </row>
    <row r="459" spans="5:19" x14ac:dyDescent="0.2">
      <c r="E459" s="4" t="s">
        <v>17</v>
      </c>
      <c r="K459" t="str">
        <v>slowing</v>
      </c>
      <c r="L459" s="4" t="str">
        <f t="shared" si="14"/>
        <v>slowing</v>
      </c>
      <c r="M459" t="str">
        <v xml:space="preserve">regulars
</v>
      </c>
      <c r="N459" s="4" cm="1">
        <f t="array" ref="N459">SUM(--(_xlfn.TEXTSPLIT($J$423,, " ") = M459))</f>
        <v>1</v>
      </c>
      <c r="O459">
        <v>3</v>
      </c>
      <c r="P459" t="str">
        <v>can't</v>
      </c>
      <c r="Q459">
        <v>3</v>
      </c>
      <c r="R459" s="4"/>
      <c r="S459" s="10"/>
    </row>
    <row r="460" spans="5:19" x14ac:dyDescent="0.2">
      <c r="E460" s="4" t="s">
        <v>17</v>
      </c>
      <c r="K460" t="str">
        <v xml:space="preserve">down
</v>
      </c>
      <c r="L460" s="4" t="str">
        <f t="shared" si="14"/>
        <v xml:space="preserve">down  </v>
      </c>
      <c r="M460" t="str">
        <v>Wait,</v>
      </c>
      <c r="N460" s="4" cm="1">
        <f t="array" ref="N460">SUM(--(_xlfn.TEXTSPLIT($J$423,, " ") = M460))</f>
        <v>2</v>
      </c>
      <c r="O460">
        <v>3</v>
      </c>
      <c r="P460" t="str">
        <v>seem</v>
      </c>
      <c r="Q460">
        <v>3</v>
      </c>
      <c r="R460" s="4"/>
      <c r="S460" s="10"/>
    </row>
    <row r="461" spans="5:19" x14ac:dyDescent="0.2">
      <c r="E461" s="4" t="s">
        <v>17</v>
      </c>
      <c r="K461" t="str">
        <v>You</v>
      </c>
      <c r="L461" s="4" t="str">
        <f t="shared" si="14"/>
        <v>You</v>
      </c>
      <c r="M461" t="str">
        <v>who's</v>
      </c>
      <c r="N461" s="4" cm="1">
        <f t="array" ref="N461">SUM(--(_xlfn.TEXTSPLIT($J$423,, " ") = M461))</f>
        <v>2</v>
      </c>
      <c r="O461">
        <v>3</v>
      </c>
      <c r="P461" t="str">
        <v>sit</v>
      </c>
      <c r="Q461">
        <v>3</v>
      </c>
      <c r="R461" s="4"/>
      <c r="S461" s="10"/>
    </row>
    <row r="462" spans="5:19" x14ac:dyDescent="0.2">
      <c r="E462" s="4" t="s">
        <v>17</v>
      </c>
      <c r="K462" t="str">
        <v>know</v>
      </c>
      <c r="L462" s="4" t="str">
        <f t="shared" si="14"/>
        <v>know</v>
      </c>
      <c r="M462" t="str">
        <v>the</v>
      </c>
      <c r="N462" s="4" cm="1">
        <f t="array" ref="N462">SUM(--(_xlfn.TEXTSPLIT($J$423,, " ") = M462))</f>
        <v>6</v>
      </c>
      <c r="O462">
        <v>3</v>
      </c>
      <c r="P462" t="str">
        <v>still</v>
      </c>
      <c r="Q462">
        <v>3</v>
      </c>
      <c r="R462" s="4"/>
      <c r="S462" s="10"/>
    </row>
    <row r="463" spans="5:19" x14ac:dyDescent="0.2">
      <c r="E463" s="4" t="s">
        <v>17</v>
      </c>
      <c r="K463" t="str">
        <v>what</v>
      </c>
      <c r="L463" s="4" t="str">
        <f t="shared" si="14"/>
        <v>what</v>
      </c>
      <c r="M463" t="str">
        <v>new</v>
      </c>
      <c r="N463" s="4" cm="1">
        <f t="array" ref="N463">SUM(--(_xlfn.TEXTSPLIT($J$423,, " ") = M463))</f>
        <v>2</v>
      </c>
      <c r="O463">
        <v>3</v>
      </c>
      <c r="P463" t="str">
        <v>any</v>
      </c>
      <c r="Q463">
        <v>3</v>
      </c>
      <c r="R463" s="4"/>
      <c r="S463" s="10"/>
    </row>
    <row r="464" spans="5:19" x14ac:dyDescent="0.2">
      <c r="E464" s="4" t="s">
        <v>17</v>
      </c>
      <c r="K464" t="str">
        <v>scares</v>
      </c>
      <c r="L464" s="4" t="str">
        <f t="shared" si="14"/>
        <v>scares</v>
      </c>
      <c r="M464" t="str">
        <v xml:space="preserve">kid?
</v>
      </c>
      <c r="N464" s="4" cm="1">
        <f t="array" ref="N464">SUM(--(_xlfn.TEXTSPLIT($J$423,, " ") = M464))</f>
        <v>1</v>
      </c>
      <c r="O464">
        <v>3</v>
      </c>
      <c r="P464" t="str">
        <v>(Never,</v>
      </c>
      <c r="Q464">
        <v>3</v>
      </c>
      <c r="R464" s="4"/>
      <c r="S464" s="10"/>
    </row>
    <row r="465" spans="5:19" x14ac:dyDescent="0.2">
      <c r="E465" s="4" t="s">
        <v>17</v>
      </c>
      <c r="K465" t="str">
        <v>me?</v>
      </c>
      <c r="L465" s="4" t="str">
        <f t="shared" si="14"/>
        <v xml:space="preserve">me </v>
      </c>
      <c r="M465" t="str">
        <v>kills</v>
      </c>
      <c r="N465" s="4" cm="1">
        <f t="array" ref="N465">SUM(--(_xlfn.TEXTSPLIT($J$423,, " ") = M465))</f>
        <v>1</v>
      </c>
      <c r="O465">
        <v>3</v>
      </c>
      <c r="P465" t="str">
        <v>a</v>
      </c>
      <c r="Q465">
        <v>3</v>
      </c>
      <c r="R465" s="4"/>
      <c r="S465" s="10"/>
    </row>
    <row r="466" spans="5:19" x14ac:dyDescent="0.2">
      <c r="E466" s="4" t="s">
        <v>17</v>
      </c>
      <c r="K466" t="str">
        <v>Nah,</v>
      </c>
      <c r="L466" s="4" t="str">
        <f t="shared" si="14"/>
        <v xml:space="preserve">Nah </v>
      </c>
      <c r="M466" t="str">
        <v>Not</v>
      </c>
      <c r="N466" s="4" cm="1">
        <f t="array" ref="N466">SUM(--(_xlfn.TEXTSPLIT($J$423,, " ") = M466))</f>
        <v>3</v>
      </c>
      <c r="O466">
        <v>3</v>
      </c>
      <c r="P466" t="str">
        <v>down,</v>
      </c>
      <c r="Q466">
        <v>3</v>
      </c>
      <c r="R466" s="4"/>
      <c r="S466" s="10"/>
    </row>
    <row r="467" spans="5:19" x14ac:dyDescent="0.2">
      <c r="E467" s="4" t="s">
        <v>17</v>
      </c>
      <c r="K467" t="str">
        <v>it's</v>
      </c>
      <c r="L467" s="4" t="str">
        <f t="shared" si="14"/>
        <v>it s</v>
      </c>
      <c r="M467" t="str">
        <v>getting</v>
      </c>
      <c r="N467" s="4" cm="1">
        <f t="array" ref="N467">SUM(--(_xlfn.TEXTSPLIT($J$423,, " ") = M467))</f>
        <v>2</v>
      </c>
      <c r="O467">
        <v>3</v>
      </c>
      <c r="P467" t="str">
        <v>but</v>
      </c>
      <c r="Q467">
        <v>3</v>
      </c>
      <c r="R467" s="4"/>
      <c r="S467" s="10"/>
    </row>
    <row r="468" spans="5:19" x14ac:dyDescent="0.2">
      <c r="E468" s="4" t="s">
        <v>17</v>
      </c>
      <c r="K468" t="str">
        <v xml:space="preserve">stupid
</v>
      </c>
      <c r="L468" s="4" t="str">
        <f t="shared" si="14"/>
        <v xml:space="preserve">stupid </v>
      </c>
      <c r="M468" t="str">
        <v xml:space="preserve">stronger
</v>
      </c>
      <c r="N468" s="4" cm="1">
        <f t="array" ref="N468">SUM(--(_xlfn.TEXTSPLIT($J$423,, " ") = M468))</f>
        <v>2</v>
      </c>
      <c r="O468">
        <v>2</v>
      </c>
      <c r="P468" t="str">
        <v xml:space="preserve">down
</v>
      </c>
      <c r="Q468">
        <v>2</v>
      </c>
      <c r="R468" s="4"/>
      <c r="S468" s="10"/>
    </row>
    <row r="469" spans="5:19" x14ac:dyDescent="0.2">
      <c r="E469" s="4" t="s">
        <v>17</v>
      </c>
      <c r="K469" t="str">
        <v>You've</v>
      </c>
      <c r="L469" s="4" t="str">
        <f t="shared" si="14"/>
        <v>You ve</v>
      </c>
      <c r="M469" t="str">
        <v>And</v>
      </c>
      <c r="N469" s="4" cm="1">
        <f t="array" ref="N469">SUM(--(_xlfn.TEXTSPLIT($J$423,, " ") = M469))</f>
        <v>7</v>
      </c>
      <c r="O469">
        <v>2</v>
      </c>
      <c r="P469" t="str">
        <v>scares</v>
      </c>
      <c r="Q469">
        <v>2</v>
      </c>
      <c r="R469" s="4"/>
      <c r="S469" s="10"/>
    </row>
    <row r="470" spans="5:19" x14ac:dyDescent="0.2">
      <c r="E470" s="4" t="s">
        <v>17</v>
      </c>
      <c r="K470" t="str">
        <v>met</v>
      </c>
      <c r="L470" s="4" t="str">
        <f t="shared" si="14"/>
        <v>met</v>
      </c>
      <c r="M470" t="str">
        <v>now</v>
      </c>
      <c r="N470" s="4" cm="1">
        <f t="array" ref="N470">SUM(--(_xlfn.TEXTSPLIT($J$423,, " ") = M470))</f>
        <v>2</v>
      </c>
      <c r="O470">
        <v>2</v>
      </c>
      <c r="P470" t="str">
        <v>Nah,</v>
      </c>
      <c r="Q470">
        <v>2</v>
      </c>
      <c r="R470" s="4"/>
      <c r="S470" s="10"/>
    </row>
    <row r="471" spans="5:19" x14ac:dyDescent="0.2">
      <c r="E471" s="4" t="s">
        <v>17</v>
      </c>
      <c r="K471" t="str">
        <v>my</v>
      </c>
      <c r="L471" s="4" t="str">
        <f t="shared" si="14"/>
        <v>my</v>
      </c>
      <c r="M471" t="str">
        <v>I</v>
      </c>
      <c r="N471" s="4" cm="1">
        <f t="array" ref="N471">SUM(--(_xlfn.TEXTSPLIT($J$423,, " ") = M471))</f>
        <v>8</v>
      </c>
      <c r="O471">
        <v>2</v>
      </c>
      <c r="P471" t="str">
        <v>it's</v>
      </c>
      <c r="Q471">
        <v>2</v>
      </c>
      <c r="R471" s="4"/>
      <c r="S471" s="10"/>
    </row>
    <row r="472" spans="5:19" x14ac:dyDescent="0.2">
      <c r="E472" s="4" t="s">
        <v>17</v>
      </c>
      <c r="K472" t="str">
        <v>fears,</v>
      </c>
      <c r="L472" s="4" t="str">
        <f t="shared" si="14"/>
        <v xml:space="preserve">fears </v>
      </c>
      <c r="M472" t="str">
        <v>can't</v>
      </c>
      <c r="N472" s="4" cm="1">
        <f t="array" ref="N472">SUM(--(_xlfn.TEXTSPLIT($J$423,, " ") = M472))</f>
        <v>3</v>
      </c>
      <c r="O472">
        <v>2</v>
      </c>
      <c r="P472" t="str">
        <v xml:space="preserve">stupid
</v>
      </c>
      <c r="Q472">
        <v>2</v>
      </c>
      <c r="R472" s="4"/>
      <c r="S472" s="10"/>
    </row>
    <row r="473" spans="5:19" x14ac:dyDescent="0.2">
      <c r="E473" s="4" t="s">
        <v>17</v>
      </c>
      <c r="K473" t="str">
        <v>they're</v>
      </c>
      <c r="L473" s="4" t="str">
        <f t="shared" si="14"/>
        <v>they re</v>
      </c>
      <c r="M473" t="str">
        <v>seem</v>
      </c>
      <c r="N473" s="4" cm="1">
        <f t="array" ref="N473">SUM(--(_xlfn.TEXTSPLIT($J$423,, " ") = M473))</f>
        <v>3</v>
      </c>
      <c r="O473">
        <v>2</v>
      </c>
      <c r="P473" t="str">
        <v>all</v>
      </c>
      <c r="Q473">
        <v>2</v>
      </c>
      <c r="R473" s="4"/>
      <c r="S473" s="10"/>
    </row>
    <row r="474" spans="5:19" x14ac:dyDescent="0.2">
      <c r="E474" s="4" t="s">
        <v>17</v>
      </c>
      <c r="K474" t="str">
        <v>all</v>
      </c>
      <c r="L474" s="4" t="str">
        <f t="shared" si="14"/>
        <v>all</v>
      </c>
      <c r="M474" t="str">
        <v>to</v>
      </c>
      <c r="N474" s="4" cm="1">
        <f t="array" ref="N474">SUM(--(_xlfn.TEXTSPLIT($J$423,, " ") = M474))</f>
        <v>7</v>
      </c>
      <c r="O474">
        <v>2</v>
      </c>
      <c r="P474" t="str">
        <v>Wait,</v>
      </c>
      <c r="Q474">
        <v>2</v>
      </c>
      <c r="R474" s="4"/>
      <c r="S474" s="10"/>
    </row>
    <row r="475" spans="5:19" x14ac:dyDescent="0.2">
      <c r="E475" s="4" t="s">
        <v>17</v>
      </c>
      <c r="K475" t="str">
        <v xml:space="preserve">regulars
</v>
      </c>
      <c r="L475" s="4" t="str">
        <f t="shared" si="14"/>
        <v xml:space="preserve">regulars </v>
      </c>
      <c r="M475" t="str">
        <v>sit</v>
      </c>
      <c r="N475" s="4" cm="1">
        <f t="array" ref="N475">SUM(--(_xlfn.TEXTSPLIT($J$423,, " ") = M475))</f>
        <v>3</v>
      </c>
      <c r="O475">
        <v>2</v>
      </c>
      <c r="P475" t="str">
        <v>who's</v>
      </c>
      <c r="Q475">
        <v>2</v>
      </c>
      <c r="R475" s="4"/>
      <c r="S475" s="10"/>
    </row>
    <row r="476" spans="5:19" x14ac:dyDescent="0.2">
      <c r="E476" s="4" t="s">
        <v>17</v>
      </c>
      <c r="K476" t="str">
        <v>Wait,</v>
      </c>
      <c r="L476" s="4" t="str">
        <f t="shared" si="14"/>
        <v xml:space="preserve">Wait </v>
      </c>
      <c r="M476" t="str">
        <v>still</v>
      </c>
      <c r="N476" s="4" cm="1">
        <f t="array" ref="N476">SUM(--(_xlfn.TEXTSPLIT($J$423,, " ") = M476))</f>
        <v>3</v>
      </c>
      <c r="O476">
        <v>2</v>
      </c>
      <c r="P476" t="str">
        <v>new</v>
      </c>
      <c r="Q476">
        <v>2</v>
      </c>
      <c r="R476" s="4"/>
      <c r="S476" s="10"/>
    </row>
    <row r="477" spans="5:19" x14ac:dyDescent="0.2">
      <c r="E477" s="4" t="s">
        <v>17</v>
      </c>
      <c r="K477" t="str">
        <v>who's</v>
      </c>
      <c r="L477" s="4" t="str">
        <f t="shared" si="14"/>
        <v>who s</v>
      </c>
      <c r="M477" t="str">
        <v>any</v>
      </c>
      <c r="N477" s="4" cm="1">
        <f t="array" ref="N477">SUM(--(_xlfn.TEXTSPLIT($J$423,, " ") = M477))</f>
        <v>3</v>
      </c>
      <c r="O477">
        <v>2</v>
      </c>
      <c r="P477" t="str">
        <v>getting</v>
      </c>
      <c r="Q477">
        <v>2</v>
      </c>
      <c r="R477" s="4"/>
      <c r="S477" s="10"/>
    </row>
    <row r="478" spans="5:19" x14ac:dyDescent="0.2">
      <c r="E478" s="4" t="s">
        <v>17</v>
      </c>
      <c r="K478" t="str">
        <v>the</v>
      </c>
      <c r="L478" s="4" t="str">
        <f t="shared" si="14"/>
        <v>the</v>
      </c>
      <c r="M478" t="str">
        <v xml:space="preserve">longer
</v>
      </c>
      <c r="N478" s="4" cm="1">
        <f t="array" ref="N478">SUM(--(_xlfn.TEXTSPLIT($J$423,, " ") = M478))</f>
        <v>2</v>
      </c>
      <c r="O478">
        <v>2</v>
      </c>
      <c r="P478" t="str">
        <v xml:space="preserve">stronger
</v>
      </c>
      <c r="Q478">
        <v>2</v>
      </c>
      <c r="R478" s="4"/>
      <c r="S478" s="10"/>
    </row>
    <row r="479" spans="5:19" x14ac:dyDescent="0.2">
      <c r="E479" s="4" t="s">
        <v>17</v>
      </c>
      <c r="K479" t="str">
        <v>new</v>
      </c>
      <c r="L479" s="4" t="str">
        <f t="shared" si="14"/>
        <v>new</v>
      </c>
      <c r="M479" t="str">
        <v>(I</v>
      </c>
      <c r="N479" s="4" cm="1">
        <f t="array" ref="N479">SUM(--(_xlfn.TEXTSPLIT($J$423,, " ") = M479))</f>
        <v>1</v>
      </c>
      <c r="O479">
        <v>2</v>
      </c>
      <c r="P479" t="str">
        <v>now</v>
      </c>
      <c r="Q479">
        <v>2</v>
      </c>
      <c r="R479" s="4"/>
      <c r="S479" s="10"/>
    </row>
    <row r="480" spans="5:19" x14ac:dyDescent="0.2">
      <c r="E480" s="4" t="s">
        <v>17</v>
      </c>
      <c r="K480" t="str">
        <v xml:space="preserve">kid?
</v>
      </c>
      <c r="L480" s="4" t="str">
        <f t="shared" si="14"/>
        <v xml:space="preserve">kid  </v>
      </c>
      <c r="M480" t="str">
        <v xml:space="preserve">longer)
</v>
      </c>
      <c r="N480" s="4" cm="1">
        <f t="array" ref="N480">SUM(--(_xlfn.TEXTSPLIT($J$423,, " ") = M480))</f>
        <v>1</v>
      </c>
      <c r="O480">
        <v>2</v>
      </c>
      <c r="P480" t="str">
        <v xml:space="preserve">longer
</v>
      </c>
      <c r="Q480">
        <v>2</v>
      </c>
      <c r="R480" s="4"/>
      <c r="S480" s="10"/>
    </row>
    <row r="481" spans="5:19" x14ac:dyDescent="0.2">
      <c r="E481" s="4" t="s">
        <v>17</v>
      </c>
      <c r="K481" t="str">
        <v>You</v>
      </c>
      <c r="L481" s="4" t="str">
        <f t="shared" si="14"/>
        <v>You</v>
      </c>
      <c r="M481" t="str">
        <v>(Never</v>
      </c>
      <c r="N481" s="4" cm="1">
        <f t="array" ref="N481">SUM(--(_xlfn.TEXTSPLIT($J$423,, " ") = M481))</f>
        <v>17</v>
      </c>
      <c r="O481">
        <v>2</v>
      </c>
      <c r="P481" t="str">
        <v>It</v>
      </c>
      <c r="Q481">
        <v>2</v>
      </c>
      <c r="R481" s="4"/>
      <c r="S481" s="10"/>
    </row>
    <row r="482" spans="5:19" x14ac:dyDescent="0.2">
      <c r="E482" s="4" t="s">
        <v>17</v>
      </c>
      <c r="K482" t="str">
        <v>know</v>
      </c>
      <c r="L482" s="4" t="str">
        <f t="shared" si="14"/>
        <v>know</v>
      </c>
      <c r="M482" t="str">
        <v xml:space="preserve">down)
</v>
      </c>
      <c r="N482" s="4" cm="1">
        <f t="array" ref="N482">SUM(--(_xlfn.TEXTSPLIT($J$423,, " ") = M482))</f>
        <v>19</v>
      </c>
      <c r="O482">
        <v>2</v>
      </c>
      <c r="P482" t="str">
        <v>Try</v>
      </c>
      <c r="Q482">
        <v>2</v>
      </c>
      <c r="R482" s="4"/>
      <c r="S482" s="10"/>
    </row>
    <row r="483" spans="5:19" x14ac:dyDescent="0.2">
      <c r="E483" s="4" t="s">
        <v>17</v>
      </c>
      <c r="K483" t="str">
        <v>what</v>
      </c>
      <c r="L483" s="4" t="str">
        <f t="shared" si="14"/>
        <v>what</v>
      </c>
      <c r="M483" t="str">
        <v>(Never,</v>
      </c>
      <c r="N483" s="4" cm="1">
        <f t="array" ref="N483">SUM(--(_xlfn.TEXTSPLIT($J$423,, " ") = M483))</f>
        <v>3</v>
      </c>
      <c r="O483">
        <v>2</v>
      </c>
      <c r="P483" t="str">
        <v>micro-dose</v>
      </c>
      <c r="Q483">
        <v>2</v>
      </c>
      <c r="R483" s="4"/>
      <c r="S483" s="10"/>
    </row>
    <row r="484" spans="5:19" x14ac:dyDescent="0.2">
      <c r="E484" s="4" t="s">
        <v>17</v>
      </c>
      <c r="K484" t="str">
        <v>kills</v>
      </c>
      <c r="L484" s="4" t="str">
        <f t="shared" si="14"/>
        <v>kills</v>
      </c>
      <c r="M484" t="str">
        <v xml:space="preserve">down)
</v>
      </c>
      <c r="N484" s="4" cm="1">
        <f t="array" ref="N484">SUM(--(_xlfn.TEXTSPLIT($J$423,, " ") = M484))</f>
        <v>1</v>
      </c>
      <c r="O484">
        <v>2</v>
      </c>
      <c r="P484" t="str">
        <v>immunity</v>
      </c>
      <c r="Q484">
        <v>2</v>
      </c>
      <c r="R484" s="4"/>
      <c r="S484" s="10"/>
    </row>
    <row r="485" spans="5:19" x14ac:dyDescent="0.2">
      <c r="E485" s="4" t="s">
        <v>17</v>
      </c>
      <c r="K485" t="str">
        <v>me?</v>
      </c>
      <c r="L485" s="4" t="str">
        <f t="shared" si="14"/>
        <v xml:space="preserve">me </v>
      </c>
      <c r="M485" t="str">
        <v>Learning</v>
      </c>
      <c r="N485" s="4" cm="1">
        <f t="array" ref="N485">SUM(--(_xlfn.TEXTSPLIT($J$423,, " ") = M485))</f>
        <v>1</v>
      </c>
      <c r="O485">
        <v>2</v>
      </c>
      <c r="P485" t="str">
        <v>ah</v>
      </c>
      <c r="Q485">
        <v>2</v>
      </c>
      <c r="R485" s="4"/>
      <c r="S485" s="10"/>
    </row>
    <row r="486" spans="5:19" x14ac:dyDescent="0.2">
      <c r="E486" s="4" t="s">
        <v>17</v>
      </c>
      <c r="K486" t="str">
        <v>Not</v>
      </c>
      <c r="L486" s="4" t="str">
        <f t="shared" si="14"/>
        <v>Not</v>
      </c>
      <c r="M486" t="str">
        <v>that</v>
      </c>
      <c r="N486" s="4" cm="1">
        <f t="array" ref="N486">SUM(--(_xlfn.TEXTSPLIT($J$423,, " ") = M486))</f>
        <v>1</v>
      </c>
      <c r="O486">
        <v>2</v>
      </c>
      <c r="P486" t="str">
        <v>What's</v>
      </c>
      <c r="Q486">
        <v>2</v>
      </c>
      <c r="R486" s="4"/>
      <c r="S486" s="10"/>
    </row>
    <row r="487" spans="5:19" x14ac:dyDescent="0.2">
      <c r="E487" s="4" t="s">
        <v>17</v>
      </c>
      <c r="K487" t="str">
        <v>getting</v>
      </c>
      <c r="L487" s="4" t="str">
        <f t="shared" si="14"/>
        <v>getting</v>
      </c>
      <c r="M487" t="str">
        <v>really</v>
      </c>
      <c r="N487" s="4" cm="1">
        <f t="array" ref="N487">SUM(--(_xlfn.TEXTSPLIT($J$423,, " ") = M487))</f>
        <v>1</v>
      </c>
      <c r="O487">
        <v>2</v>
      </c>
      <c r="P487" t="str">
        <v>matter?</v>
      </c>
      <c r="Q487">
        <v>2</v>
      </c>
      <c r="R487" s="4"/>
      <c r="S487" s="10"/>
    </row>
    <row r="488" spans="5:19" x14ac:dyDescent="0.2">
      <c r="E488" s="4" t="s">
        <v>17</v>
      </c>
      <c r="K488" t="str">
        <v xml:space="preserve">stronger
</v>
      </c>
      <c r="L488" s="4" t="str">
        <f t="shared" si="14"/>
        <v xml:space="preserve">stronger </v>
      </c>
      <c r="M488" t="str">
        <v>matters</v>
      </c>
      <c r="N488" s="4" cm="1">
        <f t="array" ref="N488">SUM(--(_xlfn.TEXTSPLIT($J$423,, " ") = M488))</f>
        <v>1</v>
      </c>
      <c r="O488">
        <v>2</v>
      </c>
      <c r="P488" t="str">
        <v>isn't</v>
      </c>
      <c r="Q488">
        <v>2</v>
      </c>
      <c r="R488" s="4"/>
      <c r="S488" s="10"/>
    </row>
    <row r="489" spans="5:19" x14ac:dyDescent="0.2">
      <c r="E489" s="4" t="s">
        <v>17</v>
      </c>
      <c r="K489" t="str">
        <v>And</v>
      </c>
      <c r="L489" s="4" t="str">
        <f t="shared" si="14"/>
        <v>And</v>
      </c>
      <c r="M489" t="str">
        <v>a</v>
      </c>
      <c r="N489" s="4" cm="1">
        <f t="array" ref="N489">SUM(--(_xlfn.TEXTSPLIT($J$423,, " ") = M489))</f>
        <v>3</v>
      </c>
      <c r="O489">
        <v>2</v>
      </c>
      <c r="P489" t="str">
        <v>helping</v>
      </c>
      <c r="Q489">
        <v>2</v>
      </c>
      <c r="R489" s="4"/>
      <c r="S489" s="10"/>
    </row>
    <row r="490" spans="5:19" x14ac:dyDescent="0.2">
      <c r="E490" s="4" t="s">
        <v>17</v>
      </c>
      <c r="K490" t="str">
        <v>now</v>
      </c>
      <c r="L490" s="4" t="str">
        <f t="shared" si="14"/>
        <v>now</v>
      </c>
      <c r="M490" t="str">
        <v>slow</v>
      </c>
      <c r="N490" s="4" cm="1">
        <f t="array" ref="N490">SUM(--(_xlfn.TEXTSPLIT($J$423,, " ") = M490))</f>
        <v>1</v>
      </c>
      <c r="O490">
        <v>2</v>
      </c>
      <c r="P490" t="str">
        <v>ooh</v>
      </c>
      <c r="Q490">
        <v>2</v>
      </c>
      <c r="R490" s="4"/>
      <c r="S490" s="10"/>
    </row>
    <row r="491" spans="5:19" x14ac:dyDescent="0.2">
      <c r="E491" s="4" t="s">
        <v>17</v>
      </c>
      <c r="K491" t="str">
        <v>I</v>
      </c>
      <c r="L491" s="4" t="str">
        <f t="shared" si="14"/>
        <v>I</v>
      </c>
      <c r="M491" t="str">
        <v>painful</v>
      </c>
      <c r="N491" s="4" cm="1">
        <f t="array" ref="N491">SUM(--(_xlfn.TEXTSPLIT($J$423,, " ") = M491))</f>
        <v>1</v>
      </c>
      <c r="O491">
        <v>2</v>
      </c>
      <c r="P491" t="str">
        <v>wish</v>
      </c>
      <c r="Q491">
        <v>2</v>
      </c>
      <c r="R491" s="4"/>
      <c r="S491" s="10"/>
    </row>
    <row r="492" spans="5:19" x14ac:dyDescent="0.2">
      <c r="E492" s="4" t="s">
        <v>17</v>
      </c>
      <c r="K492" t="str">
        <v>can't</v>
      </c>
      <c r="L492" s="4" t="str">
        <f t="shared" si="14"/>
        <v>can t</v>
      </c>
      <c r="M492" t="str">
        <v>lesson</v>
      </c>
      <c r="N492" s="4" cm="1">
        <f t="array" ref="N492">SUM(--(_xlfn.TEXTSPLIT($J$423,, " ") = M492))</f>
        <v>1</v>
      </c>
      <c r="O492">
        <v>2</v>
      </c>
      <c r="P492" t="str">
        <v>her</v>
      </c>
      <c r="Q492">
        <v>2</v>
      </c>
      <c r="R492" s="4"/>
      <c r="S492" s="10"/>
    </row>
    <row r="493" spans="5:19" x14ac:dyDescent="0.2">
      <c r="E493" s="4" t="s">
        <v>17</v>
      </c>
      <c r="K493" t="str">
        <v>seem</v>
      </c>
      <c r="L493" s="4" t="str">
        <f t="shared" si="14"/>
        <v>seem</v>
      </c>
      <c r="M493" t="str">
        <v>down,</v>
      </c>
      <c r="N493" s="4" cm="1">
        <f t="array" ref="N493">SUM(--(_xlfn.TEXTSPLIT($J$423,, " ") = M493))</f>
        <v>3</v>
      </c>
      <c r="O493">
        <v>2</v>
      </c>
      <c r="P493" t="str">
        <v>parents</v>
      </c>
      <c r="Q493">
        <v>2</v>
      </c>
      <c r="R493" s="4"/>
      <c r="S493" s="10"/>
    </row>
    <row r="494" spans="5:19" x14ac:dyDescent="0.2">
      <c r="E494" s="4" t="s">
        <v>17</v>
      </c>
      <c r="K494" t="str">
        <v>to</v>
      </c>
      <c r="L494" s="4" t="str">
        <f t="shared" si="14"/>
        <v>to</v>
      </c>
      <c r="M494" t="str">
        <v>It</v>
      </c>
      <c r="N494" s="4" cm="1">
        <f t="array" ref="N494">SUM(--(_xlfn.TEXTSPLIT($J$423,, " ") = M494))</f>
        <v>2</v>
      </c>
      <c r="O494">
        <v>2</v>
      </c>
      <c r="P494" t="str">
        <v>would</v>
      </c>
      <c r="Q494">
        <v>2</v>
      </c>
      <c r="R494" s="4"/>
      <c r="S494" s="10"/>
    </row>
    <row r="495" spans="5:19" x14ac:dyDescent="0.2">
      <c r="E495" s="4" t="s">
        <v>17</v>
      </c>
      <c r="K495" t="str">
        <v>sit</v>
      </c>
      <c r="L495" s="4" t="str">
        <f t="shared" si="14"/>
        <v>sit</v>
      </c>
      <c r="M495" t="str">
        <v>pass</v>
      </c>
      <c r="N495" s="4" cm="1">
        <f t="array" ref="N495">SUM(--(_xlfn.TEXTSPLIT($J$423,, " ") = M495))</f>
        <v>1</v>
      </c>
      <c r="O495">
        <v>2</v>
      </c>
      <c r="P495" t="str">
        <v>stop</v>
      </c>
      <c r="Q495">
        <v>2</v>
      </c>
      <c r="R495" s="4"/>
      <c r="S495" s="10"/>
    </row>
    <row r="496" spans="5:19" x14ac:dyDescent="0.2">
      <c r="E496" s="4" t="s">
        <v>17</v>
      </c>
      <c r="K496" t="str">
        <v>still</v>
      </c>
      <c r="L496" s="4" t="str">
        <f t="shared" si="14"/>
        <v>still</v>
      </c>
      <c r="M496" t="str">
        <v>or</v>
      </c>
      <c r="N496" s="4" cm="1">
        <f t="array" ref="N496">SUM(--(_xlfn.TEXTSPLIT($J$423,, " ") = M496))</f>
        <v>1</v>
      </c>
      <c r="O496">
        <v>1</v>
      </c>
      <c r="P496" t="str">
        <v xml:space="preserve">fear
</v>
      </c>
      <c r="Q496">
        <v>1</v>
      </c>
      <c r="R496" s="4"/>
      <c r="S496" s="10"/>
    </row>
    <row r="497" spans="5:19" x14ac:dyDescent="0.2">
      <c r="E497" s="4" t="s">
        <v>17</v>
      </c>
      <c r="K497" t="str">
        <v>any</v>
      </c>
      <c r="L497" s="4" t="str">
        <f t="shared" si="14"/>
        <v>any</v>
      </c>
      <c r="M497" t="str">
        <v>fail,</v>
      </c>
      <c r="N497" s="4" cm="1">
        <f t="array" ref="N497">SUM(--(_xlfn.TEXTSPLIT($J$423,, " ") = M497))</f>
        <v>1</v>
      </c>
      <c r="O497">
        <v>1</v>
      </c>
      <c r="P497" t="str">
        <v xml:space="preserve">fear
</v>
      </c>
      <c r="Q497">
        <v>1</v>
      </c>
      <c r="R497" s="4"/>
      <c r="S497" s="10"/>
    </row>
    <row r="498" spans="5:19" x14ac:dyDescent="0.2">
      <c r="E498" s="4" t="s">
        <v>17</v>
      </c>
      <c r="K498" t="str">
        <v xml:space="preserve">longer
</v>
      </c>
      <c r="L498" s="4" t="str">
        <f t="shared" si="14"/>
        <v xml:space="preserve">longer  </v>
      </c>
      <c r="M498" t="str">
        <v>but</v>
      </c>
      <c r="N498" s="4" cm="1">
        <f t="array" ref="N498">SUM(--(_xlfn.TEXTSPLIT($J$423,, " ") = M498))</f>
        <v>3</v>
      </c>
      <c r="O498">
        <v>1</v>
      </c>
      <c r="P498" t="str">
        <v>You've</v>
      </c>
      <c r="Q498">
        <v>1</v>
      </c>
      <c r="R498" s="4"/>
      <c r="S498" s="10"/>
    </row>
    <row r="499" spans="5:19" x14ac:dyDescent="0.2">
      <c r="E499" s="4" t="s">
        <v>17</v>
      </c>
      <c r="K499" t="str">
        <v>Raw</v>
      </c>
      <c r="L499" s="4" t="str">
        <f t="shared" si="14"/>
        <v>Raw</v>
      </c>
      <c r="M499" t="str">
        <v>poisonous</v>
      </c>
      <c r="N499" s="4" cm="1">
        <f t="array" ref="N499">SUM(--(_xlfn.TEXTSPLIT($J$423,, " ") = M499))</f>
        <v>1</v>
      </c>
      <c r="O499">
        <v>1</v>
      </c>
      <c r="P499" t="str">
        <v>met</v>
      </c>
      <c r="Q499">
        <v>1</v>
      </c>
      <c r="R499" s="4"/>
      <c r="S499" s="10"/>
    </row>
    <row r="500" spans="5:19" x14ac:dyDescent="0.2">
      <c r="E500" s="4" t="s">
        <v>17</v>
      </c>
      <c r="K500" t="str">
        <v>fear</v>
      </c>
      <c r="L500" s="4" t="str">
        <f t="shared" si="14"/>
        <v>fear</v>
      </c>
      <c r="M500" t="str">
        <v>progression</v>
      </c>
      <c r="N500" s="4" cm="1">
        <f t="array" ref="N500">SUM(--(_xlfn.TEXTSPLIT($J$423,, " ") = M500))</f>
        <v>1</v>
      </c>
      <c r="O500">
        <v>1</v>
      </c>
      <c r="P500" t="str">
        <v>my</v>
      </c>
      <c r="Q500">
        <v>1</v>
      </c>
      <c r="R500" s="4"/>
      <c r="S500" s="10"/>
    </row>
    <row r="501" spans="5:19" x14ac:dyDescent="0.2">
      <c r="E501" s="4" t="s">
        <v>17</v>
      </c>
      <c r="K501" t="str">
        <v>moves</v>
      </c>
      <c r="L501" s="4" t="str">
        <f t="shared" si="14"/>
        <v>moves</v>
      </c>
      <c r="M501" t="str">
        <v>Try</v>
      </c>
      <c r="N501" s="4" cm="1">
        <f t="array" ref="N501">SUM(--(_xlfn.TEXTSPLIT($J$423,, " ") = M501))</f>
        <v>2</v>
      </c>
      <c r="O501">
        <v>1</v>
      </c>
      <c r="P501" t="str">
        <v>fears,</v>
      </c>
      <c r="Q501">
        <v>1</v>
      </c>
      <c r="R501" s="4"/>
      <c r="S501" s="10"/>
    </row>
    <row r="502" spans="5:19" x14ac:dyDescent="0.2">
      <c r="E502" s="4" t="s">
        <v>17</v>
      </c>
      <c r="K502" t="str">
        <v>me,</v>
      </c>
      <c r="L502" s="4" t="str">
        <f t="shared" si="14"/>
        <v xml:space="preserve">me </v>
      </c>
      <c r="M502" t="str">
        <v>micro-dose</v>
      </c>
      <c r="N502" s="4" cm="1">
        <f t="array" ref="N502">SUM(--(_xlfn.TEXTSPLIT($J$423,, " ") = M502))</f>
        <v>2</v>
      </c>
      <c r="O502">
        <v>1</v>
      </c>
      <c r="P502" t="str">
        <v>they're</v>
      </c>
      <c r="Q502">
        <v>1</v>
      </c>
      <c r="R502" s="4"/>
      <c r="S502" s="10"/>
    </row>
    <row r="503" spans="5:19" x14ac:dyDescent="0.2">
      <c r="E503" s="4" t="s">
        <v>17</v>
      </c>
      <c r="K503" t="str">
        <v>sounds</v>
      </c>
      <c r="L503" s="4" t="str">
        <f t="shared" si="14"/>
        <v>sounds</v>
      </c>
      <c r="M503" t="str">
        <v>immunity</v>
      </c>
      <c r="N503" s="4" cm="1">
        <f t="array" ref="N503">SUM(--(_xlfn.TEXTSPLIT($J$423,, " ") = M503))</f>
        <v>2</v>
      </c>
      <c r="O503">
        <v>1</v>
      </c>
      <c r="P503" t="str">
        <v xml:space="preserve">regulars
</v>
      </c>
      <c r="Q503">
        <v>1</v>
      </c>
      <c r="R503" s="4"/>
      <c r="S503" s="10"/>
    </row>
    <row r="504" spans="5:19" x14ac:dyDescent="0.2">
      <c r="E504" s="4" t="s">
        <v>17</v>
      </c>
      <c r="K504" t="str">
        <v>of</v>
      </c>
      <c r="L504" s="4" t="str">
        <f t="shared" si="14"/>
        <v>of</v>
      </c>
      <c r="M504" t="str">
        <v>you'll</v>
      </c>
      <c r="N504" s="4" cm="1">
        <f t="array" ref="N504">SUM(--(_xlfn.TEXTSPLIT($J$423,, " ") = M504))</f>
        <v>1</v>
      </c>
      <c r="O504">
        <v>1</v>
      </c>
      <c r="P504" t="str">
        <v xml:space="preserve">kid?
</v>
      </c>
      <c r="Q504">
        <v>1</v>
      </c>
      <c r="R504" s="4"/>
      <c r="S504" s="10"/>
    </row>
    <row r="505" spans="5:19" x14ac:dyDescent="0.2">
      <c r="E505" s="4" t="s">
        <v>17</v>
      </c>
      <c r="K505" t="str">
        <v>empty</v>
      </c>
      <c r="L505" s="4" t="str">
        <f t="shared" si="14"/>
        <v>empty</v>
      </c>
      <c r="M505" t="str">
        <v>never,</v>
      </c>
      <c r="N505" s="4" cm="1">
        <f t="array" ref="N505">SUM(--(_xlfn.TEXTSPLIT($J$423,, " ") = M505))</f>
        <v>1</v>
      </c>
      <c r="O505">
        <v>1</v>
      </c>
      <c r="P505" t="str">
        <v>kills</v>
      </c>
      <c r="Q505">
        <v>1</v>
      </c>
      <c r="R505" s="4"/>
      <c r="S505" s="10"/>
    </row>
    <row r="506" spans="5:19" x14ac:dyDescent="0.2">
      <c r="E506" s="4" t="s">
        <v>17</v>
      </c>
      <c r="K506" t="str">
        <v xml:space="preserve">Uzis
</v>
      </c>
      <c r="L506" s="4" t="str">
        <f t="shared" si="14"/>
        <v xml:space="preserve">Uzis </v>
      </c>
      <c r="M506" t="str">
        <v>ever</v>
      </c>
      <c r="N506" s="4" cm="1">
        <f t="array" ref="N506">SUM(--(_xlfn.TEXTSPLIT($J$423,, " ") = M506))</f>
        <v>1</v>
      </c>
      <c r="O506">
        <v>1</v>
      </c>
      <c r="P506" t="str">
        <v>(I</v>
      </c>
      <c r="Q506">
        <v>1</v>
      </c>
      <c r="R506" s="4"/>
      <c r="S506" s="10"/>
    </row>
    <row r="507" spans="5:19" x14ac:dyDescent="0.2">
      <c r="E507" s="4" t="s">
        <v>17</v>
      </c>
      <c r="K507" t="str">
        <v>Life</v>
      </c>
      <c r="L507" s="4" t="str">
        <f t="shared" si="14"/>
        <v>Life</v>
      </c>
      <c r="M507" t="str">
        <v>get</v>
      </c>
      <c r="N507" s="4" cm="1">
        <f t="array" ref="N507">SUM(--(_xlfn.TEXTSPLIT($J$423,, " ") = M507))</f>
        <v>1</v>
      </c>
      <c r="O507">
        <v>1</v>
      </c>
      <c r="P507" t="str">
        <v xml:space="preserve">longer)
</v>
      </c>
      <c r="Q507">
        <v>1</v>
      </c>
      <c r="R507" s="4"/>
      <c r="S507" s="10"/>
    </row>
    <row r="508" spans="5:19" x14ac:dyDescent="0.2">
      <c r="E508" s="4" t="s">
        <v>17</v>
      </c>
      <c r="K508" t="str">
        <v>is</v>
      </c>
      <c r="L508" s="4" t="str">
        <f t="shared" si="14"/>
        <v>is</v>
      </c>
      <c r="M508" t="str">
        <v>go,</v>
      </c>
      <c r="N508" s="4" cm="1">
        <f t="array" ref="N508">SUM(--(_xlfn.TEXTSPLIT($J$423,, " ") = M508))</f>
        <v>6</v>
      </c>
      <c r="O508">
        <v>1</v>
      </c>
      <c r="P508" t="str">
        <v xml:space="preserve">down)
</v>
      </c>
      <c r="Q508">
        <v>1</v>
      </c>
      <c r="R508" s="4"/>
      <c r="S508" s="10"/>
    </row>
    <row r="509" spans="5:19" x14ac:dyDescent="0.2">
      <c r="E509" s="4" t="s">
        <v>17</v>
      </c>
      <c r="K509" t="str">
        <v>just</v>
      </c>
      <c r="L509" s="4" t="str">
        <f t="shared" si="14"/>
        <v>just</v>
      </c>
      <c r="M509" t="str">
        <v>ah,</v>
      </c>
      <c r="N509" s="4" cm="1">
        <f t="array" ref="N509">SUM(--(_xlfn.TEXTSPLIT($J$423,, " ") = M509))</f>
        <v>11</v>
      </c>
      <c r="O509">
        <v>1</v>
      </c>
      <c r="P509" t="str">
        <v>Learning</v>
      </c>
      <c r="Q509">
        <v>1</v>
      </c>
      <c r="R509" s="4"/>
      <c r="S509" s="10"/>
    </row>
    <row r="510" spans="5:19" x14ac:dyDescent="0.2">
      <c r="E510" s="4" t="s">
        <v>17</v>
      </c>
      <c r="K510" t="str">
        <v>forever</v>
      </c>
      <c r="L510" s="4" t="str">
        <f t="shared" si="14"/>
        <v>forever</v>
      </c>
      <c r="M510" t="str">
        <v>ah</v>
      </c>
      <c r="N510" s="4" cm="1">
        <f t="array" ref="N510">SUM(--(_xlfn.TEXTSPLIT($J$423,, " ") = M510))</f>
        <v>2</v>
      </c>
      <c r="O510">
        <v>1</v>
      </c>
      <c r="P510" t="str">
        <v>that</v>
      </c>
      <c r="Q510">
        <v>1</v>
      </c>
      <c r="R510" s="4"/>
      <c r="S510" s="10"/>
    </row>
    <row r="511" spans="5:19" x14ac:dyDescent="0.2">
      <c r="E511" s="4" t="s">
        <v>17</v>
      </c>
      <c r="K511" t="str">
        <v>nipping</v>
      </c>
      <c r="L511" s="4" t="str">
        <f t="shared" si="14"/>
        <v>nipping</v>
      </c>
      <c r="M511" t="str">
        <v>What's</v>
      </c>
      <c r="N511" s="4" cm="1">
        <f t="array" ref="N511">SUM(--(_xlfn.TEXTSPLIT($J$423,, " ") = M511))</f>
        <v>2</v>
      </c>
      <c r="O511">
        <v>1</v>
      </c>
      <c r="P511" t="str">
        <v>really</v>
      </c>
      <c r="Q511">
        <v>1</v>
      </c>
      <c r="R511" s="4"/>
      <c r="S511" s="10"/>
    </row>
    <row r="512" spans="5:19" x14ac:dyDescent="0.2">
      <c r="E512" s="4" t="s">
        <v>17</v>
      </c>
      <c r="K512" t="str">
        <v>heels,</v>
      </c>
      <c r="L512" s="4" t="str">
        <f t="shared" si="14"/>
        <v xml:space="preserve">heels </v>
      </c>
      <c r="M512" t="str">
        <v>matter?</v>
      </c>
      <c r="N512" s="4" cm="1">
        <f t="array" ref="N512">SUM(--(_xlfn.TEXTSPLIT($J$423,, " ") = M512))</f>
        <v>2</v>
      </c>
      <c r="O512">
        <v>1</v>
      </c>
      <c r="P512" t="str">
        <v>matters</v>
      </c>
      <c r="Q512">
        <v>1</v>
      </c>
      <c r="R512" s="4"/>
      <c r="S512" s="10"/>
    </row>
    <row r="513" spans="5:19" x14ac:dyDescent="0.2">
      <c r="E513" s="4" t="s">
        <v>17</v>
      </c>
      <c r="K513" t="str">
        <v>never</v>
      </c>
      <c r="L513" s="4" t="str">
        <f t="shared" si="14"/>
        <v>never</v>
      </c>
      <c r="M513" t="str">
        <v>isn't</v>
      </c>
      <c r="N513" s="4" cm="1">
        <f t="array" ref="N513">SUM(--(_xlfn.TEXTSPLIT($J$423,, " ") = M513))</f>
        <v>2</v>
      </c>
      <c r="O513">
        <v>1</v>
      </c>
      <c r="P513" t="str">
        <v>slow</v>
      </c>
      <c r="Q513">
        <v>1</v>
      </c>
      <c r="R513" s="4"/>
      <c r="S513" s="10"/>
    </row>
    <row r="514" spans="5:19" x14ac:dyDescent="0.2">
      <c r="E514" s="4" t="s">
        <v>17</v>
      </c>
      <c r="K514" t="str">
        <v>slowing</v>
      </c>
      <c r="L514" s="4" t="str">
        <f t="shared" si="14"/>
        <v>slowing</v>
      </c>
      <c r="M514" t="str">
        <v>helping</v>
      </c>
      <c r="N514" s="4" cm="1">
        <f t="array" ref="N514">SUM(--(_xlfn.TEXTSPLIT($J$423,, " ") = M514))</f>
        <v>2</v>
      </c>
      <c r="O514">
        <v>1</v>
      </c>
      <c r="P514" t="str">
        <v>painful</v>
      </c>
      <c r="Q514">
        <v>1</v>
      </c>
      <c r="R514" s="4"/>
      <c r="S514" s="10"/>
    </row>
    <row r="515" spans="5:19" x14ac:dyDescent="0.2">
      <c r="E515" s="4" t="s">
        <v>17</v>
      </c>
      <c r="K515" t="str">
        <v xml:space="preserve">down
</v>
      </c>
      <c r="L515" s="4" t="str">
        <f t="shared" si="14"/>
        <v xml:space="preserve">down </v>
      </c>
      <c r="M515" t="str">
        <v>ooh,</v>
      </c>
      <c r="N515" s="4" cm="1">
        <f t="array" ref="N515">SUM(--(_xlfn.TEXTSPLIT($J$423,, " ") = M515))</f>
        <v>6</v>
      </c>
      <c r="O515">
        <v>1</v>
      </c>
      <c r="P515" t="str">
        <v>lesson</v>
      </c>
      <c r="Q515">
        <v>1</v>
      </c>
      <c r="R515" s="4"/>
      <c r="S515" s="10"/>
    </row>
    <row r="516" spans="5:19" x14ac:dyDescent="0.2">
      <c r="E516" s="4" t="s">
        <v>17</v>
      </c>
      <c r="K516" t="str">
        <v>Raw</v>
      </c>
      <c r="L516" s="4" t="str">
        <f t="shared" ref="L516:L579" si="15">_xlfn.REGEXREPLACE(K516, "[^A-Za-z ]", " ")</f>
        <v>Raw</v>
      </c>
      <c r="M516" t="str">
        <v>ooh</v>
      </c>
      <c r="N516" s="4" cm="1">
        <f t="array" ref="N516">SUM(--(_xlfn.TEXTSPLIT($J$423,, " ") = M516))</f>
        <v>2</v>
      </c>
      <c r="O516">
        <v>1</v>
      </c>
      <c r="P516" t="str">
        <v>pass</v>
      </c>
      <c r="Q516">
        <v>1</v>
      </c>
      <c r="R516" s="4"/>
      <c r="S516" s="10"/>
    </row>
    <row r="517" spans="5:19" x14ac:dyDescent="0.2">
      <c r="E517" s="4" t="s">
        <v>17</v>
      </c>
      <c r="K517" t="str">
        <v>fear</v>
      </c>
      <c r="L517" s="4" t="str">
        <f t="shared" si="15"/>
        <v>fear</v>
      </c>
      <c r="M517" t="str">
        <v>wish</v>
      </c>
      <c r="N517" s="4" cm="1">
        <f t="array" ref="N517">SUM(--(_xlfn.TEXTSPLIT($J$423,, " ") = M517))</f>
        <v>2</v>
      </c>
      <c r="O517">
        <v>1</v>
      </c>
      <c r="P517" t="str">
        <v>or</v>
      </c>
      <c r="Q517">
        <v>1</v>
      </c>
      <c r="R517" s="4"/>
      <c r="S517" s="10"/>
    </row>
    <row r="518" spans="5:19" x14ac:dyDescent="0.2">
      <c r="E518" s="4" t="s">
        <v>17</v>
      </c>
      <c r="K518" t="str">
        <v>moves</v>
      </c>
      <c r="L518" s="4" t="str">
        <f t="shared" si="15"/>
        <v>moves</v>
      </c>
      <c r="M518" t="str">
        <v>her</v>
      </c>
      <c r="N518" s="4" cm="1">
        <f t="array" ref="N518">SUM(--(_xlfn.TEXTSPLIT($J$423,, " ") = M518))</f>
        <v>2</v>
      </c>
      <c r="O518">
        <v>1</v>
      </c>
      <c r="P518" t="str">
        <v>fail,</v>
      </c>
      <c r="Q518">
        <v>1</v>
      </c>
      <c r="R518" s="4"/>
      <c r="S518" s="10"/>
    </row>
    <row r="519" spans="5:19" x14ac:dyDescent="0.2">
      <c r="E519" s="4" t="s">
        <v>17</v>
      </c>
      <c r="K519" t="str">
        <v>me,</v>
      </c>
      <c r="L519" s="4" t="str">
        <f t="shared" si="15"/>
        <v xml:space="preserve">me </v>
      </c>
      <c r="M519" t="str">
        <v>parents</v>
      </c>
      <c r="N519" s="4" cm="1">
        <f t="array" ref="N519">SUM(--(_xlfn.TEXTSPLIT($J$423,, " ") = M519))</f>
        <v>2</v>
      </c>
      <c r="O519">
        <v>1</v>
      </c>
      <c r="P519" t="str">
        <v>poisonous</v>
      </c>
      <c r="Q519">
        <v>1</v>
      </c>
      <c r="R519" s="4"/>
      <c r="S519" s="10"/>
    </row>
    <row r="520" spans="5:19" x14ac:dyDescent="0.2">
      <c r="E520" s="4" t="s">
        <v>17</v>
      </c>
      <c r="K520" t="str">
        <v>sounds</v>
      </c>
      <c r="L520" s="4" t="str">
        <f t="shared" si="15"/>
        <v>sounds</v>
      </c>
      <c r="M520" t="str">
        <v>would</v>
      </c>
      <c r="N520" s="4" cm="1">
        <f t="array" ref="N520">SUM(--(_xlfn.TEXTSPLIT($J$423,, " ") = M520))</f>
        <v>2</v>
      </c>
      <c r="O520">
        <v>1</v>
      </c>
      <c r="P520" t="str">
        <v>progression</v>
      </c>
      <c r="Q520">
        <v>1</v>
      </c>
      <c r="R520" s="4"/>
      <c r="S520" s="10"/>
    </row>
    <row r="521" spans="5:19" x14ac:dyDescent="0.2">
      <c r="E521" s="4" t="s">
        <v>17</v>
      </c>
      <c r="K521" t="str">
        <v>of</v>
      </c>
      <c r="L521" s="4" t="str">
        <f t="shared" si="15"/>
        <v>of</v>
      </c>
      <c r="M521" t="str">
        <v>stop</v>
      </c>
      <c r="N521" s="4" cm="1">
        <f t="array" ref="N521">SUM(--(_xlfn.TEXTSPLIT($J$423,, " ") = M521))</f>
        <v>2</v>
      </c>
      <c r="O521">
        <v>1</v>
      </c>
      <c r="P521" t="str">
        <v>you'll</v>
      </c>
      <c r="Q521">
        <v>1</v>
      </c>
      <c r="R521" s="4"/>
      <c r="S521" s="10"/>
    </row>
    <row r="522" spans="5:19" x14ac:dyDescent="0.2">
      <c r="E522" s="4" t="s">
        <v>17</v>
      </c>
      <c r="K522" t="str">
        <v>empty</v>
      </c>
      <c r="L522" s="4" t="str">
        <f t="shared" si="15"/>
        <v>empty</v>
      </c>
      <c r="M522" t="str">
        <v>yelling</v>
      </c>
      <c r="N522" s="4" cm="1">
        <f t="array" ref="N522">SUM(--(_xlfn.TEXTSPLIT($J$423,, " ") = M522))</f>
        <v>1</v>
      </c>
      <c r="O522">
        <v>1</v>
      </c>
      <c r="P522" t="str">
        <v>never,</v>
      </c>
      <c r="Q522">
        <v>1</v>
      </c>
      <c r="R522" s="4"/>
      <c r="S522" s="10"/>
    </row>
    <row r="523" spans="5:19" x14ac:dyDescent="0.2">
      <c r="E523" s="4" t="s">
        <v>17</v>
      </c>
      <c r="K523" t="str">
        <v xml:space="preserve">Uzis
</v>
      </c>
      <c r="L523" s="4" t="str">
        <f t="shared" si="15"/>
        <v xml:space="preserve">Uzis </v>
      </c>
      <c r="M523" t="str">
        <v>could</v>
      </c>
      <c r="N523" s="4" cm="1">
        <f t="array" ref="N523">SUM(--(_xlfn.TEXTSPLIT($J$423,, " ") = M523))</f>
        <v>1</v>
      </c>
      <c r="O523">
        <v>1</v>
      </c>
      <c r="P523" t="str">
        <v>ever</v>
      </c>
      <c r="Q523">
        <v>1</v>
      </c>
      <c r="R523" s="4"/>
      <c r="S523" s="10"/>
    </row>
    <row r="524" spans="5:19" x14ac:dyDescent="0.2">
      <c r="E524" s="4" t="s">
        <v>17</v>
      </c>
      <c r="K524" t="str">
        <v>Life</v>
      </c>
      <c r="L524" s="4" t="str">
        <f t="shared" si="15"/>
        <v>Life</v>
      </c>
      <c r="M524" t="str">
        <v>build</v>
      </c>
      <c r="N524" s="4" cm="1">
        <f t="array" ref="N524">SUM(--(_xlfn.TEXTSPLIT($J$423,, " ") = M524))</f>
        <v>1</v>
      </c>
      <c r="O524">
        <v>1</v>
      </c>
      <c r="P524" t="str">
        <v>get</v>
      </c>
      <c r="Q524">
        <v>1</v>
      </c>
      <c r="R524" s="4"/>
      <c r="S524" s="10"/>
    </row>
    <row r="525" spans="5:19" x14ac:dyDescent="0.2">
      <c r="E525" s="4" t="s">
        <v>17</v>
      </c>
      <c r="K525" t="str">
        <v>is</v>
      </c>
      <c r="L525" s="4" t="str">
        <f t="shared" si="15"/>
        <v>is</v>
      </c>
      <c r="M525" t="str">
        <v>tower</v>
      </c>
      <c r="N525" s="4" cm="1">
        <f t="array" ref="N525">SUM(--(_xlfn.TEXTSPLIT($J$423,, " ") = M525))</f>
        <v>1</v>
      </c>
      <c r="O525">
        <v>1</v>
      </c>
      <c r="P525" t="str">
        <v>yelling</v>
      </c>
      <c r="Q525">
        <v>1</v>
      </c>
      <c r="R525" s="4"/>
      <c r="S525" s="10"/>
    </row>
    <row r="526" spans="5:19" x14ac:dyDescent="0.2">
      <c r="E526" s="4" t="s">
        <v>17</v>
      </c>
      <c r="K526" t="str">
        <v>just</v>
      </c>
      <c r="L526" s="4" t="str">
        <f t="shared" si="15"/>
        <v>just</v>
      </c>
      <c r="M526" t="str">
        <v>with</v>
      </c>
      <c r="N526" s="4" cm="1">
        <f t="array" ref="N526">SUM(--(_xlfn.TEXTSPLIT($J$423,, " ") = M526))</f>
        <v>1</v>
      </c>
      <c r="O526">
        <v>1</v>
      </c>
      <c r="P526" t="str">
        <v>could</v>
      </c>
      <c r="Q526">
        <v>1</v>
      </c>
      <c r="R526" s="4"/>
      <c r="S526" s="10"/>
    </row>
    <row r="527" spans="5:19" x14ac:dyDescent="0.2">
      <c r="E527" s="4" t="s">
        <v>17</v>
      </c>
      <c r="K527" t="str">
        <v>forever</v>
      </c>
      <c r="L527" s="4" t="str">
        <f t="shared" si="15"/>
        <v>forever</v>
      </c>
      <c r="M527" t="str">
        <v>times</v>
      </c>
      <c r="N527" s="4" cm="1">
        <f t="array" ref="N527">SUM(--(_xlfn.TEXTSPLIT($J$423,, " ") = M527))</f>
        <v>1</v>
      </c>
      <c r="O527">
        <v>1</v>
      </c>
      <c r="P527" t="str">
        <v>build</v>
      </c>
      <c r="Q527">
        <v>1</v>
      </c>
      <c r="R527" s="4"/>
      <c r="S527" s="10"/>
    </row>
    <row r="528" spans="5:19" x14ac:dyDescent="0.2">
      <c r="E528" s="4" t="s">
        <v>17</v>
      </c>
      <c r="K528" t="str">
        <v>gripping</v>
      </c>
      <c r="L528" s="4" t="str">
        <f t="shared" si="15"/>
        <v>gripping</v>
      </c>
      <c r="M528" t="str">
        <v>was</v>
      </c>
      <c r="N528" s="4" cm="1">
        <f t="array" ref="N528">SUM(--(_xlfn.TEXTSPLIT($J$423,, " ") = M528))</f>
        <v>1</v>
      </c>
      <c r="O528">
        <v>1</v>
      </c>
      <c r="P528" t="str">
        <v>tower</v>
      </c>
      <c r="Q528">
        <v>1</v>
      </c>
      <c r="R528" s="4"/>
      <c r="S528" s="10"/>
    </row>
    <row r="529" spans="5:19" x14ac:dyDescent="0.2">
      <c r="E529" s="4" t="s">
        <v>17</v>
      </c>
      <c r="K529" t="str">
        <v>feels,</v>
      </c>
      <c r="L529" s="4" t="str">
        <f t="shared" si="15"/>
        <v xml:space="preserve">feels </v>
      </c>
      <c r="M529" t="str">
        <v>pretending</v>
      </c>
      <c r="N529" s="4" cm="1">
        <f t="array" ref="N529">SUM(--(_xlfn.TEXTSPLIT($J$423,, " ") = M529))</f>
        <v>1</v>
      </c>
      <c r="O529">
        <v>1</v>
      </c>
      <c r="P529" t="str">
        <v>with</v>
      </c>
      <c r="Q529">
        <v>1</v>
      </c>
      <c r="R529" s="4"/>
      <c r="S529" s="10"/>
    </row>
    <row r="530" spans="5:19" x14ac:dyDescent="0.2">
      <c r="E530" s="4" t="s">
        <v>17</v>
      </c>
      <c r="K530" t="str">
        <v>never</v>
      </c>
      <c r="L530" s="4" t="str">
        <f t="shared" si="15"/>
        <v>never</v>
      </c>
      <c r="M530" t="str">
        <v>I'll</v>
      </c>
      <c r="N530" s="4" cm="1">
        <f t="array" ref="N530">SUM(--(_xlfn.TEXTSPLIT($J$423,, " ") = M530))</f>
        <v>1</v>
      </c>
      <c r="O530">
        <v>1</v>
      </c>
      <c r="P530" t="str">
        <v>times</v>
      </c>
      <c r="Q530">
        <v>1</v>
      </c>
      <c r="R530" s="4"/>
      <c r="S530" s="10"/>
    </row>
    <row r="531" spans="5:19" x14ac:dyDescent="0.2">
      <c r="E531" s="4" t="s">
        <v>17</v>
      </c>
      <c r="K531" t="str">
        <v>slowing</v>
      </c>
      <c r="L531" s="4" t="str">
        <f t="shared" si="15"/>
        <v>slowing</v>
      </c>
      <c r="M531" t="str">
        <v>see</v>
      </c>
      <c r="N531" s="4" cm="1">
        <f t="array" ref="N531">SUM(--(_xlfn.TEXTSPLIT($J$423,, " ") = M531))</f>
        <v>1</v>
      </c>
      <c r="O531">
        <v>1</v>
      </c>
      <c r="P531" t="str">
        <v>was</v>
      </c>
      <c r="Q531">
        <v>1</v>
      </c>
      <c r="R531" s="4"/>
      <c r="S531" s="10"/>
    </row>
    <row r="532" spans="5:19" x14ac:dyDescent="0.2">
      <c r="E532" s="4" t="s">
        <v>17</v>
      </c>
      <c r="K532" t="str">
        <v xml:space="preserve">down
</v>
      </c>
      <c r="L532" s="4" t="str">
        <f t="shared" si="15"/>
        <v xml:space="preserve">down </v>
      </c>
      <c r="M532" t="str">
        <v>ending</v>
      </c>
      <c r="N532" s="4" cm="1">
        <f t="array" ref="N532">SUM(--(_xlfn.TEXTSPLIT($J$423,, " ") = M532))</f>
        <v>1</v>
      </c>
      <c r="O532">
        <v>1</v>
      </c>
      <c r="P532" t="str">
        <v>pretending</v>
      </c>
      <c r="Q532">
        <v>1</v>
      </c>
      <c r="R532" s="4"/>
      <c r="S532" s="10"/>
    </row>
    <row r="533" spans="5:19" x14ac:dyDescent="0.2">
      <c r="E533" s="4" t="s">
        <v>17</v>
      </c>
      <c r="K533" t="str">
        <v>(I</v>
      </c>
      <c r="L533" s="4" t="str">
        <f t="shared" si="15"/>
        <v xml:space="preserve"> I</v>
      </c>
      <c r="M533" t="str">
        <v/>
      </c>
      <c r="N533" s="4" cm="1">
        <f t="array" ref="N533">SUM(--(_xlfn.TEXTSPLIT($J$423,, " ") = M533))</f>
        <v>1</v>
      </c>
      <c r="O533">
        <v>1</v>
      </c>
      <c r="P533" t="str">
        <v>I'll</v>
      </c>
      <c r="Q533">
        <v>1</v>
      </c>
      <c r="R533" s="4"/>
      <c r="S533" s="10"/>
    </row>
    <row r="534" spans="5:19" x14ac:dyDescent="0.2">
      <c r="E534" s="4" t="s">
        <v>17</v>
      </c>
      <c r="K534" t="str">
        <v>can't</v>
      </c>
      <c r="L534" s="4" t="str">
        <f t="shared" si="15"/>
        <v>can t</v>
      </c>
      <c r="M534" t="str">
        <v xml:space="preserve">yelling
</v>
      </c>
      <c r="N534" s="4" cm="1">
        <f t="array" ref="N534">SUM(--(_xlfn.TEXTSPLIT($J$423,, " ") = M534))</f>
        <v>1</v>
      </c>
      <c r="O534">
        <v>1</v>
      </c>
      <c r="P534" t="str">
        <v>see</v>
      </c>
      <c r="Q534">
        <v>1</v>
      </c>
      <c r="R534" s="4"/>
      <c r="S534" s="10"/>
    </row>
    <row r="535" spans="5:19" x14ac:dyDescent="0.2">
      <c r="E535" s="4" t="s">
        <v>17</v>
      </c>
      <c r="K535" t="str">
        <v>seem</v>
      </c>
      <c r="L535" s="4" t="str">
        <f t="shared" si="15"/>
        <v>seem</v>
      </c>
      <c r="M535" t="str">
        <v>(Ah,</v>
      </c>
      <c r="N535" s="4" cm="1">
        <f t="array" ref="N535">SUM(--(_xlfn.TEXTSPLIT($J$423,, " ") = M535))</f>
        <v>5</v>
      </c>
      <c r="O535">
        <v>1</v>
      </c>
      <c r="P535" t="str">
        <v>ending</v>
      </c>
      <c r="Q535">
        <v>1</v>
      </c>
      <c r="R535" s="4"/>
      <c r="S535" s="10"/>
    </row>
    <row r="536" spans="5:19" x14ac:dyDescent="0.2">
      <c r="E536" s="4" t="s">
        <v>17</v>
      </c>
      <c r="K536" t="str">
        <v>to</v>
      </c>
      <c r="L536" s="4" t="str">
        <f t="shared" si="15"/>
        <v>to</v>
      </c>
      <c r="M536" t="str">
        <v xml:space="preserve">ah)
</v>
      </c>
      <c r="N536" s="4" cm="1">
        <f t="array" ref="N536">SUM(--(_xlfn.TEXTSPLIT($J$423,, " ") = M536))</f>
        <v>5</v>
      </c>
      <c r="O536">
        <v>1</v>
      </c>
      <c r="P536" t="str">
        <v/>
      </c>
      <c r="Q536">
        <v>1</v>
      </c>
      <c r="R536" s="4"/>
      <c r="S536" s="10"/>
    </row>
    <row r="537" spans="5:19" x14ac:dyDescent="0.2">
      <c r="E537" s="4" t="s">
        <v>17</v>
      </c>
      <c r="K537" t="str">
        <v>sit</v>
      </c>
      <c r="L537" s="4" t="str">
        <f t="shared" si="15"/>
        <v>sit</v>
      </c>
      <c r="M537" t="str">
        <v xml:space="preserve">ooh
</v>
      </c>
      <c r="N537" s="4" cm="1">
        <f t="array" ref="N537">SUM(--(_xlfn.TEXTSPLIT($J$423,, " ") = M537))</f>
        <v>1</v>
      </c>
      <c r="O537">
        <v>1</v>
      </c>
      <c r="P537" t="str">
        <v xml:space="preserve">yelling
</v>
      </c>
      <c r="Q537">
        <v>1</v>
      </c>
      <c r="R537" s="4"/>
      <c r="S537" s="10"/>
    </row>
    <row r="538" spans="5:19" x14ac:dyDescent="0.2">
      <c r="E538" s="4" t="s">
        <v>17</v>
      </c>
      <c r="K538" t="str">
        <v>still</v>
      </c>
      <c r="L538" s="4" t="str">
        <f t="shared" si="15"/>
        <v>still</v>
      </c>
      <c r="M538" t="str">
        <v>kid?</v>
      </c>
      <c r="N538" s="4" cm="1">
        <f t="array" ref="N538">SUM(--(_xlfn.TEXTSPLIT($J$423,, " ") = M538))</f>
        <v>1</v>
      </c>
      <c r="O538">
        <v>1</v>
      </c>
      <c r="P538" t="str">
        <v xml:space="preserve">ooh
</v>
      </c>
      <c r="Q538">
        <v>1</v>
      </c>
      <c r="R538" s="4"/>
      <c r="S538" s="10"/>
    </row>
    <row r="539" spans="5:19" x14ac:dyDescent="0.2">
      <c r="E539" s="4" t="s">
        <v>17</v>
      </c>
      <c r="K539" t="str">
        <v>any</v>
      </c>
      <c r="L539" s="4" t="str">
        <f t="shared" si="15"/>
        <v>any</v>
      </c>
      <c r="M539" t="str">
        <v xml:space="preserve">ah
</v>
      </c>
      <c r="N539" s="4" cm="1">
        <f t="array" ref="N539">SUM(--(_xlfn.TEXTSPLIT($J$423,, " ") = M539))</f>
        <v>1</v>
      </c>
      <c r="O539">
        <v>1</v>
      </c>
      <c r="P539" t="str">
        <v>kid?</v>
      </c>
      <c r="Q539">
        <v>1</v>
      </c>
      <c r="R539" s="4"/>
      <c r="S539" s="10"/>
    </row>
    <row r="540" spans="5:19" x14ac:dyDescent="0.2">
      <c r="E540" s="4" t="s">
        <v>17</v>
      </c>
      <c r="K540" t="str">
        <v xml:space="preserve">longer)
</v>
      </c>
      <c r="L540" s="4" t="str">
        <f t="shared" si="15"/>
        <v xml:space="preserve">longer  </v>
      </c>
      <c r="M540" t="str">
        <v>Uzis</v>
      </c>
      <c r="N540" s="4" cm="1">
        <f t="array" ref="N540">SUM(--(_xlfn.TEXTSPLIT($J$423,, " ") = M540))</f>
        <v>4</v>
      </c>
      <c r="O540">
        <v>1</v>
      </c>
      <c r="P540" t="str">
        <v xml:space="preserve">ah
</v>
      </c>
      <c r="Q540">
        <v>1</v>
      </c>
      <c r="R540" s="4"/>
      <c r="S540" s="10"/>
    </row>
    <row r="541" spans="5:19" x14ac:dyDescent="0.2">
      <c r="E541" s="4" t="s">
        <v>17</v>
      </c>
      <c r="K541" t="str">
        <v>Raw</v>
      </c>
      <c r="L541" s="4" t="str">
        <f t="shared" si="15"/>
        <v>Raw</v>
      </c>
      <c r="M541" t="str">
        <v>down</v>
      </c>
      <c r="N541" s="4" cm="1">
        <f t="array" ref="N541">SUM(--(_xlfn.TEXTSPLIT($J$423,, " ") = M541))</f>
        <v>1</v>
      </c>
      <c r="O541">
        <v>1</v>
      </c>
      <c r="P541" t="str">
        <v>down</v>
      </c>
      <c r="Q541">
        <v>1</v>
      </c>
      <c r="R541" s="4"/>
      <c r="S541" s="10"/>
    </row>
    <row r="542" spans="5:19" x14ac:dyDescent="0.2">
      <c r="E542" s="4" t="s">
        <v>17</v>
      </c>
      <c r="K542" t="str">
        <v>fear</v>
      </c>
      <c r="L542" s="4" t="str">
        <f t="shared" si="15"/>
        <v>fear</v>
      </c>
      <c r="N542" s="4" cm="1">
        <f t="array" ref="N542">SUM(--(_xlfn.TEXTSPLIT($J$423,, " ") = M542))</f>
        <v>1</v>
      </c>
      <c r="O542">
        <v>1</v>
      </c>
      <c r="P542">
        <v>0</v>
      </c>
      <c r="Q542">
        <v>1</v>
      </c>
      <c r="R542" s="4"/>
      <c r="S542" s="10"/>
    </row>
    <row r="543" spans="5:19" x14ac:dyDescent="0.2">
      <c r="E543" s="4" t="s">
        <v>17</v>
      </c>
      <c r="K543" t="str">
        <v>moves</v>
      </c>
      <c r="L543" s="4" t="str">
        <f t="shared" si="15"/>
        <v>moves</v>
      </c>
      <c r="N543" s="4" cm="1">
        <f t="array" ref="N543">SUM(--(_xlfn.TEXTSPLIT($J$423,, " ") = M543))</f>
        <v>1</v>
      </c>
      <c r="O543">
        <v>1</v>
      </c>
      <c r="P543">
        <v>0</v>
      </c>
      <c r="Q543">
        <v>1</v>
      </c>
      <c r="R543" s="4"/>
      <c r="S543" s="10"/>
    </row>
    <row r="544" spans="5:19" x14ac:dyDescent="0.2">
      <c r="E544" s="4" t="s">
        <v>17</v>
      </c>
      <c r="K544" t="str">
        <v>me,</v>
      </c>
      <c r="L544" s="4" t="str">
        <f t="shared" si="15"/>
        <v xml:space="preserve">me </v>
      </c>
      <c r="N544" s="4" cm="1">
        <f t="array" ref="N544">SUM(--(_xlfn.TEXTSPLIT($J$423,, " ") = M544))</f>
        <v>1</v>
      </c>
      <c r="O544">
        <v>1</v>
      </c>
      <c r="P544">
        <v>0</v>
      </c>
      <c r="Q544">
        <v>1</v>
      </c>
      <c r="R544" s="4"/>
      <c r="S544" s="10"/>
    </row>
    <row r="545" spans="5:19" x14ac:dyDescent="0.2">
      <c r="E545" s="4" t="s">
        <v>17</v>
      </c>
      <c r="K545" t="str">
        <v>sounds</v>
      </c>
      <c r="L545" s="4" t="str">
        <f t="shared" si="15"/>
        <v>sounds</v>
      </c>
      <c r="N545" s="4" cm="1">
        <f t="array" ref="N545">SUM(--(_xlfn.TEXTSPLIT($J$423,, " ") = M545))</f>
        <v>1</v>
      </c>
      <c r="O545">
        <v>1</v>
      </c>
      <c r="P545">
        <v>0</v>
      </c>
      <c r="Q545">
        <v>1</v>
      </c>
      <c r="R545" s="4"/>
      <c r="S545" s="10"/>
    </row>
    <row r="546" spans="5:19" x14ac:dyDescent="0.2">
      <c r="E546" s="4" t="s">
        <v>17</v>
      </c>
      <c r="K546" t="str">
        <v>of</v>
      </c>
      <c r="L546" s="4" t="str">
        <f t="shared" si="15"/>
        <v>of</v>
      </c>
      <c r="N546" s="4" cm="1">
        <f t="array" ref="N546">SUM(--(_xlfn.TEXTSPLIT($J$423,, " ") = M546))</f>
        <v>1</v>
      </c>
      <c r="O546">
        <v>1</v>
      </c>
      <c r="P546">
        <v>0</v>
      </c>
      <c r="Q546">
        <v>1</v>
      </c>
      <c r="R546" s="4"/>
      <c r="S546" s="10"/>
    </row>
    <row r="547" spans="5:19" x14ac:dyDescent="0.2">
      <c r="E547" s="4" t="s">
        <v>17</v>
      </c>
      <c r="K547" t="str">
        <v>empty</v>
      </c>
      <c r="L547" s="4" t="str">
        <f t="shared" si="15"/>
        <v>empty</v>
      </c>
      <c r="N547" s="4" cm="1">
        <f t="array" ref="N547">SUM(--(_xlfn.TEXTSPLIT($J$423,, " ") = M547))</f>
        <v>1</v>
      </c>
      <c r="O547">
        <v>1</v>
      </c>
      <c r="P547">
        <v>0</v>
      </c>
      <c r="Q547">
        <v>1</v>
      </c>
      <c r="R547" s="4"/>
      <c r="S547" s="10"/>
    </row>
    <row r="548" spans="5:19" x14ac:dyDescent="0.2">
      <c r="E548" s="4" t="s">
        <v>17</v>
      </c>
      <c r="K548" t="str">
        <v xml:space="preserve">Uzis
</v>
      </c>
      <c r="L548" s="4" t="str">
        <f t="shared" si="15"/>
        <v xml:space="preserve">Uzis </v>
      </c>
      <c r="N548" s="4" cm="1">
        <f t="array" ref="N548">SUM(--(_xlfn.TEXTSPLIT($J$423,, " ") = M548))</f>
        <v>1</v>
      </c>
      <c r="O548">
        <v>1</v>
      </c>
      <c r="P548">
        <v>0</v>
      </c>
      <c r="Q548">
        <v>1</v>
      </c>
      <c r="R548" s="4"/>
      <c r="S548" s="10"/>
    </row>
    <row r="549" spans="5:19" x14ac:dyDescent="0.2">
      <c r="E549" s="4" t="s">
        <v>17</v>
      </c>
      <c r="K549" t="str">
        <v>Life</v>
      </c>
      <c r="L549" s="4" t="str">
        <f t="shared" si="15"/>
        <v>Life</v>
      </c>
      <c r="N549" s="4" cm="1">
        <f t="array" ref="N549">SUM(--(_xlfn.TEXTSPLIT($J$423,, " ") = M549))</f>
        <v>1</v>
      </c>
      <c r="O549">
        <v>1</v>
      </c>
      <c r="P549">
        <v>0</v>
      </c>
      <c r="Q549">
        <v>1</v>
      </c>
      <c r="R549" s="4"/>
      <c r="S549" s="10"/>
    </row>
    <row r="550" spans="5:19" x14ac:dyDescent="0.2">
      <c r="E550" s="4" t="s">
        <v>17</v>
      </c>
      <c r="K550" t="str">
        <v>is</v>
      </c>
      <c r="L550" s="4" t="str">
        <f t="shared" si="15"/>
        <v>is</v>
      </c>
      <c r="N550" s="4" cm="1">
        <f t="array" ref="N550">SUM(--(_xlfn.TEXTSPLIT($J$423,, " ") = M550))</f>
        <v>1</v>
      </c>
      <c r="O550">
        <v>1</v>
      </c>
      <c r="P550">
        <v>0</v>
      </c>
      <c r="Q550">
        <v>1</v>
      </c>
      <c r="R550" s="4"/>
      <c r="S550" s="10"/>
    </row>
    <row r="551" spans="5:19" x14ac:dyDescent="0.2">
      <c r="E551" s="4" t="s">
        <v>17</v>
      </c>
      <c r="K551" t="str">
        <v>just</v>
      </c>
      <c r="L551" s="4" t="str">
        <f t="shared" si="15"/>
        <v>just</v>
      </c>
      <c r="N551" s="4" cm="1">
        <f t="array" ref="N551">SUM(--(_xlfn.TEXTSPLIT($J$423,, " ") = M551))</f>
        <v>1</v>
      </c>
      <c r="O551">
        <v>1</v>
      </c>
      <c r="P551">
        <v>0</v>
      </c>
      <c r="Q551">
        <v>1</v>
      </c>
      <c r="R551" s="4"/>
      <c r="S551" s="10"/>
    </row>
    <row r="552" spans="5:19" x14ac:dyDescent="0.2">
      <c r="E552" s="4" t="s">
        <v>17</v>
      </c>
      <c r="K552" t="str">
        <v>forever</v>
      </c>
      <c r="L552" s="4" t="str">
        <f t="shared" si="15"/>
        <v>forever</v>
      </c>
      <c r="N552" s="4" cm="1">
        <f t="array" ref="N552">SUM(--(_xlfn.TEXTSPLIT($J$423,, " ") = M552))</f>
        <v>1</v>
      </c>
      <c r="O552">
        <v>1</v>
      </c>
      <c r="P552">
        <v>0</v>
      </c>
      <c r="Q552">
        <v>1</v>
      </c>
      <c r="R552" s="4"/>
      <c r="S552" s="10"/>
    </row>
    <row r="553" spans="5:19" x14ac:dyDescent="0.2">
      <c r="E553" s="4" t="s">
        <v>17</v>
      </c>
      <c r="K553" t="str">
        <v>gripping</v>
      </c>
      <c r="L553" s="4" t="str">
        <f t="shared" si="15"/>
        <v>gripping</v>
      </c>
      <c r="N553" s="4" cm="1">
        <f t="array" ref="N553">SUM(--(_xlfn.TEXTSPLIT($J$423,, " ") = M553))</f>
        <v>1</v>
      </c>
      <c r="O553">
        <v>1</v>
      </c>
      <c r="P553">
        <v>0</v>
      </c>
      <c r="Q553">
        <v>1</v>
      </c>
      <c r="R553" s="4"/>
      <c r="S553" s="10"/>
    </row>
    <row r="554" spans="5:19" x14ac:dyDescent="0.2">
      <c r="E554" s="4" t="s">
        <v>17</v>
      </c>
      <c r="K554" t="str">
        <v>feels,</v>
      </c>
      <c r="L554" s="4" t="str">
        <f t="shared" si="15"/>
        <v xml:space="preserve">feels </v>
      </c>
      <c r="N554" s="4" cm="1">
        <f t="array" ref="N554">SUM(--(_xlfn.TEXTSPLIT($J$423,, " ") = M554))</f>
        <v>1</v>
      </c>
      <c r="O554">
        <v>1</v>
      </c>
      <c r="P554">
        <v>0</v>
      </c>
      <c r="Q554">
        <v>1</v>
      </c>
      <c r="R554" s="4"/>
      <c r="S554" s="10"/>
    </row>
    <row r="555" spans="5:19" x14ac:dyDescent="0.2">
      <c r="E555" s="4" t="s">
        <v>17</v>
      </c>
      <c r="K555" t="str">
        <v>never</v>
      </c>
      <c r="L555" s="4" t="str">
        <f t="shared" si="15"/>
        <v>never</v>
      </c>
      <c r="N555" s="4" cm="1">
        <f t="array" ref="N555">SUM(--(_xlfn.TEXTSPLIT($J$423,, " ") = M555))</f>
        <v>1</v>
      </c>
      <c r="O555">
        <v>1</v>
      </c>
      <c r="P555">
        <v>0</v>
      </c>
      <c r="Q555">
        <v>1</v>
      </c>
      <c r="R555" s="4"/>
      <c r="S555" s="10"/>
    </row>
    <row r="556" spans="5:19" x14ac:dyDescent="0.2">
      <c r="E556" s="4" t="s">
        <v>17</v>
      </c>
      <c r="K556" t="str">
        <v>slowing</v>
      </c>
      <c r="L556" s="4" t="str">
        <f t="shared" si="15"/>
        <v>slowing</v>
      </c>
      <c r="N556" s="4" cm="1">
        <f t="array" ref="N556">SUM(--(_xlfn.TEXTSPLIT($J$423,, " ") = M556))</f>
        <v>1</v>
      </c>
      <c r="O556">
        <v>1</v>
      </c>
      <c r="P556">
        <v>0</v>
      </c>
      <c r="Q556">
        <v>1</v>
      </c>
      <c r="R556" s="4"/>
      <c r="S556" s="10"/>
    </row>
    <row r="557" spans="5:19" x14ac:dyDescent="0.2">
      <c r="E557" s="4" t="s">
        <v>17</v>
      </c>
      <c r="K557" t="str">
        <v xml:space="preserve">down
</v>
      </c>
      <c r="L557" s="4" t="str">
        <f t="shared" si="15"/>
        <v xml:space="preserve">down  </v>
      </c>
      <c r="N557" s="4" cm="1">
        <f t="array" ref="N557">SUM(--(_xlfn.TEXTSPLIT($J$423,, " ") = M557))</f>
        <v>1</v>
      </c>
      <c r="O557">
        <v>1</v>
      </c>
      <c r="P557">
        <v>0</v>
      </c>
      <c r="Q557">
        <v>1</v>
      </c>
      <c r="R557" s="4"/>
      <c r="S557" s="10"/>
    </row>
    <row r="558" spans="5:19" x14ac:dyDescent="0.2">
      <c r="E558" s="4" t="s">
        <v>17</v>
      </c>
      <c r="K558" t="str">
        <v>(Never</v>
      </c>
      <c r="L558" s="4" t="str">
        <f t="shared" si="15"/>
        <v xml:space="preserve"> Never</v>
      </c>
      <c r="N558" s="4" cm="1">
        <f t="array" ref="N558">SUM(--(_xlfn.TEXTSPLIT($J$423,, " ") = M558))</f>
        <v>1</v>
      </c>
      <c r="O558">
        <v>1</v>
      </c>
      <c r="P558">
        <v>0</v>
      </c>
      <c r="Q558">
        <v>1</v>
      </c>
      <c r="R558" s="4"/>
      <c r="S558" s="10"/>
    </row>
    <row r="559" spans="5:19" x14ac:dyDescent="0.2">
      <c r="E559" s="4" t="s">
        <v>17</v>
      </c>
      <c r="K559" t="str">
        <v>slowing</v>
      </c>
      <c r="L559" s="4" t="str">
        <f t="shared" si="15"/>
        <v>slowing</v>
      </c>
      <c r="N559" s="4" cm="1">
        <f t="array" ref="N559">SUM(--(_xlfn.TEXTSPLIT($J$423,, " ") = M559))</f>
        <v>1</v>
      </c>
      <c r="O559">
        <v>1</v>
      </c>
      <c r="P559">
        <v>0</v>
      </c>
      <c r="Q559">
        <v>1</v>
      </c>
      <c r="R559" s="4"/>
      <c r="S559" s="10"/>
    </row>
    <row r="560" spans="5:19" x14ac:dyDescent="0.2">
      <c r="E560" s="4" t="s">
        <v>17</v>
      </c>
      <c r="K560" t="str">
        <v xml:space="preserve">down)
</v>
      </c>
      <c r="L560" s="4" t="str">
        <f t="shared" si="15"/>
        <v xml:space="preserve">down  </v>
      </c>
      <c r="N560" s="4" cm="1">
        <f t="array" ref="N560">SUM(--(_xlfn.TEXTSPLIT($J$423,, " ") = M560))</f>
        <v>1</v>
      </c>
      <c r="O560">
        <v>1</v>
      </c>
      <c r="P560">
        <v>0</v>
      </c>
      <c r="Q560">
        <v>1</v>
      </c>
      <c r="R560" s="4"/>
      <c r="S560" s="10"/>
    </row>
    <row r="561" spans="5:19" x14ac:dyDescent="0.2">
      <c r="E561" s="4" t="s">
        <v>17</v>
      </c>
      <c r="K561" t="str">
        <v>(Never</v>
      </c>
      <c r="L561" s="4" t="str">
        <f t="shared" si="15"/>
        <v xml:space="preserve"> Never</v>
      </c>
      <c r="N561" s="4" cm="1">
        <f t="array" ref="N561">SUM(--(_xlfn.TEXTSPLIT($J$423,, " ") = M561))</f>
        <v>1</v>
      </c>
      <c r="O561">
        <v>1</v>
      </c>
      <c r="P561">
        <v>0</v>
      </c>
      <c r="Q561">
        <v>1</v>
      </c>
      <c r="R561" s="4"/>
      <c r="S561" s="10"/>
    </row>
    <row r="562" spans="5:19" x14ac:dyDescent="0.2">
      <c r="E562" s="4" t="s">
        <v>17</v>
      </c>
      <c r="K562" t="str">
        <v>slowing</v>
      </c>
      <c r="L562" s="4" t="str">
        <f t="shared" si="15"/>
        <v>slowing</v>
      </c>
      <c r="N562" s="4" cm="1">
        <f t="array" ref="N562">SUM(--(_xlfn.TEXTSPLIT($J$423,, " ") = M562))</f>
        <v>1</v>
      </c>
      <c r="O562">
        <v>1</v>
      </c>
      <c r="P562">
        <v>0</v>
      </c>
      <c r="Q562">
        <v>1</v>
      </c>
      <c r="R562" s="4"/>
      <c r="S562" s="10"/>
    </row>
    <row r="563" spans="5:19" x14ac:dyDescent="0.2">
      <c r="E563" s="4" t="s">
        <v>17</v>
      </c>
      <c r="K563" t="str">
        <v xml:space="preserve">down)
</v>
      </c>
      <c r="L563" s="4" t="str">
        <f t="shared" si="15"/>
        <v xml:space="preserve">down  </v>
      </c>
      <c r="N563" s="4" cm="1">
        <f t="array" ref="N563">SUM(--(_xlfn.TEXTSPLIT($J$423,, " ") = M563))</f>
        <v>1</v>
      </c>
      <c r="O563">
        <v>1</v>
      </c>
      <c r="P563">
        <v>0</v>
      </c>
      <c r="Q563">
        <v>1</v>
      </c>
      <c r="R563" s="4"/>
      <c r="S563" s="10"/>
    </row>
    <row r="564" spans="5:19" x14ac:dyDescent="0.2">
      <c r="E564" s="4" t="s">
        <v>17</v>
      </c>
      <c r="K564" t="str">
        <v>(Never,</v>
      </c>
      <c r="L564" s="4" t="str">
        <f t="shared" si="15"/>
        <v xml:space="preserve"> Never </v>
      </c>
      <c r="N564" s="4" cm="1">
        <f t="array" ref="N564">SUM(--(_xlfn.TEXTSPLIT($J$423,, " ") = M564))</f>
        <v>1</v>
      </c>
      <c r="O564">
        <v>1</v>
      </c>
      <c r="P564">
        <v>0</v>
      </c>
      <c r="Q564">
        <v>1</v>
      </c>
      <c r="R564" s="4"/>
      <c r="S564" s="10"/>
    </row>
    <row r="565" spans="5:19" x14ac:dyDescent="0.2">
      <c r="E565" s="4" t="s">
        <v>17</v>
      </c>
      <c r="K565" t="str">
        <v>never</v>
      </c>
      <c r="L565" s="4" t="str">
        <f t="shared" si="15"/>
        <v>never</v>
      </c>
      <c r="N565" s="4" cm="1">
        <f t="array" ref="N565">SUM(--(_xlfn.TEXTSPLIT($J$423,, " ") = M565))</f>
        <v>1</v>
      </c>
      <c r="O565">
        <v>1</v>
      </c>
      <c r="P565">
        <v>0</v>
      </c>
      <c r="Q565">
        <v>1</v>
      </c>
      <c r="R565" s="4"/>
      <c r="S565" s="10"/>
    </row>
    <row r="566" spans="5:19" x14ac:dyDescent="0.2">
      <c r="E566" s="4" t="s">
        <v>17</v>
      </c>
      <c r="K566" t="str">
        <v>slowing</v>
      </c>
      <c r="L566" s="4" t="str">
        <f t="shared" si="15"/>
        <v>slowing</v>
      </c>
      <c r="N566" s="4" cm="1">
        <f t="array" ref="N566">SUM(--(_xlfn.TEXTSPLIT($J$423,, " ") = M566))</f>
        <v>1</v>
      </c>
      <c r="O566">
        <v>1</v>
      </c>
      <c r="P566">
        <v>0</v>
      </c>
      <c r="Q566">
        <v>1</v>
      </c>
      <c r="R566" s="4"/>
      <c r="S566" s="10"/>
    </row>
    <row r="567" spans="5:19" x14ac:dyDescent="0.2">
      <c r="E567" s="4" t="s">
        <v>17</v>
      </c>
      <c r="K567" t="str">
        <v xml:space="preserve">down)
</v>
      </c>
      <c r="L567" s="4" t="str">
        <f t="shared" si="15"/>
        <v xml:space="preserve">down  </v>
      </c>
      <c r="N567" s="4" cm="1">
        <f t="array" ref="N567">SUM(--(_xlfn.TEXTSPLIT($J$423,, " ") = M567))</f>
        <v>1</v>
      </c>
      <c r="O567">
        <v>1</v>
      </c>
      <c r="P567">
        <v>0</v>
      </c>
      <c r="Q567">
        <v>1</v>
      </c>
      <c r="R567" s="4"/>
      <c r="S567" s="10"/>
    </row>
    <row r="568" spans="5:19" x14ac:dyDescent="0.2">
      <c r="E568" s="4" t="s">
        <v>17</v>
      </c>
      <c r="K568" t="str">
        <v>(Never</v>
      </c>
      <c r="L568" s="4" t="str">
        <f t="shared" si="15"/>
        <v xml:space="preserve"> Never</v>
      </c>
      <c r="N568" s="4" cm="1">
        <f t="array" ref="N568">SUM(--(_xlfn.TEXTSPLIT($J$423,, " ") = M568))</f>
        <v>1</v>
      </c>
      <c r="O568">
        <v>1</v>
      </c>
      <c r="P568">
        <v>0</v>
      </c>
      <c r="Q568">
        <v>1</v>
      </c>
      <c r="R568" s="4"/>
      <c r="S568" s="10"/>
    </row>
    <row r="569" spans="5:19" x14ac:dyDescent="0.2">
      <c r="E569" s="4" t="s">
        <v>17</v>
      </c>
      <c r="K569" t="str">
        <v>slowing</v>
      </c>
      <c r="L569" s="4" t="str">
        <f t="shared" si="15"/>
        <v>slowing</v>
      </c>
      <c r="N569" s="4" cm="1">
        <f t="array" ref="N569">SUM(--(_xlfn.TEXTSPLIT($J$423,, " ") = M569))</f>
        <v>1</v>
      </c>
      <c r="O569">
        <v>1</v>
      </c>
      <c r="P569">
        <v>0</v>
      </c>
      <c r="Q569">
        <v>1</v>
      </c>
      <c r="R569" s="4"/>
      <c r="S569" s="10"/>
    </row>
    <row r="570" spans="5:19" x14ac:dyDescent="0.2">
      <c r="E570" s="4" t="s">
        <v>17</v>
      </c>
      <c r="K570" t="str">
        <v xml:space="preserve">down)
</v>
      </c>
      <c r="L570" s="4" t="str">
        <f t="shared" si="15"/>
        <v xml:space="preserve">down  </v>
      </c>
      <c r="N570" s="4" cm="1">
        <f t="array" ref="N570">SUM(--(_xlfn.TEXTSPLIT($J$423,, " ") = M570))</f>
        <v>1</v>
      </c>
      <c r="O570">
        <v>1</v>
      </c>
      <c r="P570">
        <v>0</v>
      </c>
      <c r="Q570">
        <v>1</v>
      </c>
      <c r="R570" s="4"/>
      <c r="S570" s="10"/>
    </row>
    <row r="571" spans="5:19" x14ac:dyDescent="0.2">
      <c r="E571" s="4" t="s">
        <v>17</v>
      </c>
      <c r="K571" t="str">
        <v>(Never,</v>
      </c>
      <c r="L571" s="4" t="str">
        <f t="shared" si="15"/>
        <v xml:space="preserve"> Never </v>
      </c>
      <c r="N571" s="4" cm="1">
        <f t="array" ref="N571">SUM(--(_xlfn.TEXTSPLIT($J$423,, " ") = M571))</f>
        <v>1</v>
      </c>
      <c r="O571">
        <v>1</v>
      </c>
      <c r="P571">
        <v>0</v>
      </c>
      <c r="Q571">
        <v>1</v>
      </c>
      <c r="R571" s="4"/>
      <c r="S571" s="10"/>
    </row>
    <row r="572" spans="5:19" x14ac:dyDescent="0.2">
      <c r="E572" s="4" t="s">
        <v>17</v>
      </c>
      <c r="K572" t="str">
        <v>never</v>
      </c>
      <c r="L572" s="4" t="str">
        <f t="shared" si="15"/>
        <v>never</v>
      </c>
      <c r="N572" s="4" cm="1">
        <f t="array" ref="N572">SUM(--(_xlfn.TEXTSPLIT($J$423,, " ") = M572))</f>
        <v>1</v>
      </c>
      <c r="O572">
        <v>1</v>
      </c>
      <c r="P572">
        <v>0</v>
      </c>
      <c r="Q572">
        <v>1</v>
      </c>
      <c r="R572" s="4"/>
      <c r="S572" s="10"/>
    </row>
    <row r="573" spans="5:19" x14ac:dyDescent="0.2">
      <c r="E573" s="4" t="s">
        <v>17</v>
      </c>
      <c r="K573" t="str">
        <v>slowing</v>
      </c>
      <c r="L573" s="4" t="str">
        <f t="shared" si="15"/>
        <v>slowing</v>
      </c>
      <c r="N573" s="4" cm="1">
        <f t="array" ref="N573">SUM(--(_xlfn.TEXTSPLIT($J$423,, " ") = M573))</f>
        <v>1</v>
      </c>
      <c r="O573">
        <v>1</v>
      </c>
      <c r="P573">
        <v>0</v>
      </c>
      <c r="Q573">
        <v>1</v>
      </c>
      <c r="R573" s="4"/>
      <c r="S573" s="10"/>
    </row>
    <row r="574" spans="5:19" x14ac:dyDescent="0.2">
      <c r="E574" s="4" t="s">
        <v>17</v>
      </c>
      <c r="K574" t="str">
        <v xml:space="preserve">down)
</v>
      </c>
      <c r="L574" s="4" t="str">
        <f t="shared" si="15"/>
        <v xml:space="preserve">down  </v>
      </c>
      <c r="N574" s="4" cm="1">
        <f t="array" ref="N574">SUM(--(_xlfn.TEXTSPLIT($J$423,, " ") = M574))</f>
        <v>1</v>
      </c>
      <c r="O574">
        <v>1</v>
      </c>
      <c r="P574">
        <v>0</v>
      </c>
      <c r="Q574">
        <v>1</v>
      </c>
      <c r="R574" s="4"/>
      <c r="S574" s="10"/>
    </row>
    <row r="575" spans="5:19" x14ac:dyDescent="0.2">
      <c r="E575" s="4" t="s">
        <v>17</v>
      </c>
      <c r="K575" t="str">
        <v>(Never</v>
      </c>
      <c r="L575" s="4" t="str">
        <f t="shared" si="15"/>
        <v xml:space="preserve"> Never</v>
      </c>
      <c r="N575" s="4" cm="1">
        <f t="array" ref="N575">SUM(--(_xlfn.TEXTSPLIT($J$423,, " ") = M575))</f>
        <v>1</v>
      </c>
      <c r="O575">
        <v>1</v>
      </c>
      <c r="P575">
        <v>0</v>
      </c>
      <c r="Q575">
        <v>1</v>
      </c>
      <c r="R575" s="4"/>
      <c r="S575" s="10"/>
    </row>
    <row r="576" spans="5:19" x14ac:dyDescent="0.2">
      <c r="E576" s="4" t="s">
        <v>17</v>
      </c>
      <c r="K576" t="str">
        <v>slowing</v>
      </c>
      <c r="L576" s="4" t="str">
        <f t="shared" si="15"/>
        <v>slowing</v>
      </c>
      <c r="N576" s="4" cm="1">
        <f t="array" ref="N576">SUM(--(_xlfn.TEXTSPLIT($J$423,, " ") = M576))</f>
        <v>1</v>
      </c>
      <c r="O576">
        <v>1</v>
      </c>
      <c r="P576">
        <v>0</v>
      </c>
      <c r="Q576">
        <v>1</v>
      </c>
      <c r="R576" s="4"/>
      <c r="S576" s="10"/>
    </row>
    <row r="577" spans="5:19" x14ac:dyDescent="0.2">
      <c r="E577" s="4" t="s">
        <v>17</v>
      </c>
      <c r="K577" t="str">
        <v xml:space="preserve">down)
</v>
      </c>
      <c r="L577" s="4" t="str">
        <f t="shared" si="15"/>
        <v xml:space="preserve">down  </v>
      </c>
      <c r="N577" s="4" cm="1">
        <f t="array" ref="N577">SUM(--(_xlfn.TEXTSPLIT($J$423,, " ") = M577))</f>
        <v>1</v>
      </c>
      <c r="O577">
        <v>1</v>
      </c>
      <c r="P577">
        <v>0</v>
      </c>
      <c r="Q577">
        <v>1</v>
      </c>
      <c r="R577" s="4"/>
      <c r="S577" s="10"/>
    </row>
    <row r="578" spans="5:19" x14ac:dyDescent="0.2">
      <c r="E578" s="4" t="s">
        <v>17</v>
      </c>
      <c r="K578" t="str">
        <v>(Never,</v>
      </c>
      <c r="L578" s="4" t="str">
        <f t="shared" si="15"/>
        <v xml:space="preserve"> Never </v>
      </c>
      <c r="N578" s="4" cm="1">
        <f t="array" ref="N578">SUM(--(_xlfn.TEXTSPLIT($J$423,, " ") = M578))</f>
        <v>1</v>
      </c>
      <c r="O578">
        <v>1</v>
      </c>
      <c r="P578">
        <v>0</v>
      </c>
      <c r="Q578">
        <v>1</v>
      </c>
      <c r="R578" s="4"/>
      <c r="S578" s="10"/>
    </row>
    <row r="579" spans="5:19" x14ac:dyDescent="0.2">
      <c r="E579" s="4" t="s">
        <v>17</v>
      </c>
      <c r="K579" t="str">
        <v>never</v>
      </c>
      <c r="L579" s="4" t="str">
        <f t="shared" si="15"/>
        <v>never</v>
      </c>
      <c r="N579" s="4" cm="1">
        <f t="array" ref="N579">SUM(--(_xlfn.TEXTSPLIT($J$423,, " ") = M579))</f>
        <v>1</v>
      </c>
      <c r="O579">
        <v>1</v>
      </c>
      <c r="P579">
        <v>0</v>
      </c>
      <c r="Q579">
        <v>1</v>
      </c>
      <c r="R579" s="4"/>
      <c r="S579" s="10"/>
    </row>
    <row r="580" spans="5:19" x14ac:dyDescent="0.2">
      <c r="E580" s="4" t="s">
        <v>17</v>
      </c>
      <c r="K580" t="str">
        <v>slowing</v>
      </c>
      <c r="L580" s="4" t="str">
        <f t="shared" ref="L580:L643" si="16">_xlfn.REGEXREPLACE(K580, "[^A-Za-z ]", " ")</f>
        <v>slowing</v>
      </c>
      <c r="N580" s="4" cm="1">
        <f t="array" ref="N580">SUM(--(_xlfn.TEXTSPLIT($J$423,, " ") = M580))</f>
        <v>1</v>
      </c>
      <c r="O580">
        <v>1</v>
      </c>
      <c r="P580">
        <v>0</v>
      </c>
      <c r="Q580">
        <v>1</v>
      </c>
      <c r="R580" s="4"/>
      <c r="S580" s="10"/>
    </row>
    <row r="581" spans="5:19" x14ac:dyDescent="0.2">
      <c r="E581" s="4" t="s">
        <v>17</v>
      </c>
      <c r="K581" t="str">
        <v xml:space="preserve">down)
</v>
      </c>
      <c r="L581" s="4" t="str">
        <f t="shared" si="16"/>
        <v xml:space="preserve">down   </v>
      </c>
      <c r="N581" s="4" cm="1">
        <f t="array" ref="N581">SUM(--(_xlfn.TEXTSPLIT($J$423,, " ") = M581))</f>
        <v>1</v>
      </c>
      <c r="O581">
        <v>1</v>
      </c>
      <c r="P581">
        <v>0</v>
      </c>
      <c r="Q581">
        <v>1</v>
      </c>
      <c r="R581" s="4"/>
      <c r="S581" s="10"/>
    </row>
    <row r="582" spans="5:19" x14ac:dyDescent="0.2">
      <c r="E582" s="4" t="s">
        <v>17</v>
      </c>
      <c r="K582" t="str">
        <v>Learning</v>
      </c>
      <c r="L582" s="4" t="str">
        <f t="shared" si="16"/>
        <v>Learning</v>
      </c>
      <c r="N582" s="4" cm="1">
        <f t="array" ref="N582">SUM(--(_xlfn.TEXTSPLIT($J$423,, " ") = M582))</f>
        <v>1</v>
      </c>
      <c r="O582">
        <v>1</v>
      </c>
      <c r="P582">
        <v>0</v>
      </c>
      <c r="Q582">
        <v>1</v>
      </c>
      <c r="R582" s="4"/>
      <c r="S582" s="10"/>
    </row>
    <row r="583" spans="5:19" x14ac:dyDescent="0.2">
      <c r="E583" s="4" t="s">
        <v>17</v>
      </c>
      <c r="K583" t="str">
        <v>all</v>
      </c>
      <c r="L583" s="4" t="str">
        <f t="shared" si="16"/>
        <v>all</v>
      </c>
      <c r="N583" s="4" cm="1">
        <f t="array" ref="N583">SUM(--(_xlfn.TEXTSPLIT($J$423,, " ") = M583))</f>
        <v>1</v>
      </c>
      <c r="O583">
        <v>1</v>
      </c>
      <c r="P583">
        <v>0</v>
      </c>
      <c r="Q583">
        <v>1</v>
      </c>
      <c r="R583" s="4"/>
      <c r="S583" s="10"/>
    </row>
    <row r="584" spans="5:19" x14ac:dyDescent="0.2">
      <c r="E584" s="4" t="s">
        <v>17</v>
      </c>
      <c r="K584" t="str">
        <v>that</v>
      </c>
      <c r="L584" s="4" t="str">
        <f t="shared" si="16"/>
        <v>that</v>
      </c>
      <c r="N584" s="4" cm="1">
        <f t="array" ref="N584">SUM(--(_xlfn.TEXTSPLIT($J$423,, " ") = M584))</f>
        <v>1</v>
      </c>
      <c r="O584">
        <v>1</v>
      </c>
      <c r="P584">
        <v>0</v>
      </c>
      <c r="Q584">
        <v>1</v>
      </c>
      <c r="R584" s="4"/>
      <c r="S584" s="10"/>
    </row>
    <row r="585" spans="5:19" x14ac:dyDescent="0.2">
      <c r="E585" s="4" t="s">
        <v>17</v>
      </c>
      <c r="K585" t="str">
        <v>really</v>
      </c>
      <c r="L585" s="4" t="str">
        <f t="shared" si="16"/>
        <v>really</v>
      </c>
      <c r="N585" s="4" cm="1">
        <f t="array" ref="N585">SUM(--(_xlfn.TEXTSPLIT($J$423,, " ") = M585))</f>
        <v>1</v>
      </c>
      <c r="O585">
        <v>1</v>
      </c>
      <c r="P585">
        <v>0</v>
      </c>
      <c r="Q585">
        <v>1</v>
      </c>
      <c r="R585" s="4"/>
      <c r="S585" s="10"/>
    </row>
    <row r="586" spans="5:19" x14ac:dyDescent="0.2">
      <c r="E586" s="4" t="s">
        <v>17</v>
      </c>
      <c r="K586" t="str">
        <v>matters</v>
      </c>
      <c r="L586" s="4" t="str">
        <f t="shared" si="16"/>
        <v>matters</v>
      </c>
      <c r="N586" s="4" cm="1">
        <f t="array" ref="N586">SUM(--(_xlfn.TEXTSPLIT($J$423,, " ") = M586))</f>
        <v>1</v>
      </c>
      <c r="O586">
        <v>1</v>
      </c>
      <c r="P586">
        <v>0</v>
      </c>
      <c r="Q586">
        <v>1</v>
      </c>
      <c r="R586" s="4"/>
      <c r="S586" s="10"/>
    </row>
    <row r="587" spans="5:19" x14ac:dyDescent="0.2">
      <c r="E587" s="4" t="s">
        <v>17</v>
      </c>
      <c r="K587" t="str">
        <v>is</v>
      </c>
      <c r="L587" s="4" t="str">
        <f t="shared" si="16"/>
        <v>is</v>
      </c>
      <c r="N587" s="4" cm="1">
        <f t="array" ref="N587">SUM(--(_xlfn.TEXTSPLIT($J$423,, " ") = M587))</f>
        <v>1</v>
      </c>
      <c r="O587">
        <v>1</v>
      </c>
      <c r="P587">
        <v>0</v>
      </c>
      <c r="Q587">
        <v>1</v>
      </c>
      <c r="R587" s="4"/>
      <c r="S587" s="10"/>
    </row>
    <row r="588" spans="5:19" x14ac:dyDescent="0.2">
      <c r="E588" s="4" t="s">
        <v>17</v>
      </c>
      <c r="K588" t="str">
        <v>a</v>
      </c>
      <c r="L588" s="4" t="str">
        <f t="shared" si="16"/>
        <v>a</v>
      </c>
      <c r="N588" s="4" cm="1">
        <f t="array" ref="N588">SUM(--(_xlfn.TEXTSPLIT($J$423,, " ") = M588))</f>
        <v>1</v>
      </c>
      <c r="O588">
        <v>1</v>
      </c>
      <c r="P588">
        <v>0</v>
      </c>
      <c r="Q588">
        <v>1</v>
      </c>
      <c r="R588" s="4"/>
      <c r="S588" s="10"/>
    </row>
    <row r="589" spans="5:19" x14ac:dyDescent="0.2">
      <c r="E589" s="4" t="s">
        <v>17</v>
      </c>
      <c r="K589" t="str">
        <v>slow</v>
      </c>
      <c r="L589" s="4" t="str">
        <f t="shared" si="16"/>
        <v>slow</v>
      </c>
      <c r="N589" s="4" cm="1">
        <f t="array" ref="N589">SUM(--(_xlfn.TEXTSPLIT($J$423,, " ") = M589))</f>
        <v>1</v>
      </c>
      <c r="O589">
        <v>1</v>
      </c>
      <c r="P589">
        <v>0</v>
      </c>
      <c r="Q589">
        <v>1</v>
      </c>
      <c r="R589" s="4"/>
      <c r="S589" s="10"/>
    </row>
    <row r="590" spans="5:19" x14ac:dyDescent="0.2">
      <c r="E590" s="4" t="s">
        <v>17</v>
      </c>
      <c r="K590" t="str">
        <v>and</v>
      </c>
      <c r="L590" s="4" t="str">
        <f t="shared" si="16"/>
        <v>and</v>
      </c>
      <c r="N590" s="4" cm="1">
        <f t="array" ref="N590">SUM(--(_xlfn.TEXTSPLIT($J$423,, " ") = M590))</f>
        <v>1</v>
      </c>
      <c r="O590">
        <v>1</v>
      </c>
      <c r="P590">
        <v>0</v>
      </c>
      <c r="Q590">
        <v>1</v>
      </c>
      <c r="R590" s="4"/>
      <c r="S590" s="10"/>
    </row>
    <row r="591" spans="5:19" x14ac:dyDescent="0.2">
      <c r="E591" s="4" t="s">
        <v>17</v>
      </c>
      <c r="K591" t="str">
        <v>painful</v>
      </c>
      <c r="L591" s="4" t="str">
        <f t="shared" si="16"/>
        <v>painful</v>
      </c>
      <c r="N591" s="4" cm="1">
        <f t="array" ref="N591">SUM(--(_xlfn.TEXTSPLIT($J$423,, " ") = M591))</f>
        <v>1</v>
      </c>
      <c r="O591">
        <v>1</v>
      </c>
      <c r="P591">
        <v>0</v>
      </c>
      <c r="Q591">
        <v>1</v>
      </c>
      <c r="R591" s="4"/>
      <c r="S591" s="10"/>
    </row>
    <row r="592" spans="5:19" x14ac:dyDescent="0.2">
      <c r="E592" s="4" t="s">
        <v>17</v>
      </c>
      <c r="K592" t="str">
        <v>lesson</v>
      </c>
      <c r="L592" s="4" t="str">
        <f t="shared" si="16"/>
        <v>lesson</v>
      </c>
      <c r="N592" s="4" cm="1">
        <f t="array" ref="N592">SUM(--(_xlfn.TEXTSPLIT($J$423,, " ") = M592))</f>
        <v>1</v>
      </c>
      <c r="O592">
        <v>1</v>
      </c>
      <c r="P592">
        <v>0</v>
      </c>
      <c r="Q592">
        <v>1</v>
      </c>
      <c r="R592" s="4"/>
      <c r="S592" s="10"/>
    </row>
    <row r="593" spans="5:19" x14ac:dyDescent="0.2">
      <c r="E593" s="4" t="s">
        <v>17</v>
      </c>
      <c r="K593" t="str">
        <v>(Never</v>
      </c>
      <c r="L593" s="4" t="str">
        <f t="shared" si="16"/>
        <v xml:space="preserve"> Never</v>
      </c>
      <c r="N593" s="4" cm="1">
        <f t="array" ref="N593">SUM(--(_xlfn.TEXTSPLIT($J$423,, " ") = M593))</f>
        <v>1</v>
      </c>
      <c r="O593">
        <v>1</v>
      </c>
      <c r="P593">
        <v>0</v>
      </c>
      <c r="Q593">
        <v>1</v>
      </c>
      <c r="R593" s="4"/>
      <c r="S593" s="10"/>
    </row>
    <row r="594" spans="5:19" x14ac:dyDescent="0.2">
      <c r="E594" s="4" t="s">
        <v>17</v>
      </c>
      <c r="K594" t="str">
        <v>slowing</v>
      </c>
      <c r="L594" s="4" t="str">
        <f t="shared" si="16"/>
        <v>slowing</v>
      </c>
      <c r="N594" s="4" cm="1">
        <f t="array" ref="N594">SUM(--(_xlfn.TEXTSPLIT($J$423,, " ") = M594))</f>
        <v>1</v>
      </c>
      <c r="O594">
        <v>1</v>
      </c>
      <c r="P594">
        <v>0</v>
      </c>
      <c r="Q594">
        <v>1</v>
      </c>
      <c r="R594" s="4"/>
      <c r="S594" s="10"/>
    </row>
    <row r="595" spans="5:19" x14ac:dyDescent="0.2">
      <c r="E595" s="4" t="s">
        <v>17</v>
      </c>
      <c r="K595" t="str">
        <v>down,</v>
      </c>
      <c r="L595" s="4" t="str">
        <f t="shared" si="16"/>
        <v xml:space="preserve">down </v>
      </c>
      <c r="N595" s="4" cm="1">
        <f t="array" ref="N595">SUM(--(_xlfn.TEXTSPLIT($J$423,, " ") = M595))</f>
        <v>1</v>
      </c>
      <c r="O595">
        <v>1</v>
      </c>
      <c r="P595">
        <v>0</v>
      </c>
      <c r="Q595">
        <v>1</v>
      </c>
      <c r="R595" s="4"/>
      <c r="S595" s="10"/>
    </row>
    <row r="596" spans="5:19" x14ac:dyDescent="0.2">
      <c r="E596" s="4" t="s">
        <v>17</v>
      </c>
      <c r="K596" t="str">
        <v>never</v>
      </c>
      <c r="L596" s="4" t="str">
        <f t="shared" si="16"/>
        <v>never</v>
      </c>
      <c r="N596" s="4" cm="1">
        <f t="array" ref="N596">SUM(--(_xlfn.TEXTSPLIT($J$423,, " ") = M596))</f>
        <v>1</v>
      </c>
      <c r="O596">
        <v>1</v>
      </c>
      <c r="P596">
        <v>0</v>
      </c>
      <c r="Q596">
        <v>1</v>
      </c>
      <c r="R596" s="4"/>
      <c r="S596" s="10"/>
    </row>
    <row r="597" spans="5:19" x14ac:dyDescent="0.2">
      <c r="E597" s="4" t="s">
        <v>17</v>
      </c>
      <c r="K597" t="str">
        <v>slowing</v>
      </c>
      <c r="L597" s="4" t="str">
        <f t="shared" si="16"/>
        <v>slowing</v>
      </c>
      <c r="N597" s="4" cm="1">
        <f t="array" ref="N597">SUM(--(_xlfn.TEXTSPLIT($J$423,, " ") = M597))</f>
        <v>1</v>
      </c>
      <c r="O597">
        <v>1</v>
      </c>
      <c r="P597">
        <v>0</v>
      </c>
      <c r="Q597">
        <v>1</v>
      </c>
      <c r="R597" s="4"/>
      <c r="S597" s="10"/>
    </row>
    <row r="598" spans="5:19" x14ac:dyDescent="0.2">
      <c r="E598" s="4" t="s">
        <v>17</v>
      </c>
      <c r="K598" t="str">
        <v xml:space="preserve">down)
</v>
      </c>
      <c r="L598" s="4" t="str">
        <f t="shared" si="16"/>
        <v xml:space="preserve">down  </v>
      </c>
      <c r="N598" s="4" cm="1">
        <f t="array" ref="N598">SUM(--(_xlfn.TEXTSPLIT($J$423,, " ") = M598))</f>
        <v>1</v>
      </c>
      <c r="O598">
        <v>1</v>
      </c>
      <c r="P598">
        <v>0</v>
      </c>
      <c r="Q598">
        <v>1</v>
      </c>
      <c r="R598" s="4"/>
      <c r="S598" s="10"/>
    </row>
    <row r="599" spans="5:19" x14ac:dyDescent="0.2">
      <c r="E599" s="4" t="s">
        <v>17</v>
      </c>
      <c r="K599" t="str">
        <v>It</v>
      </c>
      <c r="L599" s="4" t="str">
        <f t="shared" si="16"/>
        <v>It</v>
      </c>
      <c r="N599" s="4" cm="1">
        <f t="array" ref="N599">SUM(--(_xlfn.TEXTSPLIT($J$423,, " ") = M599))</f>
        <v>1</v>
      </c>
      <c r="O599">
        <v>1</v>
      </c>
      <c r="P599">
        <v>0</v>
      </c>
      <c r="Q599">
        <v>1</v>
      </c>
      <c r="R599" s="4"/>
      <c r="S599" s="10"/>
    </row>
    <row r="600" spans="5:19" x14ac:dyDescent="0.2">
      <c r="E600" s="4" t="s">
        <v>17</v>
      </c>
      <c r="K600" t="str">
        <v>is</v>
      </c>
      <c r="L600" s="4" t="str">
        <f t="shared" si="16"/>
        <v>is</v>
      </c>
      <c r="N600" s="4" cm="1">
        <f t="array" ref="N600">SUM(--(_xlfn.TEXTSPLIT($J$423,, " ") = M600))</f>
        <v>1</v>
      </c>
      <c r="O600">
        <v>1</v>
      </c>
      <c r="P600">
        <v>0</v>
      </c>
      <c r="Q600">
        <v>1</v>
      </c>
      <c r="R600" s="4"/>
      <c r="S600" s="10"/>
    </row>
    <row r="601" spans="5:19" x14ac:dyDescent="0.2">
      <c r="E601" s="4" t="s">
        <v>17</v>
      </c>
      <c r="K601" t="str">
        <v>not</v>
      </c>
      <c r="L601" s="4" t="str">
        <f t="shared" si="16"/>
        <v>not</v>
      </c>
      <c r="N601" s="4" cm="1">
        <f t="array" ref="N601">SUM(--(_xlfn.TEXTSPLIT($J$423,, " ") = M601))</f>
        <v>1</v>
      </c>
      <c r="O601">
        <v>1</v>
      </c>
      <c r="P601">
        <v>0</v>
      </c>
      <c r="Q601">
        <v>1</v>
      </c>
      <c r="R601" s="4"/>
      <c r="S601" s="10"/>
    </row>
    <row r="602" spans="5:19" x14ac:dyDescent="0.2">
      <c r="E602" s="4" t="s">
        <v>17</v>
      </c>
      <c r="K602" t="str">
        <v>pass</v>
      </c>
      <c r="L602" s="4" t="str">
        <f t="shared" si="16"/>
        <v>pass</v>
      </c>
      <c r="N602" s="4" cm="1">
        <f t="array" ref="N602">SUM(--(_xlfn.TEXTSPLIT($J$423,, " ") = M602))</f>
        <v>1</v>
      </c>
      <c r="O602">
        <v>1</v>
      </c>
      <c r="P602">
        <v>0</v>
      </c>
      <c r="Q602">
        <v>1</v>
      </c>
      <c r="R602" s="4"/>
      <c r="S602" s="10"/>
    </row>
    <row r="603" spans="5:19" x14ac:dyDescent="0.2">
      <c r="E603" s="4" t="s">
        <v>17</v>
      </c>
      <c r="K603" t="str">
        <v>or</v>
      </c>
      <c r="L603" s="4" t="str">
        <f t="shared" si="16"/>
        <v>or</v>
      </c>
      <c r="N603" s="4" cm="1">
        <f t="array" ref="N603">SUM(--(_xlfn.TEXTSPLIT($J$423,, " ") = M603))</f>
        <v>1</v>
      </c>
      <c r="O603">
        <v>1</v>
      </c>
      <c r="P603">
        <v>0</v>
      </c>
      <c r="Q603">
        <v>1</v>
      </c>
      <c r="R603" s="4"/>
      <c r="S603" s="10"/>
    </row>
    <row r="604" spans="5:19" x14ac:dyDescent="0.2">
      <c r="E604" s="4" t="s">
        <v>17</v>
      </c>
      <c r="K604" t="str">
        <v>fail,</v>
      </c>
      <c r="L604" s="4" t="str">
        <f t="shared" si="16"/>
        <v xml:space="preserve">fail </v>
      </c>
      <c r="N604" s="4" cm="1">
        <f t="array" ref="N604">SUM(--(_xlfn.TEXTSPLIT($J$423,, " ") = M604))</f>
        <v>1</v>
      </c>
      <c r="O604">
        <v>1</v>
      </c>
      <c r="P604">
        <v>0</v>
      </c>
      <c r="Q604">
        <v>1</v>
      </c>
      <c r="R604" s="4"/>
      <c r="S604" s="10"/>
    </row>
    <row r="605" spans="5:19" x14ac:dyDescent="0.2">
      <c r="E605" s="4" t="s">
        <v>17</v>
      </c>
      <c r="K605" t="str">
        <v>but</v>
      </c>
      <c r="L605" s="4" t="str">
        <f t="shared" si="16"/>
        <v>but</v>
      </c>
      <c r="N605" s="4" cm="1">
        <f t="array" ref="N605">SUM(--(_xlfn.TEXTSPLIT($J$423,, " ") = M605))</f>
        <v>1</v>
      </c>
      <c r="O605">
        <v>1</v>
      </c>
      <c r="P605">
        <v>0</v>
      </c>
      <c r="Q605">
        <v>1</v>
      </c>
      <c r="R605" s="4"/>
      <c r="S605" s="10"/>
    </row>
    <row r="606" spans="5:19" x14ac:dyDescent="0.2">
      <c r="E606" s="4" t="s">
        <v>17</v>
      </c>
      <c r="K606" t="str">
        <v>a</v>
      </c>
      <c r="L606" s="4" t="str">
        <f t="shared" si="16"/>
        <v>a</v>
      </c>
      <c r="N606" s="4" cm="1">
        <f t="array" ref="N606">SUM(--(_xlfn.TEXTSPLIT($J$423,, " ") = M606))</f>
        <v>1</v>
      </c>
      <c r="O606">
        <v>1</v>
      </c>
      <c r="P606">
        <v>0</v>
      </c>
      <c r="Q606">
        <v>1</v>
      </c>
      <c r="R606" s="4"/>
      <c r="S606" s="10"/>
    </row>
    <row r="607" spans="5:19" x14ac:dyDescent="0.2">
      <c r="E607" s="4" t="s">
        <v>17</v>
      </c>
      <c r="K607" t="str">
        <v>poisonous</v>
      </c>
      <c r="L607" s="4" t="str">
        <f t="shared" si="16"/>
        <v>poisonous</v>
      </c>
      <c r="N607" s="4" cm="1">
        <f t="array" ref="N607">SUM(--(_xlfn.TEXTSPLIT($J$423,, " ") = M607))</f>
        <v>1</v>
      </c>
      <c r="O607">
        <v>1</v>
      </c>
      <c r="P607">
        <v>0</v>
      </c>
      <c r="Q607">
        <v>1</v>
      </c>
      <c r="R607" s="4"/>
      <c r="S607" s="10"/>
    </row>
    <row r="608" spans="5:19" x14ac:dyDescent="0.2">
      <c r="E608" s="4" t="s">
        <v>17</v>
      </c>
      <c r="K608" t="str">
        <v>progression</v>
      </c>
      <c r="L608" s="4" t="str">
        <f t="shared" si="16"/>
        <v>progression</v>
      </c>
      <c r="N608" s="4" cm="1">
        <f t="array" ref="N608">SUM(--(_xlfn.TEXTSPLIT($J$423,, " ") = M608))</f>
        <v>1</v>
      </c>
      <c r="O608">
        <v>1</v>
      </c>
      <c r="P608">
        <v>0</v>
      </c>
      <c r="Q608">
        <v>1</v>
      </c>
      <c r="R608" s="4"/>
      <c r="S608" s="10"/>
    </row>
    <row r="609" spans="5:19" x14ac:dyDescent="0.2">
      <c r="E609" s="4" t="s">
        <v>17</v>
      </c>
      <c r="K609" t="str">
        <v>(Never</v>
      </c>
      <c r="L609" s="4" t="str">
        <f t="shared" si="16"/>
        <v xml:space="preserve"> Never</v>
      </c>
      <c r="N609" s="4" cm="1">
        <f t="array" ref="N609">SUM(--(_xlfn.TEXTSPLIT($J$423,, " ") = M609))</f>
        <v>1</v>
      </c>
      <c r="O609">
        <v>1</v>
      </c>
      <c r="P609">
        <v>0</v>
      </c>
      <c r="Q609">
        <v>1</v>
      </c>
      <c r="R609" s="4"/>
      <c r="S609" s="10"/>
    </row>
    <row r="610" spans="5:19" x14ac:dyDescent="0.2">
      <c r="E610" s="4" t="s">
        <v>17</v>
      </c>
      <c r="K610" t="str">
        <v>slowing</v>
      </c>
      <c r="L610" s="4" t="str">
        <f t="shared" si="16"/>
        <v>slowing</v>
      </c>
      <c r="N610" s="4" cm="1">
        <f t="array" ref="N610">SUM(--(_xlfn.TEXTSPLIT($J$423,, " ") = M610))</f>
        <v>1</v>
      </c>
      <c r="O610">
        <v>1</v>
      </c>
      <c r="P610">
        <v>0</v>
      </c>
      <c r="Q610">
        <v>1</v>
      </c>
      <c r="R610" s="4"/>
      <c r="S610" s="10"/>
    </row>
    <row r="611" spans="5:19" x14ac:dyDescent="0.2">
      <c r="E611" s="4" t="s">
        <v>17</v>
      </c>
      <c r="K611" t="str">
        <v>down,</v>
      </c>
      <c r="L611" s="4" t="str">
        <f t="shared" si="16"/>
        <v xml:space="preserve">down </v>
      </c>
      <c r="N611" s="4" cm="1">
        <f t="array" ref="N611">SUM(--(_xlfn.TEXTSPLIT($J$423,, " ") = M611))</f>
        <v>1</v>
      </c>
      <c r="O611">
        <v>1</v>
      </c>
      <c r="P611">
        <v>0</v>
      </c>
      <c r="Q611">
        <v>1</v>
      </c>
      <c r="R611" s="4"/>
      <c r="S611" s="10"/>
    </row>
    <row r="612" spans="5:19" x14ac:dyDescent="0.2">
      <c r="E612" s="4" t="s">
        <v>17</v>
      </c>
      <c r="K612" t="str">
        <v>never</v>
      </c>
      <c r="L612" s="4" t="str">
        <f t="shared" si="16"/>
        <v>never</v>
      </c>
      <c r="N612" s="4" cm="1">
        <f t="array" ref="N612">SUM(--(_xlfn.TEXTSPLIT($J$423,, " ") = M612))</f>
        <v>1</v>
      </c>
      <c r="O612">
        <v>1</v>
      </c>
      <c r="P612">
        <v>0</v>
      </c>
      <c r="Q612">
        <v>1</v>
      </c>
      <c r="R612" s="4"/>
      <c r="S612" s="10"/>
    </row>
    <row r="613" spans="5:19" x14ac:dyDescent="0.2">
      <c r="E613" s="4" t="s">
        <v>17</v>
      </c>
      <c r="K613" t="str">
        <v>slowing</v>
      </c>
      <c r="L613" s="4" t="str">
        <f t="shared" si="16"/>
        <v>slowing</v>
      </c>
      <c r="N613" s="4" cm="1">
        <f t="array" ref="N613">SUM(--(_xlfn.TEXTSPLIT($J$423,, " ") = M613))</f>
        <v>1</v>
      </c>
      <c r="O613">
        <v>1</v>
      </c>
      <c r="P613">
        <v>0</v>
      </c>
      <c r="Q613">
        <v>1</v>
      </c>
      <c r="R613" s="4"/>
      <c r="S613" s="10"/>
    </row>
    <row r="614" spans="5:19" x14ac:dyDescent="0.2">
      <c r="E614" s="4" t="s">
        <v>17</v>
      </c>
      <c r="K614" t="str">
        <v xml:space="preserve">down)
</v>
      </c>
      <c r="L614" s="4" t="str">
        <f t="shared" si="16"/>
        <v xml:space="preserve">down  </v>
      </c>
      <c r="N614" s="4" cm="1">
        <f t="array" ref="N614">SUM(--(_xlfn.TEXTSPLIT($J$423,, " ") = M614))</f>
        <v>1</v>
      </c>
      <c r="O614">
        <v>1</v>
      </c>
      <c r="P614">
        <v>0</v>
      </c>
      <c r="Q614">
        <v>1</v>
      </c>
      <c r="R614" s="4"/>
      <c r="S614" s="10"/>
    </row>
    <row r="615" spans="5:19" x14ac:dyDescent="0.2">
      <c r="E615" s="4" t="s">
        <v>17</v>
      </c>
      <c r="K615" t="str">
        <v>Try</v>
      </c>
      <c r="L615" s="4" t="str">
        <f t="shared" si="16"/>
        <v>Try</v>
      </c>
      <c r="N615" s="4" cm="1">
        <f t="array" ref="N615">SUM(--(_xlfn.TEXTSPLIT($J$423,, " ") = M615))</f>
        <v>1</v>
      </c>
      <c r="O615">
        <v>1</v>
      </c>
      <c r="P615">
        <v>0</v>
      </c>
      <c r="Q615">
        <v>1</v>
      </c>
      <c r="R615" s="4"/>
      <c r="S615" s="10"/>
    </row>
    <row r="616" spans="5:19" x14ac:dyDescent="0.2">
      <c r="E616" s="4" t="s">
        <v>17</v>
      </c>
      <c r="K616" t="str">
        <v>to</v>
      </c>
      <c r="L616" s="4" t="str">
        <f t="shared" si="16"/>
        <v>to</v>
      </c>
      <c r="N616" s="4" cm="1">
        <f t="array" ref="N616">SUM(--(_xlfn.TEXTSPLIT($J$423,, " ") = M616))</f>
        <v>1</v>
      </c>
      <c r="O616">
        <v>1</v>
      </c>
      <c r="P616">
        <v>0</v>
      </c>
      <c r="Q616">
        <v>1</v>
      </c>
      <c r="R616" s="4"/>
      <c r="S616" s="10"/>
    </row>
    <row r="617" spans="5:19" x14ac:dyDescent="0.2">
      <c r="E617" s="4" t="s">
        <v>17</v>
      </c>
      <c r="K617" t="str">
        <v>micro-dose</v>
      </c>
      <c r="L617" s="4" t="str">
        <f t="shared" si="16"/>
        <v>micro dose</v>
      </c>
      <c r="N617" s="4" cm="1">
        <f t="array" ref="N617">SUM(--(_xlfn.TEXTSPLIT($J$423,, " ") = M617))</f>
        <v>1</v>
      </c>
      <c r="O617">
        <v>1</v>
      </c>
      <c r="P617">
        <v>0</v>
      </c>
      <c r="Q617">
        <v>1</v>
      </c>
      <c r="R617" s="4"/>
      <c r="S617" s="10"/>
    </row>
    <row r="618" spans="5:19" x14ac:dyDescent="0.2">
      <c r="E618" s="4" t="s">
        <v>17</v>
      </c>
      <c r="K618" t="str">
        <v>to</v>
      </c>
      <c r="L618" s="4" t="str">
        <f t="shared" si="16"/>
        <v>to</v>
      </c>
      <c r="N618" s="4" cm="1">
        <f t="array" ref="N618">SUM(--(_xlfn.TEXTSPLIT($J$423,, " ") = M618))</f>
        <v>1</v>
      </c>
      <c r="O618">
        <v>1</v>
      </c>
      <c r="P618">
        <v>0</v>
      </c>
      <c r="Q618">
        <v>1</v>
      </c>
      <c r="R618" s="4"/>
      <c r="S618" s="10"/>
    </row>
    <row r="619" spans="5:19" x14ac:dyDescent="0.2">
      <c r="E619" s="4" t="s">
        <v>17</v>
      </c>
      <c r="K619" t="str">
        <v>immunity</v>
      </c>
      <c r="L619" s="4" t="str">
        <f t="shared" si="16"/>
        <v>immunity</v>
      </c>
      <c r="N619" s="4" cm="1">
        <f t="array" ref="N619">SUM(--(_xlfn.TEXTSPLIT($J$423,, " ") = M619))</f>
        <v>1</v>
      </c>
      <c r="O619">
        <v>1</v>
      </c>
      <c r="P619">
        <v>0</v>
      </c>
      <c r="Q619">
        <v>1</v>
      </c>
      <c r="R619" s="4"/>
      <c r="S619" s="10"/>
    </row>
    <row r="620" spans="5:19" x14ac:dyDescent="0.2">
      <c r="E620" s="4" t="s">
        <v>17</v>
      </c>
      <c r="K620" t="str">
        <v>but</v>
      </c>
      <c r="L620" s="4" t="str">
        <f t="shared" si="16"/>
        <v>but</v>
      </c>
      <c r="N620" s="4" cm="1">
        <f t="array" ref="N620">SUM(--(_xlfn.TEXTSPLIT($J$423,, " ") = M620))</f>
        <v>1</v>
      </c>
      <c r="O620">
        <v>1</v>
      </c>
      <c r="P620">
        <v>0</v>
      </c>
      <c r="Q620">
        <v>1</v>
      </c>
      <c r="R620" s="4"/>
      <c r="S620" s="10"/>
    </row>
    <row r="621" spans="5:19" x14ac:dyDescent="0.2">
      <c r="E621" s="4" t="s">
        <v>17</v>
      </c>
      <c r="K621" t="str">
        <v>you'll</v>
      </c>
      <c r="L621" s="4" t="str">
        <f t="shared" si="16"/>
        <v>you ll</v>
      </c>
      <c r="N621" s="4" cm="1">
        <f t="array" ref="N621">SUM(--(_xlfn.TEXTSPLIT($J$423,, " ") = M621))</f>
        <v>1</v>
      </c>
      <c r="O621">
        <v>1</v>
      </c>
      <c r="P621">
        <v>0</v>
      </c>
      <c r="Q621">
        <v>1</v>
      </c>
      <c r="R621" s="4"/>
      <c r="S621" s="10"/>
    </row>
    <row r="622" spans="5:19" x14ac:dyDescent="0.2">
      <c r="E622" s="4" t="s">
        <v>17</v>
      </c>
      <c r="K622" t="str">
        <v>never,</v>
      </c>
      <c r="L622" s="4" t="str">
        <f t="shared" si="16"/>
        <v xml:space="preserve">never </v>
      </c>
      <c r="N622" s="4" cm="1">
        <f t="array" ref="N622">SUM(--(_xlfn.TEXTSPLIT($J$423,, " ") = M622))</f>
        <v>1</v>
      </c>
      <c r="O622">
        <v>1</v>
      </c>
      <c r="P622">
        <v>0</v>
      </c>
      <c r="Q622">
        <v>1</v>
      </c>
      <c r="R622" s="4"/>
      <c r="S622" s="10"/>
    </row>
    <row r="623" spans="5:19" x14ac:dyDescent="0.2">
      <c r="E623" s="4" t="s">
        <v>17</v>
      </c>
      <c r="K623" t="str">
        <v>ever</v>
      </c>
      <c r="L623" s="4" t="str">
        <f t="shared" si="16"/>
        <v>ever</v>
      </c>
      <c r="N623" s="4" cm="1">
        <f t="array" ref="N623">SUM(--(_xlfn.TEXTSPLIT($J$423,, " ") = M623))</f>
        <v>1</v>
      </c>
      <c r="O623">
        <v>1</v>
      </c>
      <c r="P623">
        <v>0</v>
      </c>
      <c r="Q623">
        <v>1</v>
      </c>
      <c r="R623" s="4"/>
      <c r="S623" s="10"/>
    </row>
    <row r="624" spans="5:19" x14ac:dyDescent="0.2">
      <c r="E624" s="4" t="s">
        <v>17</v>
      </c>
      <c r="K624" t="str">
        <v>get</v>
      </c>
      <c r="L624" s="4" t="str">
        <f t="shared" si="16"/>
        <v>get</v>
      </c>
      <c r="N624" s="4" cm="1">
        <f t="array" ref="N624">SUM(--(_xlfn.TEXTSPLIT($J$423,, " ") = M624))</f>
        <v>1</v>
      </c>
      <c r="O624">
        <v>1</v>
      </c>
      <c r="P624">
        <v>0</v>
      </c>
      <c r="Q624">
        <v>1</v>
      </c>
      <c r="R624" s="4"/>
      <c r="S624" s="10"/>
    </row>
    <row r="625" spans="5:19" x14ac:dyDescent="0.2">
      <c r="E625" s="4" t="s">
        <v>17</v>
      </c>
      <c r="K625" t="str">
        <v>it</v>
      </c>
      <c r="L625" s="4" t="str">
        <f t="shared" si="16"/>
        <v>it</v>
      </c>
      <c r="N625" s="4" cm="1">
        <f t="array" ref="N625">SUM(--(_xlfn.TEXTSPLIT($J$423,, " ") = M625))</f>
        <v>1</v>
      </c>
      <c r="O625">
        <v>1</v>
      </c>
      <c r="P625">
        <v>0</v>
      </c>
      <c r="Q625">
        <v>1</v>
      </c>
      <c r="R625" s="4"/>
      <c r="S625" s="10"/>
    </row>
    <row r="626" spans="5:19" x14ac:dyDescent="0.2">
      <c r="E626" s="4" t="s">
        <v>17</v>
      </c>
      <c r="K626" t="str">
        <v>(Never</v>
      </c>
      <c r="L626" s="4" t="str">
        <f t="shared" si="16"/>
        <v xml:space="preserve"> Never</v>
      </c>
      <c r="N626" s="4" cm="1">
        <f t="array" ref="N626">SUM(--(_xlfn.TEXTSPLIT($J$423,, " ") = M626))</f>
        <v>1</v>
      </c>
      <c r="O626">
        <v>1</v>
      </c>
      <c r="P626">
        <v>0</v>
      </c>
      <c r="Q626">
        <v>1</v>
      </c>
      <c r="R626" s="4"/>
      <c r="S626" s="10"/>
    </row>
    <row r="627" spans="5:19" x14ac:dyDescent="0.2">
      <c r="E627" s="4" t="s">
        <v>17</v>
      </c>
      <c r="K627" t="str">
        <v>slowing</v>
      </c>
      <c r="L627" s="4" t="str">
        <f t="shared" si="16"/>
        <v>slowing</v>
      </c>
      <c r="N627" s="4" cm="1">
        <f t="array" ref="N627">SUM(--(_xlfn.TEXTSPLIT($J$423,, " ") = M627))</f>
        <v>1</v>
      </c>
      <c r="O627">
        <v>1</v>
      </c>
      <c r="P627">
        <v>0</v>
      </c>
      <c r="Q627">
        <v>1</v>
      </c>
      <c r="R627" s="4"/>
      <c r="S627" s="10"/>
    </row>
    <row r="628" spans="5:19" x14ac:dyDescent="0.2">
      <c r="E628" s="4" t="s">
        <v>17</v>
      </c>
      <c r="K628" t="str">
        <v>down,</v>
      </c>
      <c r="L628" s="4" t="str">
        <f t="shared" si="16"/>
        <v xml:space="preserve">down </v>
      </c>
      <c r="N628" s="4" cm="1">
        <f t="array" ref="N628">SUM(--(_xlfn.TEXTSPLIT($J$423,, " ") = M628))</f>
        <v>1</v>
      </c>
      <c r="O628">
        <v>1</v>
      </c>
      <c r="P628">
        <v>0</v>
      </c>
      <c r="Q628">
        <v>1</v>
      </c>
      <c r="R628" s="4"/>
      <c r="S628" s="10"/>
    </row>
    <row r="629" spans="5:19" x14ac:dyDescent="0.2">
      <c r="E629" s="4" t="s">
        <v>17</v>
      </c>
      <c r="K629" t="str">
        <v>never</v>
      </c>
      <c r="L629" s="4" t="str">
        <f t="shared" si="16"/>
        <v>never</v>
      </c>
      <c r="N629" s="4" cm="1">
        <f t="array" ref="N629">SUM(--(_xlfn.TEXTSPLIT($J$423,, " ") = M629))</f>
        <v>1</v>
      </c>
      <c r="O629">
        <v>1</v>
      </c>
      <c r="P629">
        <v>0</v>
      </c>
      <c r="Q629">
        <v>1</v>
      </c>
      <c r="R629" s="4"/>
      <c r="S629" s="10"/>
    </row>
    <row r="630" spans="5:19" x14ac:dyDescent="0.2">
      <c r="E630" s="4" t="s">
        <v>17</v>
      </c>
      <c r="K630" t="str">
        <v>slowing</v>
      </c>
      <c r="L630" s="4" t="str">
        <f t="shared" si="16"/>
        <v>slowing</v>
      </c>
      <c r="N630" s="4" cm="1">
        <f t="array" ref="N630">SUM(--(_xlfn.TEXTSPLIT($J$423,, " ") = M630))</f>
        <v>1</v>
      </c>
      <c r="O630">
        <v>1</v>
      </c>
      <c r="P630">
        <v>0</v>
      </c>
      <c r="Q630">
        <v>1</v>
      </c>
      <c r="R630" s="4"/>
      <c r="S630" s="10"/>
    </row>
    <row r="631" spans="5:19" x14ac:dyDescent="0.2">
      <c r="E631" s="4" t="s">
        <v>17</v>
      </c>
      <c r="K631" t="str">
        <v xml:space="preserve">down)
</v>
      </c>
      <c r="L631" s="4" t="str">
        <f t="shared" si="16"/>
        <v xml:space="preserve">down  </v>
      </c>
      <c r="N631" s="4" cm="1">
        <f t="array" ref="N631">SUM(--(_xlfn.TEXTSPLIT($J$423,, " ") = M631))</f>
        <v>1</v>
      </c>
      <c r="O631">
        <v>1</v>
      </c>
      <c r="P631">
        <v>0</v>
      </c>
      <c r="Q631">
        <v>1</v>
      </c>
      <c r="R631" s="4"/>
      <c r="S631" s="10"/>
    </row>
    <row r="632" spans="5:19" x14ac:dyDescent="0.2">
      <c r="E632" s="4" t="s">
        <v>17</v>
      </c>
      <c r="K632" t="str">
        <v>And</v>
      </c>
      <c r="L632" s="4" t="str">
        <f t="shared" si="16"/>
        <v>And</v>
      </c>
      <c r="N632" s="4" cm="1">
        <f t="array" ref="N632">SUM(--(_xlfn.TEXTSPLIT($J$423,, " ") = M632))</f>
        <v>1</v>
      </c>
      <c r="O632">
        <v>1</v>
      </c>
      <c r="P632">
        <v>0</v>
      </c>
      <c r="Q632">
        <v>1</v>
      </c>
      <c r="R632" s="4"/>
      <c r="S632" s="10"/>
    </row>
    <row r="633" spans="5:19" x14ac:dyDescent="0.2">
      <c r="E633" s="4" t="s">
        <v>17</v>
      </c>
      <c r="K633" t="str">
        <v>I</v>
      </c>
      <c r="L633" s="4" t="str">
        <f t="shared" si="16"/>
        <v>I</v>
      </c>
      <c r="N633" s="4" cm="1">
        <f t="array" ref="N633">SUM(--(_xlfn.TEXTSPLIT($J$423,, " ") = M633))</f>
        <v>1</v>
      </c>
      <c r="O633">
        <v>1</v>
      </c>
      <c r="P633">
        <v>0</v>
      </c>
      <c r="Q633">
        <v>1</v>
      </c>
      <c r="R633" s="4"/>
      <c r="S633" s="10"/>
    </row>
    <row r="634" spans="5:19" x14ac:dyDescent="0.2">
      <c r="E634" s="4" t="s">
        <v>17</v>
      </c>
      <c r="K634" t="str">
        <v>go,</v>
      </c>
      <c r="L634" s="4" t="str">
        <f t="shared" si="16"/>
        <v xml:space="preserve">go </v>
      </c>
      <c r="N634" s="4" cm="1">
        <f t="array" ref="N634">SUM(--(_xlfn.TEXTSPLIT($J$423,, " ") = M634))</f>
        <v>1</v>
      </c>
      <c r="O634">
        <v>1</v>
      </c>
      <c r="P634">
        <v>0</v>
      </c>
      <c r="Q634">
        <v>1</v>
      </c>
      <c r="R634" s="4"/>
      <c r="S634" s="10"/>
    </row>
    <row r="635" spans="5:19" x14ac:dyDescent="0.2">
      <c r="E635" s="4" t="s">
        <v>17</v>
      </c>
      <c r="K635" t="str">
        <v>ah,</v>
      </c>
      <c r="L635" s="4" t="str">
        <f t="shared" si="16"/>
        <v xml:space="preserve">ah </v>
      </c>
      <c r="N635" s="4" cm="1">
        <f t="array" ref="N635">SUM(--(_xlfn.TEXTSPLIT($J$423,, " ") = M635))</f>
        <v>1</v>
      </c>
      <c r="O635">
        <v>1</v>
      </c>
      <c r="P635">
        <v>0</v>
      </c>
      <c r="Q635">
        <v>1</v>
      </c>
      <c r="R635" s="4"/>
      <c r="S635" s="10"/>
    </row>
    <row r="636" spans="5:19" x14ac:dyDescent="0.2">
      <c r="E636" s="4" t="s">
        <v>17</v>
      </c>
      <c r="K636" t="str">
        <v>ah,</v>
      </c>
      <c r="L636" s="4" t="str">
        <f t="shared" si="16"/>
        <v xml:space="preserve">ah </v>
      </c>
      <c r="N636" s="4" cm="1">
        <f t="array" ref="N636">SUM(--(_xlfn.TEXTSPLIT($J$423,, " ") = M636))</f>
        <v>1</v>
      </c>
      <c r="O636">
        <v>1</v>
      </c>
      <c r="P636">
        <v>0</v>
      </c>
      <c r="Q636">
        <v>1</v>
      </c>
      <c r="R636" s="4"/>
      <c r="S636" s="10"/>
    </row>
    <row r="637" spans="5:19" x14ac:dyDescent="0.2">
      <c r="E637" s="4" t="s">
        <v>17</v>
      </c>
      <c r="K637" t="str">
        <v>ah</v>
      </c>
      <c r="L637" s="4" t="str">
        <f t="shared" si="16"/>
        <v>ah</v>
      </c>
      <c r="N637" s="4" cm="1">
        <f t="array" ref="N637">SUM(--(_xlfn.TEXTSPLIT($J$423,, " ") = M637))</f>
        <v>1</v>
      </c>
      <c r="O637">
        <v>1</v>
      </c>
      <c r="P637">
        <v>0</v>
      </c>
      <c r="Q637">
        <v>1</v>
      </c>
      <c r="R637" s="4"/>
      <c r="S637" s="10"/>
    </row>
    <row r="638" spans="5:19" x14ac:dyDescent="0.2">
      <c r="E638" s="4" t="s">
        <v>17</v>
      </c>
      <c r="K638" t="str">
        <v>(Never</v>
      </c>
      <c r="L638" s="4" t="str">
        <f t="shared" si="16"/>
        <v xml:space="preserve"> Never</v>
      </c>
      <c r="N638" s="4" cm="1">
        <f t="array" ref="N638">SUM(--(_xlfn.TEXTSPLIT($J$423,, " ") = M638))</f>
        <v>1</v>
      </c>
      <c r="O638">
        <v>1</v>
      </c>
      <c r="P638">
        <v>0</v>
      </c>
      <c r="Q638">
        <v>1</v>
      </c>
      <c r="R638" s="4"/>
      <c r="S638" s="10"/>
    </row>
    <row r="639" spans="5:19" x14ac:dyDescent="0.2">
      <c r="E639" s="4" t="s">
        <v>17</v>
      </c>
      <c r="K639" t="str">
        <v>slowing</v>
      </c>
      <c r="L639" s="4" t="str">
        <f t="shared" si="16"/>
        <v>slowing</v>
      </c>
      <c r="N639" s="4" cm="1">
        <f t="array" ref="N639">SUM(--(_xlfn.TEXTSPLIT($J$423,, " ") = M639))</f>
        <v>1</v>
      </c>
      <c r="O639">
        <v>1</v>
      </c>
      <c r="P639">
        <v>0</v>
      </c>
      <c r="Q639">
        <v>1</v>
      </c>
      <c r="R639" s="4"/>
      <c r="S639" s="10"/>
    </row>
    <row r="640" spans="5:19" x14ac:dyDescent="0.2">
      <c r="E640" s="4" t="s">
        <v>17</v>
      </c>
      <c r="K640" t="str">
        <v xml:space="preserve">down)
</v>
      </c>
      <c r="L640" s="4" t="str">
        <f t="shared" si="16"/>
        <v xml:space="preserve">down  </v>
      </c>
      <c r="N640" s="4" cm="1">
        <f t="array" ref="N640">SUM(--(_xlfn.TEXTSPLIT($J$423,, " ") = M640))</f>
        <v>1</v>
      </c>
      <c r="O640">
        <v>1</v>
      </c>
      <c r="P640">
        <v>0</v>
      </c>
      <c r="Q640">
        <v>1</v>
      </c>
      <c r="R640" s="4"/>
      <c r="S640" s="10"/>
    </row>
    <row r="641" spans="5:19" x14ac:dyDescent="0.2">
      <c r="E641" s="4" t="s">
        <v>17</v>
      </c>
      <c r="K641" t="str">
        <v>What's</v>
      </c>
      <c r="L641" s="4" t="str">
        <f t="shared" si="16"/>
        <v>What s</v>
      </c>
      <c r="N641" s="4" cm="1">
        <f t="array" ref="N641">SUM(--(_xlfn.TEXTSPLIT($J$423,, " ") = M641))</f>
        <v>1</v>
      </c>
      <c r="O641">
        <v>1</v>
      </c>
      <c r="P641">
        <v>0</v>
      </c>
      <c r="Q641">
        <v>1</v>
      </c>
      <c r="R641" s="4"/>
      <c r="S641" s="10"/>
    </row>
    <row r="642" spans="5:19" x14ac:dyDescent="0.2">
      <c r="E642" s="4" t="s">
        <v>17</v>
      </c>
      <c r="K642" t="str">
        <v>the</v>
      </c>
      <c r="L642" s="4" t="str">
        <f t="shared" si="16"/>
        <v>the</v>
      </c>
      <c r="N642" s="4" cm="1">
        <f t="array" ref="N642">SUM(--(_xlfn.TEXTSPLIT($J$423,, " ") = M642))</f>
        <v>1</v>
      </c>
      <c r="O642">
        <v>1</v>
      </c>
      <c r="P642">
        <v>0</v>
      </c>
      <c r="Q642">
        <v>1</v>
      </c>
      <c r="R642" s="4"/>
      <c r="S642" s="10"/>
    </row>
    <row r="643" spans="5:19" x14ac:dyDescent="0.2">
      <c r="E643" s="4" t="s">
        <v>17</v>
      </c>
      <c r="K643" t="str">
        <v>matter?</v>
      </c>
      <c r="L643" s="4" t="str">
        <f t="shared" si="16"/>
        <v xml:space="preserve">matter </v>
      </c>
      <c r="N643" s="4" cm="1">
        <f t="array" ref="N643">SUM(--(_xlfn.TEXTSPLIT($J$423,, " ") = M643))</f>
        <v>1</v>
      </c>
      <c r="O643">
        <v>1</v>
      </c>
      <c r="P643">
        <v>0</v>
      </c>
      <c r="Q643">
        <v>1</v>
      </c>
      <c r="R643" s="4"/>
      <c r="S643" s="10"/>
    </row>
    <row r="644" spans="5:19" x14ac:dyDescent="0.2">
      <c r="E644" s="4" t="s">
        <v>17</v>
      </c>
      <c r="K644" t="str">
        <v>isn't</v>
      </c>
      <c r="L644" s="4" t="str">
        <f t="shared" ref="L644:L707" si="17">_xlfn.REGEXREPLACE(K644, "[^A-Za-z ]", " ")</f>
        <v>isn t</v>
      </c>
      <c r="N644" s="4" cm="1">
        <f t="array" ref="N644">SUM(--(_xlfn.TEXTSPLIT($J$423,, " ") = M644))</f>
        <v>1</v>
      </c>
      <c r="O644">
        <v>1</v>
      </c>
      <c r="P644">
        <v>0</v>
      </c>
      <c r="Q644">
        <v>1</v>
      </c>
      <c r="R644" s="4"/>
      <c r="S644" s="10"/>
    </row>
    <row r="645" spans="5:19" x14ac:dyDescent="0.2">
      <c r="E645" s="4" t="s">
        <v>17</v>
      </c>
      <c r="K645" t="str">
        <v>helping</v>
      </c>
      <c r="L645" s="4" t="str">
        <f t="shared" si="17"/>
        <v>helping</v>
      </c>
      <c r="N645" s="4" cm="1">
        <f t="array" ref="N645">SUM(--(_xlfn.TEXTSPLIT($J$423,, " ") = M645))</f>
        <v>1</v>
      </c>
      <c r="O645">
        <v>1</v>
      </c>
      <c r="P645">
        <v>0</v>
      </c>
      <c r="Q645">
        <v>1</v>
      </c>
      <c r="R645" s="4"/>
      <c r="S645" s="10"/>
    </row>
    <row r="646" spans="5:19" x14ac:dyDescent="0.2">
      <c r="E646" s="4" t="s">
        <v>17</v>
      </c>
      <c r="K646" t="str">
        <v>(Never</v>
      </c>
      <c r="L646" s="4" t="str">
        <f t="shared" si="17"/>
        <v xml:space="preserve"> Never</v>
      </c>
      <c r="N646" s="4" cm="1">
        <f t="array" ref="N646">SUM(--(_xlfn.TEXTSPLIT($J$423,, " ") = M646))</f>
        <v>1</v>
      </c>
      <c r="O646">
        <v>1</v>
      </c>
      <c r="P646">
        <v>0</v>
      </c>
      <c r="Q646">
        <v>1</v>
      </c>
      <c r="R646" s="4"/>
      <c r="S646" s="10"/>
    </row>
    <row r="647" spans="5:19" x14ac:dyDescent="0.2">
      <c r="E647" s="4" t="s">
        <v>17</v>
      </c>
      <c r="K647" t="str">
        <v>slowing</v>
      </c>
      <c r="L647" s="4" t="str">
        <f t="shared" si="17"/>
        <v>slowing</v>
      </c>
      <c r="N647" s="4" cm="1">
        <f t="array" ref="N647">SUM(--(_xlfn.TEXTSPLIT($J$423,, " ") = M647))</f>
        <v>1</v>
      </c>
      <c r="O647">
        <v>1</v>
      </c>
      <c r="P647">
        <v>0</v>
      </c>
      <c r="Q647">
        <v>1</v>
      </c>
      <c r="R647" s="4"/>
      <c r="S647" s="10"/>
    </row>
    <row r="648" spans="5:19" x14ac:dyDescent="0.2">
      <c r="E648" s="4" t="s">
        <v>17</v>
      </c>
      <c r="K648" t="str">
        <v xml:space="preserve">down)
</v>
      </c>
      <c r="L648" s="4" t="str">
        <f t="shared" si="17"/>
        <v xml:space="preserve">down  </v>
      </c>
      <c r="N648" s="4" cm="1">
        <f t="array" ref="N648">SUM(--(_xlfn.TEXTSPLIT($J$423,, " ") = M648))</f>
        <v>1</v>
      </c>
      <c r="O648">
        <v>1</v>
      </c>
      <c r="P648">
        <v>0</v>
      </c>
      <c r="Q648">
        <v>1</v>
      </c>
      <c r="R648" s="4"/>
      <c r="S648" s="10"/>
    </row>
    <row r="649" spans="5:19" x14ac:dyDescent="0.2">
      <c r="E649" s="4" t="s">
        <v>17</v>
      </c>
      <c r="K649" t="str">
        <v>You</v>
      </c>
      <c r="L649" s="4" t="str">
        <f t="shared" si="17"/>
        <v>You</v>
      </c>
      <c r="N649" s="4" cm="1">
        <f t="array" ref="N649">SUM(--(_xlfn.TEXTSPLIT($J$423,, " ") = M649))</f>
        <v>1</v>
      </c>
      <c r="O649">
        <v>1</v>
      </c>
      <c r="P649">
        <v>0</v>
      </c>
      <c r="Q649">
        <v>1</v>
      </c>
      <c r="R649" s="4"/>
      <c r="S649" s="10"/>
    </row>
    <row r="650" spans="5:19" x14ac:dyDescent="0.2">
      <c r="E650" s="4" t="s">
        <v>17</v>
      </c>
      <c r="K650" t="str">
        <v>go,</v>
      </c>
      <c r="L650" s="4" t="str">
        <f t="shared" si="17"/>
        <v xml:space="preserve">go </v>
      </c>
      <c r="N650" s="4" cm="1">
        <f t="array" ref="N650">SUM(--(_xlfn.TEXTSPLIT($J$423,, " ") = M650))</f>
        <v>1</v>
      </c>
      <c r="O650">
        <v>1</v>
      </c>
      <c r="P650">
        <v>0</v>
      </c>
      <c r="Q650">
        <v>1</v>
      </c>
      <c r="R650" s="4"/>
      <c r="S650" s="10"/>
    </row>
    <row r="651" spans="5:19" x14ac:dyDescent="0.2">
      <c r="E651" s="4" t="s">
        <v>17</v>
      </c>
      <c r="K651" t="str">
        <v>ooh,</v>
      </c>
      <c r="L651" s="4" t="str">
        <f t="shared" si="17"/>
        <v xml:space="preserve">ooh </v>
      </c>
      <c r="N651" s="4" cm="1">
        <f t="array" ref="N651">SUM(--(_xlfn.TEXTSPLIT($J$423,, " ") = M651))</f>
        <v>1</v>
      </c>
      <c r="O651">
        <v>1</v>
      </c>
      <c r="P651">
        <v>0</v>
      </c>
      <c r="Q651">
        <v>1</v>
      </c>
      <c r="R651" s="4"/>
      <c r="S651" s="10"/>
    </row>
    <row r="652" spans="5:19" x14ac:dyDescent="0.2">
      <c r="E652" s="4" t="s">
        <v>17</v>
      </c>
      <c r="K652" t="str">
        <v>ooh,</v>
      </c>
      <c r="L652" s="4" t="str">
        <f t="shared" si="17"/>
        <v xml:space="preserve">ooh </v>
      </c>
      <c r="N652" s="4" cm="1">
        <f t="array" ref="N652">SUM(--(_xlfn.TEXTSPLIT($J$423,, " ") = M652))</f>
        <v>1</v>
      </c>
      <c r="O652">
        <v>1</v>
      </c>
      <c r="P652">
        <v>0</v>
      </c>
      <c r="Q652">
        <v>1</v>
      </c>
      <c r="R652" s="4"/>
      <c r="S652" s="10"/>
    </row>
    <row r="653" spans="5:19" x14ac:dyDescent="0.2">
      <c r="E653" s="4" t="s">
        <v>17</v>
      </c>
      <c r="K653" t="str">
        <v>ooh</v>
      </c>
      <c r="L653" s="4" t="str">
        <f t="shared" si="17"/>
        <v>ooh</v>
      </c>
      <c r="N653" s="4" cm="1">
        <f t="array" ref="N653">SUM(--(_xlfn.TEXTSPLIT($J$423,, " ") = M653))</f>
        <v>1</v>
      </c>
      <c r="O653">
        <v>1</v>
      </c>
      <c r="P653">
        <v>0</v>
      </c>
      <c r="Q653">
        <v>1</v>
      </c>
      <c r="R653" s="4"/>
      <c r="S653" s="10"/>
    </row>
    <row r="654" spans="5:19" x14ac:dyDescent="0.2">
      <c r="E654" s="4" t="s">
        <v>17</v>
      </c>
      <c r="K654" t="str">
        <v>(Never</v>
      </c>
      <c r="L654" s="4" t="str">
        <f t="shared" si="17"/>
        <v xml:space="preserve"> Never</v>
      </c>
      <c r="N654" s="4" cm="1">
        <f t="array" ref="N654">SUM(--(_xlfn.TEXTSPLIT($J$423,, " ") = M654))</f>
        <v>1</v>
      </c>
      <c r="O654">
        <v>1</v>
      </c>
      <c r="P654">
        <v>0</v>
      </c>
      <c r="Q654">
        <v>1</v>
      </c>
      <c r="R654" s="4"/>
      <c r="S654" s="10"/>
    </row>
    <row r="655" spans="5:19" x14ac:dyDescent="0.2">
      <c r="E655" s="4" t="s">
        <v>17</v>
      </c>
      <c r="K655" t="str">
        <v>slowing</v>
      </c>
      <c r="L655" s="4" t="str">
        <f t="shared" si="17"/>
        <v>slowing</v>
      </c>
      <c r="N655" s="4" cm="1">
        <f t="array" ref="N655">SUM(--(_xlfn.TEXTSPLIT($J$423,, " ") = M655))</f>
        <v>1</v>
      </c>
      <c r="O655">
        <v>1</v>
      </c>
      <c r="P655">
        <v>0</v>
      </c>
      <c r="Q655">
        <v>1</v>
      </c>
      <c r="R655" s="4"/>
      <c r="S655" s="10"/>
    </row>
    <row r="656" spans="5:19" x14ac:dyDescent="0.2">
      <c r="E656" s="4" t="s">
        <v>17</v>
      </c>
      <c r="K656" t="str">
        <v xml:space="preserve">down)
</v>
      </c>
      <c r="L656" s="4" t="str">
        <f t="shared" si="17"/>
        <v xml:space="preserve">down  </v>
      </c>
      <c r="N656" s="4" cm="1">
        <f t="array" ref="N656">SUM(--(_xlfn.TEXTSPLIT($J$423,, " ") = M656))</f>
        <v>1</v>
      </c>
      <c r="O656">
        <v>1</v>
      </c>
      <c r="P656">
        <v>0</v>
      </c>
      <c r="Q656">
        <v>1</v>
      </c>
      <c r="R656" s="4"/>
      <c r="S656" s="10"/>
    </row>
    <row r="657" spans="5:19" x14ac:dyDescent="0.2">
      <c r="E657" s="4" t="s">
        <v>17</v>
      </c>
      <c r="K657" t="str">
        <v>I</v>
      </c>
      <c r="L657" s="4" t="str">
        <f t="shared" si="17"/>
        <v>I</v>
      </c>
      <c r="N657" s="4" cm="1">
        <f t="array" ref="N657">SUM(--(_xlfn.TEXTSPLIT($J$423,, " ") = M657))</f>
        <v>1</v>
      </c>
      <c r="O657">
        <v>1</v>
      </c>
      <c r="P657">
        <v>0</v>
      </c>
      <c r="Q657">
        <v>1</v>
      </c>
      <c r="R657" s="4"/>
      <c r="S657" s="10"/>
    </row>
    <row r="658" spans="5:19" x14ac:dyDescent="0.2">
      <c r="E658" s="4" t="s">
        <v>17</v>
      </c>
      <c r="K658" t="str">
        <v>wish</v>
      </c>
      <c r="L658" s="4" t="str">
        <f t="shared" si="17"/>
        <v>wish</v>
      </c>
      <c r="N658" s="4" cm="1">
        <f t="array" ref="N658">SUM(--(_xlfn.TEXTSPLIT($J$423,, " ") = M658))</f>
        <v>1</v>
      </c>
      <c r="O658">
        <v>1</v>
      </c>
      <c r="P658">
        <v>0</v>
      </c>
      <c r="Q658">
        <v>1</v>
      </c>
      <c r="R658" s="4"/>
      <c r="S658" s="10"/>
    </row>
    <row r="659" spans="5:19" x14ac:dyDescent="0.2">
      <c r="E659" s="4" t="s">
        <v>17</v>
      </c>
      <c r="K659" t="str">
        <v>her</v>
      </c>
      <c r="L659" s="4" t="str">
        <f t="shared" si="17"/>
        <v>her</v>
      </c>
      <c r="N659" s="4" cm="1">
        <f t="array" ref="N659">SUM(--(_xlfn.TEXTSPLIT($J$423,, " ") = M659))</f>
        <v>1</v>
      </c>
      <c r="O659">
        <v>1</v>
      </c>
      <c r="P659">
        <v>0</v>
      </c>
      <c r="Q659">
        <v>1</v>
      </c>
      <c r="R659" s="4"/>
      <c r="S659" s="10"/>
    </row>
    <row r="660" spans="5:19" x14ac:dyDescent="0.2">
      <c r="E660" s="4" t="s">
        <v>17</v>
      </c>
      <c r="K660" t="str">
        <v>parents</v>
      </c>
      <c r="L660" s="4" t="str">
        <f t="shared" si="17"/>
        <v>parents</v>
      </c>
      <c r="N660" s="4" cm="1">
        <f t="array" ref="N660">SUM(--(_xlfn.TEXTSPLIT($J$423,, " ") = M660))</f>
        <v>1</v>
      </c>
      <c r="O660">
        <v>1</v>
      </c>
      <c r="P660">
        <v>0</v>
      </c>
      <c r="Q660">
        <v>1</v>
      </c>
      <c r="R660" s="4"/>
      <c r="S660" s="10"/>
    </row>
    <row r="661" spans="5:19" x14ac:dyDescent="0.2">
      <c r="E661" s="4" t="s">
        <v>17</v>
      </c>
      <c r="K661" t="str">
        <v>would</v>
      </c>
      <c r="L661" s="4" t="str">
        <f t="shared" si="17"/>
        <v>would</v>
      </c>
      <c r="N661" s="4" cm="1">
        <f t="array" ref="N661">SUM(--(_xlfn.TEXTSPLIT($J$423,, " ") = M661))</f>
        <v>1</v>
      </c>
      <c r="O661">
        <v>1</v>
      </c>
      <c r="P661">
        <v>0</v>
      </c>
      <c r="Q661">
        <v>1</v>
      </c>
      <c r="R661" s="4"/>
      <c r="S661" s="10"/>
    </row>
    <row r="662" spans="5:19" x14ac:dyDescent="0.2">
      <c r="E662" s="4" t="s">
        <v>17</v>
      </c>
      <c r="K662" t="str">
        <v>stop</v>
      </c>
      <c r="L662" s="4" t="str">
        <f t="shared" si="17"/>
        <v>stop</v>
      </c>
      <c r="N662" s="4" cm="1">
        <f t="array" ref="N662">SUM(--(_xlfn.TEXTSPLIT($J$423,, " ") = M662))</f>
        <v>1</v>
      </c>
      <c r="O662">
        <v>1</v>
      </c>
      <c r="P662">
        <v>0</v>
      </c>
      <c r="Q662">
        <v>1</v>
      </c>
      <c r="R662" s="4"/>
      <c r="S662" s="10"/>
    </row>
    <row r="663" spans="5:19" x14ac:dyDescent="0.2">
      <c r="E663" s="4" t="s">
        <v>17</v>
      </c>
      <c r="K663" t="str">
        <v>yelling</v>
      </c>
      <c r="L663" s="4" t="str">
        <f t="shared" si="17"/>
        <v>yelling</v>
      </c>
      <c r="N663" s="4" cm="1">
        <f t="array" ref="N663">SUM(--(_xlfn.TEXTSPLIT($J$423,, " ") = M663))</f>
        <v>1</v>
      </c>
      <c r="O663">
        <v>1</v>
      </c>
      <c r="P663">
        <v>0</v>
      </c>
      <c r="Q663">
        <v>1</v>
      </c>
      <c r="R663" s="4"/>
      <c r="S663" s="10"/>
    </row>
    <row r="664" spans="5:19" x14ac:dyDescent="0.2">
      <c r="E664" s="4" t="s">
        <v>17</v>
      </c>
      <c r="K664" t="str">
        <v>(Never</v>
      </c>
      <c r="L664" s="4" t="str">
        <f t="shared" si="17"/>
        <v xml:space="preserve"> Never</v>
      </c>
      <c r="N664" s="4" cm="1">
        <f t="array" ref="N664">SUM(--(_xlfn.TEXTSPLIT($J$423,, " ") = M664))</f>
        <v>1</v>
      </c>
      <c r="O664">
        <v>1</v>
      </c>
      <c r="P664">
        <v>0</v>
      </c>
      <c r="Q664">
        <v>1</v>
      </c>
      <c r="R664" s="4"/>
      <c r="S664" s="10"/>
    </row>
    <row r="665" spans="5:19" x14ac:dyDescent="0.2">
      <c r="E665" s="4" t="s">
        <v>17</v>
      </c>
      <c r="K665" t="str">
        <v>slowing</v>
      </c>
      <c r="L665" s="4" t="str">
        <f t="shared" si="17"/>
        <v>slowing</v>
      </c>
      <c r="N665" s="4" cm="1">
        <f t="array" ref="N665">SUM(--(_xlfn.TEXTSPLIT($J$423,, " ") = M665))</f>
        <v>1</v>
      </c>
      <c r="O665">
        <v>1</v>
      </c>
      <c r="P665">
        <v>0</v>
      </c>
      <c r="Q665">
        <v>1</v>
      </c>
      <c r="R665" s="4"/>
      <c r="S665" s="10"/>
    </row>
    <row r="666" spans="5:19" x14ac:dyDescent="0.2">
      <c r="E666" s="4" t="s">
        <v>17</v>
      </c>
      <c r="K666" t="str">
        <v xml:space="preserve">down)
</v>
      </c>
      <c r="L666" s="4" t="str">
        <f t="shared" si="17"/>
        <v xml:space="preserve">down  </v>
      </c>
      <c r="N666" s="4" cm="1">
        <f t="array" ref="N666">SUM(--(_xlfn.TEXTSPLIT($J$423,, " ") = M666))</f>
        <v>1</v>
      </c>
      <c r="O666">
        <v>1</v>
      </c>
      <c r="P666">
        <v>0</v>
      </c>
      <c r="Q666">
        <v>1</v>
      </c>
      <c r="R666" s="4"/>
      <c r="S666" s="10"/>
    </row>
    <row r="667" spans="5:19" x14ac:dyDescent="0.2">
      <c r="E667" s="4" t="s">
        <v>17</v>
      </c>
      <c r="K667" t="str">
        <v>I</v>
      </c>
      <c r="L667" s="4" t="str">
        <f t="shared" si="17"/>
        <v>I</v>
      </c>
      <c r="N667" s="4" cm="1">
        <f t="array" ref="N667">SUM(--(_xlfn.TEXTSPLIT($J$423,, " ") = M667))</f>
        <v>1</v>
      </c>
      <c r="O667">
        <v>1</v>
      </c>
      <c r="P667">
        <v>0</v>
      </c>
      <c r="Q667">
        <v>1</v>
      </c>
      <c r="R667" s="4"/>
      <c r="S667" s="10"/>
    </row>
    <row r="668" spans="5:19" x14ac:dyDescent="0.2">
      <c r="E668" s="4" t="s">
        <v>17</v>
      </c>
      <c r="K668" t="str">
        <v>could</v>
      </c>
      <c r="L668" s="4" t="str">
        <f t="shared" si="17"/>
        <v>could</v>
      </c>
      <c r="N668" s="4" cm="1">
        <f t="array" ref="N668">SUM(--(_xlfn.TEXTSPLIT($J$423,, " ") = M668))</f>
        <v>1</v>
      </c>
      <c r="O668">
        <v>1</v>
      </c>
      <c r="P668">
        <v>0</v>
      </c>
      <c r="Q668">
        <v>1</v>
      </c>
      <c r="R668" s="4"/>
      <c r="S668" s="10"/>
    </row>
    <row r="669" spans="5:19" x14ac:dyDescent="0.2">
      <c r="E669" s="4" t="s">
        <v>17</v>
      </c>
      <c r="K669" t="str">
        <v>build</v>
      </c>
      <c r="L669" s="4" t="str">
        <f t="shared" si="17"/>
        <v>build</v>
      </c>
      <c r="N669" s="4" cm="1">
        <f t="array" ref="N669">SUM(--(_xlfn.TEXTSPLIT($J$423,, " ") = M669))</f>
        <v>1</v>
      </c>
      <c r="O669">
        <v>1</v>
      </c>
      <c r="P669">
        <v>0</v>
      </c>
      <c r="Q669">
        <v>1</v>
      </c>
      <c r="R669" s="4"/>
      <c r="S669" s="10"/>
    </row>
    <row r="670" spans="5:19" x14ac:dyDescent="0.2">
      <c r="E670" s="4" t="s">
        <v>17</v>
      </c>
      <c r="K670" t="str">
        <v>a</v>
      </c>
      <c r="L670" s="4" t="str">
        <f t="shared" si="17"/>
        <v>a</v>
      </c>
      <c r="N670" s="4" cm="1">
        <f t="array" ref="N670">SUM(--(_xlfn.TEXTSPLIT($J$423,, " ") = M670))</f>
        <v>1</v>
      </c>
      <c r="O670">
        <v>1</v>
      </c>
      <c r="P670">
        <v>0</v>
      </c>
      <c r="Q670">
        <v>1</v>
      </c>
      <c r="R670" s="4"/>
      <c r="S670" s="10"/>
    </row>
    <row r="671" spans="5:19" x14ac:dyDescent="0.2">
      <c r="E671" s="4" t="s">
        <v>17</v>
      </c>
      <c r="K671" t="str">
        <v>tower</v>
      </c>
      <c r="L671" s="4" t="str">
        <f t="shared" si="17"/>
        <v>tower</v>
      </c>
      <c r="N671" s="4" cm="1">
        <f t="array" ref="N671">SUM(--(_xlfn.TEXTSPLIT($J$423,, " ") = M671))</f>
        <v>1</v>
      </c>
      <c r="O671">
        <v>1</v>
      </c>
      <c r="P671">
        <v>0</v>
      </c>
      <c r="Q671">
        <v>1</v>
      </c>
      <c r="R671" s="4"/>
      <c r="S671" s="10"/>
    </row>
    <row r="672" spans="5:19" x14ac:dyDescent="0.2">
      <c r="E672" s="4" t="s">
        <v>17</v>
      </c>
      <c r="K672" t="str">
        <v>with</v>
      </c>
      <c r="L672" s="4" t="str">
        <f t="shared" si="17"/>
        <v>with</v>
      </c>
      <c r="N672" s="4" cm="1">
        <f t="array" ref="N672">SUM(--(_xlfn.TEXTSPLIT($J$423,, " ") = M672))</f>
        <v>1</v>
      </c>
      <c r="O672">
        <v>1</v>
      </c>
      <c r="P672">
        <v>0</v>
      </c>
      <c r="Q672">
        <v>1</v>
      </c>
      <c r="R672" s="4"/>
      <c r="S672" s="10"/>
    </row>
    <row r="673" spans="5:19" x14ac:dyDescent="0.2">
      <c r="E673" s="4" t="s">
        <v>17</v>
      </c>
      <c r="K673" t="str">
        <v>the</v>
      </c>
      <c r="L673" s="4" t="str">
        <f t="shared" si="17"/>
        <v>the</v>
      </c>
      <c r="N673" s="4" cm="1">
        <f t="array" ref="N673">SUM(--(_xlfn.TEXTSPLIT($J$423,, " ") = M673))</f>
        <v>1</v>
      </c>
      <c r="O673">
        <v>1</v>
      </c>
      <c r="P673">
        <v>0</v>
      </c>
      <c r="Q673">
        <v>1</v>
      </c>
      <c r="R673" s="4"/>
      <c r="S673" s="10"/>
    </row>
    <row r="674" spans="5:19" x14ac:dyDescent="0.2">
      <c r="E674" s="4" t="s">
        <v>17</v>
      </c>
      <c r="K674" t="str">
        <v>times</v>
      </c>
      <c r="L674" s="4" t="str">
        <f t="shared" si="17"/>
        <v>times</v>
      </c>
      <c r="N674" s="4" cm="1">
        <f t="array" ref="N674">SUM(--(_xlfn.TEXTSPLIT($J$423,, " ") = M674))</f>
        <v>1</v>
      </c>
      <c r="O674">
        <v>1</v>
      </c>
      <c r="P674">
        <v>0</v>
      </c>
      <c r="Q674">
        <v>1</v>
      </c>
      <c r="R674" s="4"/>
      <c r="S674" s="10"/>
    </row>
    <row r="675" spans="5:19" x14ac:dyDescent="0.2">
      <c r="E675" s="4" t="s">
        <v>17</v>
      </c>
      <c r="K675" t="str">
        <v>I</v>
      </c>
      <c r="L675" s="4" t="str">
        <f t="shared" si="17"/>
        <v>I</v>
      </c>
      <c r="N675" s="4" cm="1">
        <f t="array" ref="N675">SUM(--(_xlfn.TEXTSPLIT($J$423,, " ") = M675))</f>
        <v>1</v>
      </c>
      <c r="O675">
        <v>1</v>
      </c>
      <c r="P675">
        <v>0</v>
      </c>
      <c r="Q675">
        <v>1</v>
      </c>
      <c r="R675" s="4"/>
      <c r="S675" s="10"/>
    </row>
    <row r="676" spans="5:19" x14ac:dyDescent="0.2">
      <c r="E676" s="4" t="s">
        <v>17</v>
      </c>
      <c r="K676" t="str">
        <v>was</v>
      </c>
      <c r="L676" s="4" t="str">
        <f t="shared" si="17"/>
        <v>was</v>
      </c>
      <c r="N676" s="4" cm="1">
        <f t="array" ref="N676">SUM(--(_xlfn.TEXTSPLIT($J$423,, " ") = M676))</f>
        <v>1</v>
      </c>
      <c r="O676">
        <v>1</v>
      </c>
      <c r="P676">
        <v>0</v>
      </c>
      <c r="Q676">
        <v>1</v>
      </c>
      <c r="R676" s="4"/>
      <c r="S676" s="10"/>
    </row>
    <row r="677" spans="5:19" x14ac:dyDescent="0.2">
      <c r="E677" s="4" t="s">
        <v>17</v>
      </c>
      <c r="K677" t="str">
        <v>pretending</v>
      </c>
      <c r="L677" s="4" t="str">
        <f t="shared" si="17"/>
        <v>pretending</v>
      </c>
      <c r="N677" s="4" cm="1">
        <f t="array" ref="N677">SUM(--(_xlfn.TEXTSPLIT($J$423,, " ") = M677))</f>
        <v>1</v>
      </c>
      <c r="O677">
        <v>1</v>
      </c>
      <c r="P677">
        <v>0</v>
      </c>
      <c r="Q677">
        <v>1</v>
      </c>
      <c r="R677" s="4"/>
      <c r="S677" s="10"/>
    </row>
    <row r="678" spans="5:19" x14ac:dyDescent="0.2">
      <c r="E678" s="4" t="s">
        <v>17</v>
      </c>
      <c r="K678" t="str">
        <v>(Never</v>
      </c>
      <c r="L678" s="4" t="str">
        <f t="shared" si="17"/>
        <v xml:space="preserve"> Never</v>
      </c>
      <c r="N678" s="4" cm="1">
        <f t="array" ref="N678">SUM(--(_xlfn.TEXTSPLIT($J$423,, " ") = M678))</f>
        <v>1</v>
      </c>
      <c r="O678">
        <v>1</v>
      </c>
      <c r="P678">
        <v>0</v>
      </c>
      <c r="Q678">
        <v>1</v>
      </c>
      <c r="R678" s="4"/>
      <c r="S678" s="10"/>
    </row>
    <row r="679" spans="5:19" x14ac:dyDescent="0.2">
      <c r="E679" s="4" t="s">
        <v>17</v>
      </c>
      <c r="K679" t="str">
        <v>slowing</v>
      </c>
      <c r="L679" s="4" t="str">
        <f t="shared" si="17"/>
        <v>slowing</v>
      </c>
      <c r="N679" s="4" cm="1">
        <f t="array" ref="N679">SUM(--(_xlfn.TEXTSPLIT($J$423,, " ") = M679))</f>
        <v>1</v>
      </c>
      <c r="O679">
        <v>1</v>
      </c>
      <c r="P679">
        <v>0</v>
      </c>
      <c r="Q679">
        <v>1</v>
      </c>
      <c r="R679" s="4"/>
      <c r="S679" s="10"/>
    </row>
    <row r="680" spans="5:19" x14ac:dyDescent="0.2">
      <c r="E680" s="4" t="s">
        <v>17</v>
      </c>
      <c r="K680" t="str">
        <v xml:space="preserve">down)
</v>
      </c>
      <c r="L680" s="4" t="str">
        <f t="shared" si="17"/>
        <v xml:space="preserve">down  </v>
      </c>
      <c r="N680" s="4" cm="1">
        <f t="array" ref="N680">SUM(--(_xlfn.TEXTSPLIT($J$423,, " ") = M680))</f>
        <v>1</v>
      </c>
      <c r="O680">
        <v>1</v>
      </c>
      <c r="P680">
        <v>0</v>
      </c>
      <c r="Q680">
        <v>1</v>
      </c>
      <c r="R680" s="4"/>
      <c r="S680" s="10"/>
    </row>
    <row r="681" spans="5:19" x14ac:dyDescent="0.2">
      <c r="E681" s="4" t="s">
        <v>17</v>
      </c>
      <c r="K681" t="str">
        <v>Try</v>
      </c>
      <c r="L681" s="4" t="str">
        <f t="shared" si="17"/>
        <v>Try</v>
      </c>
      <c r="N681" s="4" cm="1">
        <f t="array" ref="N681">SUM(--(_xlfn.TEXTSPLIT($J$423,, " ") = M681))</f>
        <v>1</v>
      </c>
      <c r="O681">
        <v>1</v>
      </c>
      <c r="P681">
        <v>0</v>
      </c>
      <c r="Q681">
        <v>1</v>
      </c>
      <c r="R681" s="4"/>
      <c r="S681" s="10"/>
    </row>
    <row r="682" spans="5:19" x14ac:dyDescent="0.2">
      <c r="E682" s="4" t="s">
        <v>17</v>
      </c>
      <c r="K682" t="str">
        <v>to</v>
      </c>
      <c r="L682" s="4" t="str">
        <f t="shared" si="17"/>
        <v>to</v>
      </c>
      <c r="N682" s="4" cm="1">
        <f t="array" ref="N682">SUM(--(_xlfn.TEXTSPLIT($J$423,, " ") = M682))</f>
        <v>1</v>
      </c>
      <c r="O682">
        <v>1</v>
      </c>
      <c r="P682">
        <v>0</v>
      </c>
      <c r="Q682">
        <v>1</v>
      </c>
      <c r="R682" s="4"/>
      <c r="S682" s="10"/>
    </row>
    <row r="683" spans="5:19" x14ac:dyDescent="0.2">
      <c r="E683" s="4" t="s">
        <v>17</v>
      </c>
      <c r="K683" t="str">
        <v>micro-dose</v>
      </c>
      <c r="L683" s="4" t="str">
        <f t="shared" si="17"/>
        <v>micro dose</v>
      </c>
      <c r="N683" s="4" cm="1">
        <f t="array" ref="N683">SUM(--(_xlfn.TEXTSPLIT($J$423,, " ") = M683))</f>
        <v>1</v>
      </c>
      <c r="O683">
        <v>1</v>
      </c>
      <c r="P683">
        <v>0</v>
      </c>
      <c r="Q683">
        <v>1</v>
      </c>
      <c r="R683" s="4"/>
      <c r="S683" s="10"/>
    </row>
    <row r="684" spans="5:19" x14ac:dyDescent="0.2">
      <c r="E684" s="4" t="s">
        <v>17</v>
      </c>
      <c r="K684" t="str">
        <v>to</v>
      </c>
      <c r="L684" s="4" t="str">
        <f t="shared" si="17"/>
        <v>to</v>
      </c>
      <c r="N684" s="4" cm="1">
        <f t="array" ref="N684">SUM(--(_xlfn.TEXTSPLIT($J$423,, " ") = M684))</f>
        <v>1</v>
      </c>
      <c r="O684">
        <v>1</v>
      </c>
      <c r="P684">
        <v>0</v>
      </c>
      <c r="Q684">
        <v>1</v>
      </c>
      <c r="R684" s="4"/>
      <c r="S684" s="10"/>
    </row>
    <row r="685" spans="5:19" x14ac:dyDescent="0.2">
      <c r="E685" s="4" t="s">
        <v>17</v>
      </c>
      <c r="K685" t="str">
        <v>immunity</v>
      </c>
      <c r="L685" s="4" t="str">
        <f t="shared" si="17"/>
        <v>immunity</v>
      </c>
      <c r="N685" s="4" cm="1">
        <f t="array" ref="N685">SUM(--(_xlfn.TEXTSPLIT($J$423,, " ") = M685))</f>
        <v>1</v>
      </c>
      <c r="O685">
        <v>1</v>
      </c>
      <c r="P685">
        <v>0</v>
      </c>
      <c r="Q685">
        <v>1</v>
      </c>
      <c r="R685" s="4"/>
      <c r="S685" s="10"/>
    </row>
    <row r="686" spans="5:19" x14ac:dyDescent="0.2">
      <c r="E686" s="4" t="s">
        <v>17</v>
      </c>
      <c r="K686" t="str">
        <v>but</v>
      </c>
      <c r="L686" s="4" t="str">
        <f t="shared" si="17"/>
        <v>but</v>
      </c>
      <c r="N686" s="4" cm="1">
        <f t="array" ref="N686">SUM(--(_xlfn.TEXTSPLIT($J$423,, " ") = M686))</f>
        <v>1</v>
      </c>
      <c r="O686">
        <v>1</v>
      </c>
      <c r="P686">
        <v>0</v>
      </c>
      <c r="Q686">
        <v>1</v>
      </c>
      <c r="R686" s="4"/>
      <c r="S686" s="10"/>
    </row>
    <row r="687" spans="5:19" x14ac:dyDescent="0.2">
      <c r="E687" s="4" t="s">
        <v>17</v>
      </c>
      <c r="K687" t="str">
        <v>I'll</v>
      </c>
      <c r="L687" s="4" t="str">
        <f t="shared" si="17"/>
        <v>I ll</v>
      </c>
      <c r="N687" s="4" cm="1">
        <f t="array" ref="N687">SUM(--(_xlfn.TEXTSPLIT($J$423,, " ") = M687))</f>
        <v>1</v>
      </c>
      <c r="O687">
        <v>1</v>
      </c>
      <c r="P687">
        <v>0</v>
      </c>
      <c r="Q687">
        <v>1</v>
      </c>
      <c r="R687" s="4"/>
      <c r="S687" s="10"/>
    </row>
    <row r="688" spans="5:19" x14ac:dyDescent="0.2">
      <c r="E688" s="4" t="s">
        <v>17</v>
      </c>
      <c r="K688" t="str">
        <v>never</v>
      </c>
      <c r="L688" s="4" t="str">
        <f t="shared" si="17"/>
        <v>never</v>
      </c>
      <c r="N688" s="4" cm="1">
        <f t="array" ref="N688">SUM(--(_xlfn.TEXTSPLIT($J$423,, " ") = M688))</f>
        <v>1</v>
      </c>
      <c r="O688">
        <v>1</v>
      </c>
      <c r="P688">
        <v>0</v>
      </c>
      <c r="Q688">
        <v>1</v>
      </c>
      <c r="R688" s="4"/>
      <c r="S688" s="10"/>
    </row>
    <row r="689" spans="5:19" x14ac:dyDescent="0.2">
      <c r="E689" s="4" t="s">
        <v>17</v>
      </c>
      <c r="K689" t="str">
        <v>see</v>
      </c>
      <c r="L689" s="4" t="str">
        <f t="shared" si="17"/>
        <v>see</v>
      </c>
      <c r="N689" s="4" cm="1">
        <f t="array" ref="N689">SUM(--(_xlfn.TEXTSPLIT($J$423,, " ") = M689))</f>
        <v>1</v>
      </c>
      <c r="O689">
        <v>1</v>
      </c>
      <c r="P689">
        <v>0</v>
      </c>
      <c r="Q689">
        <v>1</v>
      </c>
      <c r="R689" s="4"/>
      <c r="S689" s="10"/>
    </row>
    <row r="690" spans="5:19" x14ac:dyDescent="0.2">
      <c r="E690" s="4" t="s">
        <v>17</v>
      </c>
      <c r="K690" t="str">
        <v>the</v>
      </c>
      <c r="L690" s="4" t="str">
        <f t="shared" si="17"/>
        <v>the</v>
      </c>
      <c r="N690" s="4" cm="1">
        <f t="array" ref="N690">SUM(--(_xlfn.TEXTSPLIT($J$423,, " ") = M690))</f>
        <v>1</v>
      </c>
      <c r="O690">
        <v>1</v>
      </c>
      <c r="P690">
        <v>0</v>
      </c>
      <c r="Q690">
        <v>1</v>
      </c>
      <c r="R690" s="4"/>
      <c r="S690" s="10"/>
    </row>
    <row r="691" spans="5:19" x14ac:dyDescent="0.2">
      <c r="E691" s="4" t="s">
        <v>17</v>
      </c>
      <c r="K691" t="str">
        <v>ending</v>
      </c>
      <c r="L691" s="4" t="str">
        <f t="shared" si="17"/>
        <v>ending</v>
      </c>
      <c r="N691" s="4" cm="1">
        <f t="array" ref="N691">SUM(--(_xlfn.TEXTSPLIT($J$423,, " ") = M691))</f>
        <v>1</v>
      </c>
      <c r="O691">
        <v>1</v>
      </c>
      <c r="P691">
        <v>0</v>
      </c>
      <c r="Q691">
        <v>1</v>
      </c>
      <c r="R691" s="4"/>
      <c r="S691" s="10"/>
    </row>
    <row r="692" spans="5:19" x14ac:dyDescent="0.2">
      <c r="E692" s="4" t="s">
        <v>17</v>
      </c>
      <c r="K692" t="str">
        <v>(Never</v>
      </c>
      <c r="L692" s="4" t="str">
        <f t="shared" si="17"/>
        <v xml:space="preserve"> Never</v>
      </c>
      <c r="N692" s="4" cm="1">
        <f t="array" ref="N692">SUM(--(_xlfn.TEXTSPLIT($J$423,, " ") = M692))</f>
        <v>1</v>
      </c>
      <c r="O692">
        <v>1</v>
      </c>
      <c r="P692">
        <v>0</v>
      </c>
      <c r="Q692">
        <v>1</v>
      </c>
      <c r="R692" s="4"/>
      <c r="S692" s="10"/>
    </row>
    <row r="693" spans="5:19" x14ac:dyDescent="0.2">
      <c r="E693" s="4" t="s">
        <v>17</v>
      </c>
      <c r="K693" t="str">
        <v>slowing</v>
      </c>
      <c r="L693" s="4" t="str">
        <f t="shared" si="17"/>
        <v>slowing</v>
      </c>
      <c r="N693" s="4" cm="1">
        <f t="array" ref="N693">SUM(--(_xlfn.TEXTSPLIT($J$423,, " ") = M693))</f>
        <v>1</v>
      </c>
      <c r="O693">
        <v>1</v>
      </c>
      <c r="P693">
        <v>0</v>
      </c>
      <c r="Q693">
        <v>1</v>
      </c>
      <c r="R693" s="4"/>
      <c r="S693" s="10"/>
    </row>
    <row r="694" spans="5:19" x14ac:dyDescent="0.2">
      <c r="E694" s="4" t="s">
        <v>17</v>
      </c>
      <c r="K694" t="str">
        <v xml:space="preserve">down)
</v>
      </c>
      <c r="L694" s="4" t="str">
        <f t="shared" si="17"/>
        <v xml:space="preserve">down  </v>
      </c>
      <c r="N694" s="4" cm="1">
        <f t="array" ref="N694">SUM(--(_xlfn.TEXTSPLIT($J$423,, " ") = M694))</f>
        <v>1</v>
      </c>
      <c r="O694">
        <v>1</v>
      </c>
      <c r="P694">
        <v>0</v>
      </c>
      <c r="Q694">
        <v>1</v>
      </c>
      <c r="R694" s="4"/>
      <c r="S694" s="10"/>
    </row>
    <row r="695" spans="5:19" x14ac:dyDescent="0.2">
      <c r="E695" s="4" t="s">
        <v>17</v>
      </c>
      <c r="K695" t="str">
        <v>And</v>
      </c>
      <c r="L695" s="4" t="str">
        <f t="shared" si="17"/>
        <v>And</v>
      </c>
      <c r="N695" s="4" cm="1">
        <f t="array" ref="N695">SUM(--(_xlfn.TEXTSPLIT($J$423,, " ") = M695))</f>
        <v>1</v>
      </c>
      <c r="O695">
        <v>1</v>
      </c>
      <c r="P695">
        <v>0</v>
      </c>
      <c r="Q695">
        <v>1</v>
      </c>
      <c r="R695" s="4"/>
      <c r="S695" s="10"/>
    </row>
    <row r="696" spans="5:19" x14ac:dyDescent="0.2">
      <c r="E696" s="4" t="s">
        <v>17</v>
      </c>
      <c r="K696" t="str">
        <v>I</v>
      </c>
      <c r="L696" s="4" t="str">
        <f t="shared" si="17"/>
        <v>I</v>
      </c>
      <c r="N696" s="4" cm="1">
        <f t="array" ref="N696">SUM(--(_xlfn.TEXTSPLIT($J$423,, " ") = M696))</f>
        <v>1</v>
      </c>
      <c r="O696">
        <v>1</v>
      </c>
      <c r="P696">
        <v>0</v>
      </c>
      <c r="Q696">
        <v>1</v>
      </c>
      <c r="R696" s="4"/>
      <c r="S696" s="10"/>
    </row>
    <row r="697" spans="5:19" x14ac:dyDescent="0.2">
      <c r="E697" s="4" t="s">
        <v>17</v>
      </c>
      <c r="K697" t="str">
        <v>go,</v>
      </c>
      <c r="L697" s="4" t="str">
        <f t="shared" si="17"/>
        <v xml:space="preserve">go </v>
      </c>
      <c r="N697" s="4" cm="1">
        <f t="array" ref="N697">SUM(--(_xlfn.TEXTSPLIT($J$423,, " ") = M697))</f>
        <v>1</v>
      </c>
      <c r="O697">
        <v>1</v>
      </c>
      <c r="P697">
        <v>0</v>
      </c>
      <c r="Q697">
        <v>1</v>
      </c>
      <c r="R697" s="4"/>
      <c r="S697" s="10"/>
    </row>
    <row r="698" spans="5:19" x14ac:dyDescent="0.2">
      <c r="E698" s="4" t="s">
        <v>17</v>
      </c>
      <c r="K698" t="str">
        <v>ah,</v>
      </c>
      <c r="L698" s="4" t="str">
        <f t="shared" si="17"/>
        <v xml:space="preserve">ah </v>
      </c>
      <c r="N698" s="4" cm="1">
        <f t="array" ref="N698">SUM(--(_xlfn.TEXTSPLIT($J$423,, " ") = M698))</f>
        <v>1</v>
      </c>
      <c r="O698">
        <v>1</v>
      </c>
      <c r="P698">
        <v>0</v>
      </c>
      <c r="Q698">
        <v>1</v>
      </c>
      <c r="R698" s="4"/>
      <c r="S698" s="10"/>
    </row>
    <row r="699" spans="5:19" x14ac:dyDescent="0.2">
      <c r="E699" s="4" t="s">
        <v>17</v>
      </c>
      <c r="K699" t="str">
        <v>ah,</v>
      </c>
      <c r="L699" s="4" t="str">
        <f t="shared" si="17"/>
        <v xml:space="preserve">ah </v>
      </c>
      <c r="N699" s="4" cm="1">
        <f t="array" ref="N699">SUM(--(_xlfn.TEXTSPLIT($J$423,, " ") = M699))</f>
        <v>1</v>
      </c>
      <c r="O699">
        <v>1</v>
      </c>
      <c r="P699">
        <v>0</v>
      </c>
      <c r="Q699">
        <v>1</v>
      </c>
      <c r="R699" s="4"/>
      <c r="S699" s="10"/>
    </row>
    <row r="700" spans="5:19" x14ac:dyDescent="0.2">
      <c r="E700" s="4" t="s">
        <v>17</v>
      </c>
      <c r="K700" t="str">
        <v>ah</v>
      </c>
      <c r="L700" s="4" t="str">
        <f t="shared" si="17"/>
        <v>ah</v>
      </c>
      <c r="N700" s="4" cm="1">
        <f t="array" ref="N700">SUM(--(_xlfn.TEXTSPLIT($J$423,, " ") = M700))</f>
        <v>1</v>
      </c>
      <c r="O700">
        <v>1</v>
      </c>
      <c r="P700">
        <v>0</v>
      </c>
      <c r="Q700">
        <v>1</v>
      </c>
      <c r="R700" s="4"/>
      <c r="S700" s="10"/>
    </row>
    <row r="701" spans="5:19" x14ac:dyDescent="0.2">
      <c r="E701" s="4" t="s">
        <v>17</v>
      </c>
      <c r="K701" t="str">
        <v>(Never</v>
      </c>
      <c r="L701" s="4" t="str">
        <f t="shared" si="17"/>
        <v xml:space="preserve"> Never</v>
      </c>
      <c r="N701" s="4" cm="1">
        <f t="array" ref="N701">SUM(--(_xlfn.TEXTSPLIT($J$423,, " ") = M701))</f>
        <v>1</v>
      </c>
      <c r="O701">
        <v>1</v>
      </c>
      <c r="P701">
        <v>0</v>
      </c>
      <c r="Q701">
        <v>1</v>
      </c>
      <c r="R701" s="4"/>
      <c r="S701" s="10"/>
    </row>
    <row r="702" spans="5:19" x14ac:dyDescent="0.2">
      <c r="E702" s="4" t="s">
        <v>17</v>
      </c>
      <c r="K702" t="str">
        <v>slowing</v>
      </c>
      <c r="L702" s="4" t="str">
        <f t="shared" si="17"/>
        <v>slowing</v>
      </c>
      <c r="N702" s="4" cm="1">
        <f t="array" ref="N702">SUM(--(_xlfn.TEXTSPLIT($J$423,, " ") = M702))</f>
        <v>1</v>
      </c>
      <c r="O702">
        <v>1</v>
      </c>
      <c r="P702">
        <v>0</v>
      </c>
      <c r="Q702">
        <v>1</v>
      </c>
      <c r="R702" s="4"/>
      <c r="S702" s="10"/>
    </row>
    <row r="703" spans="5:19" x14ac:dyDescent="0.2">
      <c r="E703" s="4" t="s">
        <v>17</v>
      </c>
      <c r="K703" t="str">
        <v xml:space="preserve">down)
</v>
      </c>
      <c r="L703" s="4" t="str">
        <f t="shared" si="17"/>
        <v xml:space="preserve">down  </v>
      </c>
      <c r="N703" s="4" cm="1">
        <f t="array" ref="N703">SUM(--(_xlfn.TEXTSPLIT($J$423,, " ") = M703))</f>
        <v>1</v>
      </c>
      <c r="O703">
        <v>1</v>
      </c>
      <c r="P703">
        <v>0</v>
      </c>
      <c r="Q703">
        <v>1</v>
      </c>
      <c r="R703" s="4"/>
      <c r="S703" s="10"/>
    </row>
    <row r="704" spans="5:19" x14ac:dyDescent="0.2">
      <c r="E704" s="4" t="s">
        <v>17</v>
      </c>
      <c r="K704" t="str">
        <v/>
      </c>
      <c r="L704" s="4" t="str">
        <f t="shared" si="17"/>
        <v/>
      </c>
      <c r="N704" s="4" cm="1">
        <f t="array" ref="N704">SUM(--(_xlfn.TEXTSPLIT($J$423,, " ") = M704))</f>
        <v>1</v>
      </c>
      <c r="O704">
        <v>1</v>
      </c>
      <c r="P704">
        <v>0</v>
      </c>
      <c r="Q704">
        <v>1</v>
      </c>
      <c r="R704" s="4"/>
      <c r="S704" s="10"/>
    </row>
    <row r="705" spans="5:19" x14ac:dyDescent="0.2">
      <c r="E705" s="4" t="s">
        <v>17</v>
      </c>
      <c r="K705" t="str">
        <v>What's</v>
      </c>
      <c r="L705" s="4" t="str">
        <f t="shared" si="17"/>
        <v>What s</v>
      </c>
      <c r="N705" s="4" cm="1">
        <f t="array" ref="N705">SUM(--(_xlfn.TEXTSPLIT($J$423,, " ") = M705))</f>
        <v>1</v>
      </c>
      <c r="O705">
        <v>1</v>
      </c>
      <c r="P705">
        <v>0</v>
      </c>
      <c r="Q705">
        <v>1</v>
      </c>
      <c r="R705" s="4"/>
      <c r="S705" s="10"/>
    </row>
    <row r="706" spans="5:19" x14ac:dyDescent="0.2">
      <c r="E706" s="4" t="s">
        <v>17</v>
      </c>
      <c r="K706" t="str">
        <v>the</v>
      </c>
      <c r="L706" s="4" t="str">
        <f t="shared" si="17"/>
        <v>the</v>
      </c>
      <c r="N706" s="4" cm="1">
        <f t="array" ref="N706">SUM(--(_xlfn.TEXTSPLIT($J$423,, " ") = M706))</f>
        <v>1</v>
      </c>
      <c r="O706">
        <v>1</v>
      </c>
      <c r="P706">
        <v>0</v>
      </c>
      <c r="Q706">
        <v>1</v>
      </c>
      <c r="R706" s="4"/>
      <c r="S706" s="10"/>
    </row>
    <row r="707" spans="5:19" x14ac:dyDescent="0.2">
      <c r="E707" s="4" t="s">
        <v>17</v>
      </c>
      <c r="K707" t="str">
        <v>matter?</v>
      </c>
      <c r="L707" s="4" t="str">
        <f t="shared" si="17"/>
        <v xml:space="preserve">matter </v>
      </c>
      <c r="N707" s="4" cm="1">
        <f t="array" ref="N707">SUM(--(_xlfn.TEXTSPLIT($J$423,, " ") = M707))</f>
        <v>1</v>
      </c>
      <c r="O707">
        <v>1</v>
      </c>
      <c r="P707">
        <v>0</v>
      </c>
      <c r="Q707">
        <v>1</v>
      </c>
      <c r="R707" s="4"/>
      <c r="S707" s="10"/>
    </row>
    <row r="708" spans="5:19" x14ac:dyDescent="0.2">
      <c r="E708" s="4" t="s">
        <v>17</v>
      </c>
      <c r="K708" t="str">
        <v>isn't</v>
      </c>
      <c r="L708" s="4" t="str">
        <f t="shared" ref="L708:L771" si="18">_xlfn.REGEXREPLACE(K708, "[^A-Za-z ]", " ")</f>
        <v>isn t</v>
      </c>
      <c r="N708" s="4" cm="1">
        <f t="array" ref="N708">SUM(--(_xlfn.TEXTSPLIT($J$423,, " ") = M708))</f>
        <v>1</v>
      </c>
      <c r="O708">
        <v>1</v>
      </c>
      <c r="P708">
        <v>0</v>
      </c>
      <c r="Q708">
        <v>1</v>
      </c>
      <c r="R708" s="4"/>
      <c r="S708" s="10"/>
    </row>
    <row r="709" spans="5:19" x14ac:dyDescent="0.2">
      <c r="E709" s="4" t="s">
        <v>17</v>
      </c>
      <c r="K709" t="str">
        <v>helping</v>
      </c>
      <c r="L709" s="4" t="str">
        <f t="shared" si="18"/>
        <v>helping</v>
      </c>
      <c r="N709" s="4" cm="1">
        <f t="array" ref="N709">SUM(--(_xlfn.TEXTSPLIT($J$423,, " ") = M709))</f>
        <v>1</v>
      </c>
      <c r="O709">
        <v>1</v>
      </c>
      <c r="P709">
        <v>0</v>
      </c>
      <c r="Q709">
        <v>1</v>
      </c>
      <c r="R709" s="4"/>
      <c r="S709" s="10"/>
    </row>
    <row r="710" spans="5:19" x14ac:dyDescent="0.2">
      <c r="E710" s="4" t="s">
        <v>17</v>
      </c>
      <c r="K710" t="str">
        <v>(Never</v>
      </c>
      <c r="L710" s="4" t="str">
        <f t="shared" si="18"/>
        <v xml:space="preserve"> Never</v>
      </c>
      <c r="N710" s="4" cm="1">
        <f t="array" ref="N710">SUM(--(_xlfn.TEXTSPLIT($J$423,, " ") = M710))</f>
        <v>1</v>
      </c>
      <c r="O710">
        <v>1</v>
      </c>
      <c r="P710">
        <v>0</v>
      </c>
      <c r="Q710">
        <v>1</v>
      </c>
      <c r="R710" s="4"/>
      <c r="S710" s="10"/>
    </row>
    <row r="711" spans="5:19" x14ac:dyDescent="0.2">
      <c r="E711" s="4" t="s">
        <v>17</v>
      </c>
      <c r="K711" t="str">
        <v>slowing</v>
      </c>
      <c r="L711" s="4" t="str">
        <f t="shared" si="18"/>
        <v>slowing</v>
      </c>
      <c r="N711" s="4" cm="1">
        <f t="array" ref="N711">SUM(--(_xlfn.TEXTSPLIT($J$423,, " ") = M711))</f>
        <v>1</v>
      </c>
      <c r="O711">
        <v>1</v>
      </c>
      <c r="P711">
        <v>0</v>
      </c>
      <c r="Q711">
        <v>1</v>
      </c>
      <c r="R711" s="4"/>
      <c r="S711" s="10"/>
    </row>
    <row r="712" spans="5:19" x14ac:dyDescent="0.2">
      <c r="E712" s="4" t="s">
        <v>17</v>
      </c>
      <c r="K712" t="str">
        <v xml:space="preserve">down)
</v>
      </c>
      <c r="L712" s="4" t="str">
        <f t="shared" si="18"/>
        <v xml:space="preserve">down  </v>
      </c>
      <c r="N712" s="4" cm="1">
        <f t="array" ref="N712">SUM(--(_xlfn.TEXTSPLIT($J$423,, " ") = M712))</f>
        <v>1</v>
      </c>
      <c r="O712">
        <v>1</v>
      </c>
      <c r="P712">
        <v>0</v>
      </c>
      <c r="Q712">
        <v>1</v>
      </c>
      <c r="R712" s="4"/>
      <c r="S712" s="10"/>
    </row>
    <row r="713" spans="5:19" x14ac:dyDescent="0.2">
      <c r="E713" s="4" t="s">
        <v>17</v>
      </c>
      <c r="K713" t="str">
        <v>You</v>
      </c>
      <c r="L713" s="4" t="str">
        <f t="shared" si="18"/>
        <v>You</v>
      </c>
      <c r="N713" s="4" cm="1">
        <f t="array" ref="N713">SUM(--(_xlfn.TEXTSPLIT($J$423,, " ") = M713))</f>
        <v>1</v>
      </c>
      <c r="O713">
        <v>1</v>
      </c>
      <c r="P713">
        <v>0</v>
      </c>
      <c r="Q713">
        <v>1</v>
      </c>
      <c r="R713" s="4"/>
      <c r="S713" s="10"/>
    </row>
    <row r="714" spans="5:19" x14ac:dyDescent="0.2">
      <c r="E714" s="4" t="s">
        <v>17</v>
      </c>
      <c r="K714" t="str">
        <v>go,</v>
      </c>
      <c r="L714" s="4" t="str">
        <f t="shared" si="18"/>
        <v xml:space="preserve">go </v>
      </c>
      <c r="N714" s="4" cm="1">
        <f t="array" ref="N714">SUM(--(_xlfn.TEXTSPLIT($J$423,, " ") = M714))</f>
        <v>1</v>
      </c>
      <c r="O714">
        <v>1</v>
      </c>
      <c r="P714">
        <v>0</v>
      </c>
      <c r="Q714">
        <v>1</v>
      </c>
      <c r="R714" s="4"/>
      <c r="S714" s="10"/>
    </row>
    <row r="715" spans="5:19" x14ac:dyDescent="0.2">
      <c r="E715" s="4" t="s">
        <v>17</v>
      </c>
      <c r="K715" t="str">
        <v>ooh,</v>
      </c>
      <c r="L715" s="4" t="str">
        <f t="shared" si="18"/>
        <v xml:space="preserve">ooh </v>
      </c>
      <c r="N715" s="4" cm="1">
        <f t="array" ref="N715">SUM(--(_xlfn.TEXTSPLIT($J$423,, " ") = M715))</f>
        <v>1</v>
      </c>
      <c r="O715">
        <v>1</v>
      </c>
      <c r="P715">
        <v>0</v>
      </c>
      <c r="Q715">
        <v>1</v>
      </c>
      <c r="R715" s="4"/>
      <c r="S715" s="10"/>
    </row>
    <row r="716" spans="5:19" x14ac:dyDescent="0.2">
      <c r="E716" s="4" t="s">
        <v>17</v>
      </c>
      <c r="K716" t="str">
        <v>ooh,</v>
      </c>
      <c r="L716" s="4" t="str">
        <f t="shared" si="18"/>
        <v xml:space="preserve">ooh </v>
      </c>
      <c r="N716" s="4" cm="1">
        <f t="array" ref="N716">SUM(--(_xlfn.TEXTSPLIT($J$423,, " ") = M716))</f>
        <v>1</v>
      </c>
      <c r="O716">
        <v>1</v>
      </c>
      <c r="P716">
        <v>0</v>
      </c>
      <c r="Q716">
        <v>1</v>
      </c>
      <c r="R716" s="4"/>
      <c r="S716" s="10"/>
    </row>
    <row r="717" spans="5:19" x14ac:dyDescent="0.2">
      <c r="E717" s="4" t="s">
        <v>17</v>
      </c>
      <c r="K717" t="str">
        <v>ooh</v>
      </c>
      <c r="L717" s="4" t="str">
        <f t="shared" si="18"/>
        <v>ooh</v>
      </c>
      <c r="N717" s="4" cm="1">
        <f t="array" ref="N717">SUM(--(_xlfn.TEXTSPLIT($J$423,, " ") = M717))</f>
        <v>1</v>
      </c>
      <c r="O717">
        <v>1</v>
      </c>
      <c r="P717">
        <v>0</v>
      </c>
      <c r="Q717">
        <v>1</v>
      </c>
      <c r="R717" s="4"/>
      <c r="S717" s="10"/>
    </row>
    <row r="718" spans="5:19" x14ac:dyDescent="0.2">
      <c r="E718" s="4" t="s">
        <v>17</v>
      </c>
      <c r="K718" t="str">
        <v>(Never</v>
      </c>
      <c r="L718" s="4" t="str">
        <f t="shared" si="18"/>
        <v xml:space="preserve"> Never</v>
      </c>
      <c r="N718" s="4" cm="1">
        <f t="array" ref="N718">SUM(--(_xlfn.TEXTSPLIT($J$423,, " ") = M718))</f>
        <v>1</v>
      </c>
      <c r="O718">
        <v>1</v>
      </c>
      <c r="P718">
        <v>0</v>
      </c>
      <c r="Q718">
        <v>1</v>
      </c>
      <c r="R718" s="4"/>
      <c r="S718" s="10"/>
    </row>
    <row r="719" spans="5:19" x14ac:dyDescent="0.2">
      <c r="E719" s="4" t="s">
        <v>17</v>
      </c>
      <c r="K719" t="str">
        <v>slowing</v>
      </c>
      <c r="L719" s="4" t="str">
        <f t="shared" si="18"/>
        <v>slowing</v>
      </c>
      <c r="N719" s="4" cm="1">
        <f t="array" ref="N719">SUM(--(_xlfn.TEXTSPLIT($J$423,, " ") = M719))</f>
        <v>1</v>
      </c>
      <c r="O719">
        <v>1</v>
      </c>
      <c r="P719">
        <v>0</v>
      </c>
      <c r="Q719">
        <v>1</v>
      </c>
      <c r="R719" s="4"/>
      <c r="S719" s="10"/>
    </row>
    <row r="720" spans="5:19" x14ac:dyDescent="0.2">
      <c r="E720" s="4" t="s">
        <v>17</v>
      </c>
      <c r="K720" t="str">
        <v xml:space="preserve">down)
</v>
      </c>
      <c r="L720" s="4" t="str">
        <f t="shared" si="18"/>
        <v xml:space="preserve">down  </v>
      </c>
      <c r="N720" s="4" cm="1">
        <f t="array" ref="N720">SUM(--(_xlfn.TEXTSPLIT($J$423,, " ") = M720))</f>
        <v>1</v>
      </c>
      <c r="O720">
        <v>1</v>
      </c>
      <c r="P720">
        <v>0</v>
      </c>
      <c r="Q720">
        <v>1</v>
      </c>
      <c r="R720" s="4"/>
      <c r="S720" s="10"/>
    </row>
    <row r="721" spans="5:19" x14ac:dyDescent="0.2">
      <c r="E721" s="4" t="s">
        <v>17</v>
      </c>
      <c r="K721" t="str">
        <v>I</v>
      </c>
      <c r="L721" s="4" t="str">
        <f t="shared" si="18"/>
        <v>I</v>
      </c>
      <c r="N721" s="4" cm="1">
        <f t="array" ref="N721">SUM(--(_xlfn.TEXTSPLIT($J$423,, " ") = M721))</f>
        <v>1</v>
      </c>
      <c r="O721">
        <v>1</v>
      </c>
      <c r="P721">
        <v>0</v>
      </c>
      <c r="Q721">
        <v>1</v>
      </c>
      <c r="R721" s="4"/>
      <c r="S721" s="10"/>
    </row>
    <row r="722" spans="5:19" x14ac:dyDescent="0.2">
      <c r="E722" s="4" t="s">
        <v>17</v>
      </c>
      <c r="K722" t="str">
        <v>wish</v>
      </c>
      <c r="L722" s="4" t="str">
        <f t="shared" si="18"/>
        <v>wish</v>
      </c>
      <c r="N722" s="4" cm="1">
        <f t="array" ref="N722">SUM(--(_xlfn.TEXTSPLIT($J$423,, " ") = M722))</f>
        <v>1</v>
      </c>
      <c r="O722">
        <v>1</v>
      </c>
      <c r="P722">
        <v>0</v>
      </c>
      <c r="Q722">
        <v>1</v>
      </c>
      <c r="R722" s="4"/>
      <c r="S722" s="10"/>
    </row>
    <row r="723" spans="5:19" x14ac:dyDescent="0.2">
      <c r="E723" s="4" t="s">
        <v>17</v>
      </c>
      <c r="K723" t="str">
        <v>her</v>
      </c>
      <c r="L723" s="4" t="str">
        <f t="shared" si="18"/>
        <v>her</v>
      </c>
      <c r="N723" s="4" cm="1">
        <f t="array" ref="N723">SUM(--(_xlfn.TEXTSPLIT($J$423,, " ") = M723))</f>
        <v>1</v>
      </c>
      <c r="O723">
        <v>1</v>
      </c>
      <c r="P723">
        <v>0</v>
      </c>
      <c r="Q723">
        <v>1</v>
      </c>
      <c r="R723" s="4"/>
      <c r="S723" s="10"/>
    </row>
    <row r="724" spans="5:19" x14ac:dyDescent="0.2">
      <c r="E724" s="4" t="s">
        <v>17</v>
      </c>
      <c r="K724" t="str">
        <v>parents</v>
      </c>
      <c r="L724" s="4" t="str">
        <f t="shared" si="18"/>
        <v>parents</v>
      </c>
      <c r="N724" s="4" cm="1">
        <f t="array" ref="N724">SUM(--(_xlfn.TEXTSPLIT($J$423,, " ") = M724))</f>
        <v>1</v>
      </c>
      <c r="O724">
        <v>1</v>
      </c>
      <c r="P724">
        <v>0</v>
      </c>
      <c r="Q724">
        <v>1</v>
      </c>
      <c r="R724" s="4"/>
      <c r="S724" s="10"/>
    </row>
    <row r="725" spans="5:19" x14ac:dyDescent="0.2">
      <c r="E725" s="4" t="s">
        <v>17</v>
      </c>
      <c r="K725" t="str">
        <v>would</v>
      </c>
      <c r="L725" s="4" t="str">
        <f t="shared" si="18"/>
        <v>would</v>
      </c>
      <c r="N725" s="4" cm="1">
        <f t="array" ref="N725">SUM(--(_xlfn.TEXTSPLIT($J$423,, " ") = M725))</f>
        <v>1</v>
      </c>
      <c r="O725">
        <v>1</v>
      </c>
      <c r="P725">
        <v>0</v>
      </c>
      <c r="Q725">
        <v>1</v>
      </c>
      <c r="R725" s="4"/>
      <c r="S725" s="10"/>
    </row>
    <row r="726" spans="5:19" x14ac:dyDescent="0.2">
      <c r="E726" s="4" t="s">
        <v>17</v>
      </c>
      <c r="K726" t="str">
        <v>stop</v>
      </c>
      <c r="L726" s="4" t="str">
        <f t="shared" si="18"/>
        <v>stop</v>
      </c>
      <c r="N726" s="4" cm="1">
        <f t="array" ref="N726">SUM(--(_xlfn.TEXTSPLIT($J$423,, " ") = M726))</f>
        <v>1</v>
      </c>
      <c r="O726">
        <v>1</v>
      </c>
      <c r="P726">
        <v>0</v>
      </c>
      <c r="Q726">
        <v>1</v>
      </c>
      <c r="R726" s="4"/>
      <c r="S726" s="10"/>
    </row>
    <row r="727" spans="5:19" x14ac:dyDescent="0.2">
      <c r="E727" s="4" t="s">
        <v>17</v>
      </c>
      <c r="K727" t="str">
        <v xml:space="preserve">yelling
</v>
      </c>
      <c r="L727" s="4" t="str">
        <f t="shared" si="18"/>
        <v xml:space="preserve">yelling </v>
      </c>
      <c r="N727" s="4" cm="1">
        <f t="array" ref="N727">SUM(--(_xlfn.TEXTSPLIT($J$423,, " ") = M727))</f>
        <v>1</v>
      </c>
      <c r="O727">
        <v>1</v>
      </c>
      <c r="P727">
        <v>0</v>
      </c>
      <c r="Q727">
        <v>1</v>
      </c>
      <c r="R727" s="4"/>
      <c r="S727" s="10"/>
    </row>
    <row r="728" spans="5:19" x14ac:dyDescent="0.2">
      <c r="E728" s="4" t="s">
        <v>17</v>
      </c>
      <c r="K728" t="str">
        <v>You</v>
      </c>
      <c r="L728" s="4" t="str">
        <f t="shared" si="18"/>
        <v>You</v>
      </c>
      <c r="N728" s="4" cm="1">
        <f t="array" ref="N728">SUM(--(_xlfn.TEXTSPLIT($J$423,, " ") = M728))</f>
        <v>1</v>
      </c>
      <c r="O728">
        <v>1</v>
      </c>
      <c r="P728">
        <v>0</v>
      </c>
      <c r="Q728">
        <v>1</v>
      </c>
      <c r="R728" s="4"/>
      <c r="S728" s="10"/>
    </row>
    <row r="729" spans="5:19" x14ac:dyDescent="0.2">
      <c r="E729" s="4" t="s">
        <v>17</v>
      </c>
      <c r="K729" t="str">
        <v>know</v>
      </c>
      <c r="L729" s="4" t="str">
        <f t="shared" si="18"/>
        <v>know</v>
      </c>
      <c r="N729" s="4" cm="1">
        <f t="array" ref="N729">SUM(--(_xlfn.TEXTSPLIT($J$423,, " ") = M729))</f>
        <v>1</v>
      </c>
      <c r="O729">
        <v>1</v>
      </c>
      <c r="P729">
        <v>0</v>
      </c>
      <c r="Q729">
        <v>1</v>
      </c>
      <c r="R729" s="4"/>
      <c r="S729" s="10"/>
    </row>
    <row r="730" spans="5:19" x14ac:dyDescent="0.2">
      <c r="E730" s="4" t="s">
        <v>17</v>
      </c>
      <c r="K730" t="str">
        <v>what</v>
      </c>
      <c r="L730" s="4" t="str">
        <f t="shared" si="18"/>
        <v>what</v>
      </c>
      <c r="N730" s="4" cm="1">
        <f t="array" ref="N730">SUM(--(_xlfn.TEXTSPLIT($J$423,, " ") = M730))</f>
        <v>1</v>
      </c>
      <c r="O730">
        <v>1</v>
      </c>
      <c r="P730">
        <v>0</v>
      </c>
      <c r="Q730">
        <v>1</v>
      </c>
      <c r="R730" s="4"/>
      <c r="S730" s="10"/>
    </row>
    <row r="731" spans="5:19" x14ac:dyDescent="0.2">
      <c r="E731" s="4" t="s">
        <v>17</v>
      </c>
      <c r="K731" t="str">
        <v>scares</v>
      </c>
      <c r="L731" s="4" t="str">
        <f t="shared" si="18"/>
        <v>scares</v>
      </c>
      <c r="N731" s="4" cm="1">
        <f t="array" ref="N731">SUM(--(_xlfn.TEXTSPLIT($J$423,, " ") = M731))</f>
        <v>1</v>
      </c>
      <c r="O731">
        <v>1</v>
      </c>
      <c r="P731">
        <v>0</v>
      </c>
      <c r="Q731">
        <v>1</v>
      </c>
      <c r="R731" s="4"/>
      <c r="S731" s="10"/>
    </row>
    <row r="732" spans="5:19" x14ac:dyDescent="0.2">
      <c r="E732" s="4" t="s">
        <v>17</v>
      </c>
      <c r="K732" t="str">
        <v>me?</v>
      </c>
      <c r="L732" s="4" t="str">
        <f t="shared" si="18"/>
        <v xml:space="preserve">me </v>
      </c>
      <c r="N732" s="4" cm="1">
        <f t="array" ref="N732">SUM(--(_xlfn.TEXTSPLIT($J$423,, " ") = M732))</f>
        <v>1</v>
      </c>
      <c r="O732">
        <v>1</v>
      </c>
      <c r="P732">
        <v>0</v>
      </c>
      <c r="Q732">
        <v>1</v>
      </c>
      <c r="R732" s="4"/>
      <c r="S732" s="10"/>
    </row>
    <row r="733" spans="5:19" x14ac:dyDescent="0.2">
      <c r="E733" s="4" t="s">
        <v>17</v>
      </c>
      <c r="K733" t="str">
        <v>(Ah,</v>
      </c>
      <c r="L733" s="4" t="str">
        <f t="shared" si="18"/>
        <v xml:space="preserve"> Ah </v>
      </c>
      <c r="N733" s="4" cm="1">
        <f t="array" ref="N733">SUM(--(_xlfn.TEXTSPLIT($J$423,, " ") = M733))</f>
        <v>1</v>
      </c>
      <c r="O733">
        <v>1</v>
      </c>
      <c r="P733">
        <v>0</v>
      </c>
      <c r="Q733">
        <v>1</v>
      </c>
      <c r="R733" s="4"/>
      <c r="S733" s="10"/>
    </row>
    <row r="734" spans="5:19" x14ac:dyDescent="0.2">
      <c r="E734" s="4" t="s">
        <v>17</v>
      </c>
      <c r="K734" t="str">
        <v>ah,</v>
      </c>
      <c r="L734" s="4" t="str">
        <f t="shared" si="18"/>
        <v xml:space="preserve">ah </v>
      </c>
      <c r="N734" s="4" cm="1">
        <f t="array" ref="N734">SUM(--(_xlfn.TEXTSPLIT($J$423,, " ") = M734))</f>
        <v>1</v>
      </c>
      <c r="O734">
        <v>1</v>
      </c>
      <c r="P734">
        <v>0</v>
      </c>
      <c r="Q734">
        <v>1</v>
      </c>
      <c r="R734" s="4"/>
      <c r="S734" s="10"/>
    </row>
    <row r="735" spans="5:19" x14ac:dyDescent="0.2">
      <c r="E735" s="4" t="s">
        <v>17</v>
      </c>
      <c r="K735" t="str">
        <v xml:space="preserve">ah)
</v>
      </c>
      <c r="L735" s="4" t="str">
        <f t="shared" si="18"/>
        <v xml:space="preserve">ah  </v>
      </c>
      <c r="N735" s="4" cm="1">
        <f t="array" ref="N735">SUM(--(_xlfn.TEXTSPLIT($J$423,, " ") = M735))</f>
        <v>1</v>
      </c>
      <c r="O735">
        <v>1</v>
      </c>
      <c r="P735">
        <v>0</v>
      </c>
      <c r="Q735">
        <v>1</v>
      </c>
      <c r="R735" s="4"/>
      <c r="S735" s="10"/>
    </row>
    <row r="736" spans="5:19" x14ac:dyDescent="0.2">
      <c r="E736" s="4" t="s">
        <v>17</v>
      </c>
      <c r="K736" t="str">
        <v>Nah,</v>
      </c>
      <c r="L736" s="4" t="str">
        <f t="shared" si="18"/>
        <v xml:space="preserve">Nah </v>
      </c>
      <c r="N736" s="4" cm="1">
        <f t="array" ref="N736">SUM(--(_xlfn.TEXTSPLIT($J$423,, " ") = M736))</f>
        <v>1</v>
      </c>
      <c r="O736">
        <v>1</v>
      </c>
      <c r="P736">
        <v>0</v>
      </c>
      <c r="Q736">
        <v>1</v>
      </c>
      <c r="R736" s="4"/>
      <c r="S736" s="10"/>
    </row>
    <row r="737" spans="5:19" x14ac:dyDescent="0.2">
      <c r="E737" s="4" t="s">
        <v>17</v>
      </c>
      <c r="K737" t="str">
        <v>it's</v>
      </c>
      <c r="L737" s="4" t="str">
        <f t="shared" si="18"/>
        <v>it s</v>
      </c>
      <c r="N737" s="4" cm="1">
        <f t="array" ref="N737">SUM(--(_xlfn.TEXTSPLIT($J$423,, " ") = M737))</f>
        <v>1</v>
      </c>
      <c r="O737">
        <v>1</v>
      </c>
      <c r="P737">
        <v>0</v>
      </c>
      <c r="Q737">
        <v>1</v>
      </c>
      <c r="R737" s="4"/>
      <c r="S737" s="10"/>
    </row>
    <row r="738" spans="5:19" x14ac:dyDescent="0.2">
      <c r="E738" s="4" t="s">
        <v>17</v>
      </c>
      <c r="K738" t="str">
        <v xml:space="preserve">stupid
</v>
      </c>
      <c r="L738" s="4" t="str">
        <f t="shared" si="18"/>
        <v xml:space="preserve">stupid </v>
      </c>
      <c r="N738" s="4" cm="1">
        <f t="array" ref="N738">SUM(--(_xlfn.TEXTSPLIT($J$423,, " ") = M738))</f>
        <v>1</v>
      </c>
      <c r="O738">
        <v>1</v>
      </c>
      <c r="P738">
        <v>0</v>
      </c>
      <c r="Q738">
        <v>1</v>
      </c>
      <c r="R738" s="4"/>
      <c r="S738" s="10"/>
    </row>
    <row r="739" spans="5:19" x14ac:dyDescent="0.2">
      <c r="E739" s="4" t="s">
        <v>17</v>
      </c>
      <c r="K739" t="str">
        <v>And</v>
      </c>
      <c r="L739" s="4" t="str">
        <f t="shared" si="18"/>
        <v>And</v>
      </c>
      <c r="N739" s="4" cm="1">
        <f t="array" ref="N739">SUM(--(_xlfn.TEXTSPLIT($J$423,, " ") = M739))</f>
        <v>1</v>
      </c>
      <c r="O739">
        <v>1</v>
      </c>
      <c r="P739">
        <v>0</v>
      </c>
      <c r="Q739">
        <v>1</v>
      </c>
      <c r="R739" s="4"/>
      <c r="S739" s="10"/>
    </row>
    <row r="740" spans="5:19" x14ac:dyDescent="0.2">
      <c r="E740" s="4" t="s">
        <v>17</v>
      </c>
      <c r="K740" t="str">
        <v>you</v>
      </c>
      <c r="L740" s="4" t="str">
        <f t="shared" si="18"/>
        <v>you</v>
      </c>
      <c r="N740" s="4" cm="1">
        <f t="array" ref="N740">SUM(--(_xlfn.TEXTSPLIT($J$423,, " ") = M740))</f>
        <v>1</v>
      </c>
      <c r="O740">
        <v>1</v>
      </c>
      <c r="P740">
        <v>0</v>
      </c>
      <c r="Q740">
        <v>1</v>
      </c>
      <c r="R740" s="4"/>
      <c r="S740" s="10"/>
    </row>
    <row r="741" spans="5:19" x14ac:dyDescent="0.2">
      <c r="E741" s="4" t="s">
        <v>17</v>
      </c>
      <c r="K741" t="str">
        <v>go,</v>
      </c>
      <c r="L741" s="4" t="str">
        <f t="shared" si="18"/>
        <v xml:space="preserve">go </v>
      </c>
      <c r="N741" s="4" cm="1">
        <f t="array" ref="N741">SUM(--(_xlfn.TEXTSPLIT($J$423,, " ") = M741))</f>
        <v>1</v>
      </c>
      <c r="O741">
        <v>1</v>
      </c>
      <c r="P741">
        <v>0</v>
      </c>
      <c r="Q741">
        <v>1</v>
      </c>
      <c r="R741" s="4"/>
      <c r="S741" s="10"/>
    </row>
    <row r="742" spans="5:19" x14ac:dyDescent="0.2">
      <c r="E742" s="4" t="s">
        <v>17</v>
      </c>
      <c r="K742" t="str">
        <v>ooh,</v>
      </c>
      <c r="L742" s="4" t="str">
        <f t="shared" si="18"/>
        <v xml:space="preserve">ooh </v>
      </c>
      <c r="N742" s="4" cm="1">
        <f t="array" ref="N742">SUM(--(_xlfn.TEXTSPLIT($J$423,, " ") = M742))</f>
        <v>1</v>
      </c>
      <c r="O742">
        <v>1</v>
      </c>
      <c r="P742">
        <v>0</v>
      </c>
      <c r="Q742">
        <v>1</v>
      </c>
      <c r="R742" s="4"/>
      <c r="S742" s="10"/>
    </row>
    <row r="743" spans="5:19" x14ac:dyDescent="0.2">
      <c r="E743" s="4" t="s">
        <v>17</v>
      </c>
      <c r="K743" t="str">
        <v>ooh,</v>
      </c>
      <c r="L743" s="4" t="str">
        <f t="shared" si="18"/>
        <v xml:space="preserve">ooh </v>
      </c>
      <c r="N743" s="4" cm="1">
        <f t="array" ref="N743">SUM(--(_xlfn.TEXTSPLIT($J$423,, " ") = M743))</f>
        <v>1</v>
      </c>
      <c r="O743">
        <v>1</v>
      </c>
      <c r="P743">
        <v>0</v>
      </c>
      <c r="Q743">
        <v>1</v>
      </c>
      <c r="R743" s="4"/>
      <c r="S743" s="10"/>
    </row>
    <row r="744" spans="5:19" x14ac:dyDescent="0.2">
      <c r="E744" s="4" t="s">
        <v>17</v>
      </c>
      <c r="K744" t="str">
        <v xml:space="preserve">ooh
</v>
      </c>
      <c r="L744" s="4" t="str">
        <f t="shared" si="18"/>
        <v xml:space="preserve">ooh </v>
      </c>
      <c r="N744" s="4" cm="1">
        <f t="array" ref="N744">SUM(--(_xlfn.TEXTSPLIT($J$423,, " ") = M744))</f>
        <v>1</v>
      </c>
      <c r="O744">
        <v>1</v>
      </c>
      <c r="P744">
        <v>0</v>
      </c>
      <c r="Q744">
        <v>1</v>
      </c>
      <c r="R744" s="4"/>
      <c r="S744" s="10"/>
    </row>
    <row r="745" spans="5:19" x14ac:dyDescent="0.2">
      <c r="E745" s="4" t="s">
        <v>17</v>
      </c>
      <c r="K745" t="str">
        <v>Wait,</v>
      </c>
      <c r="L745" s="4" t="str">
        <f t="shared" si="18"/>
        <v xml:space="preserve">Wait </v>
      </c>
      <c r="N745" s="4" cm="1">
        <f t="array" ref="N745">SUM(--(_xlfn.TEXTSPLIT($J$423,, " ") = M745))</f>
        <v>1</v>
      </c>
      <c r="O745">
        <v>1</v>
      </c>
      <c r="P745">
        <v>0</v>
      </c>
      <c r="Q745">
        <v>1</v>
      </c>
      <c r="R745" s="4"/>
      <c r="S745" s="10"/>
    </row>
    <row r="746" spans="5:19" x14ac:dyDescent="0.2">
      <c r="E746" s="4" t="s">
        <v>17</v>
      </c>
      <c r="K746" t="str">
        <v>who's</v>
      </c>
      <c r="L746" s="4" t="str">
        <f t="shared" si="18"/>
        <v>who s</v>
      </c>
      <c r="N746" s="4" cm="1">
        <f t="array" ref="N746">SUM(--(_xlfn.TEXTSPLIT($J$423,, " ") = M746))</f>
        <v>1</v>
      </c>
      <c r="O746">
        <v>1</v>
      </c>
      <c r="P746">
        <v>0</v>
      </c>
      <c r="Q746">
        <v>1</v>
      </c>
      <c r="R746" s="4"/>
      <c r="S746" s="10"/>
    </row>
    <row r="747" spans="5:19" x14ac:dyDescent="0.2">
      <c r="E747" s="4" t="s">
        <v>17</v>
      </c>
      <c r="K747" t="str">
        <v>the</v>
      </c>
      <c r="L747" s="4" t="str">
        <f t="shared" si="18"/>
        <v>the</v>
      </c>
      <c r="N747" s="4" cm="1">
        <f t="array" ref="N747">SUM(--(_xlfn.TEXTSPLIT($J$423,, " ") = M747))</f>
        <v>1</v>
      </c>
      <c r="O747">
        <v>1</v>
      </c>
      <c r="P747">
        <v>0</v>
      </c>
      <c r="Q747">
        <v>1</v>
      </c>
      <c r="R747" s="4"/>
      <c r="S747" s="10"/>
    </row>
    <row r="748" spans="5:19" x14ac:dyDescent="0.2">
      <c r="E748" s="4" t="s">
        <v>17</v>
      </c>
      <c r="K748" t="str">
        <v>new</v>
      </c>
      <c r="L748" s="4" t="str">
        <f t="shared" si="18"/>
        <v>new</v>
      </c>
      <c r="N748" s="4" cm="1">
        <f t="array" ref="N748">SUM(--(_xlfn.TEXTSPLIT($J$423,, " ") = M748))</f>
        <v>1</v>
      </c>
      <c r="O748">
        <v>1</v>
      </c>
      <c r="P748">
        <v>0</v>
      </c>
      <c r="Q748">
        <v>1</v>
      </c>
      <c r="R748" s="4"/>
      <c r="S748" s="10"/>
    </row>
    <row r="749" spans="5:19" x14ac:dyDescent="0.2">
      <c r="E749" s="4" t="s">
        <v>17</v>
      </c>
      <c r="K749" t="str">
        <v>kid?</v>
      </c>
      <c r="L749" s="4" t="str">
        <f t="shared" si="18"/>
        <v xml:space="preserve">kid </v>
      </c>
      <c r="N749" s="4" cm="1">
        <f t="array" ref="N749">SUM(--(_xlfn.TEXTSPLIT($J$423,, " ") = M749))</f>
        <v>1</v>
      </c>
      <c r="O749">
        <v>1</v>
      </c>
      <c r="P749">
        <v>0</v>
      </c>
      <c r="Q749">
        <v>1</v>
      </c>
      <c r="R749" s="4"/>
      <c r="S749" s="10"/>
    </row>
    <row r="750" spans="5:19" x14ac:dyDescent="0.2">
      <c r="E750" s="4" t="s">
        <v>17</v>
      </c>
      <c r="K750" t="str">
        <v>(Never</v>
      </c>
      <c r="L750" s="4" t="str">
        <f t="shared" si="18"/>
        <v xml:space="preserve"> Never</v>
      </c>
      <c r="N750" s="4" cm="1">
        <f t="array" ref="N750">SUM(--(_xlfn.TEXTSPLIT($J$423,, " ") = M750))</f>
        <v>1</v>
      </c>
      <c r="O750">
        <v>1</v>
      </c>
      <c r="P750">
        <v>0</v>
      </c>
      <c r="Q750">
        <v>1</v>
      </c>
      <c r="R750" s="4"/>
      <c r="S750" s="10"/>
    </row>
    <row r="751" spans="5:19" x14ac:dyDescent="0.2">
      <c r="E751" s="4" t="s">
        <v>17</v>
      </c>
      <c r="K751" t="str">
        <v>slowing</v>
      </c>
      <c r="L751" s="4" t="str">
        <f t="shared" si="18"/>
        <v>slowing</v>
      </c>
      <c r="N751" s="4" cm="1">
        <f t="array" ref="N751">SUM(--(_xlfn.TEXTSPLIT($J$423,, " ") = M751))</f>
        <v>1</v>
      </c>
      <c r="O751">
        <v>1</v>
      </c>
      <c r="P751">
        <v>0</v>
      </c>
      <c r="Q751">
        <v>1</v>
      </c>
      <c r="R751" s="4"/>
      <c r="S751" s="10"/>
    </row>
    <row r="752" spans="5:19" x14ac:dyDescent="0.2">
      <c r="E752" s="4" t="s">
        <v>17</v>
      </c>
      <c r="K752" t="str">
        <v xml:space="preserve">down)
</v>
      </c>
      <c r="L752" s="4" t="str">
        <f t="shared" si="18"/>
        <v xml:space="preserve">down  </v>
      </c>
      <c r="N752" s="4" cm="1">
        <f t="array" ref="N752">SUM(--(_xlfn.TEXTSPLIT($J$423,, " ") = M752))</f>
        <v>1</v>
      </c>
      <c r="O752">
        <v>1</v>
      </c>
      <c r="P752">
        <v>0</v>
      </c>
      <c r="Q752">
        <v>1</v>
      </c>
      <c r="R752" s="4"/>
      <c r="S752" s="10"/>
    </row>
    <row r="753" spans="5:19" x14ac:dyDescent="0.2">
      <c r="E753" s="4" t="s">
        <v>17</v>
      </c>
      <c r="K753" t="str">
        <v>And</v>
      </c>
      <c r="L753" s="4" t="str">
        <f t="shared" si="18"/>
        <v>And</v>
      </c>
      <c r="N753" s="4" cm="1">
        <f t="array" ref="N753">SUM(--(_xlfn.TEXTSPLIT($J$423,, " ") = M753))</f>
        <v>1</v>
      </c>
      <c r="O753">
        <v>1</v>
      </c>
      <c r="P753">
        <v>0</v>
      </c>
      <c r="Q753">
        <v>1</v>
      </c>
      <c r="R753" s="4"/>
      <c r="S753" s="10"/>
    </row>
    <row r="754" spans="5:19" x14ac:dyDescent="0.2">
      <c r="E754" s="4" t="s">
        <v>17</v>
      </c>
      <c r="K754" t="str">
        <v>you</v>
      </c>
      <c r="L754" s="4" t="str">
        <f t="shared" si="18"/>
        <v>you</v>
      </c>
      <c r="N754" s="4" cm="1">
        <f t="array" ref="N754">SUM(--(_xlfn.TEXTSPLIT($J$423,, " ") = M754))</f>
        <v>1</v>
      </c>
      <c r="O754">
        <v>1</v>
      </c>
      <c r="P754">
        <v>0</v>
      </c>
      <c r="Q754">
        <v>1</v>
      </c>
      <c r="R754" s="4"/>
      <c r="S754" s="10"/>
    </row>
    <row r="755" spans="5:19" x14ac:dyDescent="0.2">
      <c r="E755" s="4" t="s">
        <v>17</v>
      </c>
      <c r="K755" t="str">
        <v>go,</v>
      </c>
      <c r="L755" s="4" t="str">
        <f t="shared" si="18"/>
        <v xml:space="preserve">go </v>
      </c>
      <c r="N755" s="4" cm="1">
        <f t="array" ref="N755">SUM(--(_xlfn.TEXTSPLIT($J$423,, " ") = M755))</f>
        <v>1</v>
      </c>
      <c r="O755">
        <v>1</v>
      </c>
      <c r="P755">
        <v>0</v>
      </c>
      <c r="Q755">
        <v>1</v>
      </c>
      <c r="R755" s="4"/>
      <c r="S755" s="10"/>
    </row>
    <row r="756" spans="5:19" x14ac:dyDescent="0.2">
      <c r="E756" s="4" t="s">
        <v>17</v>
      </c>
      <c r="K756" t="str">
        <v>ah,</v>
      </c>
      <c r="L756" s="4" t="str">
        <f t="shared" si="18"/>
        <v xml:space="preserve">ah </v>
      </c>
      <c r="N756" s="4" cm="1">
        <f t="array" ref="N756">SUM(--(_xlfn.TEXTSPLIT($J$423,, " ") = M756))</f>
        <v>1</v>
      </c>
      <c r="O756">
        <v>1</v>
      </c>
      <c r="P756">
        <v>0</v>
      </c>
      <c r="Q756">
        <v>1</v>
      </c>
      <c r="R756" s="4"/>
      <c r="S756" s="10"/>
    </row>
    <row r="757" spans="5:19" x14ac:dyDescent="0.2">
      <c r="E757" s="4" t="s">
        <v>17</v>
      </c>
      <c r="K757" t="str">
        <v>ah,</v>
      </c>
      <c r="L757" s="4" t="str">
        <f t="shared" si="18"/>
        <v xml:space="preserve">ah </v>
      </c>
      <c r="N757" s="4" cm="1">
        <f t="array" ref="N757">SUM(--(_xlfn.TEXTSPLIT($J$423,, " ") = M757))</f>
        <v>1</v>
      </c>
      <c r="O757">
        <v>1</v>
      </c>
      <c r="P757">
        <v>0</v>
      </c>
      <c r="Q757">
        <v>1</v>
      </c>
      <c r="R757" s="4"/>
      <c r="S757" s="10"/>
    </row>
    <row r="758" spans="5:19" x14ac:dyDescent="0.2">
      <c r="E758" s="4" t="s">
        <v>17</v>
      </c>
      <c r="K758" t="str">
        <v xml:space="preserve">ah
</v>
      </c>
      <c r="L758" s="4" t="str">
        <f t="shared" si="18"/>
        <v xml:space="preserve">ah </v>
      </c>
      <c r="N758" s="4" cm="1">
        <f t="array" ref="N758">SUM(--(_xlfn.TEXTSPLIT($J$423,, " ") = M758))</f>
        <v>1</v>
      </c>
      <c r="O758">
        <v>1</v>
      </c>
      <c r="P758">
        <v>0</v>
      </c>
      <c r="Q758">
        <v>1</v>
      </c>
      <c r="R758" s="4"/>
      <c r="S758" s="10"/>
    </row>
    <row r="759" spans="5:19" x14ac:dyDescent="0.2">
      <c r="E759" s="4" t="s">
        <v>17</v>
      </c>
      <c r="K759" t="str">
        <v>Not</v>
      </c>
      <c r="L759" s="4" t="str">
        <f t="shared" si="18"/>
        <v>Not</v>
      </c>
      <c r="N759" s="4" cm="1">
        <f t="array" ref="N759">SUM(--(_xlfn.TEXTSPLIT($J$423,, " ") = M759))</f>
        <v>1</v>
      </c>
      <c r="O759">
        <v>1</v>
      </c>
      <c r="P759">
        <v>0</v>
      </c>
      <c r="Q759">
        <v>1</v>
      </c>
      <c r="R759" s="4"/>
      <c r="S759" s="10"/>
    </row>
    <row r="760" spans="5:19" x14ac:dyDescent="0.2">
      <c r="E760" s="4" t="s">
        <v>17</v>
      </c>
      <c r="K760" t="str">
        <v>getting</v>
      </c>
      <c r="L760" s="4" t="str">
        <f t="shared" si="18"/>
        <v>getting</v>
      </c>
      <c r="N760" s="4" cm="1">
        <f t="array" ref="N760">SUM(--(_xlfn.TEXTSPLIT($J$423,, " ") = M760))</f>
        <v>1</v>
      </c>
      <c r="O760">
        <v>1</v>
      </c>
      <c r="P760">
        <v>0</v>
      </c>
      <c r="Q760">
        <v>1</v>
      </c>
      <c r="R760" s="4"/>
      <c r="S760" s="10"/>
    </row>
    <row r="761" spans="5:19" x14ac:dyDescent="0.2">
      <c r="E761" s="4" t="s">
        <v>17</v>
      </c>
      <c r="K761" t="str">
        <v xml:space="preserve">stronger
</v>
      </c>
      <c r="L761" s="4" t="str">
        <f t="shared" si="18"/>
        <v xml:space="preserve">stronger </v>
      </c>
      <c r="N761" s="4" cm="1">
        <f t="array" ref="N761">SUM(--(_xlfn.TEXTSPLIT($J$423,, " ") = M761))</f>
        <v>1</v>
      </c>
      <c r="O761">
        <v>1</v>
      </c>
      <c r="P761">
        <v>0</v>
      </c>
      <c r="Q761">
        <v>1</v>
      </c>
      <c r="R761" s="4"/>
      <c r="S761" s="10"/>
    </row>
    <row r="762" spans="5:19" x14ac:dyDescent="0.2">
      <c r="E762" s="4" t="s">
        <v>17</v>
      </c>
      <c r="K762" t="str">
        <v>And</v>
      </c>
      <c r="L762" s="4" t="str">
        <f t="shared" si="18"/>
        <v>And</v>
      </c>
      <c r="N762" s="4" cm="1">
        <f t="array" ref="N762">SUM(--(_xlfn.TEXTSPLIT($J$423,, " ") = M762))</f>
        <v>1</v>
      </c>
      <c r="O762">
        <v>1</v>
      </c>
      <c r="P762">
        <v>0</v>
      </c>
      <c r="Q762">
        <v>1</v>
      </c>
      <c r="R762" s="4"/>
      <c r="S762" s="10"/>
    </row>
    <row r="763" spans="5:19" x14ac:dyDescent="0.2">
      <c r="E763" s="4" t="s">
        <v>17</v>
      </c>
      <c r="K763" t="str">
        <v>now</v>
      </c>
      <c r="L763" s="4" t="str">
        <f t="shared" si="18"/>
        <v>now</v>
      </c>
      <c r="N763" s="4" cm="1">
        <f t="array" ref="N763">SUM(--(_xlfn.TEXTSPLIT($J$423,, " ") = M763))</f>
        <v>1</v>
      </c>
      <c r="O763">
        <v>1</v>
      </c>
      <c r="P763">
        <v>0</v>
      </c>
      <c r="Q763">
        <v>1</v>
      </c>
      <c r="R763" s="4"/>
      <c r="S763" s="10"/>
    </row>
    <row r="764" spans="5:19" x14ac:dyDescent="0.2">
      <c r="E764" s="4" t="s">
        <v>17</v>
      </c>
      <c r="K764" t="str">
        <v>I</v>
      </c>
      <c r="L764" s="4" t="str">
        <f t="shared" si="18"/>
        <v>I</v>
      </c>
      <c r="N764" s="4" cm="1">
        <f t="array" ref="N764">SUM(--(_xlfn.TEXTSPLIT($J$423,, " ") = M764))</f>
        <v>1</v>
      </c>
      <c r="O764">
        <v>1</v>
      </c>
      <c r="P764">
        <v>0</v>
      </c>
      <c r="Q764">
        <v>1</v>
      </c>
      <c r="R764" s="4"/>
      <c r="S764" s="10"/>
    </row>
    <row r="765" spans="5:19" x14ac:dyDescent="0.2">
      <c r="E765" s="4" t="s">
        <v>17</v>
      </c>
      <c r="K765" t="str">
        <v>can't</v>
      </c>
      <c r="L765" s="4" t="str">
        <f t="shared" si="18"/>
        <v>can t</v>
      </c>
      <c r="N765" s="4" cm="1">
        <f t="array" ref="N765">SUM(--(_xlfn.TEXTSPLIT($J$423,, " ") = M765))</f>
        <v>1</v>
      </c>
      <c r="O765">
        <v>1</v>
      </c>
      <c r="P765">
        <v>0</v>
      </c>
      <c r="Q765">
        <v>1</v>
      </c>
      <c r="R765" s="4"/>
      <c r="S765" s="10"/>
    </row>
    <row r="766" spans="5:19" x14ac:dyDescent="0.2">
      <c r="E766" s="4" t="s">
        <v>17</v>
      </c>
      <c r="K766" t="str">
        <v>seem</v>
      </c>
      <c r="L766" s="4" t="str">
        <f t="shared" si="18"/>
        <v>seem</v>
      </c>
      <c r="N766" s="4" cm="1">
        <f t="array" ref="N766">SUM(--(_xlfn.TEXTSPLIT($J$423,, " ") = M766))</f>
        <v>1</v>
      </c>
      <c r="O766">
        <v>1</v>
      </c>
      <c r="P766">
        <v>0</v>
      </c>
      <c r="Q766">
        <v>1</v>
      </c>
      <c r="R766" s="4"/>
      <c r="S766" s="10"/>
    </row>
    <row r="767" spans="5:19" x14ac:dyDescent="0.2">
      <c r="E767" s="4" t="s">
        <v>17</v>
      </c>
      <c r="K767" t="str">
        <v>to</v>
      </c>
      <c r="L767" s="4" t="str">
        <f t="shared" si="18"/>
        <v>to</v>
      </c>
      <c r="N767" s="4" cm="1">
        <f t="array" ref="N767">SUM(--(_xlfn.TEXTSPLIT($J$423,, " ") = M767))</f>
        <v>1</v>
      </c>
      <c r="O767">
        <v>1</v>
      </c>
      <c r="P767">
        <v>0</v>
      </c>
      <c r="Q767">
        <v>1</v>
      </c>
      <c r="R767" s="4"/>
      <c r="S767" s="10"/>
    </row>
    <row r="768" spans="5:19" x14ac:dyDescent="0.2">
      <c r="E768" s="4" t="s">
        <v>17</v>
      </c>
      <c r="K768" t="str">
        <v>sit</v>
      </c>
      <c r="L768" s="4" t="str">
        <f t="shared" si="18"/>
        <v>sit</v>
      </c>
      <c r="N768" s="4" cm="1">
        <f t="array" ref="N768">SUM(--(_xlfn.TEXTSPLIT($J$423,, " ") = M768))</f>
        <v>1</v>
      </c>
      <c r="O768">
        <v>1</v>
      </c>
      <c r="P768">
        <v>0</v>
      </c>
      <c r="Q768">
        <v>1</v>
      </c>
      <c r="R768" s="4"/>
      <c r="S768" s="10"/>
    </row>
    <row r="769" spans="5:19" x14ac:dyDescent="0.2">
      <c r="E769" s="4" t="s">
        <v>17</v>
      </c>
      <c r="K769" t="str">
        <v>still</v>
      </c>
      <c r="L769" s="4" t="str">
        <f t="shared" si="18"/>
        <v>still</v>
      </c>
      <c r="N769" s="4" cm="1">
        <f t="array" ref="N769">SUM(--(_xlfn.TEXTSPLIT($J$423,, " ") = M769))</f>
        <v>1</v>
      </c>
      <c r="O769">
        <v>1</v>
      </c>
      <c r="P769">
        <v>0</v>
      </c>
      <c r="Q769">
        <v>1</v>
      </c>
      <c r="R769" s="4"/>
      <c r="S769" s="10"/>
    </row>
    <row r="770" spans="5:19" x14ac:dyDescent="0.2">
      <c r="E770" s="4" t="s">
        <v>17</v>
      </c>
      <c r="K770" t="str">
        <v>any</v>
      </c>
      <c r="L770" s="4" t="str">
        <f t="shared" si="18"/>
        <v>any</v>
      </c>
      <c r="N770" s="4" cm="1">
        <f t="array" ref="N770">SUM(--(_xlfn.TEXTSPLIT($J$423,, " ") = M770))</f>
        <v>1</v>
      </c>
      <c r="O770">
        <v>1</v>
      </c>
      <c r="P770">
        <v>0</v>
      </c>
      <c r="Q770">
        <v>1</v>
      </c>
      <c r="R770" s="4"/>
      <c r="S770" s="10"/>
    </row>
    <row r="771" spans="5:19" x14ac:dyDescent="0.2">
      <c r="E771" s="4" t="s">
        <v>17</v>
      </c>
      <c r="K771" t="str">
        <v xml:space="preserve">longer
</v>
      </c>
      <c r="L771" s="4" t="str">
        <f t="shared" si="18"/>
        <v xml:space="preserve">longer  </v>
      </c>
      <c r="N771" s="4" cm="1">
        <f t="array" ref="N771">SUM(--(_xlfn.TEXTSPLIT($J$423,, " ") = M771))</f>
        <v>1</v>
      </c>
      <c r="O771">
        <v>1</v>
      </c>
      <c r="P771">
        <v>0</v>
      </c>
      <c r="Q771">
        <v>1</v>
      </c>
      <c r="R771" s="4"/>
      <c r="S771" s="10"/>
    </row>
    <row r="772" spans="5:19" x14ac:dyDescent="0.2">
      <c r="E772" s="4" t="s">
        <v>17</v>
      </c>
      <c r="K772" t="str">
        <v>Raw</v>
      </c>
      <c r="L772" s="4" t="str">
        <f t="shared" ref="L772:L835" si="19">_xlfn.REGEXREPLACE(K772, "[^A-Za-z ]", " ")</f>
        <v>Raw</v>
      </c>
      <c r="N772" s="4" cm="1">
        <f t="array" ref="N772">SUM(--(_xlfn.TEXTSPLIT($J$423,, " ") = M772))</f>
        <v>1</v>
      </c>
      <c r="O772">
        <v>1</v>
      </c>
      <c r="P772">
        <v>0</v>
      </c>
      <c r="Q772">
        <v>1</v>
      </c>
      <c r="R772" s="4"/>
      <c r="S772" s="10"/>
    </row>
    <row r="773" spans="5:19" x14ac:dyDescent="0.2">
      <c r="E773" s="4" t="s">
        <v>17</v>
      </c>
      <c r="K773" t="str">
        <v>fear</v>
      </c>
      <c r="L773" s="4" t="str">
        <f t="shared" si="19"/>
        <v>fear</v>
      </c>
      <c r="N773" s="4" cm="1">
        <f t="array" ref="N773">SUM(--(_xlfn.TEXTSPLIT($J$423,, " ") = M773))</f>
        <v>1</v>
      </c>
      <c r="O773">
        <v>1</v>
      </c>
      <c r="P773">
        <v>0</v>
      </c>
      <c r="Q773">
        <v>1</v>
      </c>
      <c r="R773" s="4"/>
      <c r="S773" s="10"/>
    </row>
    <row r="774" spans="5:19" x14ac:dyDescent="0.2">
      <c r="E774" s="4" t="s">
        <v>17</v>
      </c>
      <c r="K774" t="str">
        <v>moves</v>
      </c>
      <c r="L774" s="4" t="str">
        <f t="shared" si="19"/>
        <v>moves</v>
      </c>
      <c r="N774" s="4" cm="1">
        <f t="array" ref="N774">SUM(--(_xlfn.TEXTSPLIT($J$423,, " ") = M774))</f>
        <v>1</v>
      </c>
      <c r="O774">
        <v>1</v>
      </c>
      <c r="P774">
        <v>0</v>
      </c>
      <c r="Q774">
        <v>1</v>
      </c>
      <c r="R774" s="4"/>
      <c r="S774" s="10"/>
    </row>
    <row r="775" spans="5:19" x14ac:dyDescent="0.2">
      <c r="E775" s="4" t="s">
        <v>17</v>
      </c>
      <c r="K775" t="str">
        <v>me,</v>
      </c>
      <c r="L775" s="4" t="str">
        <f t="shared" si="19"/>
        <v xml:space="preserve">me </v>
      </c>
      <c r="N775" s="4" cm="1">
        <f t="array" ref="N775">SUM(--(_xlfn.TEXTSPLIT($J$423,, " ") = M775))</f>
        <v>1</v>
      </c>
      <c r="O775">
        <v>1</v>
      </c>
      <c r="P775">
        <v>0</v>
      </c>
      <c r="Q775">
        <v>1</v>
      </c>
      <c r="R775" s="4"/>
      <c r="S775" s="10"/>
    </row>
    <row r="776" spans="5:19" x14ac:dyDescent="0.2">
      <c r="E776" s="4" t="s">
        <v>17</v>
      </c>
      <c r="K776" t="str">
        <v>sounds</v>
      </c>
      <c r="L776" s="4" t="str">
        <f t="shared" si="19"/>
        <v>sounds</v>
      </c>
      <c r="N776" s="4" cm="1">
        <f t="array" ref="N776">SUM(--(_xlfn.TEXTSPLIT($J$423,, " ") = M776))</f>
        <v>1</v>
      </c>
      <c r="O776">
        <v>1</v>
      </c>
      <c r="P776">
        <v>0</v>
      </c>
      <c r="Q776">
        <v>1</v>
      </c>
      <c r="R776" s="4"/>
      <c r="S776" s="10"/>
    </row>
    <row r="777" spans="5:19" x14ac:dyDescent="0.2">
      <c r="E777" s="4" t="s">
        <v>17</v>
      </c>
      <c r="K777" t="str">
        <v>of</v>
      </c>
      <c r="L777" s="4" t="str">
        <f t="shared" si="19"/>
        <v>of</v>
      </c>
      <c r="N777" s="4" cm="1">
        <f t="array" ref="N777">SUM(--(_xlfn.TEXTSPLIT($J$423,, " ") = M777))</f>
        <v>1</v>
      </c>
      <c r="O777">
        <v>1</v>
      </c>
      <c r="P777">
        <v>0</v>
      </c>
      <c r="Q777">
        <v>1</v>
      </c>
      <c r="R777" s="4"/>
      <c r="S777" s="10"/>
    </row>
    <row r="778" spans="5:19" x14ac:dyDescent="0.2">
      <c r="E778" s="4" t="s">
        <v>17</v>
      </c>
      <c r="K778" t="str">
        <v>empty</v>
      </c>
      <c r="L778" s="4" t="str">
        <f t="shared" si="19"/>
        <v>empty</v>
      </c>
      <c r="N778" s="4" cm="1">
        <f t="array" ref="N778">SUM(--(_xlfn.TEXTSPLIT($J$423,, " ") = M778))</f>
        <v>1</v>
      </c>
      <c r="O778">
        <v>1</v>
      </c>
      <c r="P778">
        <v>0</v>
      </c>
      <c r="Q778">
        <v>1</v>
      </c>
      <c r="R778" s="4"/>
      <c r="S778" s="10"/>
    </row>
    <row r="779" spans="5:19" x14ac:dyDescent="0.2">
      <c r="E779" s="4" t="s">
        <v>17</v>
      </c>
      <c r="K779" t="str">
        <v>Uzis</v>
      </c>
      <c r="L779" s="4" t="str">
        <f t="shared" si="19"/>
        <v>Uzis</v>
      </c>
      <c r="N779" s="4" cm="1">
        <f t="array" ref="N779">SUM(--(_xlfn.TEXTSPLIT($J$423,, " ") = M779))</f>
        <v>1</v>
      </c>
      <c r="O779">
        <v>1</v>
      </c>
      <c r="P779">
        <v>0</v>
      </c>
      <c r="Q779">
        <v>1</v>
      </c>
      <c r="R779" s="4"/>
      <c r="S779" s="10"/>
    </row>
    <row r="780" spans="5:19" x14ac:dyDescent="0.2">
      <c r="E780" s="4" t="s">
        <v>17</v>
      </c>
      <c r="K780" t="str">
        <v>(Ah,</v>
      </c>
      <c r="L780" s="4" t="str">
        <f t="shared" si="19"/>
        <v xml:space="preserve"> Ah </v>
      </c>
      <c r="N780" s="4" cm="1">
        <f t="array" ref="N780">SUM(--(_xlfn.TEXTSPLIT($J$423,, " ") = M780))</f>
        <v>1</v>
      </c>
      <c r="O780">
        <v>1</v>
      </c>
      <c r="P780">
        <v>0</v>
      </c>
      <c r="Q780">
        <v>1</v>
      </c>
      <c r="R780" s="4"/>
      <c r="S780" s="10"/>
    </row>
    <row r="781" spans="5:19" x14ac:dyDescent="0.2">
      <c r="E781" s="4" t="s">
        <v>17</v>
      </c>
      <c r="K781" t="str">
        <v>ah,</v>
      </c>
      <c r="L781" s="4" t="str">
        <f t="shared" si="19"/>
        <v xml:space="preserve">ah </v>
      </c>
      <c r="N781" s="4" cm="1">
        <f t="array" ref="N781">SUM(--(_xlfn.TEXTSPLIT($J$423,, " ") = M781))</f>
        <v>1</v>
      </c>
      <c r="O781">
        <v>1</v>
      </c>
      <c r="P781">
        <v>0</v>
      </c>
      <c r="Q781">
        <v>1</v>
      </c>
      <c r="R781" s="4"/>
      <c r="S781" s="10"/>
    </row>
    <row r="782" spans="5:19" x14ac:dyDescent="0.2">
      <c r="E782" s="4" t="s">
        <v>17</v>
      </c>
      <c r="K782" t="str">
        <v xml:space="preserve">ah)
</v>
      </c>
      <c r="L782" s="4" t="str">
        <f t="shared" si="19"/>
        <v xml:space="preserve">ah  </v>
      </c>
      <c r="N782" s="4" cm="1">
        <f t="array" ref="N782">SUM(--(_xlfn.TEXTSPLIT($J$423,, " ") = M782))</f>
        <v>1</v>
      </c>
      <c r="O782">
        <v>1</v>
      </c>
      <c r="P782">
        <v>0</v>
      </c>
      <c r="Q782">
        <v>1</v>
      </c>
      <c r="R782" s="4"/>
      <c r="S782" s="10"/>
    </row>
    <row r="783" spans="5:19" x14ac:dyDescent="0.2">
      <c r="E783" s="4" t="s">
        <v>17</v>
      </c>
      <c r="K783" t="str">
        <v>Life</v>
      </c>
      <c r="L783" s="4" t="str">
        <f t="shared" si="19"/>
        <v>Life</v>
      </c>
      <c r="N783" s="4" cm="1">
        <f t="array" ref="N783">SUM(--(_xlfn.TEXTSPLIT($J$423,, " ") = M783))</f>
        <v>1</v>
      </c>
      <c r="O783">
        <v>1</v>
      </c>
      <c r="P783">
        <v>0</v>
      </c>
      <c r="Q783">
        <v>1</v>
      </c>
      <c r="R783" s="4"/>
      <c r="S783" s="10"/>
    </row>
    <row r="784" spans="5:19" x14ac:dyDescent="0.2">
      <c r="E784" s="4" t="s">
        <v>17</v>
      </c>
      <c r="K784" t="str">
        <v>is</v>
      </c>
      <c r="L784" s="4" t="str">
        <f t="shared" si="19"/>
        <v>is</v>
      </c>
      <c r="N784" s="4" cm="1">
        <f t="array" ref="N784">SUM(--(_xlfn.TEXTSPLIT($J$423,, " ") = M784))</f>
        <v>1</v>
      </c>
      <c r="O784">
        <v>1</v>
      </c>
      <c r="P784">
        <v>0</v>
      </c>
      <c r="Q784">
        <v>1</v>
      </c>
      <c r="R784" s="4"/>
      <c r="S784" s="10"/>
    </row>
    <row r="785" spans="5:19" x14ac:dyDescent="0.2">
      <c r="E785" s="4" t="s">
        <v>17</v>
      </c>
      <c r="K785" t="str">
        <v>just</v>
      </c>
      <c r="L785" s="4" t="str">
        <f t="shared" si="19"/>
        <v>just</v>
      </c>
      <c r="N785" s="4" cm="1">
        <f t="array" ref="N785">SUM(--(_xlfn.TEXTSPLIT($J$423,, " ") = M785))</f>
        <v>1</v>
      </c>
      <c r="O785">
        <v>1</v>
      </c>
      <c r="P785">
        <v>0</v>
      </c>
      <c r="Q785">
        <v>1</v>
      </c>
      <c r="R785" s="4"/>
      <c r="S785" s="10"/>
    </row>
    <row r="786" spans="5:19" x14ac:dyDescent="0.2">
      <c r="E786" s="4" t="s">
        <v>17</v>
      </c>
      <c r="K786" t="str">
        <v>forever</v>
      </c>
      <c r="L786" s="4" t="str">
        <f t="shared" si="19"/>
        <v>forever</v>
      </c>
      <c r="N786" s="4" cm="1">
        <f t="array" ref="N786">SUM(--(_xlfn.TEXTSPLIT($J$423,, " ") = M786))</f>
        <v>1</v>
      </c>
      <c r="O786">
        <v>1</v>
      </c>
      <c r="P786">
        <v>0</v>
      </c>
      <c r="Q786">
        <v>1</v>
      </c>
      <c r="R786" s="4"/>
      <c r="S786" s="10"/>
    </row>
    <row r="787" spans="5:19" x14ac:dyDescent="0.2">
      <c r="E787" s="4" t="s">
        <v>17</v>
      </c>
      <c r="K787" t="str">
        <v>nipping</v>
      </c>
      <c r="L787" s="4" t="str">
        <f t="shared" si="19"/>
        <v>nipping</v>
      </c>
      <c r="N787" s="4" cm="1">
        <f t="array" ref="N787">SUM(--(_xlfn.TEXTSPLIT($J$423,, " ") = M787))</f>
        <v>1</v>
      </c>
      <c r="O787">
        <v>1</v>
      </c>
      <c r="P787">
        <v>0</v>
      </c>
      <c r="Q787">
        <v>1</v>
      </c>
      <c r="R787" s="4"/>
      <c r="S787" s="10"/>
    </row>
    <row r="788" spans="5:19" x14ac:dyDescent="0.2">
      <c r="E788" s="4" t="s">
        <v>17</v>
      </c>
      <c r="K788" t="str">
        <v>heels,</v>
      </c>
      <c r="L788" s="4" t="str">
        <f t="shared" si="19"/>
        <v xml:space="preserve">heels </v>
      </c>
      <c r="N788" s="4" cm="1">
        <f t="array" ref="N788">SUM(--(_xlfn.TEXTSPLIT($J$423,, " ") = M788))</f>
        <v>1</v>
      </c>
      <c r="O788">
        <v>1</v>
      </c>
      <c r="P788">
        <v>0</v>
      </c>
      <c r="Q788">
        <v>1</v>
      </c>
      <c r="R788" s="4"/>
      <c r="S788" s="10"/>
    </row>
    <row r="789" spans="5:19" x14ac:dyDescent="0.2">
      <c r="E789" s="4" t="s">
        <v>17</v>
      </c>
      <c r="K789" t="str">
        <v>never</v>
      </c>
      <c r="L789" s="4" t="str">
        <f t="shared" si="19"/>
        <v>never</v>
      </c>
      <c r="N789" s="4" cm="1">
        <f t="array" ref="N789">SUM(--(_xlfn.TEXTSPLIT($J$423,, " ") = M789))</f>
        <v>1</v>
      </c>
      <c r="O789">
        <v>1</v>
      </c>
      <c r="P789">
        <v>0</v>
      </c>
      <c r="Q789">
        <v>1</v>
      </c>
      <c r="R789" s="4"/>
      <c r="S789" s="10"/>
    </row>
    <row r="790" spans="5:19" x14ac:dyDescent="0.2">
      <c r="E790" s="4" t="s">
        <v>17</v>
      </c>
      <c r="K790" t="str">
        <v>slowing</v>
      </c>
      <c r="L790" s="4" t="str">
        <f t="shared" si="19"/>
        <v>slowing</v>
      </c>
      <c r="N790" s="4" cm="1">
        <f t="array" ref="N790">SUM(--(_xlfn.TEXTSPLIT($J$423,, " ") = M790))</f>
        <v>1</v>
      </c>
      <c r="O790">
        <v>1</v>
      </c>
      <c r="P790">
        <v>0</v>
      </c>
      <c r="Q790">
        <v>1</v>
      </c>
      <c r="R790" s="4"/>
      <c r="S790" s="10"/>
    </row>
    <row r="791" spans="5:19" x14ac:dyDescent="0.2">
      <c r="E791" s="4" t="s">
        <v>17</v>
      </c>
      <c r="K791" t="str">
        <v xml:space="preserve">down
</v>
      </c>
      <c r="L791" s="4" t="str">
        <f t="shared" si="19"/>
        <v xml:space="preserve">down </v>
      </c>
      <c r="N791" s="4" cm="1">
        <f t="array" ref="N791">SUM(--(_xlfn.TEXTSPLIT($J$423,, " ") = M791))</f>
        <v>1</v>
      </c>
      <c r="O791">
        <v>1</v>
      </c>
      <c r="P791">
        <v>0</v>
      </c>
      <c r="Q791">
        <v>1</v>
      </c>
      <c r="R791" s="4"/>
      <c r="S791" s="10"/>
    </row>
    <row r="792" spans="5:19" x14ac:dyDescent="0.2">
      <c r="E792" s="4" t="s">
        <v>17</v>
      </c>
      <c r="K792" t="str">
        <v>Raw</v>
      </c>
      <c r="L792" s="4" t="str">
        <f t="shared" si="19"/>
        <v>Raw</v>
      </c>
      <c r="N792" s="4" cm="1">
        <f t="array" ref="N792">SUM(--(_xlfn.TEXTSPLIT($J$423,, " ") = M792))</f>
        <v>1</v>
      </c>
      <c r="O792">
        <v>1</v>
      </c>
      <c r="P792">
        <v>0</v>
      </c>
      <c r="Q792">
        <v>1</v>
      </c>
      <c r="R792" s="4"/>
      <c r="S792" s="10"/>
    </row>
    <row r="793" spans="5:19" x14ac:dyDescent="0.2">
      <c r="E793" s="4" t="s">
        <v>17</v>
      </c>
      <c r="K793" t="str">
        <v>fear</v>
      </c>
      <c r="L793" s="4" t="str">
        <f t="shared" si="19"/>
        <v>fear</v>
      </c>
      <c r="N793" s="4" cm="1">
        <f t="array" ref="N793">SUM(--(_xlfn.TEXTSPLIT($J$423,, " ") = M793))</f>
        <v>1</v>
      </c>
      <c r="O793">
        <v>1</v>
      </c>
      <c r="P793">
        <v>0</v>
      </c>
      <c r="Q793">
        <v>1</v>
      </c>
      <c r="R793" s="4"/>
      <c r="S793" s="10"/>
    </row>
    <row r="794" spans="5:19" x14ac:dyDescent="0.2">
      <c r="E794" s="4" t="s">
        <v>17</v>
      </c>
      <c r="K794" t="str">
        <v>moves</v>
      </c>
      <c r="L794" s="4" t="str">
        <f t="shared" si="19"/>
        <v>moves</v>
      </c>
      <c r="N794" s="4" cm="1">
        <f t="array" ref="N794">SUM(--(_xlfn.TEXTSPLIT($J$423,, " ") = M794))</f>
        <v>1</v>
      </c>
      <c r="O794">
        <v>1</v>
      </c>
      <c r="P794">
        <v>0</v>
      </c>
      <c r="Q794">
        <v>1</v>
      </c>
      <c r="R794" s="4"/>
      <c r="S794" s="10"/>
    </row>
    <row r="795" spans="5:19" x14ac:dyDescent="0.2">
      <c r="E795" s="4" t="s">
        <v>17</v>
      </c>
      <c r="K795" t="str">
        <v>me,</v>
      </c>
      <c r="L795" s="4" t="str">
        <f t="shared" si="19"/>
        <v xml:space="preserve">me </v>
      </c>
      <c r="N795" s="4" cm="1">
        <f t="array" ref="N795">SUM(--(_xlfn.TEXTSPLIT($J$423,, " ") = M795))</f>
        <v>1</v>
      </c>
      <c r="O795">
        <v>1</v>
      </c>
      <c r="P795">
        <v>0</v>
      </c>
      <c r="Q795">
        <v>1</v>
      </c>
      <c r="R795" s="4"/>
      <c r="S795" s="10"/>
    </row>
    <row r="796" spans="5:19" x14ac:dyDescent="0.2">
      <c r="E796" s="4" t="s">
        <v>17</v>
      </c>
      <c r="K796" t="str">
        <v>sounds</v>
      </c>
      <c r="L796" s="4" t="str">
        <f t="shared" si="19"/>
        <v>sounds</v>
      </c>
      <c r="N796" s="4" cm="1">
        <f t="array" ref="N796">SUM(--(_xlfn.TEXTSPLIT($J$423,, " ") = M796))</f>
        <v>1</v>
      </c>
      <c r="O796">
        <v>1</v>
      </c>
      <c r="P796">
        <v>0</v>
      </c>
      <c r="Q796">
        <v>1</v>
      </c>
      <c r="R796" s="4"/>
      <c r="S796" s="10"/>
    </row>
    <row r="797" spans="5:19" x14ac:dyDescent="0.2">
      <c r="E797" s="4" t="s">
        <v>17</v>
      </c>
      <c r="K797" t="str">
        <v>of</v>
      </c>
      <c r="L797" s="4" t="str">
        <f t="shared" si="19"/>
        <v>of</v>
      </c>
      <c r="N797" s="4" cm="1">
        <f t="array" ref="N797">SUM(--(_xlfn.TEXTSPLIT($J$423,, " ") = M797))</f>
        <v>1</v>
      </c>
      <c r="O797">
        <v>1</v>
      </c>
      <c r="P797">
        <v>0</v>
      </c>
      <c r="Q797">
        <v>1</v>
      </c>
      <c r="R797" s="4"/>
      <c r="S797" s="10"/>
    </row>
    <row r="798" spans="5:19" x14ac:dyDescent="0.2">
      <c r="E798" s="4" t="s">
        <v>17</v>
      </c>
      <c r="K798" t="str">
        <v>empty</v>
      </c>
      <c r="L798" s="4" t="str">
        <f t="shared" si="19"/>
        <v>empty</v>
      </c>
      <c r="N798" s="4" cm="1">
        <f t="array" ref="N798">SUM(--(_xlfn.TEXTSPLIT($J$423,, " ") = M798))</f>
        <v>1</v>
      </c>
      <c r="O798">
        <v>1</v>
      </c>
      <c r="P798">
        <v>0</v>
      </c>
      <c r="Q798">
        <v>1</v>
      </c>
      <c r="R798" s="4"/>
      <c r="S798" s="10"/>
    </row>
    <row r="799" spans="5:19" x14ac:dyDescent="0.2">
      <c r="E799" s="4" t="s">
        <v>17</v>
      </c>
      <c r="K799" t="str">
        <v>Uzis</v>
      </c>
      <c r="L799" s="4" t="str">
        <f t="shared" si="19"/>
        <v>Uzis</v>
      </c>
      <c r="N799" s="4" cm="1">
        <f t="array" ref="N799">SUM(--(_xlfn.TEXTSPLIT($J$423,, " ") = M799))</f>
        <v>1</v>
      </c>
      <c r="O799">
        <v>1</v>
      </c>
      <c r="P799">
        <v>0</v>
      </c>
      <c r="Q799">
        <v>1</v>
      </c>
      <c r="R799" s="4"/>
      <c r="S799" s="10"/>
    </row>
    <row r="800" spans="5:19" x14ac:dyDescent="0.2">
      <c r="E800" s="4" t="s">
        <v>17</v>
      </c>
      <c r="K800" t="str">
        <v>(Ah,</v>
      </c>
      <c r="L800" s="4" t="str">
        <f t="shared" si="19"/>
        <v xml:space="preserve"> Ah </v>
      </c>
      <c r="N800" s="4" cm="1">
        <f t="array" ref="N800">SUM(--(_xlfn.TEXTSPLIT($J$423,, " ") = M800))</f>
        <v>1</v>
      </c>
      <c r="O800">
        <v>1</v>
      </c>
      <c r="P800">
        <v>0</v>
      </c>
      <c r="Q800">
        <v>1</v>
      </c>
      <c r="R800" s="4"/>
      <c r="S800" s="10"/>
    </row>
    <row r="801" spans="5:19" x14ac:dyDescent="0.2">
      <c r="E801" s="4" t="s">
        <v>17</v>
      </c>
      <c r="K801" t="str">
        <v>ah,</v>
      </c>
      <c r="L801" s="4" t="str">
        <f t="shared" si="19"/>
        <v xml:space="preserve">ah </v>
      </c>
      <c r="N801" s="4" cm="1">
        <f t="array" ref="N801">SUM(--(_xlfn.TEXTSPLIT($J$423,, " ") = M801))</f>
        <v>1</v>
      </c>
      <c r="O801">
        <v>1</v>
      </c>
      <c r="P801">
        <v>0</v>
      </c>
      <c r="Q801">
        <v>1</v>
      </c>
      <c r="R801" s="4"/>
      <c r="S801" s="10"/>
    </row>
    <row r="802" spans="5:19" x14ac:dyDescent="0.2">
      <c r="E802" s="4" t="s">
        <v>17</v>
      </c>
      <c r="K802" t="str">
        <v xml:space="preserve">ah)
</v>
      </c>
      <c r="L802" s="4" t="str">
        <f t="shared" si="19"/>
        <v xml:space="preserve">ah  </v>
      </c>
      <c r="N802" s="4" cm="1">
        <f t="array" ref="N802">SUM(--(_xlfn.TEXTSPLIT($J$423,, " ") = M802))</f>
        <v>1</v>
      </c>
      <c r="O802">
        <v>1</v>
      </c>
      <c r="P802">
        <v>0</v>
      </c>
      <c r="Q802">
        <v>1</v>
      </c>
      <c r="R802" s="4"/>
      <c r="S802" s="10"/>
    </row>
    <row r="803" spans="5:19" x14ac:dyDescent="0.2">
      <c r="E803" s="4" t="s">
        <v>17</v>
      </c>
      <c r="K803" t="str">
        <v>Life</v>
      </c>
      <c r="L803" s="4" t="str">
        <f t="shared" si="19"/>
        <v>Life</v>
      </c>
      <c r="N803" s="4" cm="1">
        <f t="array" ref="N803">SUM(--(_xlfn.TEXTSPLIT($J$423,, " ") = M803))</f>
        <v>1</v>
      </c>
      <c r="O803">
        <v>1</v>
      </c>
      <c r="P803">
        <v>0</v>
      </c>
      <c r="Q803">
        <v>1</v>
      </c>
      <c r="R803" s="4"/>
      <c r="S803" s="10"/>
    </row>
    <row r="804" spans="5:19" x14ac:dyDescent="0.2">
      <c r="E804" s="4" t="s">
        <v>17</v>
      </c>
      <c r="K804" t="str">
        <v>is</v>
      </c>
      <c r="L804" s="4" t="str">
        <f t="shared" si="19"/>
        <v>is</v>
      </c>
      <c r="N804" s="4" cm="1">
        <f t="array" ref="N804">SUM(--(_xlfn.TEXTSPLIT($J$423,, " ") = M804))</f>
        <v>1</v>
      </c>
      <c r="O804">
        <v>1</v>
      </c>
      <c r="P804">
        <v>0</v>
      </c>
      <c r="Q804">
        <v>1</v>
      </c>
      <c r="R804" s="4"/>
      <c r="S804" s="10"/>
    </row>
    <row r="805" spans="5:19" x14ac:dyDescent="0.2">
      <c r="E805" s="4" t="s">
        <v>17</v>
      </c>
      <c r="K805" t="str">
        <v>just</v>
      </c>
      <c r="L805" s="4" t="str">
        <f t="shared" si="19"/>
        <v>just</v>
      </c>
      <c r="N805" s="4" cm="1">
        <f t="array" ref="N805">SUM(--(_xlfn.TEXTSPLIT($J$423,, " ") = M805))</f>
        <v>1</v>
      </c>
      <c r="O805">
        <v>1</v>
      </c>
      <c r="P805">
        <v>0</v>
      </c>
      <c r="Q805">
        <v>1</v>
      </c>
      <c r="R805" s="4"/>
      <c r="S805" s="10"/>
    </row>
    <row r="806" spans="5:19" x14ac:dyDescent="0.2">
      <c r="E806" s="4" t="s">
        <v>17</v>
      </c>
      <c r="K806" t="str">
        <v>forever</v>
      </c>
      <c r="L806" s="4" t="str">
        <f t="shared" si="19"/>
        <v>forever</v>
      </c>
      <c r="N806" s="4" cm="1">
        <f t="array" ref="N806">SUM(--(_xlfn.TEXTSPLIT($J$423,, " ") = M806))</f>
        <v>1</v>
      </c>
      <c r="O806">
        <v>1</v>
      </c>
      <c r="P806">
        <v>0</v>
      </c>
      <c r="Q806">
        <v>1</v>
      </c>
      <c r="R806" s="4"/>
      <c r="S806" s="10"/>
    </row>
    <row r="807" spans="5:19" x14ac:dyDescent="0.2">
      <c r="E807" s="4" t="s">
        <v>17</v>
      </c>
      <c r="K807" t="str">
        <v>gripping</v>
      </c>
      <c r="L807" s="4" t="str">
        <f t="shared" si="19"/>
        <v>gripping</v>
      </c>
      <c r="N807" s="4" cm="1">
        <f t="array" ref="N807">SUM(--(_xlfn.TEXTSPLIT($J$423,, " ") = M807))</f>
        <v>1</v>
      </c>
      <c r="O807">
        <v>1</v>
      </c>
      <c r="P807">
        <v>0</v>
      </c>
      <c r="Q807">
        <v>1</v>
      </c>
      <c r="R807" s="4"/>
      <c r="S807" s="10"/>
    </row>
    <row r="808" spans="5:19" x14ac:dyDescent="0.2">
      <c r="E808" s="4" t="s">
        <v>17</v>
      </c>
      <c r="K808" t="str">
        <v>feels,</v>
      </c>
      <c r="L808" s="4" t="str">
        <f t="shared" si="19"/>
        <v xml:space="preserve">feels </v>
      </c>
      <c r="N808" s="4" cm="1">
        <f t="array" ref="N808">SUM(--(_xlfn.TEXTSPLIT($J$423,, " ") = M808))</f>
        <v>1</v>
      </c>
      <c r="O808">
        <v>1</v>
      </c>
      <c r="P808">
        <v>0</v>
      </c>
      <c r="Q808">
        <v>1</v>
      </c>
      <c r="R808" s="4"/>
      <c r="S808" s="10"/>
    </row>
    <row r="809" spans="5:19" x14ac:dyDescent="0.2">
      <c r="E809" s="4" t="s">
        <v>17</v>
      </c>
      <c r="K809" t="str">
        <v>never</v>
      </c>
      <c r="L809" s="4" t="str">
        <f t="shared" si="19"/>
        <v>never</v>
      </c>
      <c r="N809" s="4" cm="1">
        <f t="array" ref="N809">SUM(--(_xlfn.TEXTSPLIT($J$423,, " ") = M809))</f>
        <v>1</v>
      </c>
      <c r="O809">
        <v>1</v>
      </c>
      <c r="P809">
        <v>0</v>
      </c>
      <c r="Q809">
        <v>1</v>
      </c>
      <c r="R809" s="4"/>
      <c r="S809" s="10"/>
    </row>
    <row r="810" spans="5:19" x14ac:dyDescent="0.2">
      <c r="E810" s="4" t="s">
        <v>17</v>
      </c>
      <c r="K810" t="str">
        <v>slowing</v>
      </c>
      <c r="L810" s="4" t="str">
        <f t="shared" si="19"/>
        <v>slowing</v>
      </c>
      <c r="N810" s="4" cm="1">
        <f t="array" ref="N810">SUM(--(_xlfn.TEXTSPLIT($J$423,, " ") = M810))</f>
        <v>1</v>
      </c>
      <c r="O810">
        <v>1</v>
      </c>
      <c r="P810">
        <v>0</v>
      </c>
      <c r="Q810">
        <v>1</v>
      </c>
      <c r="R810" s="4"/>
      <c r="S810" s="10"/>
    </row>
    <row r="811" spans="5:19" x14ac:dyDescent="0.2">
      <c r="E811" s="4" t="s">
        <v>17</v>
      </c>
      <c r="K811" t="str">
        <v xml:space="preserve">down
</v>
      </c>
      <c r="L811" s="4" t="str">
        <f t="shared" si="19"/>
        <v xml:space="preserve">down </v>
      </c>
      <c r="N811" s="4" cm="1">
        <f t="array" ref="N811">SUM(--(_xlfn.TEXTSPLIT($J$423,, " ") = M811))</f>
        <v>1</v>
      </c>
      <c r="O811">
        <v>1</v>
      </c>
      <c r="P811">
        <v>0</v>
      </c>
      <c r="Q811">
        <v>1</v>
      </c>
      <c r="R811" s="4"/>
      <c r="S811" s="10"/>
    </row>
    <row r="812" spans="5:19" x14ac:dyDescent="0.2">
      <c r="E812" s="4" t="s">
        <v>17</v>
      </c>
      <c r="K812" t="str">
        <v>Raw</v>
      </c>
      <c r="L812" s="4" t="str">
        <f t="shared" si="19"/>
        <v>Raw</v>
      </c>
      <c r="N812" s="4" cm="1">
        <f t="array" ref="N812">SUM(--(_xlfn.TEXTSPLIT($J$423,, " ") = M812))</f>
        <v>1</v>
      </c>
      <c r="O812">
        <v>1</v>
      </c>
      <c r="P812">
        <v>0</v>
      </c>
      <c r="Q812">
        <v>1</v>
      </c>
      <c r="R812" s="4"/>
      <c r="S812" s="10"/>
    </row>
    <row r="813" spans="5:19" x14ac:dyDescent="0.2">
      <c r="E813" s="4" t="s">
        <v>17</v>
      </c>
      <c r="K813" t="str">
        <v>fear</v>
      </c>
      <c r="L813" s="4" t="str">
        <f t="shared" si="19"/>
        <v>fear</v>
      </c>
      <c r="N813" s="4" cm="1">
        <f t="array" ref="N813">SUM(--(_xlfn.TEXTSPLIT($J$423,, " ") = M813))</f>
        <v>1</v>
      </c>
      <c r="O813">
        <v>1</v>
      </c>
      <c r="P813">
        <v>0</v>
      </c>
      <c r="Q813">
        <v>1</v>
      </c>
      <c r="R813" s="4"/>
      <c r="S813" s="10"/>
    </row>
    <row r="814" spans="5:19" x14ac:dyDescent="0.2">
      <c r="E814" s="4" t="s">
        <v>17</v>
      </c>
      <c r="K814" t="str">
        <v>moves</v>
      </c>
      <c r="L814" s="4" t="str">
        <f t="shared" si="19"/>
        <v>moves</v>
      </c>
      <c r="N814" s="4" cm="1">
        <f t="array" ref="N814">SUM(--(_xlfn.TEXTSPLIT($J$423,, " ") = M814))</f>
        <v>1</v>
      </c>
      <c r="O814">
        <v>1</v>
      </c>
      <c r="P814">
        <v>0</v>
      </c>
      <c r="Q814">
        <v>1</v>
      </c>
      <c r="R814" s="4"/>
      <c r="S814" s="10"/>
    </row>
    <row r="815" spans="5:19" x14ac:dyDescent="0.2">
      <c r="E815" s="4" t="s">
        <v>17</v>
      </c>
      <c r="K815" t="str">
        <v>me,</v>
      </c>
      <c r="L815" s="4" t="str">
        <f t="shared" si="19"/>
        <v xml:space="preserve">me </v>
      </c>
      <c r="N815" s="4" cm="1">
        <f t="array" ref="N815">SUM(--(_xlfn.TEXTSPLIT($J$423,, " ") = M815))</f>
        <v>1</v>
      </c>
      <c r="O815">
        <v>1</v>
      </c>
      <c r="P815">
        <v>0</v>
      </c>
      <c r="Q815">
        <v>1</v>
      </c>
      <c r="R815" s="4"/>
      <c r="S815" s="10"/>
    </row>
    <row r="816" spans="5:19" x14ac:dyDescent="0.2">
      <c r="E816" s="4" t="s">
        <v>17</v>
      </c>
      <c r="K816" t="str">
        <v>sounds</v>
      </c>
      <c r="L816" s="4" t="str">
        <f t="shared" si="19"/>
        <v>sounds</v>
      </c>
      <c r="N816" s="4" cm="1">
        <f t="array" ref="N816">SUM(--(_xlfn.TEXTSPLIT($J$423,, " ") = M816))</f>
        <v>1</v>
      </c>
      <c r="O816">
        <v>1</v>
      </c>
      <c r="P816">
        <v>0</v>
      </c>
      <c r="Q816">
        <v>1</v>
      </c>
      <c r="R816" s="4"/>
      <c r="S816" s="10"/>
    </row>
    <row r="817" spans="5:19" x14ac:dyDescent="0.2">
      <c r="E817" s="4" t="s">
        <v>17</v>
      </c>
      <c r="K817" t="str">
        <v>of</v>
      </c>
      <c r="L817" s="4" t="str">
        <f t="shared" si="19"/>
        <v>of</v>
      </c>
      <c r="N817" s="4" cm="1">
        <f t="array" ref="N817">SUM(--(_xlfn.TEXTSPLIT($J$423,, " ") = M817))</f>
        <v>1</v>
      </c>
      <c r="O817">
        <v>1</v>
      </c>
      <c r="P817">
        <v>0</v>
      </c>
      <c r="Q817">
        <v>1</v>
      </c>
      <c r="R817" s="4"/>
      <c r="S817" s="10"/>
    </row>
    <row r="818" spans="5:19" x14ac:dyDescent="0.2">
      <c r="E818" s="4" t="s">
        <v>17</v>
      </c>
      <c r="K818" t="str">
        <v>empty</v>
      </c>
      <c r="L818" s="4" t="str">
        <f t="shared" si="19"/>
        <v>empty</v>
      </c>
      <c r="N818" s="4" cm="1">
        <f t="array" ref="N818">SUM(--(_xlfn.TEXTSPLIT($J$423,, " ") = M818))</f>
        <v>1</v>
      </c>
      <c r="O818">
        <v>1</v>
      </c>
      <c r="P818">
        <v>0</v>
      </c>
      <c r="Q818">
        <v>1</v>
      </c>
      <c r="R818" s="4"/>
      <c r="S818" s="10"/>
    </row>
    <row r="819" spans="5:19" x14ac:dyDescent="0.2">
      <c r="E819" s="4" t="s">
        <v>17</v>
      </c>
      <c r="K819" t="str">
        <v>Uzis</v>
      </c>
      <c r="L819" s="4" t="str">
        <f t="shared" si="19"/>
        <v>Uzis</v>
      </c>
      <c r="N819" s="4" cm="1">
        <f t="array" ref="N819">SUM(--(_xlfn.TEXTSPLIT($J$423,, " ") = M819))</f>
        <v>1</v>
      </c>
      <c r="O819">
        <v>1</v>
      </c>
      <c r="P819">
        <v>0</v>
      </c>
      <c r="Q819">
        <v>1</v>
      </c>
      <c r="R819" s="4"/>
      <c r="S819" s="10"/>
    </row>
    <row r="820" spans="5:19" x14ac:dyDescent="0.2">
      <c r="E820" s="4" t="s">
        <v>17</v>
      </c>
      <c r="K820" t="str">
        <v>(Ah,</v>
      </c>
      <c r="L820" s="4" t="str">
        <f t="shared" si="19"/>
        <v xml:space="preserve"> Ah </v>
      </c>
      <c r="N820" s="4" cm="1">
        <f t="array" ref="N820">SUM(--(_xlfn.TEXTSPLIT($J$423,, " ") = M820))</f>
        <v>1</v>
      </c>
      <c r="O820">
        <v>1</v>
      </c>
      <c r="P820">
        <v>0</v>
      </c>
      <c r="Q820">
        <v>1</v>
      </c>
      <c r="R820" s="4"/>
      <c r="S820" s="10"/>
    </row>
    <row r="821" spans="5:19" x14ac:dyDescent="0.2">
      <c r="E821" s="4" t="s">
        <v>17</v>
      </c>
      <c r="K821" t="str">
        <v>ah,</v>
      </c>
      <c r="L821" s="4" t="str">
        <f t="shared" si="19"/>
        <v xml:space="preserve">ah </v>
      </c>
      <c r="N821" s="4" cm="1">
        <f t="array" ref="N821">SUM(--(_xlfn.TEXTSPLIT($J$423,, " ") = M821))</f>
        <v>1</v>
      </c>
      <c r="O821">
        <v>1</v>
      </c>
      <c r="P821">
        <v>0</v>
      </c>
      <c r="Q821">
        <v>1</v>
      </c>
      <c r="R821" s="4"/>
      <c r="S821" s="10"/>
    </row>
    <row r="822" spans="5:19" x14ac:dyDescent="0.2">
      <c r="E822" s="4" t="s">
        <v>17</v>
      </c>
      <c r="K822" t="str">
        <v xml:space="preserve">ah)
</v>
      </c>
      <c r="L822" s="4" t="str">
        <f t="shared" si="19"/>
        <v xml:space="preserve">ah  </v>
      </c>
      <c r="N822" s="4" cm="1">
        <f t="array" ref="N822">SUM(--(_xlfn.TEXTSPLIT($J$423,, " ") = M822))</f>
        <v>1</v>
      </c>
      <c r="O822">
        <v>1</v>
      </c>
      <c r="P822">
        <v>0</v>
      </c>
      <c r="Q822">
        <v>1</v>
      </c>
      <c r="R822" s="4"/>
      <c r="S822" s="10"/>
    </row>
    <row r="823" spans="5:19" x14ac:dyDescent="0.2">
      <c r="E823" s="4" t="s">
        <v>17</v>
      </c>
      <c r="K823" t="str">
        <v>Life</v>
      </c>
      <c r="L823" s="4" t="str">
        <f t="shared" si="19"/>
        <v>Life</v>
      </c>
      <c r="N823" s="4" cm="1">
        <f t="array" ref="N823">SUM(--(_xlfn.TEXTSPLIT($J$423,, " ") = M823))</f>
        <v>1</v>
      </c>
      <c r="O823">
        <v>1</v>
      </c>
      <c r="P823">
        <v>0</v>
      </c>
      <c r="Q823">
        <v>1</v>
      </c>
      <c r="R823" s="4"/>
      <c r="S823" s="10"/>
    </row>
    <row r="824" spans="5:19" x14ac:dyDescent="0.2">
      <c r="E824" s="4" t="s">
        <v>17</v>
      </c>
      <c r="K824" t="str">
        <v>is</v>
      </c>
      <c r="L824" s="4" t="str">
        <f t="shared" si="19"/>
        <v>is</v>
      </c>
      <c r="N824" s="4" cm="1">
        <f t="array" ref="N824">SUM(--(_xlfn.TEXTSPLIT($J$423,, " ") = M824))</f>
        <v>1</v>
      </c>
      <c r="O824">
        <v>1</v>
      </c>
      <c r="P824">
        <v>0</v>
      </c>
      <c r="Q824">
        <v>1</v>
      </c>
      <c r="R824" s="4"/>
      <c r="S824" s="10"/>
    </row>
    <row r="825" spans="5:19" x14ac:dyDescent="0.2">
      <c r="E825" s="4" t="s">
        <v>17</v>
      </c>
      <c r="K825" t="str">
        <v>just</v>
      </c>
      <c r="L825" s="4" t="str">
        <f t="shared" si="19"/>
        <v>just</v>
      </c>
      <c r="N825" s="4" cm="1">
        <f t="array" ref="N825">SUM(--(_xlfn.TEXTSPLIT($J$423,, " ") = M825))</f>
        <v>1</v>
      </c>
      <c r="O825">
        <v>1</v>
      </c>
      <c r="P825">
        <v>0</v>
      </c>
      <c r="Q825">
        <v>1</v>
      </c>
      <c r="R825" s="4"/>
      <c r="S825" s="10"/>
    </row>
    <row r="826" spans="5:19" x14ac:dyDescent="0.2">
      <c r="E826" s="4" t="s">
        <v>17</v>
      </c>
      <c r="K826" t="str">
        <v>forever</v>
      </c>
      <c r="L826" s="4" t="str">
        <f t="shared" si="19"/>
        <v>forever</v>
      </c>
      <c r="N826" s="4" cm="1">
        <f t="array" ref="N826">SUM(--(_xlfn.TEXTSPLIT($J$423,, " ") = M826))</f>
        <v>1</v>
      </c>
      <c r="O826">
        <v>1</v>
      </c>
      <c r="P826">
        <v>0</v>
      </c>
      <c r="Q826">
        <v>1</v>
      </c>
      <c r="R826" s="4"/>
      <c r="S826" s="10"/>
    </row>
    <row r="827" spans="5:19" x14ac:dyDescent="0.2">
      <c r="E827" s="4" t="s">
        <v>17</v>
      </c>
      <c r="K827" t="str">
        <v>nipping</v>
      </c>
      <c r="L827" s="4" t="str">
        <f t="shared" si="19"/>
        <v>nipping</v>
      </c>
      <c r="N827" s="4" cm="1">
        <f t="array" ref="N827">SUM(--(_xlfn.TEXTSPLIT($J$423,, " ") = M827))</f>
        <v>1</v>
      </c>
      <c r="O827">
        <v>1</v>
      </c>
      <c r="P827">
        <v>0</v>
      </c>
      <c r="Q827">
        <v>1</v>
      </c>
      <c r="R827" s="4"/>
      <c r="S827" s="10"/>
    </row>
    <row r="828" spans="5:19" x14ac:dyDescent="0.2">
      <c r="E828" s="4" t="s">
        <v>17</v>
      </c>
      <c r="K828" t="str">
        <v>heels,</v>
      </c>
      <c r="L828" s="4" t="str">
        <f t="shared" si="19"/>
        <v xml:space="preserve">heels </v>
      </c>
      <c r="N828" s="4" cm="1">
        <f t="array" ref="N828">SUM(--(_xlfn.TEXTSPLIT($J$423,, " ") = M828))</f>
        <v>1</v>
      </c>
      <c r="O828">
        <v>1</v>
      </c>
      <c r="P828">
        <v>0</v>
      </c>
      <c r="Q828">
        <v>1</v>
      </c>
      <c r="R828" s="4"/>
      <c r="S828" s="10"/>
    </row>
    <row r="829" spans="5:19" x14ac:dyDescent="0.2">
      <c r="E829" s="4" t="s">
        <v>17</v>
      </c>
      <c r="K829" t="str">
        <v>never</v>
      </c>
      <c r="L829" s="4" t="str">
        <f t="shared" si="19"/>
        <v>never</v>
      </c>
      <c r="N829" s="4" cm="1">
        <f t="array" ref="N829">SUM(--(_xlfn.TEXTSPLIT($J$423,, " ") = M829))</f>
        <v>1</v>
      </c>
      <c r="O829">
        <v>1</v>
      </c>
      <c r="P829">
        <v>0</v>
      </c>
      <c r="Q829">
        <v>1</v>
      </c>
      <c r="R829" s="4"/>
      <c r="S829" s="10"/>
    </row>
    <row r="830" spans="5:19" x14ac:dyDescent="0.2">
      <c r="E830" s="4" t="s">
        <v>17</v>
      </c>
      <c r="K830" t="str">
        <v>slowing</v>
      </c>
      <c r="L830" s="4" t="str">
        <f t="shared" si="19"/>
        <v>slowing</v>
      </c>
      <c r="N830" s="4" cm="1">
        <f t="array" ref="N830">SUM(--(_xlfn.TEXTSPLIT($J$423,, " ") = M830))</f>
        <v>1</v>
      </c>
      <c r="O830">
        <v>1</v>
      </c>
      <c r="P830">
        <v>0</v>
      </c>
      <c r="Q830">
        <v>1</v>
      </c>
      <c r="R830" s="4"/>
      <c r="S830" s="10"/>
    </row>
    <row r="831" spans="5:19" x14ac:dyDescent="0.2">
      <c r="E831" s="4" t="s">
        <v>17</v>
      </c>
      <c r="K831" t="str">
        <v xml:space="preserve">down
</v>
      </c>
      <c r="L831" s="4" t="str">
        <f t="shared" si="19"/>
        <v xml:space="preserve">down </v>
      </c>
      <c r="N831" s="4" cm="1">
        <f t="array" ref="N831">SUM(--(_xlfn.TEXTSPLIT($J$423,, " ") = M831))</f>
        <v>1</v>
      </c>
      <c r="O831">
        <v>1</v>
      </c>
      <c r="P831">
        <v>0</v>
      </c>
      <c r="Q831">
        <v>1</v>
      </c>
      <c r="R831" s="4"/>
      <c r="S831" s="10"/>
    </row>
    <row r="832" spans="5:19" x14ac:dyDescent="0.2">
      <c r="E832" s="4" t="s">
        <v>17</v>
      </c>
      <c r="K832" t="str">
        <v>Raw</v>
      </c>
      <c r="L832" s="4" t="str">
        <f t="shared" si="19"/>
        <v>Raw</v>
      </c>
      <c r="N832" s="4" cm="1">
        <f t="array" ref="N832">SUM(--(_xlfn.TEXTSPLIT($J$423,, " ") = M832))</f>
        <v>1</v>
      </c>
      <c r="O832">
        <v>1</v>
      </c>
      <c r="P832">
        <v>0</v>
      </c>
      <c r="Q832">
        <v>1</v>
      </c>
      <c r="R832" s="4"/>
      <c r="S832" s="10"/>
    </row>
    <row r="833" spans="5:19" x14ac:dyDescent="0.2">
      <c r="E833" s="4" t="s">
        <v>17</v>
      </c>
      <c r="K833" t="str">
        <v>fear</v>
      </c>
      <c r="L833" s="4" t="str">
        <f t="shared" si="19"/>
        <v>fear</v>
      </c>
      <c r="N833" s="4" cm="1">
        <f t="array" ref="N833">SUM(--(_xlfn.TEXTSPLIT($J$423,, " ") = M833))</f>
        <v>1</v>
      </c>
      <c r="O833">
        <v>1</v>
      </c>
      <c r="P833">
        <v>0</v>
      </c>
      <c r="Q833">
        <v>1</v>
      </c>
      <c r="R833" s="4"/>
      <c r="S833" s="10"/>
    </row>
    <row r="834" spans="5:19" x14ac:dyDescent="0.2">
      <c r="E834" s="4" t="s">
        <v>17</v>
      </c>
      <c r="K834" t="str">
        <v>moves</v>
      </c>
      <c r="L834" s="4" t="str">
        <f t="shared" si="19"/>
        <v>moves</v>
      </c>
      <c r="N834" s="4" cm="1">
        <f t="array" ref="N834">SUM(--(_xlfn.TEXTSPLIT($J$423,, " ") = M834))</f>
        <v>1</v>
      </c>
      <c r="O834">
        <v>1</v>
      </c>
      <c r="P834">
        <v>0</v>
      </c>
      <c r="Q834">
        <v>1</v>
      </c>
      <c r="R834" s="4"/>
      <c r="S834" s="10"/>
    </row>
    <row r="835" spans="5:19" x14ac:dyDescent="0.2">
      <c r="E835" s="4" t="s">
        <v>17</v>
      </c>
      <c r="K835" t="str">
        <v>me,</v>
      </c>
      <c r="L835" s="4" t="str">
        <f t="shared" si="19"/>
        <v xml:space="preserve">me </v>
      </c>
      <c r="N835" s="4" cm="1">
        <f t="array" ref="N835">SUM(--(_xlfn.TEXTSPLIT($J$423,, " ") = M835))</f>
        <v>1</v>
      </c>
      <c r="O835">
        <v>1</v>
      </c>
      <c r="P835">
        <v>0</v>
      </c>
      <c r="Q835">
        <v>1</v>
      </c>
      <c r="R835" s="4"/>
      <c r="S835" s="10"/>
    </row>
    <row r="836" spans="5:19" x14ac:dyDescent="0.2">
      <c r="E836" s="4" t="s">
        <v>17</v>
      </c>
      <c r="K836" t="str">
        <v>sounds</v>
      </c>
      <c r="L836" s="4" t="str">
        <f t="shared" ref="L836:L899" si="20">_xlfn.REGEXREPLACE(K836, "[^A-Za-z ]", " ")</f>
        <v>sounds</v>
      </c>
      <c r="N836" s="4" cm="1">
        <f t="array" ref="N836">SUM(--(_xlfn.TEXTSPLIT($J$423,, " ") = M836))</f>
        <v>1</v>
      </c>
      <c r="O836">
        <v>1</v>
      </c>
      <c r="P836">
        <v>0</v>
      </c>
      <c r="Q836">
        <v>1</v>
      </c>
      <c r="R836" s="4"/>
      <c r="S836" s="10"/>
    </row>
    <row r="837" spans="5:19" x14ac:dyDescent="0.2">
      <c r="E837" s="4" t="s">
        <v>17</v>
      </c>
      <c r="K837" t="str">
        <v>of</v>
      </c>
      <c r="L837" s="4" t="str">
        <f t="shared" si="20"/>
        <v>of</v>
      </c>
      <c r="N837" s="4" cm="1">
        <f t="array" ref="N837">SUM(--(_xlfn.TEXTSPLIT($J$423,, " ") = M837))</f>
        <v>1</v>
      </c>
      <c r="O837">
        <v>1</v>
      </c>
      <c r="P837">
        <v>0</v>
      </c>
      <c r="Q837">
        <v>1</v>
      </c>
      <c r="R837" s="4"/>
      <c r="S837" s="10"/>
    </row>
    <row r="838" spans="5:19" x14ac:dyDescent="0.2">
      <c r="E838" s="4" t="s">
        <v>17</v>
      </c>
      <c r="K838" t="str">
        <v>empty</v>
      </c>
      <c r="L838" s="4" t="str">
        <f t="shared" si="20"/>
        <v>empty</v>
      </c>
      <c r="N838" s="4" cm="1">
        <f t="array" ref="N838">SUM(--(_xlfn.TEXTSPLIT($J$423,, " ") = M838))</f>
        <v>1</v>
      </c>
      <c r="O838">
        <v>1</v>
      </c>
      <c r="P838">
        <v>0</v>
      </c>
      <c r="Q838">
        <v>1</v>
      </c>
      <c r="R838" s="4"/>
      <c r="S838" s="10"/>
    </row>
    <row r="839" spans="5:19" x14ac:dyDescent="0.2">
      <c r="E839" s="4" t="s">
        <v>17</v>
      </c>
      <c r="K839" t="str">
        <v>Uzis</v>
      </c>
      <c r="L839" s="4" t="str">
        <f t="shared" si="20"/>
        <v>Uzis</v>
      </c>
      <c r="N839" s="4" cm="1">
        <f t="array" ref="N839">SUM(--(_xlfn.TEXTSPLIT($J$423,, " ") = M839))</f>
        <v>1</v>
      </c>
      <c r="O839">
        <v>1</v>
      </c>
      <c r="P839">
        <v>0</v>
      </c>
      <c r="Q839">
        <v>1</v>
      </c>
      <c r="R839" s="4"/>
      <c r="S839" s="10"/>
    </row>
    <row r="840" spans="5:19" x14ac:dyDescent="0.2">
      <c r="E840" s="4" t="s">
        <v>17</v>
      </c>
      <c r="K840" t="str">
        <v>(Ah,</v>
      </c>
      <c r="L840" s="4" t="str">
        <f t="shared" si="20"/>
        <v xml:space="preserve"> Ah </v>
      </c>
      <c r="N840" s="4" cm="1">
        <f t="array" ref="N840">SUM(--(_xlfn.TEXTSPLIT($J$423,, " ") = M840))</f>
        <v>1</v>
      </c>
      <c r="O840">
        <v>1</v>
      </c>
      <c r="P840">
        <v>0</v>
      </c>
      <c r="Q840">
        <v>1</v>
      </c>
      <c r="R840" s="4"/>
      <c r="S840" s="10"/>
    </row>
    <row r="841" spans="5:19" x14ac:dyDescent="0.2">
      <c r="E841" s="4" t="s">
        <v>17</v>
      </c>
      <c r="K841" t="str">
        <v>ah,</v>
      </c>
      <c r="L841" s="4" t="str">
        <f t="shared" si="20"/>
        <v xml:space="preserve">ah </v>
      </c>
      <c r="N841" s="4" cm="1">
        <f t="array" ref="N841">SUM(--(_xlfn.TEXTSPLIT($J$423,, " ") = M841))</f>
        <v>1</v>
      </c>
      <c r="O841">
        <v>1</v>
      </c>
      <c r="P841">
        <v>0</v>
      </c>
      <c r="Q841">
        <v>1</v>
      </c>
      <c r="R841" s="4"/>
      <c r="S841" s="10"/>
    </row>
    <row r="842" spans="5:19" x14ac:dyDescent="0.2">
      <c r="E842" s="4" t="s">
        <v>17</v>
      </c>
      <c r="K842" t="str">
        <v xml:space="preserve">ah)
</v>
      </c>
      <c r="L842" s="4" t="str">
        <f t="shared" si="20"/>
        <v xml:space="preserve">ah  </v>
      </c>
      <c r="N842" s="4" cm="1">
        <f t="array" ref="N842">SUM(--(_xlfn.TEXTSPLIT($J$423,, " ") = M842))</f>
        <v>1</v>
      </c>
      <c r="O842">
        <v>1</v>
      </c>
      <c r="P842">
        <v>0</v>
      </c>
      <c r="Q842">
        <v>1</v>
      </c>
      <c r="R842" s="4"/>
      <c r="S842" s="10"/>
    </row>
    <row r="843" spans="5:19" x14ac:dyDescent="0.2">
      <c r="E843" s="4" t="s">
        <v>17</v>
      </c>
      <c r="K843" t="str">
        <v>Life</v>
      </c>
      <c r="L843" s="4" t="str">
        <f t="shared" si="20"/>
        <v>Life</v>
      </c>
      <c r="N843" s="4" cm="1">
        <f t="array" ref="N843">SUM(--(_xlfn.TEXTSPLIT($J$423,, " ") = M843))</f>
        <v>1</v>
      </c>
      <c r="O843">
        <v>1</v>
      </c>
      <c r="P843">
        <v>0</v>
      </c>
      <c r="Q843">
        <v>1</v>
      </c>
      <c r="R843" s="4"/>
      <c r="S843" s="10"/>
    </row>
    <row r="844" spans="5:19" x14ac:dyDescent="0.2">
      <c r="E844" s="4" t="s">
        <v>17</v>
      </c>
      <c r="K844" t="str">
        <v>is</v>
      </c>
      <c r="L844" s="4" t="str">
        <f t="shared" si="20"/>
        <v>is</v>
      </c>
      <c r="N844" s="4" cm="1">
        <f t="array" ref="N844">SUM(--(_xlfn.TEXTSPLIT($J$423,, " ") = M844))</f>
        <v>1</v>
      </c>
      <c r="O844">
        <v>1</v>
      </c>
      <c r="P844">
        <v>0</v>
      </c>
      <c r="Q844">
        <v>1</v>
      </c>
      <c r="R844" s="4"/>
      <c r="S844" s="10"/>
    </row>
    <row r="845" spans="5:19" x14ac:dyDescent="0.2">
      <c r="E845" s="4" t="s">
        <v>17</v>
      </c>
      <c r="K845" t="str">
        <v>just</v>
      </c>
      <c r="L845" s="4" t="str">
        <f t="shared" si="20"/>
        <v>just</v>
      </c>
      <c r="N845" s="4" cm="1">
        <f t="array" ref="N845">SUM(--(_xlfn.TEXTSPLIT($J$423,, " ") = M845))</f>
        <v>1</v>
      </c>
      <c r="O845">
        <v>1</v>
      </c>
      <c r="P845">
        <v>0</v>
      </c>
      <c r="Q845">
        <v>1</v>
      </c>
      <c r="R845" s="4"/>
      <c r="S845" s="10"/>
    </row>
    <row r="846" spans="5:19" x14ac:dyDescent="0.2">
      <c r="E846" s="4" t="s">
        <v>17</v>
      </c>
      <c r="K846" t="str">
        <v>forever</v>
      </c>
      <c r="L846" s="4" t="str">
        <f t="shared" si="20"/>
        <v>forever</v>
      </c>
      <c r="N846" s="4" cm="1">
        <f t="array" ref="N846">SUM(--(_xlfn.TEXTSPLIT($J$423,, " ") = M846))</f>
        <v>1</v>
      </c>
      <c r="O846">
        <v>1</v>
      </c>
      <c r="P846">
        <v>0</v>
      </c>
      <c r="Q846">
        <v>1</v>
      </c>
      <c r="R846" s="4"/>
      <c r="S846" s="10"/>
    </row>
    <row r="847" spans="5:19" x14ac:dyDescent="0.2">
      <c r="E847" s="4" t="s">
        <v>17</v>
      </c>
      <c r="K847" t="str">
        <v>gripping</v>
      </c>
      <c r="L847" s="4" t="str">
        <f t="shared" si="20"/>
        <v>gripping</v>
      </c>
      <c r="N847" s="4" cm="1">
        <f t="array" ref="N847">SUM(--(_xlfn.TEXTSPLIT($J$423,, " ") = M847))</f>
        <v>1</v>
      </c>
      <c r="O847">
        <v>1</v>
      </c>
      <c r="P847">
        <v>0</v>
      </c>
      <c r="Q847">
        <v>1</v>
      </c>
      <c r="R847" s="4"/>
      <c r="S847" s="10"/>
    </row>
    <row r="848" spans="5:19" x14ac:dyDescent="0.2">
      <c r="E848" s="4" t="s">
        <v>17</v>
      </c>
      <c r="K848" t="str">
        <v>feels,</v>
      </c>
      <c r="L848" s="4" t="str">
        <f t="shared" si="20"/>
        <v xml:space="preserve">feels </v>
      </c>
      <c r="N848" s="4" cm="1">
        <f t="array" ref="N848">SUM(--(_xlfn.TEXTSPLIT($J$423,, " ") = M848))</f>
        <v>1</v>
      </c>
      <c r="O848">
        <v>1</v>
      </c>
      <c r="P848">
        <v>0</v>
      </c>
      <c r="Q848">
        <v>1</v>
      </c>
      <c r="R848" s="4"/>
      <c r="S848" s="10"/>
    </row>
    <row r="849" spans="1:22" x14ac:dyDescent="0.2">
      <c r="E849" s="4" t="s">
        <v>17</v>
      </c>
      <c r="K849" t="str">
        <v>never</v>
      </c>
      <c r="L849" s="4" t="str">
        <f t="shared" si="20"/>
        <v>never</v>
      </c>
      <c r="N849" s="4" cm="1">
        <f t="array" ref="N849">SUM(--(_xlfn.TEXTSPLIT($J$423,, " ") = M849))</f>
        <v>1</v>
      </c>
      <c r="O849">
        <v>1</v>
      </c>
      <c r="P849">
        <v>0</v>
      </c>
      <c r="Q849">
        <v>1</v>
      </c>
      <c r="R849" s="4"/>
      <c r="S849" s="10"/>
    </row>
    <row r="850" spans="1:22" x14ac:dyDescent="0.2">
      <c r="E850" s="4" t="s">
        <v>17</v>
      </c>
      <c r="K850" t="str">
        <v>slowing</v>
      </c>
      <c r="L850" s="4" t="str">
        <f t="shared" si="20"/>
        <v>slowing</v>
      </c>
      <c r="N850" s="4" cm="1">
        <f t="array" ref="N850">SUM(--(_xlfn.TEXTSPLIT($J$423,, " ") = M850))</f>
        <v>1</v>
      </c>
      <c r="O850">
        <v>1</v>
      </c>
      <c r="P850">
        <v>0</v>
      </c>
      <c r="Q850">
        <v>1</v>
      </c>
      <c r="R850" s="4"/>
      <c r="S850" s="10"/>
    </row>
    <row r="851" spans="1:22" x14ac:dyDescent="0.2">
      <c r="E851" s="4" t="s">
        <v>17</v>
      </c>
      <c r="K851" t="str">
        <v>down</v>
      </c>
      <c r="L851" s="4" t="str">
        <f t="shared" si="20"/>
        <v>down</v>
      </c>
      <c r="N851" s="4" cm="1">
        <f t="array" ref="N851">SUM(--(_xlfn.TEXTSPLIT($J$423,, " ") = M851))</f>
        <v>1</v>
      </c>
      <c r="O851">
        <v>1</v>
      </c>
      <c r="P851">
        <v>0</v>
      </c>
      <c r="Q851">
        <v>1</v>
      </c>
      <c r="R851" s="4"/>
      <c r="S851" s="10"/>
    </row>
    <row r="852" spans="1:22" s="4" customFormat="1" x14ac:dyDescent="0.2">
      <c r="A852" s="4">
        <v>3</v>
      </c>
      <c r="B852" s="5">
        <v>45912</v>
      </c>
      <c r="C852" s="6">
        <v>0.14097222222222222</v>
      </c>
      <c r="D852" s="7">
        <v>203</v>
      </c>
      <c r="E852" s="4" t="s">
        <v>17</v>
      </c>
      <c r="F852" s="4">
        <v>3</v>
      </c>
      <c r="G852" s="8" t="s">
        <v>15</v>
      </c>
      <c r="H852" s="9" t="s">
        <v>19</v>
      </c>
      <c r="I852" s="4">
        <v>1</v>
      </c>
      <c r="J852" s="4" t="str">
        <f>_xlfn.TEXTJOIN(" ", TRUE, H852:H865)</f>
        <v xml:space="preserve"> Puttin' on a drum show
 Ooh-ooh
 Completed checklist for today
 Now they have to let you out of your cage
 Feelin' stuck between a rock and a home
 Two places you do not want to go
 So, so
 He's puttin' on a drum show
 Even now, even now, even now
 He'll take the longer way home
 Even now, even now, even now
 He'll never ever say so
 He drives fast just to feel it, feel it (Feel it)
 He drives slow if his song's not over (Feel it)
 Drown it out, drown it out
 Show
 Ooh-ooh
 He'd rather feel something than nothing at all
 So he swerves all around as his head starts to fall, turns it up
 Stuck between a rock and a home
 Two places he does not want to go
 So, so
 He's puttin' on a drum show
 Even now, even now, even now
 He'll take the longer way home (I've been this way)
 Even now, even now, even now
 He'll never ever say so (I want to change)
 He drives fast just to feel it, feel it (Feel it)
 He drives slow if his song's not over (Feel it)
 Drown it out, drown it out
 I've been this way
 I want to change
 I've been this way
 I want to change
 He's puttin' on a drum show
 Even now, even now, even now
 He'll take the longer way home (I've been this way)
 Even now, well even now, well even now
 He'll never ever say so (I want to change)
 He drives fast just to feel it, feel it (Feel it)
 He drives slow if his song's not over (I've been this way) (Feel it)
 Drown it out, drown it out (I want to change)
 I've been this way (Feel it, feel it)
 I want to change (Feel it, feel it)
  I've been this way (Feel it, feel it)
 I want to</v>
      </c>
      <c r="K852" s="4" t="str" cm="1">
        <f t="array" ref="K852:K1169">_xlfn.TEXTSPLIT(J852, ," ")</f>
        <v/>
      </c>
      <c r="L852" s="4" t="str">
        <f>_xlfn.REGEXREPLACE(K852, "[^A-Za-z ]", " ")</f>
        <v/>
      </c>
      <c r="M852" s="4" t="str" cm="1">
        <f t="array" ref="M852:M950">_xlfn.UNIQUE(_xlfn.TEXTSPLIT(J852, , " "))</f>
        <v/>
      </c>
      <c r="N852" s="4" cm="1">
        <f t="array" ref="N852">SUM(--(_xlfn.TEXTSPLIT($J$852,, " ") = M852))</f>
        <v>2</v>
      </c>
      <c r="O852" s="4" cm="1">
        <f t="array" ref="O852:O1169">_xlfn._xlws.SORT(N852:N1169, ,-1)</f>
        <v>18</v>
      </c>
      <c r="P852" s="4" t="str" cm="1">
        <f t="array" ref="P852:Q1169">_xlfn.SORTBY(M852:N1169, N852:N1169, -1)</f>
        <v>Even</v>
      </c>
      <c r="Q852" s="4">
        <v>18</v>
      </c>
      <c r="S852" s="10"/>
      <c r="T852"/>
      <c r="U852"/>
      <c r="V852"/>
    </row>
    <row r="853" spans="1:22" x14ac:dyDescent="0.2">
      <c r="E853" s="4" t="s">
        <v>17</v>
      </c>
      <c r="K853" t="str">
        <v>Puttin'</v>
      </c>
      <c r="L853" s="4" t="str">
        <f t="shared" si="20"/>
        <v xml:space="preserve">Puttin </v>
      </c>
      <c r="M853" t="str">
        <v>Puttin'</v>
      </c>
      <c r="N853" s="4" cm="1">
        <f t="array" ref="N853">SUM(--(_xlfn.TEXTSPLIT($J$852,, " ") = M853))</f>
        <v>4</v>
      </c>
      <c r="O853">
        <v>14</v>
      </c>
      <c r="P853" t="str">
        <v>to</v>
      </c>
      <c r="Q853">
        <v>14</v>
      </c>
      <c r="R853" s="4"/>
      <c r="S853" s="10"/>
    </row>
    <row r="854" spans="1:22" x14ac:dyDescent="0.2">
      <c r="E854" s="4" t="s">
        <v>17</v>
      </c>
      <c r="K854" t="str">
        <v>on</v>
      </c>
      <c r="L854" s="4" t="str">
        <f t="shared" si="20"/>
        <v>on</v>
      </c>
      <c r="M854" t="str">
        <v>on</v>
      </c>
      <c r="N854" s="4" cm="1">
        <f t="array" ref="N854">SUM(--(_xlfn.TEXTSPLIT($J$852,, " ") = M854))</f>
        <v>4</v>
      </c>
      <c r="O854">
        <v>12</v>
      </c>
      <c r="P854" t="str">
        <v>now,</v>
      </c>
      <c r="Q854">
        <v>12</v>
      </c>
      <c r="R854" s="4"/>
      <c r="S854" s="10"/>
    </row>
    <row r="855" spans="1:22" x14ac:dyDescent="0.2">
      <c r="E855" s="4" t="s">
        <v>17</v>
      </c>
      <c r="K855" t="str">
        <v>a</v>
      </c>
      <c r="L855" s="4" t="str">
        <f t="shared" si="20"/>
        <v>a</v>
      </c>
      <c r="M855" t="str">
        <v>a</v>
      </c>
      <c r="N855" s="4" cm="1">
        <f t="array" ref="N855">SUM(--(_xlfn.TEXTSPLIT($J$852,, " ") = M855))</f>
        <v>8</v>
      </c>
      <c r="O855">
        <v>10</v>
      </c>
      <c r="P855" t="str">
        <v>feel</v>
      </c>
      <c r="Q855">
        <v>10</v>
      </c>
      <c r="R855" s="4"/>
      <c r="S855" s="10"/>
    </row>
    <row r="856" spans="1:22" x14ac:dyDescent="0.2">
      <c r="E856" s="4" t="s">
        <v>17</v>
      </c>
      <c r="K856" t="str">
        <v>drum</v>
      </c>
      <c r="L856" s="4" t="str">
        <f t="shared" si="20"/>
        <v>drum</v>
      </c>
      <c r="M856" t="str">
        <v>drum</v>
      </c>
      <c r="N856" s="4" cm="1">
        <f t="array" ref="N856">SUM(--(_xlfn.TEXTSPLIT($J$852,, " ") = M856))</f>
        <v>4</v>
      </c>
      <c r="O856">
        <v>10</v>
      </c>
      <c r="P856" t="str">
        <v>it</v>
      </c>
      <c r="Q856">
        <v>10</v>
      </c>
      <c r="R856" s="4"/>
      <c r="S856" s="10"/>
    </row>
    <row r="857" spans="1:22" x14ac:dyDescent="0.2">
      <c r="E857" s="4" t="s">
        <v>17</v>
      </c>
      <c r="K857" t="str">
        <v xml:space="preserve">show
</v>
      </c>
      <c r="L857" s="4" t="str">
        <f t="shared" si="20"/>
        <v xml:space="preserve">show </v>
      </c>
      <c r="M857" t="str">
        <v xml:space="preserve">show
</v>
      </c>
      <c r="N857" s="4" cm="1">
        <f t="array" ref="N857">SUM(--(_xlfn.TEXTSPLIT($J$852,, " ") = M857))</f>
        <v>2</v>
      </c>
      <c r="O857">
        <v>9</v>
      </c>
      <c r="P857" t="str">
        <v>want</v>
      </c>
      <c r="Q857">
        <v>9</v>
      </c>
      <c r="R857" s="4"/>
      <c r="S857" s="10"/>
    </row>
    <row r="858" spans="1:22" x14ac:dyDescent="0.2">
      <c r="E858" s="4" t="s">
        <v>17</v>
      </c>
      <c r="K858" t="str">
        <v xml:space="preserve">Ooh-ooh
</v>
      </c>
      <c r="L858" s="4" t="str">
        <f t="shared" si="20"/>
        <v xml:space="preserve">Ooh ooh  </v>
      </c>
      <c r="M858" t="str">
        <v xml:space="preserve">Ooh-ooh
</v>
      </c>
      <c r="N858" s="4" cm="1">
        <f t="array" ref="N858">SUM(--(_xlfn.TEXTSPLIT($J$852,, " ") = M858))</f>
        <v>2</v>
      </c>
      <c r="O858">
        <v>9</v>
      </c>
      <c r="P858" t="str">
        <v>(Feel</v>
      </c>
      <c r="Q858">
        <v>9</v>
      </c>
      <c r="R858" s="4"/>
      <c r="S858" s="10"/>
    </row>
    <row r="859" spans="1:22" x14ac:dyDescent="0.2">
      <c r="E859" s="4" t="s">
        <v>17</v>
      </c>
      <c r="K859" t="str">
        <v>Completed</v>
      </c>
      <c r="L859" s="4" t="str">
        <f t="shared" si="20"/>
        <v>Completed</v>
      </c>
      <c r="M859" t="str">
        <v>Completed</v>
      </c>
      <c r="N859" s="4" cm="1">
        <f t="array" ref="N859">SUM(--(_xlfn.TEXTSPLIT($J$852,, " ") = M859))</f>
        <v>1</v>
      </c>
      <c r="O859">
        <v>9</v>
      </c>
      <c r="P859" t="str">
        <v xml:space="preserve">it)
</v>
      </c>
      <c r="Q859">
        <v>9</v>
      </c>
      <c r="R859" s="4"/>
      <c r="S859" s="10"/>
    </row>
    <row r="860" spans="1:22" x14ac:dyDescent="0.2">
      <c r="E860" s="4" t="s">
        <v>17</v>
      </c>
      <c r="K860" t="str">
        <v>checklist</v>
      </c>
      <c r="L860" s="4" t="str">
        <f t="shared" si="20"/>
        <v>checklist</v>
      </c>
      <c r="M860" t="str">
        <v>checklist</v>
      </c>
      <c r="N860" s="4" cm="1">
        <f t="array" ref="N860">SUM(--(_xlfn.TEXTSPLIT($J$852,, " ") = M860))</f>
        <v>1</v>
      </c>
      <c r="O860">
        <v>8</v>
      </c>
      <c r="P860" t="str">
        <v>a</v>
      </c>
      <c r="Q860">
        <v>8</v>
      </c>
      <c r="R860" s="4"/>
      <c r="S860" s="10"/>
    </row>
    <row r="861" spans="1:22" x14ac:dyDescent="0.2">
      <c r="E861" s="4" t="s">
        <v>17</v>
      </c>
      <c r="K861" t="str">
        <v>for</v>
      </c>
      <c r="L861" s="4" t="str">
        <f t="shared" si="20"/>
        <v>for</v>
      </c>
      <c r="M861" t="str">
        <v>for</v>
      </c>
      <c r="N861" s="4" cm="1">
        <f t="array" ref="N861">SUM(--(_xlfn.TEXTSPLIT($J$852,, " ") = M861))</f>
        <v>1</v>
      </c>
      <c r="O861">
        <v>8</v>
      </c>
      <c r="P861" t="str">
        <v>He</v>
      </c>
      <c r="Q861">
        <v>8</v>
      </c>
      <c r="R861" s="4"/>
      <c r="S861" s="10"/>
    </row>
    <row r="862" spans="1:22" x14ac:dyDescent="0.2">
      <c r="E862" s="4" t="s">
        <v>17</v>
      </c>
      <c r="K862" t="str">
        <v xml:space="preserve">today
</v>
      </c>
      <c r="L862" s="4" t="str">
        <f t="shared" si="20"/>
        <v xml:space="preserve">today </v>
      </c>
      <c r="M862" t="str">
        <v xml:space="preserve">today
</v>
      </c>
      <c r="N862" s="4" cm="1">
        <f t="array" ref="N862">SUM(--(_xlfn.TEXTSPLIT($J$852,, " ") = M862))</f>
        <v>1</v>
      </c>
      <c r="O862">
        <v>7</v>
      </c>
      <c r="P862" t="str">
        <v>been</v>
      </c>
      <c r="Q862">
        <v>7</v>
      </c>
      <c r="R862" s="4"/>
      <c r="S862" s="10"/>
    </row>
    <row r="863" spans="1:22" x14ac:dyDescent="0.2">
      <c r="E863" s="4" t="s">
        <v>17</v>
      </c>
      <c r="K863" t="str">
        <v>Now</v>
      </c>
      <c r="L863" s="4" t="str">
        <f t="shared" si="20"/>
        <v>Now</v>
      </c>
      <c r="M863" t="str">
        <v>Now</v>
      </c>
      <c r="N863" s="4" cm="1">
        <f t="array" ref="N863">SUM(--(_xlfn.TEXTSPLIT($J$852,, " ") = M863))</f>
        <v>1</v>
      </c>
      <c r="O863">
        <v>7</v>
      </c>
      <c r="P863" t="str">
        <v>this</v>
      </c>
      <c r="Q863">
        <v>7</v>
      </c>
      <c r="R863" s="4"/>
      <c r="S863" s="10"/>
    </row>
    <row r="864" spans="1:22" x14ac:dyDescent="0.2">
      <c r="E864" s="4" t="s">
        <v>17</v>
      </c>
      <c r="K864" t="str">
        <v>they</v>
      </c>
      <c r="L864" s="4" t="str">
        <f t="shared" si="20"/>
        <v>they</v>
      </c>
      <c r="M864" t="str">
        <v>they</v>
      </c>
      <c r="N864" s="4" cm="1">
        <f t="array" ref="N864">SUM(--(_xlfn.TEXTSPLIT($J$852,, " ") = M864))</f>
        <v>1</v>
      </c>
      <c r="O864">
        <v>6</v>
      </c>
      <c r="P864" t="str">
        <v xml:space="preserve">now
</v>
      </c>
      <c r="Q864">
        <v>6</v>
      </c>
      <c r="R864" s="4"/>
      <c r="S864" s="10"/>
    </row>
    <row r="865" spans="5:19" x14ac:dyDescent="0.2">
      <c r="E865" s="4" t="s">
        <v>17</v>
      </c>
      <c r="K865" t="str">
        <v>have</v>
      </c>
      <c r="L865" s="4" t="str">
        <f t="shared" si="20"/>
        <v>have</v>
      </c>
      <c r="M865" t="str">
        <v>have</v>
      </c>
      <c r="N865" s="4" cm="1">
        <f t="array" ref="N865">SUM(--(_xlfn.TEXTSPLIT($J$852,, " ") = M865))</f>
        <v>1</v>
      </c>
      <c r="O865">
        <v>6</v>
      </c>
      <c r="P865" t="str">
        <v>He'll</v>
      </c>
      <c r="Q865">
        <v>6</v>
      </c>
      <c r="R865" s="4"/>
      <c r="S865" s="10"/>
    </row>
    <row r="866" spans="5:19" x14ac:dyDescent="0.2">
      <c r="E866" s="4" t="s">
        <v>17</v>
      </c>
      <c r="K866" t="str">
        <v>to</v>
      </c>
      <c r="L866" s="4" t="str">
        <f t="shared" si="20"/>
        <v>to</v>
      </c>
      <c r="M866" t="str">
        <v>to</v>
      </c>
      <c r="N866" s="4" cm="1">
        <f t="array" ref="N866">SUM(--(_xlfn.TEXTSPLIT($J$852,, " ") = M866))</f>
        <v>14</v>
      </c>
      <c r="O866">
        <v>6</v>
      </c>
      <c r="P866" t="str">
        <v>drives</v>
      </c>
      <c r="Q866">
        <v>6</v>
      </c>
      <c r="R866" s="4"/>
      <c r="S866" s="10"/>
    </row>
    <row r="867" spans="5:19" x14ac:dyDescent="0.2">
      <c r="E867" s="4" t="s">
        <v>17</v>
      </c>
      <c r="K867" t="str">
        <v>let</v>
      </c>
      <c r="L867" s="4" t="str">
        <f t="shared" si="20"/>
        <v>let</v>
      </c>
      <c r="M867" t="str">
        <v>let</v>
      </c>
      <c r="N867" s="4" cm="1">
        <f t="array" ref="N867">SUM(--(_xlfn.TEXTSPLIT($J$852,, " ") = M867))</f>
        <v>1</v>
      </c>
      <c r="O867">
        <v>6</v>
      </c>
      <c r="P867" t="str">
        <v>it,</v>
      </c>
      <c r="Q867">
        <v>6</v>
      </c>
      <c r="R867" s="4"/>
      <c r="S867" s="10"/>
    </row>
    <row r="868" spans="5:19" x14ac:dyDescent="0.2">
      <c r="E868" s="4" t="s">
        <v>17</v>
      </c>
      <c r="K868" t="str">
        <v>you</v>
      </c>
      <c r="L868" s="4" t="str">
        <f t="shared" si="20"/>
        <v>you</v>
      </c>
      <c r="M868" t="str">
        <v>you</v>
      </c>
      <c r="N868" s="4" cm="1">
        <f t="array" ref="N868">SUM(--(_xlfn.TEXTSPLIT($J$852,, " ") = M868))</f>
        <v>2</v>
      </c>
      <c r="O868">
        <v>6</v>
      </c>
      <c r="P868" t="str">
        <v>Drown</v>
      </c>
      <c r="Q868">
        <v>6</v>
      </c>
      <c r="R868" s="4"/>
      <c r="S868" s="10"/>
    </row>
    <row r="869" spans="5:19" x14ac:dyDescent="0.2">
      <c r="E869" s="4" t="s">
        <v>17</v>
      </c>
      <c r="K869" t="str">
        <v>out</v>
      </c>
      <c r="L869" s="4" t="str">
        <f t="shared" si="20"/>
        <v>out</v>
      </c>
      <c r="M869" t="str">
        <v>out</v>
      </c>
      <c r="N869" s="4" cm="1">
        <f t="array" ref="N869">SUM(--(_xlfn.TEXTSPLIT($J$852,, " ") = M869))</f>
        <v>2</v>
      </c>
      <c r="O869">
        <v>5</v>
      </c>
      <c r="P869" t="str">
        <v>not</v>
      </c>
      <c r="Q869">
        <v>5</v>
      </c>
      <c r="R869" s="4"/>
      <c r="S869" s="10"/>
    </row>
    <row r="870" spans="5:19" x14ac:dyDescent="0.2">
      <c r="E870" s="4" t="s">
        <v>17</v>
      </c>
      <c r="K870" t="str">
        <v>of</v>
      </c>
      <c r="L870" s="4" t="str">
        <f t="shared" si="20"/>
        <v>of</v>
      </c>
      <c r="M870" t="str">
        <v>of</v>
      </c>
      <c r="N870" s="4" cm="1">
        <f t="array" ref="N870">SUM(--(_xlfn.TEXTSPLIT($J$852,, " ") = M870))</f>
        <v>1</v>
      </c>
      <c r="O870">
        <v>5</v>
      </c>
      <c r="P870" t="str">
        <v>way</v>
      </c>
      <c r="Q870">
        <v>5</v>
      </c>
      <c r="R870" s="4"/>
      <c r="S870" s="10"/>
    </row>
    <row r="871" spans="5:19" x14ac:dyDescent="0.2">
      <c r="E871" s="4" t="s">
        <v>17</v>
      </c>
      <c r="K871" t="str">
        <v>your</v>
      </c>
      <c r="L871" s="4" t="str">
        <f t="shared" si="20"/>
        <v>your</v>
      </c>
      <c r="M871" t="str">
        <v>your</v>
      </c>
      <c r="N871" s="4" cm="1">
        <f t="array" ref="N871">SUM(--(_xlfn.TEXTSPLIT($J$852,, " ") = M871))</f>
        <v>1</v>
      </c>
      <c r="O871">
        <v>4</v>
      </c>
      <c r="P871" t="str">
        <v>Puttin'</v>
      </c>
      <c r="Q871">
        <v>4</v>
      </c>
      <c r="R871" s="4"/>
      <c r="S871" s="10"/>
    </row>
    <row r="872" spans="5:19" x14ac:dyDescent="0.2">
      <c r="E872" s="4" t="s">
        <v>17</v>
      </c>
      <c r="K872" t="str">
        <v xml:space="preserve">cage
</v>
      </c>
      <c r="L872" s="4" t="str">
        <f t="shared" si="20"/>
        <v xml:space="preserve">cage </v>
      </c>
      <c r="M872" t="str">
        <v xml:space="preserve">cage
</v>
      </c>
      <c r="N872" s="4" cm="1">
        <f t="array" ref="N872">SUM(--(_xlfn.TEXTSPLIT($J$852,, " ") = M872))</f>
        <v>1</v>
      </c>
      <c r="O872">
        <v>4</v>
      </c>
      <c r="P872" t="str">
        <v>on</v>
      </c>
      <c r="Q872">
        <v>4</v>
      </c>
      <c r="R872" s="4"/>
      <c r="S872" s="10"/>
    </row>
    <row r="873" spans="5:19" x14ac:dyDescent="0.2">
      <c r="E873" s="4" t="s">
        <v>17</v>
      </c>
      <c r="K873" t="str">
        <v>Feelin'</v>
      </c>
      <c r="L873" s="4" t="str">
        <f t="shared" si="20"/>
        <v xml:space="preserve">Feelin </v>
      </c>
      <c r="M873" t="str">
        <v>Feelin'</v>
      </c>
      <c r="N873" s="4" cm="1">
        <f t="array" ref="N873">SUM(--(_xlfn.TEXTSPLIT($J$852,, " ") = M873))</f>
        <v>1</v>
      </c>
      <c r="O873">
        <v>4</v>
      </c>
      <c r="P873" t="str">
        <v>drum</v>
      </c>
      <c r="Q873">
        <v>4</v>
      </c>
      <c r="R873" s="4"/>
      <c r="S873" s="10"/>
    </row>
    <row r="874" spans="5:19" x14ac:dyDescent="0.2">
      <c r="E874" s="4" t="s">
        <v>17</v>
      </c>
      <c r="K874" t="str">
        <v>stuck</v>
      </c>
      <c r="L874" s="4" t="str">
        <f t="shared" si="20"/>
        <v>stuck</v>
      </c>
      <c r="M874" t="str">
        <v>stuck</v>
      </c>
      <c r="N874" s="4" cm="1">
        <f t="array" ref="N874">SUM(--(_xlfn.TEXTSPLIT($J$852,, " ") = M874))</f>
        <v>2</v>
      </c>
      <c r="O874">
        <v>4</v>
      </c>
      <c r="P874" t="str">
        <v>his</v>
      </c>
      <c r="Q874">
        <v>4</v>
      </c>
      <c r="R874" s="4"/>
      <c r="S874" s="10"/>
    </row>
    <row r="875" spans="5:19" x14ac:dyDescent="0.2">
      <c r="E875" s="4" t="s">
        <v>17</v>
      </c>
      <c r="K875" t="str">
        <v>between</v>
      </c>
      <c r="L875" s="4" t="str">
        <f t="shared" si="20"/>
        <v>between</v>
      </c>
      <c r="M875" t="str">
        <v>between</v>
      </c>
      <c r="N875" s="4" cm="1">
        <f t="array" ref="N875">SUM(--(_xlfn.TEXTSPLIT($J$852,, " ") = M875))</f>
        <v>2</v>
      </c>
      <c r="O875">
        <v>4</v>
      </c>
      <c r="P875" t="str">
        <v>I've</v>
      </c>
      <c r="Q875">
        <v>4</v>
      </c>
      <c r="R875" s="4"/>
      <c r="S875" s="10"/>
    </row>
    <row r="876" spans="5:19" x14ac:dyDescent="0.2">
      <c r="E876" s="4" t="s">
        <v>17</v>
      </c>
      <c r="K876" t="str">
        <v>a</v>
      </c>
      <c r="L876" s="4" t="str">
        <f t="shared" si="20"/>
        <v>a</v>
      </c>
      <c r="M876" t="str">
        <v>rock</v>
      </c>
      <c r="N876" s="4" cm="1">
        <f t="array" ref="N876">SUM(--(_xlfn.TEXTSPLIT($J$852,, " ") = M876))</f>
        <v>2</v>
      </c>
      <c r="O876">
        <v>4</v>
      </c>
      <c r="P876" t="str">
        <v>I</v>
      </c>
      <c r="Q876">
        <v>4</v>
      </c>
      <c r="R876" s="4"/>
      <c r="S876" s="10"/>
    </row>
    <row r="877" spans="5:19" x14ac:dyDescent="0.2">
      <c r="E877" s="4" t="s">
        <v>17</v>
      </c>
      <c r="K877" t="str">
        <v>rock</v>
      </c>
      <c r="L877" s="4" t="str">
        <f t="shared" si="20"/>
        <v>rock</v>
      </c>
      <c r="M877" t="str">
        <v>and</v>
      </c>
      <c r="N877" s="4" cm="1">
        <f t="array" ref="N877">SUM(--(_xlfn.TEXTSPLIT($J$852,, " ") = M877))</f>
        <v>2</v>
      </c>
      <c r="O877">
        <v>3</v>
      </c>
      <c r="P877" t="str">
        <v xml:space="preserve">home
</v>
      </c>
      <c r="Q877">
        <v>3</v>
      </c>
      <c r="R877" s="4"/>
      <c r="S877" s="10"/>
    </row>
    <row r="878" spans="5:19" x14ac:dyDescent="0.2">
      <c r="E878" s="4" t="s">
        <v>17</v>
      </c>
      <c r="K878" t="str">
        <v>and</v>
      </c>
      <c r="L878" s="4" t="str">
        <f t="shared" si="20"/>
        <v>and</v>
      </c>
      <c r="M878" t="str">
        <v xml:space="preserve">home
</v>
      </c>
      <c r="N878" s="4" cm="1">
        <f t="array" ref="N878">SUM(--(_xlfn.TEXTSPLIT($J$852,, " ") = M878))</f>
        <v>3</v>
      </c>
      <c r="O878">
        <v>3</v>
      </c>
      <c r="P878" t="str">
        <v xml:space="preserve">so
</v>
      </c>
      <c r="Q878">
        <v>3</v>
      </c>
      <c r="R878" s="4"/>
      <c r="S878" s="10"/>
    </row>
    <row r="879" spans="5:19" x14ac:dyDescent="0.2">
      <c r="E879" s="4" t="s">
        <v>17</v>
      </c>
      <c r="K879" t="str">
        <v>a</v>
      </c>
      <c r="L879" s="4" t="str">
        <f t="shared" si="20"/>
        <v>a</v>
      </c>
      <c r="M879" t="str">
        <v>Two</v>
      </c>
      <c r="N879" s="4" cm="1">
        <f t="array" ref="N879">SUM(--(_xlfn.TEXTSPLIT($J$852,, " ") = M879))</f>
        <v>2</v>
      </c>
      <c r="O879">
        <v>3</v>
      </c>
      <c r="P879" t="str">
        <v>He's</v>
      </c>
      <c r="Q879">
        <v>3</v>
      </c>
      <c r="R879" s="4"/>
      <c r="S879" s="10"/>
    </row>
    <row r="880" spans="5:19" x14ac:dyDescent="0.2">
      <c r="E880" s="4" t="s">
        <v>17</v>
      </c>
      <c r="K880" t="str">
        <v xml:space="preserve">home
</v>
      </c>
      <c r="L880" s="4" t="str">
        <f t="shared" si="20"/>
        <v xml:space="preserve">home </v>
      </c>
      <c r="M880" t="str">
        <v>places</v>
      </c>
      <c r="N880" s="4" cm="1">
        <f t="array" ref="N880">SUM(--(_xlfn.TEXTSPLIT($J$852,, " ") = M880))</f>
        <v>2</v>
      </c>
      <c r="O880">
        <v>3</v>
      </c>
      <c r="P880" t="str">
        <v xml:space="preserve">show
</v>
      </c>
      <c r="Q880">
        <v>3</v>
      </c>
      <c r="R880" s="4"/>
      <c r="S880" s="10"/>
    </row>
    <row r="881" spans="5:19" x14ac:dyDescent="0.2">
      <c r="E881" s="4" t="s">
        <v>17</v>
      </c>
      <c r="K881" t="str">
        <v>Two</v>
      </c>
      <c r="L881" s="4" t="str">
        <f t="shared" si="20"/>
        <v>Two</v>
      </c>
      <c r="M881" t="str">
        <v>do</v>
      </c>
      <c r="N881" s="4" cm="1">
        <f t="array" ref="N881">SUM(--(_xlfn.TEXTSPLIT($J$852,, " ") = M881))</f>
        <v>1</v>
      </c>
      <c r="O881">
        <v>3</v>
      </c>
      <c r="P881" t="str">
        <v>take</v>
      </c>
      <c r="Q881">
        <v>3</v>
      </c>
      <c r="R881" s="4"/>
      <c r="S881" s="10"/>
    </row>
    <row r="882" spans="5:19" x14ac:dyDescent="0.2">
      <c r="E882" s="4" t="s">
        <v>17</v>
      </c>
      <c r="K882" t="str">
        <v>places</v>
      </c>
      <c r="L882" s="4" t="str">
        <f t="shared" si="20"/>
        <v>places</v>
      </c>
      <c r="M882" t="str">
        <v>not</v>
      </c>
      <c r="N882" s="4" cm="1">
        <f t="array" ref="N882">SUM(--(_xlfn.TEXTSPLIT($J$852,, " ") = M882))</f>
        <v>5</v>
      </c>
      <c r="O882">
        <v>3</v>
      </c>
      <c r="P882" t="str">
        <v>the</v>
      </c>
      <c r="Q882">
        <v>3</v>
      </c>
      <c r="R882" s="4"/>
      <c r="S882" s="10"/>
    </row>
    <row r="883" spans="5:19" x14ac:dyDescent="0.2">
      <c r="E883" s="4" t="s">
        <v>17</v>
      </c>
      <c r="K883" t="str">
        <v>you</v>
      </c>
      <c r="L883" s="4" t="str">
        <f t="shared" si="20"/>
        <v>you</v>
      </c>
      <c r="M883" t="str">
        <v>want</v>
      </c>
      <c r="N883" s="4" cm="1">
        <f t="array" ref="N883">SUM(--(_xlfn.TEXTSPLIT($J$852,, " ") = M883))</f>
        <v>9</v>
      </c>
      <c r="O883">
        <v>3</v>
      </c>
      <c r="P883" t="str">
        <v>longer</v>
      </c>
      <c r="Q883">
        <v>3</v>
      </c>
      <c r="R883" s="4"/>
      <c r="S883" s="10"/>
    </row>
    <row r="884" spans="5:19" x14ac:dyDescent="0.2">
      <c r="E884" s="4" t="s">
        <v>17</v>
      </c>
      <c r="K884" t="str">
        <v>do</v>
      </c>
      <c r="L884" s="4" t="str">
        <f t="shared" si="20"/>
        <v>do</v>
      </c>
      <c r="M884" t="str">
        <v xml:space="preserve">go
</v>
      </c>
      <c r="N884" s="4" cm="1">
        <f t="array" ref="N884">SUM(--(_xlfn.TEXTSPLIT($J$852,, " ") = M884))</f>
        <v>2</v>
      </c>
      <c r="O884">
        <v>3</v>
      </c>
      <c r="P884" t="str">
        <v>never</v>
      </c>
      <c r="Q884">
        <v>3</v>
      </c>
      <c r="R884" s="4"/>
      <c r="S884" s="10"/>
    </row>
    <row r="885" spans="5:19" x14ac:dyDescent="0.2">
      <c r="E885" s="4" t="s">
        <v>17</v>
      </c>
      <c r="K885" t="str">
        <v>not</v>
      </c>
      <c r="L885" s="4" t="str">
        <f t="shared" si="20"/>
        <v>not</v>
      </c>
      <c r="M885" t="str">
        <v>So,</v>
      </c>
      <c r="N885" s="4" cm="1">
        <f t="array" ref="N885">SUM(--(_xlfn.TEXTSPLIT($J$852,, " ") = M885))</f>
        <v>2</v>
      </c>
      <c r="O885">
        <v>3</v>
      </c>
      <c r="P885" t="str">
        <v>ever</v>
      </c>
      <c r="Q885">
        <v>3</v>
      </c>
      <c r="R885" s="4"/>
      <c r="S885" s="10"/>
    </row>
    <row r="886" spans="5:19" x14ac:dyDescent="0.2">
      <c r="E886" s="4" t="s">
        <v>17</v>
      </c>
      <c r="K886" t="str">
        <v>want</v>
      </c>
      <c r="L886" s="4" t="str">
        <f t="shared" si="20"/>
        <v>want</v>
      </c>
      <c r="M886" t="str">
        <v xml:space="preserve">so
</v>
      </c>
      <c r="N886" s="4" cm="1">
        <f t="array" ref="N886">SUM(--(_xlfn.TEXTSPLIT($J$852,, " ") = M886))</f>
        <v>3</v>
      </c>
      <c r="O886">
        <v>3</v>
      </c>
      <c r="P886" t="str">
        <v>say</v>
      </c>
      <c r="Q886">
        <v>3</v>
      </c>
      <c r="R886" s="4"/>
      <c r="S886" s="10"/>
    </row>
    <row r="887" spans="5:19" x14ac:dyDescent="0.2">
      <c r="E887" s="4" t="s">
        <v>17</v>
      </c>
      <c r="K887" t="str">
        <v>to</v>
      </c>
      <c r="L887" s="4" t="str">
        <f t="shared" si="20"/>
        <v>to</v>
      </c>
      <c r="M887" t="str">
        <v>He's</v>
      </c>
      <c r="N887" s="4" cm="1">
        <f t="array" ref="N887">SUM(--(_xlfn.TEXTSPLIT($J$852,, " ") = M887))</f>
        <v>3</v>
      </c>
      <c r="O887">
        <v>3</v>
      </c>
      <c r="P887" t="str">
        <v>fast</v>
      </c>
      <c r="Q887">
        <v>3</v>
      </c>
      <c r="R887" s="4"/>
      <c r="S887" s="10"/>
    </row>
    <row r="888" spans="5:19" x14ac:dyDescent="0.2">
      <c r="E888" s="4" t="s">
        <v>17</v>
      </c>
      <c r="K888" t="str">
        <v xml:space="preserve">go
</v>
      </c>
      <c r="L888" s="4" t="str">
        <f t="shared" si="20"/>
        <v xml:space="preserve">go  </v>
      </c>
      <c r="M888" t="str">
        <v xml:space="preserve">show
</v>
      </c>
      <c r="N888" s="4" cm="1">
        <f t="array" ref="N888">SUM(--(_xlfn.TEXTSPLIT($J$852,, " ") = M888))</f>
        <v>3</v>
      </c>
      <c r="O888">
        <v>3</v>
      </c>
      <c r="P888" t="str">
        <v>just</v>
      </c>
      <c r="Q888">
        <v>3</v>
      </c>
      <c r="R888" s="4"/>
      <c r="S888" s="10"/>
    </row>
    <row r="889" spans="5:19" x14ac:dyDescent="0.2">
      <c r="E889" s="4" t="s">
        <v>17</v>
      </c>
      <c r="K889" t="str">
        <v>So,</v>
      </c>
      <c r="L889" s="4" t="str">
        <f t="shared" si="20"/>
        <v xml:space="preserve">So </v>
      </c>
      <c r="M889" t="str">
        <v>Even</v>
      </c>
      <c r="N889" s="4" cm="1">
        <f t="array" ref="N889">SUM(--(_xlfn.TEXTSPLIT($J$852,, " ") = M889))</f>
        <v>18</v>
      </c>
      <c r="O889">
        <v>3</v>
      </c>
      <c r="P889" t="str">
        <v>slow</v>
      </c>
      <c r="Q889">
        <v>3</v>
      </c>
      <c r="R889" s="4"/>
      <c r="S889" s="10"/>
    </row>
    <row r="890" spans="5:19" x14ac:dyDescent="0.2">
      <c r="E890" s="4" t="s">
        <v>17</v>
      </c>
      <c r="K890" t="str">
        <v xml:space="preserve">so
</v>
      </c>
      <c r="L890" s="4" t="str">
        <f t="shared" si="20"/>
        <v xml:space="preserve">so </v>
      </c>
      <c r="M890" t="str">
        <v>now,</v>
      </c>
      <c r="N890" s="4" cm="1">
        <f t="array" ref="N890">SUM(--(_xlfn.TEXTSPLIT($J$852,, " ") = M890))</f>
        <v>12</v>
      </c>
      <c r="O890">
        <v>3</v>
      </c>
      <c r="P890" t="str">
        <v>if</v>
      </c>
      <c r="Q890">
        <v>3</v>
      </c>
      <c r="R890" s="4"/>
      <c r="S890" s="10"/>
    </row>
    <row r="891" spans="5:19" x14ac:dyDescent="0.2">
      <c r="E891" s="4" t="s">
        <v>17</v>
      </c>
      <c r="K891" t="str">
        <v>He's</v>
      </c>
      <c r="L891" s="4" t="str">
        <f t="shared" si="20"/>
        <v>He s</v>
      </c>
      <c r="M891" t="str">
        <v xml:space="preserve">now
</v>
      </c>
      <c r="N891" s="4" cm="1">
        <f t="array" ref="N891">SUM(--(_xlfn.TEXTSPLIT($J$852,, " ") = M891))</f>
        <v>6</v>
      </c>
      <c r="O891">
        <v>3</v>
      </c>
      <c r="P891" t="str">
        <v>song's</v>
      </c>
      <c r="Q891">
        <v>3</v>
      </c>
      <c r="R891" s="4"/>
      <c r="S891" s="10"/>
    </row>
    <row r="892" spans="5:19" x14ac:dyDescent="0.2">
      <c r="E892" s="4" t="s">
        <v>17</v>
      </c>
      <c r="K892" t="str">
        <v>puttin'</v>
      </c>
      <c r="L892" s="4" t="str">
        <f t="shared" si="20"/>
        <v xml:space="preserve">puttin </v>
      </c>
      <c r="M892" t="str">
        <v>He'll</v>
      </c>
      <c r="N892" s="4" cm="1">
        <f t="array" ref="N892">SUM(--(_xlfn.TEXTSPLIT($J$852,, " ") = M892))</f>
        <v>6</v>
      </c>
      <c r="O892">
        <v>3</v>
      </c>
      <c r="P892" t="str">
        <v>over</v>
      </c>
      <c r="Q892">
        <v>3</v>
      </c>
      <c r="R892" s="4"/>
      <c r="S892" s="10"/>
    </row>
    <row r="893" spans="5:19" x14ac:dyDescent="0.2">
      <c r="E893" s="4" t="s">
        <v>17</v>
      </c>
      <c r="K893" t="str">
        <v>on</v>
      </c>
      <c r="L893" s="4" t="str">
        <f t="shared" si="20"/>
        <v>on</v>
      </c>
      <c r="M893" t="str">
        <v>take</v>
      </c>
      <c r="N893" s="4" cm="1">
        <f t="array" ref="N893">SUM(--(_xlfn.TEXTSPLIT($J$852,, " ") = M893))</f>
        <v>3</v>
      </c>
      <c r="O893">
        <v>3</v>
      </c>
      <c r="P893" t="str">
        <v>out,</v>
      </c>
      <c r="Q893">
        <v>3</v>
      </c>
      <c r="R893" s="4"/>
      <c r="S893" s="10"/>
    </row>
    <row r="894" spans="5:19" x14ac:dyDescent="0.2">
      <c r="E894" s="4" t="s">
        <v>17</v>
      </c>
      <c r="K894" t="str">
        <v>a</v>
      </c>
      <c r="L894" s="4" t="str">
        <f t="shared" si="20"/>
        <v>a</v>
      </c>
      <c r="M894" t="str">
        <v>the</v>
      </c>
      <c r="N894" s="4" cm="1">
        <f t="array" ref="N894">SUM(--(_xlfn.TEXTSPLIT($J$852,, " ") = M894))</f>
        <v>3</v>
      </c>
      <c r="O894">
        <v>3</v>
      </c>
      <c r="P894" t="str">
        <v>So</v>
      </c>
      <c r="Q894">
        <v>3</v>
      </c>
      <c r="R894" s="4"/>
      <c r="S894" s="10"/>
    </row>
    <row r="895" spans="5:19" x14ac:dyDescent="0.2">
      <c r="E895" s="4" t="s">
        <v>17</v>
      </c>
      <c r="K895" t="str">
        <v>drum</v>
      </c>
      <c r="L895" s="4" t="str">
        <f t="shared" si="20"/>
        <v>drum</v>
      </c>
      <c r="M895" t="str">
        <v>longer</v>
      </c>
      <c r="N895" s="4" cm="1">
        <f t="array" ref="N895">SUM(--(_xlfn.TEXTSPLIT($J$852,, " ") = M895))</f>
        <v>3</v>
      </c>
      <c r="O895">
        <v>3</v>
      </c>
      <c r="P895" t="str">
        <v>(I've</v>
      </c>
      <c r="Q895">
        <v>3</v>
      </c>
      <c r="R895" s="4"/>
      <c r="S895" s="10"/>
    </row>
    <row r="896" spans="5:19" x14ac:dyDescent="0.2">
      <c r="E896" s="4" t="s">
        <v>17</v>
      </c>
      <c r="K896" t="str">
        <v xml:space="preserve">show
</v>
      </c>
      <c r="L896" s="4" t="str">
        <f t="shared" si="20"/>
        <v xml:space="preserve">show  </v>
      </c>
      <c r="M896" t="str">
        <v>way</v>
      </c>
      <c r="N896" s="4" cm="1">
        <f t="array" ref="N896">SUM(--(_xlfn.TEXTSPLIT($J$852,, " ") = M896))</f>
        <v>5</v>
      </c>
      <c r="O896">
        <v>3</v>
      </c>
      <c r="P896" t="str">
        <v>(I</v>
      </c>
      <c r="Q896">
        <v>3</v>
      </c>
      <c r="R896" s="4"/>
      <c r="S896" s="10"/>
    </row>
    <row r="897" spans="5:19" x14ac:dyDescent="0.2">
      <c r="E897" s="4" t="s">
        <v>17</v>
      </c>
      <c r="K897" t="str">
        <v>Even</v>
      </c>
      <c r="L897" s="4" t="str">
        <f t="shared" si="20"/>
        <v>Even</v>
      </c>
      <c r="M897" t="str">
        <v>never</v>
      </c>
      <c r="N897" s="4" cm="1">
        <f t="array" ref="N897">SUM(--(_xlfn.TEXTSPLIT($J$852,, " ") = M897))</f>
        <v>3</v>
      </c>
      <c r="O897">
        <v>2</v>
      </c>
      <c r="P897" t="str">
        <v/>
      </c>
      <c r="Q897">
        <v>2</v>
      </c>
      <c r="R897" s="4"/>
      <c r="S897" s="10"/>
    </row>
    <row r="898" spans="5:19" x14ac:dyDescent="0.2">
      <c r="E898" s="4" t="s">
        <v>17</v>
      </c>
      <c r="K898" t="str">
        <v>now,</v>
      </c>
      <c r="L898" s="4" t="str">
        <f t="shared" si="20"/>
        <v xml:space="preserve">now </v>
      </c>
      <c r="M898" t="str">
        <v>ever</v>
      </c>
      <c r="N898" s="4" cm="1">
        <f t="array" ref="N898">SUM(--(_xlfn.TEXTSPLIT($J$852,, " ") = M898))</f>
        <v>3</v>
      </c>
      <c r="O898">
        <v>2</v>
      </c>
      <c r="P898" t="str">
        <v xml:space="preserve">show
</v>
      </c>
      <c r="Q898">
        <v>2</v>
      </c>
      <c r="R898" s="4"/>
      <c r="S898" s="10"/>
    </row>
    <row r="899" spans="5:19" x14ac:dyDescent="0.2">
      <c r="E899" s="4" t="s">
        <v>17</v>
      </c>
      <c r="K899" t="str">
        <v>even</v>
      </c>
      <c r="L899" s="4" t="str">
        <f t="shared" si="20"/>
        <v>even</v>
      </c>
      <c r="M899" t="str">
        <v>say</v>
      </c>
      <c r="N899" s="4" cm="1">
        <f t="array" ref="N899">SUM(--(_xlfn.TEXTSPLIT($J$852,, " ") = M899))</f>
        <v>3</v>
      </c>
      <c r="O899">
        <v>2</v>
      </c>
      <c r="P899" t="str">
        <v xml:space="preserve">Ooh-ooh
</v>
      </c>
      <c r="Q899">
        <v>2</v>
      </c>
      <c r="R899" s="4"/>
      <c r="S899" s="10"/>
    </row>
    <row r="900" spans="5:19" x14ac:dyDescent="0.2">
      <c r="E900" s="4" t="s">
        <v>17</v>
      </c>
      <c r="K900" t="str">
        <v>now,</v>
      </c>
      <c r="L900" s="4" t="str">
        <f t="shared" ref="L900:L963" si="21">_xlfn.REGEXREPLACE(K900, "[^A-Za-z ]", " ")</f>
        <v xml:space="preserve">now </v>
      </c>
      <c r="M900" t="str">
        <v>He</v>
      </c>
      <c r="N900" s="4" cm="1">
        <f t="array" ref="N900">SUM(--(_xlfn.TEXTSPLIT($J$852,, " ") = M900))</f>
        <v>8</v>
      </c>
      <c r="O900">
        <v>2</v>
      </c>
      <c r="P900" t="str">
        <v>you</v>
      </c>
      <c r="Q900">
        <v>2</v>
      </c>
      <c r="R900" s="4"/>
      <c r="S900" s="10"/>
    </row>
    <row r="901" spans="5:19" x14ac:dyDescent="0.2">
      <c r="E901" s="4" t="s">
        <v>17</v>
      </c>
      <c r="K901" t="str">
        <v>even</v>
      </c>
      <c r="L901" s="4" t="str">
        <f t="shared" si="21"/>
        <v>even</v>
      </c>
      <c r="M901" t="str">
        <v>drives</v>
      </c>
      <c r="N901" s="4" cm="1">
        <f t="array" ref="N901">SUM(--(_xlfn.TEXTSPLIT($J$852,, " ") = M901))</f>
        <v>6</v>
      </c>
      <c r="O901">
        <v>2</v>
      </c>
      <c r="P901" t="str">
        <v>out</v>
      </c>
      <c r="Q901">
        <v>2</v>
      </c>
      <c r="R901" s="4"/>
      <c r="S901" s="10"/>
    </row>
    <row r="902" spans="5:19" x14ac:dyDescent="0.2">
      <c r="E902" s="4" t="s">
        <v>17</v>
      </c>
      <c r="K902" t="str">
        <v xml:space="preserve">now
</v>
      </c>
      <c r="L902" s="4" t="str">
        <f t="shared" si="21"/>
        <v xml:space="preserve">now </v>
      </c>
      <c r="M902" t="str">
        <v>fast</v>
      </c>
      <c r="N902" s="4" cm="1">
        <f t="array" ref="N902">SUM(--(_xlfn.TEXTSPLIT($J$852,, " ") = M902))</f>
        <v>3</v>
      </c>
      <c r="O902">
        <v>2</v>
      </c>
      <c r="P902" t="str">
        <v>stuck</v>
      </c>
      <c r="Q902">
        <v>2</v>
      </c>
      <c r="R902" s="4"/>
      <c r="S902" s="10"/>
    </row>
    <row r="903" spans="5:19" x14ac:dyDescent="0.2">
      <c r="E903" s="4" t="s">
        <v>17</v>
      </c>
      <c r="K903" t="str">
        <v>He'll</v>
      </c>
      <c r="L903" s="4" t="str">
        <f t="shared" si="21"/>
        <v>He ll</v>
      </c>
      <c r="M903" t="str">
        <v>just</v>
      </c>
      <c r="N903" s="4" cm="1">
        <f t="array" ref="N903">SUM(--(_xlfn.TEXTSPLIT($J$852,, " ") = M903))</f>
        <v>3</v>
      </c>
      <c r="O903">
        <v>2</v>
      </c>
      <c r="P903" t="str">
        <v>between</v>
      </c>
      <c r="Q903">
        <v>2</v>
      </c>
      <c r="R903" s="4"/>
      <c r="S903" s="10"/>
    </row>
    <row r="904" spans="5:19" x14ac:dyDescent="0.2">
      <c r="E904" s="4" t="s">
        <v>17</v>
      </c>
      <c r="K904" t="str">
        <v>take</v>
      </c>
      <c r="L904" s="4" t="str">
        <f t="shared" si="21"/>
        <v>take</v>
      </c>
      <c r="M904" t="str">
        <v>feel</v>
      </c>
      <c r="N904" s="4" cm="1">
        <f t="array" ref="N904">SUM(--(_xlfn.TEXTSPLIT($J$852,, " ") = M904))</f>
        <v>10</v>
      </c>
      <c r="O904">
        <v>2</v>
      </c>
      <c r="P904" t="str">
        <v>rock</v>
      </c>
      <c r="Q904">
        <v>2</v>
      </c>
      <c r="R904" s="4"/>
      <c r="S904" s="10"/>
    </row>
    <row r="905" spans="5:19" x14ac:dyDescent="0.2">
      <c r="E905" s="4" t="s">
        <v>17</v>
      </c>
      <c r="K905" t="str">
        <v>the</v>
      </c>
      <c r="L905" s="4" t="str">
        <f t="shared" si="21"/>
        <v>the</v>
      </c>
      <c r="M905" t="str">
        <v>it,</v>
      </c>
      <c r="N905" s="4" cm="1">
        <f t="array" ref="N905">SUM(--(_xlfn.TEXTSPLIT($J$852,, " ") = M905))</f>
        <v>6</v>
      </c>
      <c r="O905">
        <v>2</v>
      </c>
      <c r="P905" t="str">
        <v>and</v>
      </c>
      <c r="Q905">
        <v>2</v>
      </c>
      <c r="R905" s="4"/>
      <c r="S905" s="10"/>
    </row>
    <row r="906" spans="5:19" x14ac:dyDescent="0.2">
      <c r="E906" s="4" t="s">
        <v>17</v>
      </c>
      <c r="K906" t="str">
        <v>longer</v>
      </c>
      <c r="L906" s="4" t="str">
        <f t="shared" si="21"/>
        <v>longer</v>
      </c>
      <c r="M906" t="str">
        <v>it</v>
      </c>
      <c r="N906" s="4" cm="1">
        <f t="array" ref="N906">SUM(--(_xlfn.TEXTSPLIT($J$852,, " ") = M906))</f>
        <v>10</v>
      </c>
      <c r="O906">
        <v>2</v>
      </c>
      <c r="P906" t="str">
        <v>Two</v>
      </c>
      <c r="Q906">
        <v>2</v>
      </c>
      <c r="R906" s="4"/>
      <c r="S906" s="10"/>
    </row>
    <row r="907" spans="5:19" x14ac:dyDescent="0.2">
      <c r="E907" s="4" t="s">
        <v>17</v>
      </c>
      <c r="K907" t="str">
        <v>way</v>
      </c>
      <c r="L907" s="4" t="str">
        <f t="shared" si="21"/>
        <v>way</v>
      </c>
      <c r="M907" t="str">
        <v>(Feel</v>
      </c>
      <c r="N907" s="4" cm="1">
        <f t="array" ref="N907">SUM(--(_xlfn.TEXTSPLIT($J$852,, " ") = M907))</f>
        <v>9</v>
      </c>
      <c r="O907">
        <v>2</v>
      </c>
      <c r="P907" t="str">
        <v>places</v>
      </c>
      <c r="Q907">
        <v>2</v>
      </c>
      <c r="R907" s="4"/>
      <c r="S907" s="10"/>
    </row>
    <row r="908" spans="5:19" x14ac:dyDescent="0.2">
      <c r="E908" s="4" t="s">
        <v>17</v>
      </c>
      <c r="K908" t="str">
        <v xml:space="preserve">home
</v>
      </c>
      <c r="L908" s="4" t="str">
        <f t="shared" si="21"/>
        <v xml:space="preserve">home </v>
      </c>
      <c r="M908" t="str">
        <v xml:space="preserve">it)
</v>
      </c>
      <c r="N908" s="4" cm="1">
        <f t="array" ref="N908">SUM(--(_xlfn.TEXTSPLIT($J$852,, " ") = M908))</f>
        <v>9</v>
      </c>
      <c r="O908">
        <v>2</v>
      </c>
      <c r="P908" t="str">
        <v xml:space="preserve">go
</v>
      </c>
      <c r="Q908">
        <v>2</v>
      </c>
      <c r="R908" s="4"/>
      <c r="S908" s="10"/>
    </row>
    <row r="909" spans="5:19" x14ac:dyDescent="0.2">
      <c r="E909" s="4" t="s">
        <v>17</v>
      </c>
      <c r="K909" t="str">
        <v>Even</v>
      </c>
      <c r="L909" s="4" t="str">
        <f t="shared" si="21"/>
        <v>Even</v>
      </c>
      <c r="M909" t="str">
        <v>slow</v>
      </c>
      <c r="N909" s="4" cm="1">
        <f t="array" ref="N909">SUM(--(_xlfn.TEXTSPLIT($J$852,, " ") = M909))</f>
        <v>3</v>
      </c>
      <c r="O909">
        <v>2</v>
      </c>
      <c r="P909" t="str">
        <v>So,</v>
      </c>
      <c r="Q909">
        <v>2</v>
      </c>
      <c r="R909" s="4"/>
      <c r="S909" s="10"/>
    </row>
    <row r="910" spans="5:19" x14ac:dyDescent="0.2">
      <c r="E910" s="4" t="s">
        <v>17</v>
      </c>
      <c r="K910" t="str">
        <v>now,</v>
      </c>
      <c r="L910" s="4" t="str">
        <f t="shared" si="21"/>
        <v xml:space="preserve">now </v>
      </c>
      <c r="M910" t="str">
        <v>if</v>
      </c>
      <c r="N910" s="4" cm="1">
        <f t="array" ref="N910">SUM(--(_xlfn.TEXTSPLIT($J$852,, " ") = M910))</f>
        <v>3</v>
      </c>
      <c r="O910">
        <v>2</v>
      </c>
      <c r="P910" t="str">
        <v xml:space="preserve">out
</v>
      </c>
      <c r="Q910">
        <v>2</v>
      </c>
      <c r="R910" s="4"/>
      <c r="S910" s="10"/>
    </row>
    <row r="911" spans="5:19" x14ac:dyDescent="0.2">
      <c r="E911" s="4" t="s">
        <v>17</v>
      </c>
      <c r="K911" t="str">
        <v>even</v>
      </c>
      <c r="L911" s="4" t="str">
        <f t="shared" si="21"/>
        <v>even</v>
      </c>
      <c r="M911" t="str">
        <v>his</v>
      </c>
      <c r="N911" s="4" cm="1">
        <f t="array" ref="N911">SUM(--(_xlfn.TEXTSPLIT($J$852,, " ") = M911))</f>
        <v>4</v>
      </c>
      <c r="O911">
        <v>2</v>
      </c>
      <c r="P911" t="str">
        <v>home</v>
      </c>
      <c r="Q911">
        <v>2</v>
      </c>
      <c r="R911" s="4"/>
      <c r="S911" s="10"/>
    </row>
    <row r="912" spans="5:19" x14ac:dyDescent="0.2">
      <c r="E912" s="4" t="s">
        <v>17</v>
      </c>
      <c r="K912" t="str">
        <v>now,</v>
      </c>
      <c r="L912" s="4" t="str">
        <f t="shared" si="21"/>
        <v xml:space="preserve">now </v>
      </c>
      <c r="M912" t="str">
        <v>song's</v>
      </c>
      <c r="N912" s="4" cm="1">
        <f t="array" ref="N912">SUM(--(_xlfn.TEXTSPLIT($J$852,, " ") = M912))</f>
        <v>3</v>
      </c>
      <c r="O912">
        <v>2</v>
      </c>
      <c r="P912" t="str">
        <v xml:space="preserve">way)
</v>
      </c>
      <c r="Q912">
        <v>2</v>
      </c>
      <c r="R912" s="4"/>
      <c r="S912" s="10"/>
    </row>
    <row r="913" spans="5:19" x14ac:dyDescent="0.2">
      <c r="E913" s="4" t="s">
        <v>17</v>
      </c>
      <c r="K913" t="str">
        <v>even</v>
      </c>
      <c r="L913" s="4" t="str">
        <f t="shared" si="21"/>
        <v>even</v>
      </c>
      <c r="M913" t="str">
        <v>over</v>
      </c>
      <c r="N913" s="4" cm="1">
        <f t="array" ref="N913">SUM(--(_xlfn.TEXTSPLIT($J$852,, " ") = M913))</f>
        <v>3</v>
      </c>
      <c r="O913">
        <v>2</v>
      </c>
      <c r="P913" t="str">
        <v xml:space="preserve">change)
</v>
      </c>
      <c r="Q913">
        <v>2</v>
      </c>
      <c r="R913" s="4"/>
      <c r="S913" s="10"/>
    </row>
    <row r="914" spans="5:19" x14ac:dyDescent="0.2">
      <c r="E914" s="4" t="s">
        <v>17</v>
      </c>
      <c r="K914" t="str">
        <v xml:space="preserve">now
</v>
      </c>
      <c r="L914" s="4" t="str">
        <f t="shared" si="21"/>
        <v xml:space="preserve">now </v>
      </c>
      <c r="M914" t="str">
        <v>Drown</v>
      </c>
      <c r="N914" s="4" cm="1">
        <f t="array" ref="N914">SUM(--(_xlfn.TEXTSPLIT($J$852,, " ") = M914))</f>
        <v>6</v>
      </c>
      <c r="O914">
        <v>2</v>
      </c>
      <c r="P914" t="str">
        <v xml:space="preserve">way
</v>
      </c>
      <c r="Q914">
        <v>2</v>
      </c>
      <c r="R914" s="4"/>
      <c r="S914" s="10"/>
    </row>
    <row r="915" spans="5:19" x14ac:dyDescent="0.2">
      <c r="E915" s="4" t="s">
        <v>17</v>
      </c>
      <c r="K915" t="str">
        <v>He'll</v>
      </c>
      <c r="L915" s="4" t="str">
        <f t="shared" si="21"/>
        <v>He ll</v>
      </c>
      <c r="M915" t="str">
        <v>out,</v>
      </c>
      <c r="N915" s="4" cm="1">
        <f t="array" ref="N915">SUM(--(_xlfn.TEXTSPLIT($J$852,, " ") = M915))</f>
        <v>3</v>
      </c>
      <c r="O915">
        <v>2</v>
      </c>
      <c r="P915" t="str">
        <v>well</v>
      </c>
      <c r="Q915">
        <v>2</v>
      </c>
      <c r="R915" s="4"/>
      <c r="S915" s="10"/>
    </row>
    <row r="916" spans="5:19" x14ac:dyDescent="0.2">
      <c r="E916" s="4" t="s">
        <v>17</v>
      </c>
      <c r="K916" t="str">
        <v>never</v>
      </c>
      <c r="L916" s="4" t="str">
        <f t="shared" si="21"/>
        <v>never</v>
      </c>
      <c r="M916" t="str">
        <v xml:space="preserve">out
</v>
      </c>
      <c r="N916" s="4" cm="1">
        <f t="array" ref="N916">SUM(--(_xlfn.TEXTSPLIT($J$852,, " ") = M916))</f>
        <v>2</v>
      </c>
      <c r="O916">
        <v>2</v>
      </c>
      <c r="P916">
        <v>0</v>
      </c>
      <c r="Q916">
        <v>2</v>
      </c>
      <c r="R916" s="4"/>
      <c r="S916" s="10"/>
    </row>
    <row r="917" spans="5:19" x14ac:dyDescent="0.2">
      <c r="E917" s="4" t="s">
        <v>17</v>
      </c>
      <c r="K917" t="str">
        <v>ever</v>
      </c>
      <c r="L917" s="4" t="str">
        <f t="shared" si="21"/>
        <v>ever</v>
      </c>
      <c r="M917" t="str">
        <v>He'd</v>
      </c>
      <c r="N917" s="4" cm="1">
        <f t="array" ref="N917">SUM(--(_xlfn.TEXTSPLIT($J$852,, " ") = M917))</f>
        <v>1</v>
      </c>
      <c r="O917">
        <v>2</v>
      </c>
      <c r="P917">
        <v>0</v>
      </c>
      <c r="Q917">
        <v>2</v>
      </c>
      <c r="R917" s="4"/>
      <c r="S917" s="10"/>
    </row>
    <row r="918" spans="5:19" x14ac:dyDescent="0.2">
      <c r="E918" s="4" t="s">
        <v>17</v>
      </c>
      <c r="K918" t="str">
        <v>say</v>
      </c>
      <c r="L918" s="4" t="str">
        <f t="shared" si="21"/>
        <v>say</v>
      </c>
      <c r="M918" t="str">
        <v>rather</v>
      </c>
      <c r="N918" s="4" cm="1">
        <f t="array" ref="N918">SUM(--(_xlfn.TEXTSPLIT($J$852,, " ") = M918))</f>
        <v>1</v>
      </c>
      <c r="O918">
        <v>2</v>
      </c>
      <c r="P918">
        <v>0</v>
      </c>
      <c r="Q918">
        <v>2</v>
      </c>
      <c r="R918" s="4"/>
      <c r="S918" s="10"/>
    </row>
    <row r="919" spans="5:19" x14ac:dyDescent="0.2">
      <c r="E919" s="4" t="s">
        <v>17</v>
      </c>
      <c r="K919" t="str">
        <v xml:space="preserve">so
</v>
      </c>
      <c r="L919" s="4" t="str">
        <f t="shared" si="21"/>
        <v xml:space="preserve">so </v>
      </c>
      <c r="M919" t="str">
        <v>something</v>
      </c>
      <c r="N919" s="4" cm="1">
        <f t="array" ref="N919">SUM(--(_xlfn.TEXTSPLIT($J$852,, " ") = M919))</f>
        <v>1</v>
      </c>
      <c r="O919">
        <v>2</v>
      </c>
      <c r="P919">
        <v>0</v>
      </c>
      <c r="Q919">
        <v>2</v>
      </c>
      <c r="R919" s="4"/>
      <c r="S919" s="10"/>
    </row>
    <row r="920" spans="5:19" x14ac:dyDescent="0.2">
      <c r="E920" s="4" t="s">
        <v>17</v>
      </c>
      <c r="K920" t="str">
        <v>He</v>
      </c>
      <c r="L920" s="4" t="str">
        <f t="shared" si="21"/>
        <v>He</v>
      </c>
      <c r="M920" t="str">
        <v>than</v>
      </c>
      <c r="N920" s="4" cm="1">
        <f t="array" ref="N920">SUM(--(_xlfn.TEXTSPLIT($J$852,, " ") = M920))</f>
        <v>1</v>
      </c>
      <c r="O920">
        <v>2</v>
      </c>
      <c r="P920">
        <v>0</v>
      </c>
      <c r="Q920">
        <v>2</v>
      </c>
      <c r="R920" s="4"/>
      <c r="S920" s="10"/>
    </row>
    <row r="921" spans="5:19" x14ac:dyDescent="0.2">
      <c r="E921" s="4" t="s">
        <v>17</v>
      </c>
      <c r="K921" t="str">
        <v>drives</v>
      </c>
      <c r="L921" s="4" t="str">
        <f t="shared" si="21"/>
        <v>drives</v>
      </c>
      <c r="M921" t="str">
        <v>nothing</v>
      </c>
      <c r="N921" s="4" cm="1">
        <f t="array" ref="N921">SUM(--(_xlfn.TEXTSPLIT($J$852,, " ") = M921))</f>
        <v>1</v>
      </c>
      <c r="O921">
        <v>2</v>
      </c>
      <c r="P921">
        <v>0</v>
      </c>
      <c r="Q921">
        <v>2</v>
      </c>
      <c r="R921" s="4"/>
      <c r="S921" s="10"/>
    </row>
    <row r="922" spans="5:19" x14ac:dyDescent="0.2">
      <c r="E922" s="4" t="s">
        <v>17</v>
      </c>
      <c r="K922" t="str">
        <v>fast</v>
      </c>
      <c r="L922" s="4" t="str">
        <f t="shared" si="21"/>
        <v>fast</v>
      </c>
      <c r="M922" t="str">
        <v>at</v>
      </c>
      <c r="N922" s="4" cm="1">
        <f t="array" ref="N922">SUM(--(_xlfn.TEXTSPLIT($J$852,, " ") = M922))</f>
        <v>1</v>
      </c>
      <c r="O922">
        <v>2</v>
      </c>
      <c r="P922">
        <v>0</v>
      </c>
      <c r="Q922">
        <v>2</v>
      </c>
      <c r="R922" s="4"/>
      <c r="S922" s="10"/>
    </row>
    <row r="923" spans="5:19" x14ac:dyDescent="0.2">
      <c r="E923" s="4" t="s">
        <v>17</v>
      </c>
      <c r="K923" t="str">
        <v>just</v>
      </c>
      <c r="L923" s="4" t="str">
        <f t="shared" si="21"/>
        <v>just</v>
      </c>
      <c r="M923" t="str">
        <v xml:space="preserve">all
</v>
      </c>
      <c r="N923" s="4" cm="1">
        <f t="array" ref="N923">SUM(--(_xlfn.TEXTSPLIT($J$852,, " ") = M923))</f>
        <v>1</v>
      </c>
      <c r="O923">
        <v>2</v>
      </c>
      <c r="P923">
        <v>0</v>
      </c>
      <c r="Q923">
        <v>2</v>
      </c>
      <c r="R923" s="4"/>
      <c r="S923" s="10"/>
    </row>
    <row r="924" spans="5:19" x14ac:dyDescent="0.2">
      <c r="E924" s="4" t="s">
        <v>17</v>
      </c>
      <c r="K924" t="str">
        <v>to</v>
      </c>
      <c r="L924" s="4" t="str">
        <f t="shared" si="21"/>
        <v>to</v>
      </c>
      <c r="M924" t="str">
        <v>So</v>
      </c>
      <c r="N924" s="4" cm="1">
        <f t="array" ref="N924">SUM(--(_xlfn.TEXTSPLIT($J$852,, " ") = M924))</f>
        <v>3</v>
      </c>
      <c r="O924">
        <v>2</v>
      </c>
      <c r="P924">
        <v>0</v>
      </c>
      <c r="Q924">
        <v>2</v>
      </c>
      <c r="R924" s="4"/>
      <c r="S924" s="10"/>
    </row>
    <row r="925" spans="5:19" x14ac:dyDescent="0.2">
      <c r="E925" s="4" t="s">
        <v>17</v>
      </c>
      <c r="K925" t="str">
        <v>feel</v>
      </c>
      <c r="L925" s="4" t="str">
        <f t="shared" si="21"/>
        <v>feel</v>
      </c>
      <c r="M925" t="str">
        <v>swerves</v>
      </c>
      <c r="N925" s="4" cm="1">
        <f t="array" ref="N925">SUM(--(_xlfn.TEXTSPLIT($J$852,, " ") = M925))</f>
        <v>1</v>
      </c>
      <c r="O925">
        <v>2</v>
      </c>
      <c r="P925">
        <v>0</v>
      </c>
      <c r="Q925">
        <v>2</v>
      </c>
      <c r="R925" s="4"/>
      <c r="S925" s="10"/>
    </row>
    <row r="926" spans="5:19" x14ac:dyDescent="0.2">
      <c r="E926" s="4" t="s">
        <v>17</v>
      </c>
      <c r="K926" t="str">
        <v>it,</v>
      </c>
      <c r="L926" s="4" t="str">
        <f t="shared" si="21"/>
        <v xml:space="preserve">it </v>
      </c>
      <c r="M926" t="str">
        <v>all</v>
      </c>
      <c r="N926" s="4" cm="1">
        <f t="array" ref="N926">SUM(--(_xlfn.TEXTSPLIT($J$852,, " ") = M926))</f>
        <v>1</v>
      </c>
      <c r="O926">
        <v>2</v>
      </c>
      <c r="P926">
        <v>0</v>
      </c>
      <c r="Q926">
        <v>2</v>
      </c>
      <c r="R926" s="4"/>
      <c r="S926" s="10"/>
    </row>
    <row r="927" spans="5:19" x14ac:dyDescent="0.2">
      <c r="E927" s="4" t="s">
        <v>17</v>
      </c>
      <c r="K927" t="str">
        <v>feel</v>
      </c>
      <c r="L927" s="4" t="str">
        <f t="shared" si="21"/>
        <v>feel</v>
      </c>
      <c r="M927" t="str">
        <v>around</v>
      </c>
      <c r="N927" s="4" cm="1">
        <f t="array" ref="N927">SUM(--(_xlfn.TEXTSPLIT($J$852,, " ") = M927))</f>
        <v>1</v>
      </c>
      <c r="O927">
        <v>2</v>
      </c>
      <c r="P927">
        <v>0</v>
      </c>
      <c r="Q927">
        <v>2</v>
      </c>
      <c r="R927" s="4"/>
      <c r="S927" s="10"/>
    </row>
    <row r="928" spans="5:19" x14ac:dyDescent="0.2">
      <c r="E928" s="4" t="s">
        <v>17</v>
      </c>
      <c r="K928" t="str">
        <v>it</v>
      </c>
      <c r="L928" s="4" t="str">
        <f t="shared" si="21"/>
        <v>it</v>
      </c>
      <c r="M928" t="str">
        <v>as</v>
      </c>
      <c r="N928" s="4" cm="1">
        <f t="array" ref="N928">SUM(--(_xlfn.TEXTSPLIT($J$852,, " ") = M928))</f>
        <v>1</v>
      </c>
      <c r="O928">
        <v>2</v>
      </c>
      <c r="P928">
        <v>0</v>
      </c>
      <c r="Q928">
        <v>2</v>
      </c>
      <c r="R928" s="4"/>
      <c r="S928" s="10"/>
    </row>
    <row r="929" spans="5:19" x14ac:dyDescent="0.2">
      <c r="E929" s="4" t="s">
        <v>17</v>
      </c>
      <c r="K929" t="str">
        <v>(Feel</v>
      </c>
      <c r="L929" s="4" t="str">
        <f t="shared" si="21"/>
        <v xml:space="preserve"> Feel</v>
      </c>
      <c r="M929" t="str">
        <v>head</v>
      </c>
      <c r="N929" s="4" cm="1">
        <f t="array" ref="N929">SUM(--(_xlfn.TEXTSPLIT($J$852,, " ") = M929))</f>
        <v>1</v>
      </c>
      <c r="O929">
        <v>2</v>
      </c>
      <c r="P929">
        <v>0</v>
      </c>
      <c r="Q929">
        <v>2</v>
      </c>
      <c r="R929" s="4"/>
      <c r="S929" s="10"/>
    </row>
    <row r="930" spans="5:19" x14ac:dyDescent="0.2">
      <c r="E930" s="4" t="s">
        <v>17</v>
      </c>
      <c r="K930" t="str">
        <v xml:space="preserve">it)
</v>
      </c>
      <c r="L930" s="4" t="str">
        <f t="shared" si="21"/>
        <v xml:space="preserve">it  </v>
      </c>
      <c r="M930" t="str">
        <v>starts</v>
      </c>
      <c r="N930" s="4" cm="1">
        <f t="array" ref="N930">SUM(--(_xlfn.TEXTSPLIT($J$852,, " ") = M930))</f>
        <v>1</v>
      </c>
      <c r="O930">
        <v>2</v>
      </c>
      <c r="P930">
        <v>0</v>
      </c>
      <c r="Q930">
        <v>2</v>
      </c>
      <c r="R930" s="4"/>
      <c r="S930" s="10"/>
    </row>
    <row r="931" spans="5:19" x14ac:dyDescent="0.2">
      <c r="E931" s="4" t="s">
        <v>17</v>
      </c>
      <c r="K931" t="str">
        <v>He</v>
      </c>
      <c r="L931" s="4" t="str">
        <f t="shared" si="21"/>
        <v>He</v>
      </c>
      <c r="M931" t="str">
        <v>fall,</v>
      </c>
      <c r="N931" s="4" cm="1">
        <f t="array" ref="N931">SUM(--(_xlfn.TEXTSPLIT($J$852,, " ") = M931))</f>
        <v>1</v>
      </c>
      <c r="O931">
        <v>2</v>
      </c>
      <c r="P931">
        <v>0</v>
      </c>
      <c r="Q931">
        <v>2</v>
      </c>
      <c r="R931" s="4"/>
      <c r="S931" s="10"/>
    </row>
    <row r="932" spans="5:19" x14ac:dyDescent="0.2">
      <c r="E932" s="4" t="s">
        <v>17</v>
      </c>
      <c r="K932" t="str">
        <v>drives</v>
      </c>
      <c r="L932" s="4" t="str">
        <f t="shared" si="21"/>
        <v>drives</v>
      </c>
      <c r="M932" t="str">
        <v>turns</v>
      </c>
      <c r="N932" s="4" cm="1">
        <f t="array" ref="N932">SUM(--(_xlfn.TEXTSPLIT($J$852,, " ") = M932))</f>
        <v>1</v>
      </c>
      <c r="O932">
        <v>2</v>
      </c>
      <c r="P932">
        <v>0</v>
      </c>
      <c r="Q932">
        <v>2</v>
      </c>
      <c r="R932" s="4"/>
      <c r="S932" s="10"/>
    </row>
    <row r="933" spans="5:19" x14ac:dyDescent="0.2">
      <c r="E933" s="4" t="s">
        <v>17</v>
      </c>
      <c r="K933" t="str">
        <v>slow</v>
      </c>
      <c r="L933" s="4" t="str">
        <f t="shared" si="21"/>
        <v>slow</v>
      </c>
      <c r="M933" t="str">
        <v xml:space="preserve">up
</v>
      </c>
      <c r="N933" s="4" cm="1">
        <f t="array" ref="N933">SUM(--(_xlfn.TEXTSPLIT($J$852,, " ") = M933))</f>
        <v>1</v>
      </c>
      <c r="O933">
        <v>2</v>
      </c>
      <c r="P933">
        <v>0</v>
      </c>
      <c r="Q933">
        <v>2</v>
      </c>
      <c r="R933" s="4"/>
      <c r="S933" s="10"/>
    </row>
    <row r="934" spans="5:19" x14ac:dyDescent="0.2">
      <c r="E934" s="4" t="s">
        <v>17</v>
      </c>
      <c r="K934" t="str">
        <v>if</v>
      </c>
      <c r="L934" s="4" t="str">
        <f t="shared" si="21"/>
        <v>if</v>
      </c>
      <c r="M934" t="str">
        <v>does</v>
      </c>
      <c r="N934" s="4" cm="1">
        <f t="array" ref="N934">SUM(--(_xlfn.TEXTSPLIT($J$852,, " ") = M934))</f>
        <v>1</v>
      </c>
      <c r="O934">
        <v>2</v>
      </c>
      <c r="P934">
        <v>0</v>
      </c>
      <c r="Q934">
        <v>2</v>
      </c>
      <c r="R934" s="4"/>
      <c r="S934" s="10"/>
    </row>
    <row r="935" spans="5:19" x14ac:dyDescent="0.2">
      <c r="E935" s="4" t="s">
        <v>17</v>
      </c>
      <c r="K935" t="str">
        <v>his</v>
      </c>
      <c r="L935" s="4" t="str">
        <f t="shared" si="21"/>
        <v>his</v>
      </c>
      <c r="M935" t="str">
        <v>home</v>
      </c>
      <c r="N935" s="4" cm="1">
        <f t="array" ref="N935">SUM(--(_xlfn.TEXTSPLIT($J$852,, " ") = M935))</f>
        <v>2</v>
      </c>
      <c r="O935">
        <v>2</v>
      </c>
      <c r="P935">
        <v>0</v>
      </c>
      <c r="Q935">
        <v>2</v>
      </c>
      <c r="R935" s="4"/>
      <c r="S935" s="10"/>
    </row>
    <row r="936" spans="5:19" x14ac:dyDescent="0.2">
      <c r="E936" s="4" t="s">
        <v>17</v>
      </c>
      <c r="K936" t="str">
        <v>song's</v>
      </c>
      <c r="L936" s="4" t="str">
        <f t="shared" si="21"/>
        <v>song s</v>
      </c>
      <c r="M936" t="str">
        <v>(I've</v>
      </c>
      <c r="N936" s="4" cm="1">
        <f t="array" ref="N936">SUM(--(_xlfn.TEXTSPLIT($J$852,, " ") = M936))</f>
        <v>3</v>
      </c>
      <c r="O936">
        <v>2</v>
      </c>
      <c r="P936">
        <v>0</v>
      </c>
      <c r="Q936">
        <v>2</v>
      </c>
      <c r="R936" s="4"/>
      <c r="S936" s="10"/>
    </row>
    <row r="937" spans="5:19" x14ac:dyDescent="0.2">
      <c r="E937" s="4" t="s">
        <v>17</v>
      </c>
      <c r="K937" t="str">
        <v>not</v>
      </c>
      <c r="L937" s="4" t="str">
        <f t="shared" si="21"/>
        <v>not</v>
      </c>
      <c r="M937" t="str">
        <v>been</v>
      </c>
      <c r="N937" s="4" cm="1">
        <f t="array" ref="N937">SUM(--(_xlfn.TEXTSPLIT($J$852,, " ") = M937))</f>
        <v>7</v>
      </c>
      <c r="O937">
        <v>2</v>
      </c>
      <c r="P937">
        <v>0</v>
      </c>
      <c r="Q937">
        <v>2</v>
      </c>
      <c r="R937" s="4"/>
      <c r="S937" s="10"/>
    </row>
    <row r="938" spans="5:19" x14ac:dyDescent="0.2">
      <c r="E938" s="4" t="s">
        <v>17</v>
      </c>
      <c r="K938" t="str">
        <v>over</v>
      </c>
      <c r="L938" s="4" t="str">
        <f t="shared" si="21"/>
        <v>over</v>
      </c>
      <c r="M938" t="str">
        <v>this</v>
      </c>
      <c r="N938" s="4" cm="1">
        <f t="array" ref="N938">SUM(--(_xlfn.TEXTSPLIT($J$852,, " ") = M938))</f>
        <v>7</v>
      </c>
      <c r="O938">
        <v>2</v>
      </c>
      <c r="P938">
        <v>0</v>
      </c>
      <c r="Q938">
        <v>2</v>
      </c>
      <c r="R938" s="4"/>
      <c r="S938" s="10"/>
    </row>
    <row r="939" spans="5:19" x14ac:dyDescent="0.2">
      <c r="E939" s="4" t="s">
        <v>17</v>
      </c>
      <c r="K939" t="str">
        <v>(Feel</v>
      </c>
      <c r="L939" s="4" t="str">
        <f t="shared" si="21"/>
        <v xml:space="preserve"> Feel</v>
      </c>
      <c r="M939" t="str">
        <v xml:space="preserve">way)
</v>
      </c>
      <c r="N939" s="4" cm="1">
        <f t="array" ref="N939">SUM(--(_xlfn.TEXTSPLIT($J$852,, " ") = M939))</f>
        <v>2</v>
      </c>
      <c r="O939">
        <v>2</v>
      </c>
      <c r="P939">
        <v>0</v>
      </c>
      <c r="Q939">
        <v>2</v>
      </c>
      <c r="R939" s="4"/>
      <c r="S939" s="10"/>
    </row>
    <row r="940" spans="5:19" x14ac:dyDescent="0.2">
      <c r="E940" s="4" t="s">
        <v>17</v>
      </c>
      <c r="K940" t="str">
        <v xml:space="preserve">it)
</v>
      </c>
      <c r="L940" s="4" t="str">
        <f t="shared" si="21"/>
        <v xml:space="preserve">it  </v>
      </c>
      <c r="M940" t="str">
        <v>(I</v>
      </c>
      <c r="N940" s="4" cm="1">
        <f t="array" ref="N940">SUM(--(_xlfn.TEXTSPLIT($J$852,, " ") = M940))</f>
        <v>3</v>
      </c>
      <c r="O940">
        <v>2</v>
      </c>
      <c r="P940">
        <v>0</v>
      </c>
      <c r="Q940">
        <v>2</v>
      </c>
      <c r="R940" s="4"/>
      <c r="S940" s="10"/>
    </row>
    <row r="941" spans="5:19" x14ac:dyDescent="0.2">
      <c r="E941" s="4" t="s">
        <v>17</v>
      </c>
      <c r="K941" t="str">
        <v>Drown</v>
      </c>
      <c r="L941" s="4" t="str">
        <f t="shared" si="21"/>
        <v>Drown</v>
      </c>
      <c r="M941" t="str">
        <v xml:space="preserve">change)
</v>
      </c>
      <c r="N941" s="4" cm="1">
        <f t="array" ref="N941">SUM(--(_xlfn.TEXTSPLIT($J$852,, " ") = M941))</f>
        <v>2</v>
      </c>
      <c r="O941">
        <v>2</v>
      </c>
      <c r="P941">
        <v>0</v>
      </c>
      <c r="Q941">
        <v>2</v>
      </c>
      <c r="R941" s="4"/>
      <c r="S941" s="10"/>
    </row>
    <row r="942" spans="5:19" x14ac:dyDescent="0.2">
      <c r="E942" s="4" t="s">
        <v>17</v>
      </c>
      <c r="K942" t="str">
        <v>it</v>
      </c>
      <c r="L942" s="4" t="str">
        <f t="shared" si="21"/>
        <v>it</v>
      </c>
      <c r="M942" t="str">
        <v>I've</v>
      </c>
      <c r="N942" s="4" cm="1">
        <f t="array" ref="N942">SUM(--(_xlfn.TEXTSPLIT($J$852,, " ") = M942))</f>
        <v>4</v>
      </c>
      <c r="O942">
        <v>2</v>
      </c>
      <c r="P942">
        <v>0</v>
      </c>
      <c r="Q942">
        <v>2</v>
      </c>
      <c r="R942" s="4"/>
      <c r="S942" s="10"/>
    </row>
    <row r="943" spans="5:19" x14ac:dyDescent="0.2">
      <c r="E943" s="4" t="s">
        <v>17</v>
      </c>
      <c r="K943" t="str">
        <v>out,</v>
      </c>
      <c r="L943" s="4" t="str">
        <f t="shared" si="21"/>
        <v xml:space="preserve">out </v>
      </c>
      <c r="M943" t="str">
        <v xml:space="preserve">way
</v>
      </c>
      <c r="N943" s="4" cm="1">
        <f t="array" ref="N943">SUM(--(_xlfn.TEXTSPLIT($J$852,, " ") = M943))</f>
        <v>2</v>
      </c>
      <c r="O943">
        <v>2</v>
      </c>
      <c r="P943">
        <v>0</v>
      </c>
      <c r="Q943">
        <v>2</v>
      </c>
      <c r="R943" s="4"/>
      <c r="S943" s="10"/>
    </row>
    <row r="944" spans="5:19" x14ac:dyDescent="0.2">
      <c r="E944" s="4" t="s">
        <v>17</v>
      </c>
      <c r="K944" t="str">
        <v>drown</v>
      </c>
      <c r="L944" s="4" t="str">
        <f t="shared" si="21"/>
        <v>drown</v>
      </c>
      <c r="M944" t="str">
        <v>I</v>
      </c>
      <c r="N944" s="4" cm="1">
        <f t="array" ref="N944">SUM(--(_xlfn.TEXTSPLIT($J$852,, " ") = M944))</f>
        <v>4</v>
      </c>
      <c r="O944">
        <v>2</v>
      </c>
      <c r="P944">
        <v>0</v>
      </c>
      <c r="Q944">
        <v>2</v>
      </c>
      <c r="R944" s="4"/>
      <c r="S944" s="10"/>
    </row>
    <row r="945" spans="5:19" x14ac:dyDescent="0.2">
      <c r="E945" s="4" t="s">
        <v>17</v>
      </c>
      <c r="K945" t="str">
        <v>it</v>
      </c>
      <c r="L945" s="4" t="str">
        <f t="shared" si="21"/>
        <v>it</v>
      </c>
      <c r="M945" t="str">
        <v xml:space="preserve">change
</v>
      </c>
      <c r="N945" s="4" cm="1">
        <f t="array" ref="N945">SUM(--(_xlfn.TEXTSPLIT($J$852,, " ") = M945))</f>
        <v>1</v>
      </c>
      <c r="O945">
        <v>2</v>
      </c>
      <c r="P945">
        <v>0</v>
      </c>
      <c r="Q945">
        <v>2</v>
      </c>
      <c r="R945" s="4"/>
      <c r="S945" s="10"/>
    </row>
    <row r="946" spans="5:19" x14ac:dyDescent="0.2">
      <c r="E946" s="4" t="s">
        <v>17</v>
      </c>
      <c r="K946" t="str">
        <v xml:space="preserve">out
</v>
      </c>
      <c r="L946" s="4" t="str">
        <f t="shared" si="21"/>
        <v xml:space="preserve">out  </v>
      </c>
      <c r="M946" t="str">
        <v xml:space="preserve">change
</v>
      </c>
      <c r="N946" s="4" cm="1">
        <f t="array" ref="N946">SUM(--(_xlfn.TEXTSPLIT($J$852,, " ") = M946))</f>
        <v>1</v>
      </c>
      <c r="O946">
        <v>2</v>
      </c>
      <c r="P946">
        <v>0</v>
      </c>
      <c r="Q946">
        <v>2</v>
      </c>
      <c r="R946" s="4"/>
      <c r="S946" s="10"/>
    </row>
    <row r="947" spans="5:19" x14ac:dyDescent="0.2">
      <c r="E947" s="4" t="s">
        <v>17</v>
      </c>
      <c r="K947" t="str">
        <v xml:space="preserve">Show
</v>
      </c>
      <c r="L947" s="4" t="str">
        <f t="shared" si="21"/>
        <v xml:space="preserve">Show </v>
      </c>
      <c r="M947" t="str">
        <v>well</v>
      </c>
      <c r="N947" s="4" cm="1">
        <f t="array" ref="N947">SUM(--(_xlfn.TEXTSPLIT($J$852,, " ") = M947))</f>
        <v>2</v>
      </c>
      <c r="O947">
        <v>2</v>
      </c>
      <c r="P947">
        <v>0</v>
      </c>
      <c r="Q947">
        <v>2</v>
      </c>
      <c r="R947" s="4"/>
      <c r="S947" s="10"/>
    </row>
    <row r="948" spans="5:19" x14ac:dyDescent="0.2">
      <c r="E948" s="4" t="s">
        <v>17</v>
      </c>
      <c r="K948" t="str">
        <v xml:space="preserve">Ooh-ooh
</v>
      </c>
      <c r="L948" s="4" t="str">
        <f t="shared" si="21"/>
        <v xml:space="preserve">Ooh ooh  </v>
      </c>
      <c r="M948" t="str">
        <v>way)</v>
      </c>
      <c r="N948" s="4" cm="1">
        <f t="array" ref="N948">SUM(--(_xlfn.TEXTSPLIT($J$852,, " ") = M948))</f>
        <v>1</v>
      </c>
      <c r="O948">
        <v>2</v>
      </c>
      <c r="P948">
        <v>0</v>
      </c>
      <c r="Q948">
        <v>2</v>
      </c>
      <c r="R948" s="4"/>
      <c r="S948" s="10"/>
    </row>
    <row r="949" spans="5:19" x14ac:dyDescent="0.2">
      <c r="E949" s="4" t="s">
        <v>17</v>
      </c>
      <c r="K949" t="str">
        <v>He'd</v>
      </c>
      <c r="L949" s="4" t="str">
        <f t="shared" si="21"/>
        <v>He d</v>
      </c>
      <c r="M949" t="str">
        <v xml:space="preserve">change)
</v>
      </c>
      <c r="N949" s="4" cm="1">
        <f t="array" ref="N949">SUM(--(_xlfn.TEXTSPLIT($J$852,, " ") = M949))</f>
        <v>1</v>
      </c>
      <c r="O949">
        <v>2</v>
      </c>
      <c r="P949">
        <v>0</v>
      </c>
      <c r="Q949">
        <v>2</v>
      </c>
      <c r="R949" s="4"/>
      <c r="S949" s="10"/>
    </row>
    <row r="950" spans="5:19" x14ac:dyDescent="0.2">
      <c r="E950" s="4" t="s">
        <v>17</v>
      </c>
      <c r="K950" t="str">
        <v>rather</v>
      </c>
      <c r="L950" s="4" t="str">
        <f t="shared" si="21"/>
        <v>rather</v>
      </c>
      <c r="M950" t="str">
        <v>change</v>
      </c>
      <c r="N950" s="4" cm="1">
        <f t="array" ref="N950">SUM(--(_xlfn.TEXTSPLIT($J$852,, " ") = M950))</f>
        <v>1</v>
      </c>
      <c r="O950">
        <v>2</v>
      </c>
      <c r="P950">
        <v>0</v>
      </c>
      <c r="Q950">
        <v>2</v>
      </c>
      <c r="R950" s="4"/>
      <c r="S950" s="10"/>
    </row>
    <row r="951" spans="5:19" x14ac:dyDescent="0.2">
      <c r="E951" s="4" t="s">
        <v>17</v>
      </c>
      <c r="K951" t="str">
        <v>feel</v>
      </c>
      <c r="L951" s="4" t="str">
        <f t="shared" si="21"/>
        <v>feel</v>
      </c>
      <c r="N951" s="4" cm="1">
        <f t="array" ref="N951">SUM(--(_xlfn.TEXTSPLIT($J$852,, " ") = M951))</f>
        <v>2</v>
      </c>
      <c r="O951">
        <v>2</v>
      </c>
      <c r="P951">
        <v>0</v>
      </c>
      <c r="Q951">
        <v>2</v>
      </c>
      <c r="R951" s="4"/>
      <c r="S951" s="10"/>
    </row>
    <row r="952" spans="5:19" x14ac:dyDescent="0.2">
      <c r="E952" s="4" t="s">
        <v>17</v>
      </c>
      <c r="K952" t="str">
        <v>something</v>
      </c>
      <c r="L952" s="4" t="str">
        <f t="shared" si="21"/>
        <v>something</v>
      </c>
      <c r="N952" s="4" cm="1">
        <f t="array" ref="N952">SUM(--(_xlfn.TEXTSPLIT($J$852,, " ") = M952))</f>
        <v>2</v>
      </c>
      <c r="O952">
        <v>2</v>
      </c>
      <c r="P952">
        <v>0</v>
      </c>
      <c r="Q952">
        <v>2</v>
      </c>
      <c r="R952" s="4"/>
      <c r="S952" s="10"/>
    </row>
    <row r="953" spans="5:19" x14ac:dyDescent="0.2">
      <c r="E953" s="4" t="s">
        <v>17</v>
      </c>
      <c r="K953" t="str">
        <v>than</v>
      </c>
      <c r="L953" s="4" t="str">
        <f t="shared" si="21"/>
        <v>than</v>
      </c>
      <c r="N953" s="4" cm="1">
        <f t="array" ref="N953">SUM(--(_xlfn.TEXTSPLIT($J$852,, " ") = M953))</f>
        <v>2</v>
      </c>
      <c r="O953">
        <v>2</v>
      </c>
      <c r="P953">
        <v>0</v>
      </c>
      <c r="Q953">
        <v>2</v>
      </c>
      <c r="R953" s="4"/>
      <c r="S953" s="10"/>
    </row>
    <row r="954" spans="5:19" x14ac:dyDescent="0.2">
      <c r="E954" s="4" t="s">
        <v>17</v>
      </c>
      <c r="K954" t="str">
        <v>nothing</v>
      </c>
      <c r="L954" s="4" t="str">
        <f t="shared" si="21"/>
        <v>nothing</v>
      </c>
      <c r="N954" s="4" cm="1">
        <f t="array" ref="N954">SUM(--(_xlfn.TEXTSPLIT($J$852,, " ") = M954))</f>
        <v>2</v>
      </c>
      <c r="O954">
        <v>2</v>
      </c>
      <c r="P954">
        <v>0</v>
      </c>
      <c r="Q954">
        <v>2</v>
      </c>
      <c r="R954" s="4"/>
      <c r="S954" s="10"/>
    </row>
    <row r="955" spans="5:19" x14ac:dyDescent="0.2">
      <c r="E955" s="4" t="s">
        <v>17</v>
      </c>
      <c r="K955" t="str">
        <v>at</v>
      </c>
      <c r="L955" s="4" t="str">
        <f t="shared" si="21"/>
        <v>at</v>
      </c>
      <c r="N955" s="4" cm="1">
        <f t="array" ref="N955">SUM(--(_xlfn.TEXTSPLIT($J$852,, " ") = M955))</f>
        <v>2</v>
      </c>
      <c r="O955">
        <v>2</v>
      </c>
      <c r="P955">
        <v>0</v>
      </c>
      <c r="Q955">
        <v>2</v>
      </c>
      <c r="R955" s="4"/>
      <c r="S955" s="10"/>
    </row>
    <row r="956" spans="5:19" x14ac:dyDescent="0.2">
      <c r="E956" s="4" t="s">
        <v>17</v>
      </c>
      <c r="K956" t="str">
        <v xml:space="preserve">all
</v>
      </c>
      <c r="L956" s="4" t="str">
        <f t="shared" si="21"/>
        <v xml:space="preserve">all </v>
      </c>
      <c r="N956" s="4" cm="1">
        <f t="array" ref="N956">SUM(--(_xlfn.TEXTSPLIT($J$852,, " ") = M956))</f>
        <v>2</v>
      </c>
      <c r="O956">
        <v>2</v>
      </c>
      <c r="P956">
        <v>0</v>
      </c>
      <c r="Q956">
        <v>2</v>
      </c>
      <c r="R956" s="4"/>
      <c r="S956" s="10"/>
    </row>
    <row r="957" spans="5:19" x14ac:dyDescent="0.2">
      <c r="E957" s="4" t="s">
        <v>17</v>
      </c>
      <c r="K957" t="str">
        <v>So</v>
      </c>
      <c r="L957" s="4" t="str">
        <f t="shared" si="21"/>
        <v>So</v>
      </c>
      <c r="N957" s="4" cm="1">
        <f t="array" ref="N957">SUM(--(_xlfn.TEXTSPLIT($J$852,, " ") = M957))</f>
        <v>2</v>
      </c>
      <c r="O957">
        <v>2</v>
      </c>
      <c r="P957">
        <v>0</v>
      </c>
      <c r="Q957">
        <v>2</v>
      </c>
      <c r="R957" s="4"/>
      <c r="S957" s="10"/>
    </row>
    <row r="958" spans="5:19" x14ac:dyDescent="0.2">
      <c r="E958" s="4" t="s">
        <v>17</v>
      </c>
      <c r="K958" t="str">
        <v>he</v>
      </c>
      <c r="L958" s="4" t="str">
        <f t="shared" si="21"/>
        <v>he</v>
      </c>
      <c r="N958" s="4" cm="1">
        <f t="array" ref="N958">SUM(--(_xlfn.TEXTSPLIT($J$852,, " ") = M958))</f>
        <v>2</v>
      </c>
      <c r="O958">
        <v>2</v>
      </c>
      <c r="P958">
        <v>0</v>
      </c>
      <c r="Q958">
        <v>2</v>
      </c>
      <c r="R958" s="4"/>
      <c r="S958" s="10"/>
    </row>
    <row r="959" spans="5:19" x14ac:dyDescent="0.2">
      <c r="E959" s="4" t="s">
        <v>17</v>
      </c>
      <c r="K959" t="str">
        <v>swerves</v>
      </c>
      <c r="L959" s="4" t="str">
        <f t="shared" si="21"/>
        <v>swerves</v>
      </c>
      <c r="N959" s="4" cm="1">
        <f t="array" ref="N959">SUM(--(_xlfn.TEXTSPLIT($J$852,, " ") = M959))</f>
        <v>2</v>
      </c>
      <c r="O959">
        <v>2</v>
      </c>
      <c r="P959">
        <v>0</v>
      </c>
      <c r="Q959">
        <v>2</v>
      </c>
      <c r="R959" s="4"/>
      <c r="S959" s="10"/>
    </row>
    <row r="960" spans="5:19" x14ac:dyDescent="0.2">
      <c r="E960" s="4" t="s">
        <v>17</v>
      </c>
      <c r="K960" t="str">
        <v>all</v>
      </c>
      <c r="L960" s="4" t="str">
        <f t="shared" si="21"/>
        <v>all</v>
      </c>
      <c r="N960" s="4" cm="1">
        <f t="array" ref="N960">SUM(--(_xlfn.TEXTSPLIT($J$852,, " ") = M960))</f>
        <v>2</v>
      </c>
      <c r="O960">
        <v>2</v>
      </c>
      <c r="P960">
        <v>0</v>
      </c>
      <c r="Q960">
        <v>2</v>
      </c>
      <c r="R960" s="4"/>
      <c r="S960" s="10"/>
    </row>
    <row r="961" spans="5:19" x14ac:dyDescent="0.2">
      <c r="E961" s="4" t="s">
        <v>17</v>
      </c>
      <c r="K961" t="str">
        <v>around</v>
      </c>
      <c r="L961" s="4" t="str">
        <f t="shared" si="21"/>
        <v>around</v>
      </c>
      <c r="N961" s="4" cm="1">
        <f t="array" ref="N961">SUM(--(_xlfn.TEXTSPLIT($J$852,, " ") = M961))</f>
        <v>2</v>
      </c>
      <c r="O961">
        <v>2</v>
      </c>
      <c r="P961">
        <v>0</v>
      </c>
      <c r="Q961">
        <v>2</v>
      </c>
      <c r="R961" s="4"/>
      <c r="S961" s="10"/>
    </row>
    <row r="962" spans="5:19" x14ac:dyDescent="0.2">
      <c r="E962" s="4" t="s">
        <v>17</v>
      </c>
      <c r="K962" t="str">
        <v>as</v>
      </c>
      <c r="L962" s="4" t="str">
        <f t="shared" si="21"/>
        <v>as</v>
      </c>
      <c r="N962" s="4" cm="1">
        <f t="array" ref="N962">SUM(--(_xlfn.TEXTSPLIT($J$852,, " ") = M962))</f>
        <v>2</v>
      </c>
      <c r="O962">
        <v>2</v>
      </c>
      <c r="P962">
        <v>0</v>
      </c>
      <c r="Q962">
        <v>2</v>
      </c>
      <c r="R962" s="4"/>
      <c r="S962" s="10"/>
    </row>
    <row r="963" spans="5:19" x14ac:dyDescent="0.2">
      <c r="E963" s="4" t="s">
        <v>17</v>
      </c>
      <c r="K963" t="str">
        <v>his</v>
      </c>
      <c r="L963" s="4" t="str">
        <f t="shared" si="21"/>
        <v>his</v>
      </c>
      <c r="N963" s="4" cm="1">
        <f t="array" ref="N963">SUM(--(_xlfn.TEXTSPLIT($J$852,, " ") = M963))</f>
        <v>2</v>
      </c>
      <c r="O963">
        <v>2</v>
      </c>
      <c r="P963">
        <v>0</v>
      </c>
      <c r="Q963">
        <v>2</v>
      </c>
      <c r="R963" s="4"/>
      <c r="S963" s="10"/>
    </row>
    <row r="964" spans="5:19" x14ac:dyDescent="0.2">
      <c r="E964" s="4" t="s">
        <v>17</v>
      </c>
      <c r="K964" t="str">
        <v>head</v>
      </c>
      <c r="L964" s="4" t="str">
        <f t="shared" ref="L964:L1027" si="22">_xlfn.REGEXREPLACE(K964, "[^A-Za-z ]", " ")</f>
        <v>head</v>
      </c>
      <c r="N964" s="4" cm="1">
        <f t="array" ref="N964">SUM(--(_xlfn.TEXTSPLIT($J$852,, " ") = M964))</f>
        <v>2</v>
      </c>
      <c r="O964">
        <v>2</v>
      </c>
      <c r="P964">
        <v>0</v>
      </c>
      <c r="Q964">
        <v>2</v>
      </c>
      <c r="R964" s="4"/>
      <c r="S964" s="10"/>
    </row>
    <row r="965" spans="5:19" x14ac:dyDescent="0.2">
      <c r="E965" s="4" t="s">
        <v>17</v>
      </c>
      <c r="K965" t="str">
        <v>starts</v>
      </c>
      <c r="L965" s="4" t="str">
        <f t="shared" si="22"/>
        <v>starts</v>
      </c>
      <c r="N965" s="4" cm="1">
        <f t="array" ref="N965">SUM(--(_xlfn.TEXTSPLIT($J$852,, " ") = M965))</f>
        <v>2</v>
      </c>
      <c r="O965">
        <v>2</v>
      </c>
      <c r="P965">
        <v>0</v>
      </c>
      <c r="Q965">
        <v>2</v>
      </c>
      <c r="R965" s="4"/>
      <c r="S965" s="10"/>
    </row>
    <row r="966" spans="5:19" x14ac:dyDescent="0.2">
      <c r="E966" s="4" t="s">
        <v>17</v>
      </c>
      <c r="K966" t="str">
        <v>to</v>
      </c>
      <c r="L966" s="4" t="str">
        <f t="shared" si="22"/>
        <v>to</v>
      </c>
      <c r="N966" s="4" cm="1">
        <f t="array" ref="N966">SUM(--(_xlfn.TEXTSPLIT($J$852,, " ") = M966))</f>
        <v>2</v>
      </c>
      <c r="O966">
        <v>2</v>
      </c>
      <c r="P966">
        <v>0</v>
      </c>
      <c r="Q966">
        <v>2</v>
      </c>
      <c r="R966" s="4"/>
      <c r="S966" s="10"/>
    </row>
    <row r="967" spans="5:19" x14ac:dyDescent="0.2">
      <c r="E967" s="4" t="s">
        <v>17</v>
      </c>
      <c r="K967" t="str">
        <v>fall,</v>
      </c>
      <c r="L967" s="4" t="str">
        <f t="shared" si="22"/>
        <v xml:space="preserve">fall </v>
      </c>
      <c r="N967" s="4" cm="1">
        <f t="array" ref="N967">SUM(--(_xlfn.TEXTSPLIT($J$852,, " ") = M967))</f>
        <v>2</v>
      </c>
      <c r="O967">
        <v>2</v>
      </c>
      <c r="P967">
        <v>0</v>
      </c>
      <c r="Q967">
        <v>2</v>
      </c>
      <c r="R967" s="4"/>
      <c r="S967" s="10"/>
    </row>
    <row r="968" spans="5:19" x14ac:dyDescent="0.2">
      <c r="E968" s="4" t="s">
        <v>17</v>
      </c>
      <c r="K968" t="str">
        <v>turns</v>
      </c>
      <c r="L968" s="4" t="str">
        <f t="shared" si="22"/>
        <v>turns</v>
      </c>
      <c r="N968" s="4" cm="1">
        <f t="array" ref="N968">SUM(--(_xlfn.TEXTSPLIT($J$852,, " ") = M968))</f>
        <v>2</v>
      </c>
      <c r="O968">
        <v>2</v>
      </c>
      <c r="P968">
        <v>0</v>
      </c>
      <c r="Q968">
        <v>2</v>
      </c>
      <c r="R968" s="4"/>
      <c r="S968" s="10"/>
    </row>
    <row r="969" spans="5:19" x14ac:dyDescent="0.2">
      <c r="E969" s="4" t="s">
        <v>17</v>
      </c>
      <c r="K969" t="str">
        <v>it</v>
      </c>
      <c r="L969" s="4" t="str">
        <f t="shared" si="22"/>
        <v>it</v>
      </c>
      <c r="N969" s="4" cm="1">
        <f t="array" ref="N969">SUM(--(_xlfn.TEXTSPLIT($J$852,, " ") = M969))</f>
        <v>2</v>
      </c>
      <c r="O969">
        <v>2</v>
      </c>
      <c r="P969">
        <v>0</v>
      </c>
      <c r="Q969">
        <v>2</v>
      </c>
      <c r="R969" s="4"/>
      <c r="S969" s="10"/>
    </row>
    <row r="970" spans="5:19" x14ac:dyDescent="0.2">
      <c r="E970" s="4" t="s">
        <v>17</v>
      </c>
      <c r="K970" t="str">
        <v xml:space="preserve">up
</v>
      </c>
      <c r="L970" s="4" t="str">
        <f t="shared" si="22"/>
        <v xml:space="preserve">up </v>
      </c>
      <c r="N970" s="4" cm="1">
        <f t="array" ref="N970">SUM(--(_xlfn.TEXTSPLIT($J$852,, " ") = M970))</f>
        <v>2</v>
      </c>
      <c r="O970">
        <v>2</v>
      </c>
      <c r="P970">
        <v>0</v>
      </c>
      <c r="Q970">
        <v>2</v>
      </c>
      <c r="R970" s="4"/>
      <c r="S970" s="10"/>
    </row>
    <row r="971" spans="5:19" x14ac:dyDescent="0.2">
      <c r="E971" s="4" t="s">
        <v>17</v>
      </c>
      <c r="K971" t="str">
        <v>Stuck</v>
      </c>
      <c r="L971" s="4" t="str">
        <f t="shared" si="22"/>
        <v>Stuck</v>
      </c>
      <c r="N971" s="4" cm="1">
        <f t="array" ref="N971">SUM(--(_xlfn.TEXTSPLIT($J$852,, " ") = M971))</f>
        <v>2</v>
      </c>
      <c r="O971">
        <v>2</v>
      </c>
      <c r="P971">
        <v>0</v>
      </c>
      <c r="Q971">
        <v>2</v>
      </c>
      <c r="R971" s="4"/>
      <c r="S971" s="10"/>
    </row>
    <row r="972" spans="5:19" x14ac:dyDescent="0.2">
      <c r="E972" s="4" t="s">
        <v>17</v>
      </c>
      <c r="K972" t="str">
        <v>between</v>
      </c>
      <c r="L972" s="4" t="str">
        <f t="shared" si="22"/>
        <v>between</v>
      </c>
      <c r="N972" s="4" cm="1">
        <f t="array" ref="N972">SUM(--(_xlfn.TEXTSPLIT($J$852,, " ") = M972))</f>
        <v>2</v>
      </c>
      <c r="O972">
        <v>2</v>
      </c>
      <c r="P972">
        <v>0</v>
      </c>
      <c r="Q972">
        <v>2</v>
      </c>
      <c r="R972" s="4"/>
      <c r="S972" s="10"/>
    </row>
    <row r="973" spans="5:19" x14ac:dyDescent="0.2">
      <c r="E973" s="4" t="s">
        <v>17</v>
      </c>
      <c r="K973" t="str">
        <v>a</v>
      </c>
      <c r="L973" s="4" t="str">
        <f t="shared" si="22"/>
        <v>a</v>
      </c>
      <c r="N973" s="4" cm="1">
        <f t="array" ref="N973">SUM(--(_xlfn.TEXTSPLIT($J$852,, " ") = M973))</f>
        <v>2</v>
      </c>
      <c r="O973">
        <v>2</v>
      </c>
      <c r="P973">
        <v>0</v>
      </c>
      <c r="Q973">
        <v>2</v>
      </c>
      <c r="R973" s="4"/>
      <c r="S973" s="10"/>
    </row>
    <row r="974" spans="5:19" x14ac:dyDescent="0.2">
      <c r="E974" s="4" t="s">
        <v>17</v>
      </c>
      <c r="K974" t="str">
        <v>rock</v>
      </c>
      <c r="L974" s="4" t="str">
        <f t="shared" si="22"/>
        <v>rock</v>
      </c>
      <c r="N974" s="4" cm="1">
        <f t="array" ref="N974">SUM(--(_xlfn.TEXTSPLIT($J$852,, " ") = M974))</f>
        <v>2</v>
      </c>
      <c r="O974">
        <v>2</v>
      </c>
      <c r="P974">
        <v>0</v>
      </c>
      <c r="Q974">
        <v>2</v>
      </c>
      <c r="R974" s="4"/>
      <c r="S974" s="10"/>
    </row>
    <row r="975" spans="5:19" x14ac:dyDescent="0.2">
      <c r="E975" s="4" t="s">
        <v>17</v>
      </c>
      <c r="K975" t="str">
        <v>and</v>
      </c>
      <c r="L975" s="4" t="str">
        <f t="shared" si="22"/>
        <v>and</v>
      </c>
      <c r="N975" s="4" cm="1">
        <f t="array" ref="N975">SUM(--(_xlfn.TEXTSPLIT($J$852,, " ") = M975))</f>
        <v>2</v>
      </c>
      <c r="O975">
        <v>2</v>
      </c>
      <c r="P975">
        <v>0</v>
      </c>
      <c r="Q975">
        <v>2</v>
      </c>
      <c r="R975" s="4"/>
      <c r="S975" s="10"/>
    </row>
    <row r="976" spans="5:19" x14ac:dyDescent="0.2">
      <c r="E976" s="4" t="s">
        <v>17</v>
      </c>
      <c r="K976" t="str">
        <v>a</v>
      </c>
      <c r="L976" s="4" t="str">
        <f t="shared" si="22"/>
        <v>a</v>
      </c>
      <c r="N976" s="4" cm="1">
        <f t="array" ref="N976">SUM(--(_xlfn.TEXTSPLIT($J$852,, " ") = M976))</f>
        <v>2</v>
      </c>
      <c r="O976">
        <v>2</v>
      </c>
      <c r="P976">
        <v>0</v>
      </c>
      <c r="Q976">
        <v>2</v>
      </c>
      <c r="R976" s="4"/>
      <c r="S976" s="10"/>
    </row>
    <row r="977" spans="5:19" x14ac:dyDescent="0.2">
      <c r="E977" s="4" t="s">
        <v>17</v>
      </c>
      <c r="K977" t="str">
        <v xml:space="preserve">home
</v>
      </c>
      <c r="L977" s="4" t="str">
        <f t="shared" si="22"/>
        <v xml:space="preserve">home </v>
      </c>
      <c r="N977" s="4" cm="1">
        <f t="array" ref="N977">SUM(--(_xlfn.TEXTSPLIT($J$852,, " ") = M977))</f>
        <v>2</v>
      </c>
      <c r="O977">
        <v>2</v>
      </c>
      <c r="P977">
        <v>0</v>
      </c>
      <c r="Q977">
        <v>2</v>
      </c>
      <c r="R977" s="4"/>
      <c r="S977" s="10"/>
    </row>
    <row r="978" spans="5:19" x14ac:dyDescent="0.2">
      <c r="E978" s="4" t="s">
        <v>17</v>
      </c>
      <c r="K978" t="str">
        <v>Two</v>
      </c>
      <c r="L978" s="4" t="str">
        <f t="shared" si="22"/>
        <v>Two</v>
      </c>
      <c r="N978" s="4" cm="1">
        <f t="array" ref="N978">SUM(--(_xlfn.TEXTSPLIT($J$852,, " ") = M978))</f>
        <v>2</v>
      </c>
      <c r="O978">
        <v>2</v>
      </c>
      <c r="P978">
        <v>0</v>
      </c>
      <c r="Q978">
        <v>2</v>
      </c>
      <c r="R978" s="4"/>
      <c r="S978" s="10"/>
    </row>
    <row r="979" spans="5:19" x14ac:dyDescent="0.2">
      <c r="E979" s="4" t="s">
        <v>17</v>
      </c>
      <c r="K979" t="str">
        <v>places</v>
      </c>
      <c r="L979" s="4" t="str">
        <f t="shared" si="22"/>
        <v>places</v>
      </c>
      <c r="N979" s="4" cm="1">
        <f t="array" ref="N979">SUM(--(_xlfn.TEXTSPLIT($J$852,, " ") = M979))</f>
        <v>2</v>
      </c>
      <c r="O979">
        <v>2</v>
      </c>
      <c r="P979">
        <v>0</v>
      </c>
      <c r="Q979">
        <v>2</v>
      </c>
      <c r="R979" s="4"/>
      <c r="S979" s="10"/>
    </row>
    <row r="980" spans="5:19" x14ac:dyDescent="0.2">
      <c r="E980" s="4" t="s">
        <v>17</v>
      </c>
      <c r="K980" t="str">
        <v>he</v>
      </c>
      <c r="L980" s="4" t="str">
        <f t="shared" si="22"/>
        <v>he</v>
      </c>
      <c r="N980" s="4" cm="1">
        <f t="array" ref="N980">SUM(--(_xlfn.TEXTSPLIT($J$852,, " ") = M980))</f>
        <v>2</v>
      </c>
      <c r="O980">
        <v>2</v>
      </c>
      <c r="P980">
        <v>0</v>
      </c>
      <c r="Q980">
        <v>2</v>
      </c>
      <c r="R980" s="4"/>
      <c r="S980" s="10"/>
    </row>
    <row r="981" spans="5:19" x14ac:dyDescent="0.2">
      <c r="E981" s="4" t="s">
        <v>17</v>
      </c>
      <c r="K981" t="str">
        <v>does</v>
      </c>
      <c r="L981" s="4" t="str">
        <f t="shared" si="22"/>
        <v>does</v>
      </c>
      <c r="N981" s="4" cm="1">
        <f t="array" ref="N981">SUM(--(_xlfn.TEXTSPLIT($J$852,, " ") = M981))</f>
        <v>2</v>
      </c>
      <c r="O981">
        <v>2</v>
      </c>
      <c r="P981">
        <v>0</v>
      </c>
      <c r="Q981">
        <v>2</v>
      </c>
      <c r="R981" s="4"/>
      <c r="S981" s="10"/>
    </row>
    <row r="982" spans="5:19" x14ac:dyDescent="0.2">
      <c r="E982" s="4" t="s">
        <v>17</v>
      </c>
      <c r="K982" t="str">
        <v>not</v>
      </c>
      <c r="L982" s="4" t="str">
        <f t="shared" si="22"/>
        <v>not</v>
      </c>
      <c r="N982" s="4" cm="1">
        <f t="array" ref="N982">SUM(--(_xlfn.TEXTSPLIT($J$852,, " ") = M982))</f>
        <v>2</v>
      </c>
      <c r="O982">
        <v>2</v>
      </c>
      <c r="P982">
        <v>0</v>
      </c>
      <c r="Q982">
        <v>2</v>
      </c>
      <c r="R982" s="4"/>
      <c r="S982" s="10"/>
    </row>
    <row r="983" spans="5:19" x14ac:dyDescent="0.2">
      <c r="E983" s="4" t="s">
        <v>17</v>
      </c>
      <c r="K983" t="str">
        <v>want</v>
      </c>
      <c r="L983" s="4" t="str">
        <f t="shared" si="22"/>
        <v>want</v>
      </c>
      <c r="N983" s="4" cm="1">
        <f t="array" ref="N983">SUM(--(_xlfn.TEXTSPLIT($J$852,, " ") = M983))</f>
        <v>2</v>
      </c>
      <c r="O983">
        <v>2</v>
      </c>
      <c r="P983">
        <v>0</v>
      </c>
      <c r="Q983">
        <v>2</v>
      </c>
      <c r="R983" s="4"/>
      <c r="S983" s="10"/>
    </row>
    <row r="984" spans="5:19" x14ac:dyDescent="0.2">
      <c r="E984" s="4" t="s">
        <v>17</v>
      </c>
      <c r="K984" t="str">
        <v>to</v>
      </c>
      <c r="L984" s="4" t="str">
        <f t="shared" si="22"/>
        <v>to</v>
      </c>
      <c r="N984" s="4" cm="1">
        <f t="array" ref="N984">SUM(--(_xlfn.TEXTSPLIT($J$852,, " ") = M984))</f>
        <v>2</v>
      </c>
      <c r="O984">
        <v>2</v>
      </c>
      <c r="P984">
        <v>0</v>
      </c>
      <c r="Q984">
        <v>2</v>
      </c>
      <c r="R984" s="4"/>
      <c r="S984" s="10"/>
    </row>
    <row r="985" spans="5:19" x14ac:dyDescent="0.2">
      <c r="E985" s="4" t="s">
        <v>17</v>
      </c>
      <c r="K985" t="str">
        <v xml:space="preserve">go
</v>
      </c>
      <c r="L985" s="4" t="str">
        <f t="shared" si="22"/>
        <v xml:space="preserve">go  </v>
      </c>
      <c r="N985" s="4" cm="1">
        <f t="array" ref="N985">SUM(--(_xlfn.TEXTSPLIT($J$852,, " ") = M985))</f>
        <v>2</v>
      </c>
      <c r="O985">
        <v>2</v>
      </c>
      <c r="P985">
        <v>0</v>
      </c>
      <c r="Q985">
        <v>2</v>
      </c>
      <c r="R985" s="4"/>
      <c r="S985" s="10"/>
    </row>
    <row r="986" spans="5:19" x14ac:dyDescent="0.2">
      <c r="E986" s="4" t="s">
        <v>17</v>
      </c>
      <c r="K986" t="str">
        <v>So,</v>
      </c>
      <c r="L986" s="4" t="str">
        <f t="shared" si="22"/>
        <v xml:space="preserve">So </v>
      </c>
      <c r="N986" s="4" cm="1">
        <f t="array" ref="N986">SUM(--(_xlfn.TEXTSPLIT($J$852,, " ") = M986))</f>
        <v>2</v>
      </c>
      <c r="O986">
        <v>2</v>
      </c>
      <c r="P986">
        <v>0</v>
      </c>
      <c r="Q986">
        <v>2</v>
      </c>
      <c r="R986" s="4"/>
      <c r="S986" s="10"/>
    </row>
    <row r="987" spans="5:19" x14ac:dyDescent="0.2">
      <c r="E987" s="4" t="s">
        <v>17</v>
      </c>
      <c r="K987" t="str">
        <v xml:space="preserve">so
</v>
      </c>
      <c r="L987" s="4" t="str">
        <f t="shared" si="22"/>
        <v xml:space="preserve">so </v>
      </c>
      <c r="N987" s="4" cm="1">
        <f t="array" ref="N987">SUM(--(_xlfn.TEXTSPLIT($J$852,, " ") = M987))</f>
        <v>2</v>
      </c>
      <c r="O987">
        <v>2</v>
      </c>
      <c r="P987">
        <v>0</v>
      </c>
      <c r="Q987">
        <v>2</v>
      </c>
      <c r="R987" s="4"/>
      <c r="S987" s="10"/>
    </row>
    <row r="988" spans="5:19" x14ac:dyDescent="0.2">
      <c r="E988" s="4" t="s">
        <v>17</v>
      </c>
      <c r="K988" t="str">
        <v>He's</v>
      </c>
      <c r="L988" s="4" t="str">
        <f t="shared" si="22"/>
        <v>He s</v>
      </c>
      <c r="N988" s="4" cm="1">
        <f t="array" ref="N988">SUM(--(_xlfn.TEXTSPLIT($J$852,, " ") = M988))</f>
        <v>2</v>
      </c>
      <c r="O988">
        <v>2</v>
      </c>
      <c r="P988">
        <v>0</v>
      </c>
      <c r="Q988">
        <v>2</v>
      </c>
      <c r="R988" s="4"/>
      <c r="S988" s="10"/>
    </row>
    <row r="989" spans="5:19" x14ac:dyDescent="0.2">
      <c r="E989" s="4" t="s">
        <v>17</v>
      </c>
      <c r="K989" t="str">
        <v>puttin'</v>
      </c>
      <c r="L989" s="4" t="str">
        <f t="shared" si="22"/>
        <v xml:space="preserve">puttin </v>
      </c>
      <c r="N989" s="4" cm="1">
        <f t="array" ref="N989">SUM(--(_xlfn.TEXTSPLIT($J$852,, " ") = M989))</f>
        <v>2</v>
      </c>
      <c r="O989">
        <v>2</v>
      </c>
      <c r="P989">
        <v>0</v>
      </c>
      <c r="Q989">
        <v>2</v>
      </c>
      <c r="R989" s="4"/>
      <c r="S989" s="10"/>
    </row>
    <row r="990" spans="5:19" x14ac:dyDescent="0.2">
      <c r="E990" s="4" t="s">
        <v>17</v>
      </c>
      <c r="K990" t="str">
        <v>on</v>
      </c>
      <c r="L990" s="4" t="str">
        <f t="shared" si="22"/>
        <v>on</v>
      </c>
      <c r="N990" s="4" cm="1">
        <f t="array" ref="N990">SUM(--(_xlfn.TEXTSPLIT($J$852,, " ") = M990))</f>
        <v>2</v>
      </c>
      <c r="O990">
        <v>2</v>
      </c>
      <c r="P990">
        <v>0</v>
      </c>
      <c r="Q990">
        <v>2</v>
      </c>
      <c r="R990" s="4"/>
      <c r="S990" s="10"/>
    </row>
    <row r="991" spans="5:19" x14ac:dyDescent="0.2">
      <c r="E991" s="4" t="s">
        <v>17</v>
      </c>
      <c r="K991" t="str">
        <v>a</v>
      </c>
      <c r="L991" s="4" t="str">
        <f t="shared" si="22"/>
        <v>a</v>
      </c>
      <c r="N991" s="4" cm="1">
        <f t="array" ref="N991">SUM(--(_xlfn.TEXTSPLIT($J$852,, " ") = M991))</f>
        <v>2</v>
      </c>
      <c r="O991">
        <v>2</v>
      </c>
      <c r="P991">
        <v>0</v>
      </c>
      <c r="Q991">
        <v>2</v>
      </c>
      <c r="R991" s="4"/>
      <c r="S991" s="10"/>
    </row>
    <row r="992" spans="5:19" x14ac:dyDescent="0.2">
      <c r="E992" s="4" t="s">
        <v>17</v>
      </c>
      <c r="K992" t="str">
        <v>drum</v>
      </c>
      <c r="L992" s="4" t="str">
        <f t="shared" si="22"/>
        <v>drum</v>
      </c>
      <c r="N992" s="4" cm="1">
        <f t="array" ref="N992">SUM(--(_xlfn.TEXTSPLIT($J$852,, " ") = M992))</f>
        <v>2</v>
      </c>
      <c r="O992">
        <v>2</v>
      </c>
      <c r="P992">
        <v>0</v>
      </c>
      <c r="Q992">
        <v>2</v>
      </c>
      <c r="R992" s="4"/>
      <c r="S992" s="10"/>
    </row>
    <row r="993" spans="5:19" x14ac:dyDescent="0.2">
      <c r="E993" s="4" t="s">
        <v>17</v>
      </c>
      <c r="K993" t="str">
        <v xml:space="preserve">show
</v>
      </c>
      <c r="L993" s="4" t="str">
        <f t="shared" si="22"/>
        <v xml:space="preserve">show  </v>
      </c>
      <c r="N993" s="4" cm="1">
        <f t="array" ref="N993">SUM(--(_xlfn.TEXTSPLIT($J$852,, " ") = M993))</f>
        <v>2</v>
      </c>
      <c r="O993">
        <v>2</v>
      </c>
      <c r="P993">
        <v>0</v>
      </c>
      <c r="Q993">
        <v>2</v>
      </c>
      <c r="R993" s="4"/>
      <c r="S993" s="10"/>
    </row>
    <row r="994" spans="5:19" x14ac:dyDescent="0.2">
      <c r="E994" s="4" t="s">
        <v>17</v>
      </c>
      <c r="K994" t="str">
        <v>Even</v>
      </c>
      <c r="L994" s="4" t="str">
        <f t="shared" si="22"/>
        <v>Even</v>
      </c>
      <c r="N994" s="4" cm="1">
        <f t="array" ref="N994">SUM(--(_xlfn.TEXTSPLIT($J$852,, " ") = M994))</f>
        <v>2</v>
      </c>
      <c r="O994">
        <v>2</v>
      </c>
      <c r="P994">
        <v>0</v>
      </c>
      <c r="Q994">
        <v>2</v>
      </c>
      <c r="R994" s="4"/>
      <c r="S994" s="10"/>
    </row>
    <row r="995" spans="5:19" x14ac:dyDescent="0.2">
      <c r="E995" s="4" t="s">
        <v>17</v>
      </c>
      <c r="K995" t="str">
        <v>now,</v>
      </c>
      <c r="L995" s="4" t="str">
        <f t="shared" si="22"/>
        <v xml:space="preserve">now </v>
      </c>
      <c r="N995" s="4" cm="1">
        <f t="array" ref="N995">SUM(--(_xlfn.TEXTSPLIT($J$852,, " ") = M995))</f>
        <v>2</v>
      </c>
      <c r="O995">
        <v>2</v>
      </c>
      <c r="P995">
        <v>0</v>
      </c>
      <c r="Q995">
        <v>2</v>
      </c>
      <c r="R995" s="4"/>
      <c r="S995" s="10"/>
    </row>
    <row r="996" spans="5:19" x14ac:dyDescent="0.2">
      <c r="E996" s="4" t="s">
        <v>17</v>
      </c>
      <c r="K996" t="str">
        <v>even</v>
      </c>
      <c r="L996" s="4" t="str">
        <f t="shared" si="22"/>
        <v>even</v>
      </c>
      <c r="N996" s="4" cm="1">
        <f t="array" ref="N996">SUM(--(_xlfn.TEXTSPLIT($J$852,, " ") = M996))</f>
        <v>2</v>
      </c>
      <c r="O996">
        <v>2</v>
      </c>
      <c r="P996">
        <v>0</v>
      </c>
      <c r="Q996">
        <v>2</v>
      </c>
      <c r="R996" s="4"/>
      <c r="S996" s="10"/>
    </row>
    <row r="997" spans="5:19" x14ac:dyDescent="0.2">
      <c r="E997" s="4" t="s">
        <v>17</v>
      </c>
      <c r="K997" t="str">
        <v>now,</v>
      </c>
      <c r="L997" s="4" t="str">
        <f t="shared" si="22"/>
        <v xml:space="preserve">now </v>
      </c>
      <c r="N997" s="4" cm="1">
        <f t="array" ref="N997">SUM(--(_xlfn.TEXTSPLIT($J$852,, " ") = M997))</f>
        <v>2</v>
      </c>
      <c r="O997">
        <v>2</v>
      </c>
      <c r="P997">
        <v>0</v>
      </c>
      <c r="Q997">
        <v>2</v>
      </c>
      <c r="R997" s="4"/>
      <c r="S997" s="10"/>
    </row>
    <row r="998" spans="5:19" x14ac:dyDescent="0.2">
      <c r="E998" s="4" t="s">
        <v>17</v>
      </c>
      <c r="K998" t="str">
        <v>even</v>
      </c>
      <c r="L998" s="4" t="str">
        <f t="shared" si="22"/>
        <v>even</v>
      </c>
      <c r="N998" s="4" cm="1">
        <f t="array" ref="N998">SUM(--(_xlfn.TEXTSPLIT($J$852,, " ") = M998))</f>
        <v>2</v>
      </c>
      <c r="O998">
        <v>2</v>
      </c>
      <c r="P998">
        <v>0</v>
      </c>
      <c r="Q998">
        <v>2</v>
      </c>
      <c r="R998" s="4"/>
      <c r="S998" s="10"/>
    </row>
    <row r="999" spans="5:19" x14ac:dyDescent="0.2">
      <c r="E999" s="4" t="s">
        <v>17</v>
      </c>
      <c r="K999" t="str">
        <v xml:space="preserve">now
</v>
      </c>
      <c r="L999" s="4" t="str">
        <f t="shared" si="22"/>
        <v xml:space="preserve">now </v>
      </c>
      <c r="N999" s="4" cm="1">
        <f t="array" ref="N999">SUM(--(_xlfn.TEXTSPLIT($J$852,, " ") = M999))</f>
        <v>2</v>
      </c>
      <c r="O999">
        <v>2</v>
      </c>
      <c r="P999">
        <v>0</v>
      </c>
      <c r="Q999">
        <v>2</v>
      </c>
      <c r="R999" s="4"/>
      <c r="S999" s="10"/>
    </row>
    <row r="1000" spans="5:19" x14ac:dyDescent="0.2">
      <c r="E1000" s="4" t="s">
        <v>17</v>
      </c>
      <c r="K1000" t="str">
        <v>He'll</v>
      </c>
      <c r="L1000" s="4" t="str">
        <f t="shared" si="22"/>
        <v>He ll</v>
      </c>
      <c r="N1000" s="4" cm="1">
        <f t="array" ref="N1000">SUM(--(_xlfn.TEXTSPLIT($J$852,, " ") = M1000))</f>
        <v>2</v>
      </c>
      <c r="O1000">
        <v>2</v>
      </c>
      <c r="P1000">
        <v>0</v>
      </c>
      <c r="Q1000">
        <v>2</v>
      </c>
      <c r="R1000" s="4"/>
      <c r="S1000" s="10"/>
    </row>
    <row r="1001" spans="5:19" x14ac:dyDescent="0.2">
      <c r="E1001" s="4" t="s">
        <v>17</v>
      </c>
      <c r="K1001" t="str">
        <v>take</v>
      </c>
      <c r="L1001" s="4" t="str">
        <f t="shared" si="22"/>
        <v>take</v>
      </c>
      <c r="N1001" s="4" cm="1">
        <f t="array" ref="N1001">SUM(--(_xlfn.TEXTSPLIT($J$852,, " ") = M1001))</f>
        <v>2</v>
      </c>
      <c r="O1001">
        <v>2</v>
      </c>
      <c r="P1001">
        <v>0</v>
      </c>
      <c r="Q1001">
        <v>2</v>
      </c>
      <c r="R1001" s="4"/>
      <c r="S1001" s="10"/>
    </row>
    <row r="1002" spans="5:19" x14ac:dyDescent="0.2">
      <c r="E1002" s="4" t="s">
        <v>17</v>
      </c>
      <c r="K1002" t="str">
        <v>the</v>
      </c>
      <c r="L1002" s="4" t="str">
        <f t="shared" si="22"/>
        <v>the</v>
      </c>
      <c r="N1002" s="4" cm="1">
        <f t="array" ref="N1002">SUM(--(_xlfn.TEXTSPLIT($J$852,, " ") = M1002))</f>
        <v>2</v>
      </c>
      <c r="O1002">
        <v>2</v>
      </c>
      <c r="P1002">
        <v>0</v>
      </c>
      <c r="Q1002">
        <v>2</v>
      </c>
      <c r="R1002" s="4"/>
      <c r="S1002" s="10"/>
    </row>
    <row r="1003" spans="5:19" x14ac:dyDescent="0.2">
      <c r="E1003" s="4" t="s">
        <v>17</v>
      </c>
      <c r="K1003" t="str">
        <v>longer</v>
      </c>
      <c r="L1003" s="4" t="str">
        <f t="shared" si="22"/>
        <v>longer</v>
      </c>
      <c r="N1003" s="4" cm="1">
        <f t="array" ref="N1003">SUM(--(_xlfn.TEXTSPLIT($J$852,, " ") = M1003))</f>
        <v>2</v>
      </c>
      <c r="O1003">
        <v>2</v>
      </c>
      <c r="P1003">
        <v>0</v>
      </c>
      <c r="Q1003">
        <v>2</v>
      </c>
      <c r="R1003" s="4"/>
      <c r="S1003" s="10"/>
    </row>
    <row r="1004" spans="5:19" x14ac:dyDescent="0.2">
      <c r="E1004" s="4" t="s">
        <v>17</v>
      </c>
      <c r="K1004" t="str">
        <v>way</v>
      </c>
      <c r="L1004" s="4" t="str">
        <f t="shared" si="22"/>
        <v>way</v>
      </c>
      <c r="N1004" s="4" cm="1">
        <f t="array" ref="N1004">SUM(--(_xlfn.TEXTSPLIT($J$852,, " ") = M1004))</f>
        <v>2</v>
      </c>
      <c r="O1004">
        <v>2</v>
      </c>
      <c r="P1004">
        <v>0</v>
      </c>
      <c r="Q1004">
        <v>2</v>
      </c>
      <c r="R1004" s="4"/>
      <c r="S1004" s="10"/>
    </row>
    <row r="1005" spans="5:19" x14ac:dyDescent="0.2">
      <c r="E1005" s="4" t="s">
        <v>17</v>
      </c>
      <c r="K1005" t="str">
        <v>home</v>
      </c>
      <c r="L1005" s="4" t="str">
        <f t="shared" si="22"/>
        <v>home</v>
      </c>
      <c r="N1005" s="4" cm="1">
        <f t="array" ref="N1005">SUM(--(_xlfn.TEXTSPLIT($J$852,, " ") = M1005))</f>
        <v>2</v>
      </c>
      <c r="O1005">
        <v>2</v>
      </c>
      <c r="P1005">
        <v>0</v>
      </c>
      <c r="Q1005">
        <v>2</v>
      </c>
      <c r="R1005" s="4"/>
      <c r="S1005" s="10"/>
    </row>
    <row r="1006" spans="5:19" x14ac:dyDescent="0.2">
      <c r="E1006" s="4" t="s">
        <v>17</v>
      </c>
      <c r="K1006" t="str">
        <v>(I've</v>
      </c>
      <c r="L1006" s="4" t="str">
        <f t="shared" si="22"/>
        <v xml:space="preserve"> I ve</v>
      </c>
      <c r="N1006" s="4" cm="1">
        <f t="array" ref="N1006">SUM(--(_xlfn.TEXTSPLIT($J$852,, " ") = M1006))</f>
        <v>2</v>
      </c>
      <c r="O1006">
        <v>2</v>
      </c>
      <c r="P1006">
        <v>0</v>
      </c>
      <c r="Q1006">
        <v>2</v>
      </c>
      <c r="R1006" s="4"/>
      <c r="S1006" s="10"/>
    </row>
    <row r="1007" spans="5:19" x14ac:dyDescent="0.2">
      <c r="E1007" s="4" t="s">
        <v>17</v>
      </c>
      <c r="K1007" t="str">
        <v>been</v>
      </c>
      <c r="L1007" s="4" t="str">
        <f t="shared" si="22"/>
        <v>been</v>
      </c>
      <c r="N1007" s="4" cm="1">
        <f t="array" ref="N1007">SUM(--(_xlfn.TEXTSPLIT($J$852,, " ") = M1007))</f>
        <v>2</v>
      </c>
      <c r="O1007">
        <v>2</v>
      </c>
      <c r="P1007">
        <v>0</v>
      </c>
      <c r="Q1007">
        <v>2</v>
      </c>
      <c r="R1007" s="4"/>
      <c r="S1007" s="10"/>
    </row>
    <row r="1008" spans="5:19" x14ac:dyDescent="0.2">
      <c r="E1008" s="4" t="s">
        <v>17</v>
      </c>
      <c r="K1008" t="str">
        <v>this</v>
      </c>
      <c r="L1008" s="4" t="str">
        <f t="shared" si="22"/>
        <v>this</v>
      </c>
      <c r="N1008" s="4" cm="1">
        <f t="array" ref="N1008">SUM(--(_xlfn.TEXTSPLIT($J$852,, " ") = M1008))</f>
        <v>2</v>
      </c>
      <c r="O1008">
        <v>2</v>
      </c>
      <c r="P1008">
        <v>0</v>
      </c>
      <c r="Q1008">
        <v>2</v>
      </c>
      <c r="R1008" s="4"/>
      <c r="S1008" s="10"/>
    </row>
    <row r="1009" spans="5:19" x14ac:dyDescent="0.2">
      <c r="E1009" s="4" t="s">
        <v>17</v>
      </c>
      <c r="K1009" t="str">
        <v xml:space="preserve">way)
</v>
      </c>
      <c r="L1009" s="4" t="str">
        <f t="shared" si="22"/>
        <v xml:space="preserve">way  </v>
      </c>
      <c r="N1009" s="4" cm="1">
        <f t="array" ref="N1009">SUM(--(_xlfn.TEXTSPLIT($J$852,, " ") = M1009))</f>
        <v>2</v>
      </c>
      <c r="O1009">
        <v>2</v>
      </c>
      <c r="P1009">
        <v>0</v>
      </c>
      <c r="Q1009">
        <v>2</v>
      </c>
      <c r="R1009" s="4"/>
      <c r="S1009" s="10"/>
    </row>
    <row r="1010" spans="5:19" x14ac:dyDescent="0.2">
      <c r="E1010" s="4" t="s">
        <v>17</v>
      </c>
      <c r="K1010" t="str">
        <v>Even</v>
      </c>
      <c r="L1010" s="4" t="str">
        <f t="shared" si="22"/>
        <v>Even</v>
      </c>
      <c r="N1010" s="4" cm="1">
        <f t="array" ref="N1010">SUM(--(_xlfn.TEXTSPLIT($J$852,, " ") = M1010))</f>
        <v>2</v>
      </c>
      <c r="O1010">
        <v>2</v>
      </c>
      <c r="P1010">
        <v>0</v>
      </c>
      <c r="Q1010">
        <v>2</v>
      </c>
      <c r="R1010" s="4"/>
      <c r="S1010" s="10"/>
    </row>
    <row r="1011" spans="5:19" x14ac:dyDescent="0.2">
      <c r="E1011" s="4" t="s">
        <v>17</v>
      </c>
      <c r="K1011" t="str">
        <v>now,</v>
      </c>
      <c r="L1011" s="4" t="str">
        <f t="shared" si="22"/>
        <v xml:space="preserve">now </v>
      </c>
      <c r="N1011" s="4" cm="1">
        <f t="array" ref="N1011">SUM(--(_xlfn.TEXTSPLIT($J$852,, " ") = M1011))</f>
        <v>2</v>
      </c>
      <c r="O1011">
        <v>2</v>
      </c>
      <c r="P1011">
        <v>0</v>
      </c>
      <c r="Q1011">
        <v>2</v>
      </c>
      <c r="R1011" s="4"/>
      <c r="S1011" s="10"/>
    </row>
    <row r="1012" spans="5:19" x14ac:dyDescent="0.2">
      <c r="E1012" s="4" t="s">
        <v>17</v>
      </c>
      <c r="K1012" t="str">
        <v>even</v>
      </c>
      <c r="L1012" s="4" t="str">
        <f t="shared" si="22"/>
        <v>even</v>
      </c>
      <c r="N1012" s="4" cm="1">
        <f t="array" ref="N1012">SUM(--(_xlfn.TEXTSPLIT($J$852,, " ") = M1012))</f>
        <v>2</v>
      </c>
      <c r="O1012">
        <v>2</v>
      </c>
      <c r="P1012">
        <v>0</v>
      </c>
      <c r="Q1012">
        <v>2</v>
      </c>
      <c r="R1012" s="4"/>
      <c r="S1012" s="10"/>
    </row>
    <row r="1013" spans="5:19" x14ac:dyDescent="0.2">
      <c r="E1013" s="4" t="s">
        <v>17</v>
      </c>
      <c r="K1013" t="str">
        <v>now,</v>
      </c>
      <c r="L1013" s="4" t="str">
        <f t="shared" si="22"/>
        <v xml:space="preserve">now </v>
      </c>
      <c r="N1013" s="4" cm="1">
        <f t="array" ref="N1013">SUM(--(_xlfn.TEXTSPLIT($J$852,, " ") = M1013))</f>
        <v>2</v>
      </c>
      <c r="O1013">
        <v>2</v>
      </c>
      <c r="P1013">
        <v>0</v>
      </c>
      <c r="Q1013">
        <v>2</v>
      </c>
      <c r="R1013" s="4"/>
      <c r="S1013" s="10"/>
    </row>
    <row r="1014" spans="5:19" x14ac:dyDescent="0.2">
      <c r="E1014" s="4" t="s">
        <v>17</v>
      </c>
      <c r="K1014" t="str">
        <v>even</v>
      </c>
      <c r="L1014" s="4" t="str">
        <f t="shared" si="22"/>
        <v>even</v>
      </c>
      <c r="N1014" s="4" cm="1">
        <f t="array" ref="N1014">SUM(--(_xlfn.TEXTSPLIT($J$852,, " ") = M1014))</f>
        <v>2</v>
      </c>
      <c r="O1014">
        <v>2</v>
      </c>
      <c r="P1014">
        <v>0</v>
      </c>
      <c r="Q1014">
        <v>2</v>
      </c>
      <c r="R1014" s="4"/>
      <c r="S1014" s="10"/>
    </row>
    <row r="1015" spans="5:19" x14ac:dyDescent="0.2">
      <c r="E1015" s="4" t="s">
        <v>17</v>
      </c>
      <c r="K1015" t="str">
        <v xml:space="preserve">now
</v>
      </c>
      <c r="L1015" s="4" t="str">
        <f t="shared" si="22"/>
        <v xml:space="preserve">now </v>
      </c>
      <c r="N1015" s="4" cm="1">
        <f t="array" ref="N1015">SUM(--(_xlfn.TEXTSPLIT($J$852,, " ") = M1015))</f>
        <v>2</v>
      </c>
      <c r="O1015">
        <v>2</v>
      </c>
      <c r="P1015">
        <v>0</v>
      </c>
      <c r="Q1015">
        <v>2</v>
      </c>
      <c r="R1015" s="4"/>
      <c r="S1015" s="10"/>
    </row>
    <row r="1016" spans="5:19" x14ac:dyDescent="0.2">
      <c r="E1016" s="4" t="s">
        <v>17</v>
      </c>
      <c r="K1016" t="str">
        <v>He'll</v>
      </c>
      <c r="L1016" s="4" t="str">
        <f t="shared" si="22"/>
        <v>He ll</v>
      </c>
      <c r="N1016" s="4" cm="1">
        <f t="array" ref="N1016">SUM(--(_xlfn.TEXTSPLIT($J$852,, " ") = M1016))</f>
        <v>2</v>
      </c>
      <c r="O1016">
        <v>2</v>
      </c>
      <c r="P1016">
        <v>0</v>
      </c>
      <c r="Q1016">
        <v>2</v>
      </c>
      <c r="R1016" s="4"/>
      <c r="S1016" s="10"/>
    </row>
    <row r="1017" spans="5:19" x14ac:dyDescent="0.2">
      <c r="E1017" s="4" t="s">
        <v>17</v>
      </c>
      <c r="K1017" t="str">
        <v>never</v>
      </c>
      <c r="L1017" s="4" t="str">
        <f t="shared" si="22"/>
        <v>never</v>
      </c>
      <c r="N1017" s="4" cm="1">
        <f t="array" ref="N1017">SUM(--(_xlfn.TEXTSPLIT($J$852,, " ") = M1017))</f>
        <v>2</v>
      </c>
      <c r="O1017">
        <v>2</v>
      </c>
      <c r="P1017">
        <v>0</v>
      </c>
      <c r="Q1017">
        <v>2</v>
      </c>
      <c r="R1017" s="4"/>
      <c r="S1017" s="10"/>
    </row>
    <row r="1018" spans="5:19" x14ac:dyDescent="0.2">
      <c r="E1018" s="4" t="s">
        <v>17</v>
      </c>
      <c r="K1018" t="str">
        <v>ever</v>
      </c>
      <c r="L1018" s="4" t="str">
        <f t="shared" si="22"/>
        <v>ever</v>
      </c>
      <c r="N1018" s="4" cm="1">
        <f t="array" ref="N1018">SUM(--(_xlfn.TEXTSPLIT($J$852,, " ") = M1018))</f>
        <v>2</v>
      </c>
      <c r="O1018">
        <v>2</v>
      </c>
      <c r="P1018">
        <v>0</v>
      </c>
      <c r="Q1018">
        <v>2</v>
      </c>
      <c r="R1018" s="4"/>
      <c r="S1018" s="10"/>
    </row>
    <row r="1019" spans="5:19" x14ac:dyDescent="0.2">
      <c r="E1019" s="4" t="s">
        <v>17</v>
      </c>
      <c r="K1019" t="str">
        <v>say</v>
      </c>
      <c r="L1019" s="4" t="str">
        <f t="shared" si="22"/>
        <v>say</v>
      </c>
      <c r="N1019" s="4" cm="1">
        <f t="array" ref="N1019">SUM(--(_xlfn.TEXTSPLIT($J$852,, " ") = M1019))</f>
        <v>2</v>
      </c>
      <c r="O1019">
        <v>2</v>
      </c>
      <c r="P1019">
        <v>0</v>
      </c>
      <c r="Q1019">
        <v>2</v>
      </c>
      <c r="R1019" s="4"/>
      <c r="S1019" s="10"/>
    </row>
    <row r="1020" spans="5:19" x14ac:dyDescent="0.2">
      <c r="E1020" s="4" t="s">
        <v>17</v>
      </c>
      <c r="K1020" t="str">
        <v>so</v>
      </c>
      <c r="L1020" s="4" t="str">
        <f t="shared" si="22"/>
        <v>so</v>
      </c>
      <c r="N1020" s="4" cm="1">
        <f t="array" ref="N1020">SUM(--(_xlfn.TEXTSPLIT($J$852,, " ") = M1020))</f>
        <v>2</v>
      </c>
      <c r="O1020">
        <v>2</v>
      </c>
      <c r="P1020">
        <v>0</v>
      </c>
      <c r="Q1020">
        <v>2</v>
      </c>
      <c r="R1020" s="4"/>
      <c r="S1020" s="10"/>
    </row>
    <row r="1021" spans="5:19" x14ac:dyDescent="0.2">
      <c r="E1021" s="4" t="s">
        <v>17</v>
      </c>
      <c r="K1021" t="str">
        <v>(I</v>
      </c>
      <c r="L1021" s="4" t="str">
        <f t="shared" si="22"/>
        <v xml:space="preserve"> I</v>
      </c>
      <c r="N1021" s="4" cm="1">
        <f t="array" ref="N1021">SUM(--(_xlfn.TEXTSPLIT($J$852,, " ") = M1021))</f>
        <v>2</v>
      </c>
      <c r="O1021">
        <v>2</v>
      </c>
      <c r="P1021">
        <v>0</v>
      </c>
      <c r="Q1021">
        <v>2</v>
      </c>
      <c r="R1021" s="4"/>
      <c r="S1021" s="10"/>
    </row>
    <row r="1022" spans="5:19" x14ac:dyDescent="0.2">
      <c r="E1022" s="4" t="s">
        <v>17</v>
      </c>
      <c r="K1022" t="str">
        <v>want</v>
      </c>
      <c r="L1022" s="4" t="str">
        <f t="shared" si="22"/>
        <v>want</v>
      </c>
      <c r="N1022" s="4" cm="1">
        <f t="array" ref="N1022">SUM(--(_xlfn.TEXTSPLIT($J$852,, " ") = M1022))</f>
        <v>2</v>
      </c>
      <c r="O1022">
        <v>2</v>
      </c>
      <c r="P1022">
        <v>0</v>
      </c>
      <c r="Q1022">
        <v>2</v>
      </c>
      <c r="R1022" s="4"/>
      <c r="S1022" s="10"/>
    </row>
    <row r="1023" spans="5:19" x14ac:dyDescent="0.2">
      <c r="E1023" s="4" t="s">
        <v>17</v>
      </c>
      <c r="K1023" t="str">
        <v>to</v>
      </c>
      <c r="L1023" s="4" t="str">
        <f t="shared" si="22"/>
        <v>to</v>
      </c>
      <c r="N1023" s="4" cm="1">
        <f t="array" ref="N1023">SUM(--(_xlfn.TEXTSPLIT($J$852,, " ") = M1023))</f>
        <v>2</v>
      </c>
      <c r="O1023">
        <v>2</v>
      </c>
      <c r="P1023">
        <v>0</v>
      </c>
      <c r="Q1023">
        <v>2</v>
      </c>
      <c r="R1023" s="4"/>
      <c r="S1023" s="10"/>
    </row>
    <row r="1024" spans="5:19" x14ac:dyDescent="0.2">
      <c r="E1024" s="4" t="s">
        <v>17</v>
      </c>
      <c r="K1024" t="str">
        <v xml:space="preserve">change)
</v>
      </c>
      <c r="L1024" s="4" t="str">
        <f t="shared" si="22"/>
        <v xml:space="preserve">change  </v>
      </c>
      <c r="N1024" s="4" cm="1">
        <f t="array" ref="N1024">SUM(--(_xlfn.TEXTSPLIT($J$852,, " ") = M1024))</f>
        <v>2</v>
      </c>
      <c r="O1024">
        <v>2</v>
      </c>
      <c r="P1024">
        <v>0</v>
      </c>
      <c r="Q1024">
        <v>2</v>
      </c>
      <c r="R1024" s="4"/>
      <c r="S1024" s="10"/>
    </row>
    <row r="1025" spans="5:19" x14ac:dyDescent="0.2">
      <c r="E1025" s="4" t="s">
        <v>17</v>
      </c>
      <c r="K1025" t="str">
        <v>He</v>
      </c>
      <c r="L1025" s="4" t="str">
        <f t="shared" si="22"/>
        <v>He</v>
      </c>
      <c r="N1025" s="4" cm="1">
        <f t="array" ref="N1025">SUM(--(_xlfn.TEXTSPLIT($J$852,, " ") = M1025))</f>
        <v>2</v>
      </c>
      <c r="O1025">
        <v>2</v>
      </c>
      <c r="P1025">
        <v>0</v>
      </c>
      <c r="Q1025">
        <v>2</v>
      </c>
      <c r="R1025" s="4"/>
      <c r="S1025" s="10"/>
    </row>
    <row r="1026" spans="5:19" x14ac:dyDescent="0.2">
      <c r="E1026" s="4" t="s">
        <v>17</v>
      </c>
      <c r="K1026" t="str">
        <v>drives</v>
      </c>
      <c r="L1026" s="4" t="str">
        <f t="shared" si="22"/>
        <v>drives</v>
      </c>
      <c r="N1026" s="4" cm="1">
        <f t="array" ref="N1026">SUM(--(_xlfn.TEXTSPLIT($J$852,, " ") = M1026))</f>
        <v>2</v>
      </c>
      <c r="O1026">
        <v>2</v>
      </c>
      <c r="P1026">
        <v>0</v>
      </c>
      <c r="Q1026">
        <v>2</v>
      </c>
      <c r="R1026" s="4"/>
      <c r="S1026" s="10"/>
    </row>
    <row r="1027" spans="5:19" x14ac:dyDescent="0.2">
      <c r="E1027" s="4" t="s">
        <v>17</v>
      </c>
      <c r="K1027" t="str">
        <v>fast</v>
      </c>
      <c r="L1027" s="4" t="str">
        <f t="shared" si="22"/>
        <v>fast</v>
      </c>
      <c r="N1027" s="4" cm="1">
        <f t="array" ref="N1027">SUM(--(_xlfn.TEXTSPLIT($J$852,, " ") = M1027))</f>
        <v>2</v>
      </c>
      <c r="O1027">
        <v>2</v>
      </c>
      <c r="P1027">
        <v>0</v>
      </c>
      <c r="Q1027">
        <v>2</v>
      </c>
      <c r="R1027" s="4"/>
      <c r="S1027" s="10"/>
    </row>
    <row r="1028" spans="5:19" x14ac:dyDescent="0.2">
      <c r="E1028" s="4" t="s">
        <v>17</v>
      </c>
      <c r="K1028" t="str">
        <v>just</v>
      </c>
      <c r="L1028" s="4" t="str">
        <f t="shared" ref="L1028:L1091" si="23">_xlfn.REGEXREPLACE(K1028, "[^A-Za-z ]", " ")</f>
        <v>just</v>
      </c>
      <c r="N1028" s="4" cm="1">
        <f t="array" ref="N1028">SUM(--(_xlfn.TEXTSPLIT($J$852,, " ") = M1028))</f>
        <v>2</v>
      </c>
      <c r="O1028">
        <v>2</v>
      </c>
      <c r="P1028">
        <v>0</v>
      </c>
      <c r="Q1028">
        <v>2</v>
      </c>
      <c r="R1028" s="4"/>
      <c r="S1028" s="10"/>
    </row>
    <row r="1029" spans="5:19" x14ac:dyDescent="0.2">
      <c r="E1029" s="4" t="s">
        <v>17</v>
      </c>
      <c r="K1029" t="str">
        <v>to</v>
      </c>
      <c r="L1029" s="4" t="str">
        <f t="shared" si="23"/>
        <v>to</v>
      </c>
      <c r="N1029" s="4" cm="1">
        <f t="array" ref="N1029">SUM(--(_xlfn.TEXTSPLIT($J$852,, " ") = M1029))</f>
        <v>2</v>
      </c>
      <c r="O1029">
        <v>2</v>
      </c>
      <c r="P1029">
        <v>0</v>
      </c>
      <c r="Q1029">
        <v>2</v>
      </c>
      <c r="R1029" s="4"/>
      <c r="S1029" s="10"/>
    </row>
    <row r="1030" spans="5:19" x14ac:dyDescent="0.2">
      <c r="E1030" s="4" t="s">
        <v>17</v>
      </c>
      <c r="K1030" t="str">
        <v>feel</v>
      </c>
      <c r="L1030" s="4" t="str">
        <f t="shared" si="23"/>
        <v>feel</v>
      </c>
      <c r="N1030" s="4" cm="1">
        <f t="array" ref="N1030">SUM(--(_xlfn.TEXTSPLIT($J$852,, " ") = M1030))</f>
        <v>2</v>
      </c>
      <c r="O1030">
        <v>2</v>
      </c>
      <c r="P1030">
        <v>0</v>
      </c>
      <c r="Q1030">
        <v>2</v>
      </c>
      <c r="R1030" s="4"/>
      <c r="S1030" s="10"/>
    </row>
    <row r="1031" spans="5:19" x14ac:dyDescent="0.2">
      <c r="E1031" s="4" t="s">
        <v>17</v>
      </c>
      <c r="K1031" t="str">
        <v>it,</v>
      </c>
      <c r="L1031" s="4" t="str">
        <f t="shared" si="23"/>
        <v xml:space="preserve">it </v>
      </c>
      <c r="N1031" s="4" cm="1">
        <f t="array" ref="N1031">SUM(--(_xlfn.TEXTSPLIT($J$852,, " ") = M1031))</f>
        <v>2</v>
      </c>
      <c r="O1031">
        <v>2</v>
      </c>
      <c r="P1031">
        <v>0</v>
      </c>
      <c r="Q1031">
        <v>2</v>
      </c>
      <c r="R1031" s="4"/>
      <c r="S1031" s="10"/>
    </row>
    <row r="1032" spans="5:19" x14ac:dyDescent="0.2">
      <c r="E1032" s="4" t="s">
        <v>17</v>
      </c>
      <c r="K1032" t="str">
        <v>feel</v>
      </c>
      <c r="L1032" s="4" t="str">
        <f t="shared" si="23"/>
        <v>feel</v>
      </c>
      <c r="N1032" s="4" cm="1">
        <f t="array" ref="N1032">SUM(--(_xlfn.TEXTSPLIT($J$852,, " ") = M1032))</f>
        <v>2</v>
      </c>
      <c r="O1032">
        <v>2</v>
      </c>
      <c r="P1032">
        <v>0</v>
      </c>
      <c r="Q1032">
        <v>2</v>
      </c>
      <c r="R1032" s="4"/>
      <c r="S1032" s="10"/>
    </row>
    <row r="1033" spans="5:19" x14ac:dyDescent="0.2">
      <c r="E1033" s="4" t="s">
        <v>17</v>
      </c>
      <c r="K1033" t="str">
        <v>it</v>
      </c>
      <c r="L1033" s="4" t="str">
        <f t="shared" si="23"/>
        <v>it</v>
      </c>
      <c r="N1033" s="4" cm="1">
        <f t="array" ref="N1033">SUM(--(_xlfn.TEXTSPLIT($J$852,, " ") = M1033))</f>
        <v>2</v>
      </c>
      <c r="O1033">
        <v>2</v>
      </c>
      <c r="P1033">
        <v>0</v>
      </c>
      <c r="Q1033">
        <v>2</v>
      </c>
      <c r="R1033" s="4"/>
      <c r="S1033" s="10"/>
    </row>
    <row r="1034" spans="5:19" x14ac:dyDescent="0.2">
      <c r="E1034" s="4" t="s">
        <v>17</v>
      </c>
      <c r="K1034" t="str">
        <v>(Feel</v>
      </c>
      <c r="L1034" s="4" t="str">
        <f t="shared" si="23"/>
        <v xml:space="preserve"> Feel</v>
      </c>
      <c r="N1034" s="4" cm="1">
        <f t="array" ref="N1034">SUM(--(_xlfn.TEXTSPLIT($J$852,, " ") = M1034))</f>
        <v>2</v>
      </c>
      <c r="O1034">
        <v>2</v>
      </c>
      <c r="P1034">
        <v>0</v>
      </c>
      <c r="Q1034">
        <v>2</v>
      </c>
      <c r="R1034" s="4"/>
      <c r="S1034" s="10"/>
    </row>
    <row r="1035" spans="5:19" x14ac:dyDescent="0.2">
      <c r="E1035" s="4" t="s">
        <v>17</v>
      </c>
      <c r="K1035" t="str">
        <v xml:space="preserve">it)
</v>
      </c>
      <c r="L1035" s="4" t="str">
        <f t="shared" si="23"/>
        <v xml:space="preserve">it  </v>
      </c>
      <c r="N1035" s="4" cm="1">
        <f t="array" ref="N1035">SUM(--(_xlfn.TEXTSPLIT($J$852,, " ") = M1035))</f>
        <v>2</v>
      </c>
      <c r="O1035">
        <v>2</v>
      </c>
      <c r="P1035">
        <v>0</v>
      </c>
      <c r="Q1035">
        <v>2</v>
      </c>
      <c r="R1035" s="4"/>
      <c r="S1035" s="10"/>
    </row>
    <row r="1036" spans="5:19" x14ac:dyDescent="0.2">
      <c r="E1036" s="4" t="s">
        <v>17</v>
      </c>
      <c r="K1036" t="str">
        <v>He</v>
      </c>
      <c r="L1036" s="4" t="str">
        <f t="shared" si="23"/>
        <v>He</v>
      </c>
      <c r="N1036" s="4" cm="1">
        <f t="array" ref="N1036">SUM(--(_xlfn.TEXTSPLIT($J$852,, " ") = M1036))</f>
        <v>2</v>
      </c>
      <c r="O1036">
        <v>2</v>
      </c>
      <c r="P1036">
        <v>0</v>
      </c>
      <c r="Q1036">
        <v>2</v>
      </c>
      <c r="R1036" s="4"/>
      <c r="S1036" s="10"/>
    </row>
    <row r="1037" spans="5:19" x14ac:dyDescent="0.2">
      <c r="E1037" s="4" t="s">
        <v>17</v>
      </c>
      <c r="K1037" t="str">
        <v>drives</v>
      </c>
      <c r="L1037" s="4" t="str">
        <f t="shared" si="23"/>
        <v>drives</v>
      </c>
      <c r="N1037" s="4" cm="1">
        <f t="array" ref="N1037">SUM(--(_xlfn.TEXTSPLIT($J$852,, " ") = M1037))</f>
        <v>2</v>
      </c>
      <c r="O1037">
        <v>2</v>
      </c>
      <c r="P1037">
        <v>0</v>
      </c>
      <c r="Q1037">
        <v>2</v>
      </c>
      <c r="R1037" s="4"/>
      <c r="S1037" s="10"/>
    </row>
    <row r="1038" spans="5:19" x14ac:dyDescent="0.2">
      <c r="E1038" s="4" t="s">
        <v>17</v>
      </c>
      <c r="K1038" t="str">
        <v>slow</v>
      </c>
      <c r="L1038" s="4" t="str">
        <f t="shared" si="23"/>
        <v>slow</v>
      </c>
      <c r="N1038" s="4" cm="1">
        <f t="array" ref="N1038">SUM(--(_xlfn.TEXTSPLIT($J$852,, " ") = M1038))</f>
        <v>2</v>
      </c>
      <c r="O1038">
        <v>2</v>
      </c>
      <c r="P1038">
        <v>0</v>
      </c>
      <c r="Q1038">
        <v>2</v>
      </c>
      <c r="R1038" s="4"/>
      <c r="S1038" s="10"/>
    </row>
    <row r="1039" spans="5:19" x14ac:dyDescent="0.2">
      <c r="E1039" s="4" t="s">
        <v>17</v>
      </c>
      <c r="K1039" t="str">
        <v>if</v>
      </c>
      <c r="L1039" s="4" t="str">
        <f t="shared" si="23"/>
        <v>if</v>
      </c>
      <c r="N1039" s="4" cm="1">
        <f t="array" ref="N1039">SUM(--(_xlfn.TEXTSPLIT($J$852,, " ") = M1039))</f>
        <v>2</v>
      </c>
      <c r="O1039">
        <v>2</v>
      </c>
      <c r="P1039">
        <v>0</v>
      </c>
      <c r="Q1039">
        <v>2</v>
      </c>
      <c r="R1039" s="4"/>
      <c r="S1039" s="10"/>
    </row>
    <row r="1040" spans="5:19" x14ac:dyDescent="0.2">
      <c r="E1040" s="4" t="s">
        <v>17</v>
      </c>
      <c r="K1040" t="str">
        <v>his</v>
      </c>
      <c r="L1040" s="4" t="str">
        <f t="shared" si="23"/>
        <v>his</v>
      </c>
      <c r="N1040" s="4" cm="1">
        <f t="array" ref="N1040">SUM(--(_xlfn.TEXTSPLIT($J$852,, " ") = M1040))</f>
        <v>2</v>
      </c>
      <c r="O1040">
        <v>2</v>
      </c>
      <c r="P1040">
        <v>0</v>
      </c>
      <c r="Q1040">
        <v>2</v>
      </c>
      <c r="R1040" s="4"/>
      <c r="S1040" s="10"/>
    </row>
    <row r="1041" spans="5:19" x14ac:dyDescent="0.2">
      <c r="E1041" s="4" t="s">
        <v>17</v>
      </c>
      <c r="K1041" t="str">
        <v>song's</v>
      </c>
      <c r="L1041" s="4" t="str">
        <f t="shared" si="23"/>
        <v>song s</v>
      </c>
      <c r="N1041" s="4" cm="1">
        <f t="array" ref="N1041">SUM(--(_xlfn.TEXTSPLIT($J$852,, " ") = M1041))</f>
        <v>2</v>
      </c>
      <c r="O1041">
        <v>2</v>
      </c>
      <c r="P1041">
        <v>0</v>
      </c>
      <c r="Q1041">
        <v>2</v>
      </c>
      <c r="R1041" s="4"/>
      <c r="S1041" s="10"/>
    </row>
    <row r="1042" spans="5:19" x14ac:dyDescent="0.2">
      <c r="E1042" s="4" t="s">
        <v>17</v>
      </c>
      <c r="K1042" t="str">
        <v>not</v>
      </c>
      <c r="L1042" s="4" t="str">
        <f t="shared" si="23"/>
        <v>not</v>
      </c>
      <c r="N1042" s="4" cm="1">
        <f t="array" ref="N1042">SUM(--(_xlfn.TEXTSPLIT($J$852,, " ") = M1042))</f>
        <v>2</v>
      </c>
      <c r="O1042">
        <v>2</v>
      </c>
      <c r="P1042">
        <v>0</v>
      </c>
      <c r="Q1042">
        <v>2</v>
      </c>
      <c r="R1042" s="4"/>
      <c r="S1042" s="10"/>
    </row>
    <row r="1043" spans="5:19" x14ac:dyDescent="0.2">
      <c r="E1043" s="4" t="s">
        <v>17</v>
      </c>
      <c r="K1043" t="str">
        <v>over</v>
      </c>
      <c r="L1043" s="4" t="str">
        <f t="shared" si="23"/>
        <v>over</v>
      </c>
      <c r="N1043" s="4" cm="1">
        <f t="array" ref="N1043">SUM(--(_xlfn.TEXTSPLIT($J$852,, " ") = M1043))</f>
        <v>2</v>
      </c>
      <c r="O1043">
        <v>2</v>
      </c>
      <c r="P1043">
        <v>0</v>
      </c>
      <c r="Q1043">
        <v>2</v>
      </c>
      <c r="R1043" s="4"/>
      <c r="S1043" s="10"/>
    </row>
    <row r="1044" spans="5:19" x14ac:dyDescent="0.2">
      <c r="E1044" s="4" t="s">
        <v>17</v>
      </c>
      <c r="K1044" t="str">
        <v>(Feel</v>
      </c>
      <c r="L1044" s="4" t="str">
        <f t="shared" si="23"/>
        <v xml:space="preserve"> Feel</v>
      </c>
      <c r="N1044" s="4" cm="1">
        <f t="array" ref="N1044">SUM(--(_xlfn.TEXTSPLIT($J$852,, " ") = M1044))</f>
        <v>2</v>
      </c>
      <c r="O1044">
        <v>2</v>
      </c>
      <c r="P1044">
        <v>0</v>
      </c>
      <c r="Q1044">
        <v>2</v>
      </c>
      <c r="R1044" s="4"/>
      <c r="S1044" s="10"/>
    </row>
    <row r="1045" spans="5:19" x14ac:dyDescent="0.2">
      <c r="E1045" s="4" t="s">
        <v>17</v>
      </c>
      <c r="K1045" t="str">
        <v xml:space="preserve">it)
</v>
      </c>
      <c r="L1045" s="4" t="str">
        <f t="shared" si="23"/>
        <v xml:space="preserve">it  </v>
      </c>
      <c r="N1045" s="4" cm="1">
        <f t="array" ref="N1045">SUM(--(_xlfn.TEXTSPLIT($J$852,, " ") = M1045))</f>
        <v>2</v>
      </c>
      <c r="O1045">
        <v>2</v>
      </c>
      <c r="P1045">
        <v>0</v>
      </c>
      <c r="Q1045">
        <v>2</v>
      </c>
      <c r="R1045" s="4"/>
      <c r="S1045" s="10"/>
    </row>
    <row r="1046" spans="5:19" x14ac:dyDescent="0.2">
      <c r="E1046" s="4" t="s">
        <v>17</v>
      </c>
      <c r="K1046" t="str">
        <v>Drown</v>
      </c>
      <c r="L1046" s="4" t="str">
        <f t="shared" si="23"/>
        <v>Drown</v>
      </c>
      <c r="N1046" s="4" cm="1">
        <f t="array" ref="N1046">SUM(--(_xlfn.TEXTSPLIT($J$852,, " ") = M1046))</f>
        <v>2</v>
      </c>
      <c r="O1046">
        <v>2</v>
      </c>
      <c r="P1046">
        <v>0</v>
      </c>
      <c r="Q1046">
        <v>2</v>
      </c>
      <c r="R1046" s="4"/>
      <c r="S1046" s="10"/>
    </row>
    <row r="1047" spans="5:19" x14ac:dyDescent="0.2">
      <c r="E1047" s="4" t="s">
        <v>17</v>
      </c>
      <c r="K1047" t="str">
        <v>it</v>
      </c>
      <c r="L1047" s="4" t="str">
        <f t="shared" si="23"/>
        <v>it</v>
      </c>
      <c r="N1047" s="4" cm="1">
        <f t="array" ref="N1047">SUM(--(_xlfn.TEXTSPLIT($J$852,, " ") = M1047))</f>
        <v>2</v>
      </c>
      <c r="O1047">
        <v>2</v>
      </c>
      <c r="P1047">
        <v>0</v>
      </c>
      <c r="Q1047">
        <v>2</v>
      </c>
      <c r="R1047" s="4"/>
      <c r="S1047" s="10"/>
    </row>
    <row r="1048" spans="5:19" x14ac:dyDescent="0.2">
      <c r="E1048" s="4" t="s">
        <v>17</v>
      </c>
      <c r="K1048" t="str">
        <v>out,</v>
      </c>
      <c r="L1048" s="4" t="str">
        <f t="shared" si="23"/>
        <v xml:space="preserve">out </v>
      </c>
      <c r="N1048" s="4" cm="1">
        <f t="array" ref="N1048">SUM(--(_xlfn.TEXTSPLIT($J$852,, " ") = M1048))</f>
        <v>2</v>
      </c>
      <c r="O1048">
        <v>2</v>
      </c>
      <c r="P1048">
        <v>0</v>
      </c>
      <c r="Q1048">
        <v>2</v>
      </c>
      <c r="R1048" s="4"/>
      <c r="S1048" s="10"/>
    </row>
    <row r="1049" spans="5:19" x14ac:dyDescent="0.2">
      <c r="E1049" s="4" t="s">
        <v>17</v>
      </c>
      <c r="K1049" t="str">
        <v>drown</v>
      </c>
      <c r="L1049" s="4" t="str">
        <f t="shared" si="23"/>
        <v>drown</v>
      </c>
      <c r="N1049" s="4" cm="1">
        <f t="array" ref="N1049">SUM(--(_xlfn.TEXTSPLIT($J$852,, " ") = M1049))</f>
        <v>2</v>
      </c>
      <c r="O1049">
        <v>2</v>
      </c>
      <c r="P1049">
        <v>0</v>
      </c>
      <c r="Q1049">
        <v>2</v>
      </c>
      <c r="R1049" s="4"/>
      <c r="S1049" s="10"/>
    </row>
    <row r="1050" spans="5:19" x14ac:dyDescent="0.2">
      <c r="E1050" s="4" t="s">
        <v>17</v>
      </c>
      <c r="K1050" t="str">
        <v>it</v>
      </c>
      <c r="L1050" s="4" t="str">
        <f t="shared" si="23"/>
        <v>it</v>
      </c>
      <c r="N1050" s="4" cm="1">
        <f t="array" ref="N1050">SUM(--(_xlfn.TEXTSPLIT($J$852,, " ") = M1050))</f>
        <v>2</v>
      </c>
      <c r="O1050">
        <v>2</v>
      </c>
      <c r="P1050">
        <v>0</v>
      </c>
      <c r="Q1050">
        <v>2</v>
      </c>
      <c r="R1050" s="4"/>
      <c r="S1050" s="10"/>
    </row>
    <row r="1051" spans="5:19" x14ac:dyDescent="0.2">
      <c r="E1051" s="4" t="s">
        <v>17</v>
      </c>
      <c r="K1051" t="str">
        <v xml:space="preserve">out
</v>
      </c>
      <c r="L1051" s="4" t="str">
        <f t="shared" si="23"/>
        <v xml:space="preserve">out  </v>
      </c>
      <c r="N1051" s="4" cm="1">
        <f t="array" ref="N1051">SUM(--(_xlfn.TEXTSPLIT($J$852,, " ") = M1051))</f>
        <v>2</v>
      </c>
      <c r="O1051">
        <v>2</v>
      </c>
      <c r="P1051">
        <v>0</v>
      </c>
      <c r="Q1051">
        <v>2</v>
      </c>
      <c r="R1051" s="4"/>
      <c r="S1051" s="10"/>
    </row>
    <row r="1052" spans="5:19" x14ac:dyDescent="0.2">
      <c r="E1052" s="4" t="s">
        <v>17</v>
      </c>
      <c r="K1052" t="str">
        <v>I've</v>
      </c>
      <c r="L1052" s="4" t="str">
        <f t="shared" si="23"/>
        <v>I ve</v>
      </c>
      <c r="N1052" s="4" cm="1">
        <f t="array" ref="N1052">SUM(--(_xlfn.TEXTSPLIT($J$852,, " ") = M1052))</f>
        <v>2</v>
      </c>
      <c r="O1052">
        <v>2</v>
      </c>
      <c r="P1052">
        <v>0</v>
      </c>
      <c r="Q1052">
        <v>2</v>
      </c>
      <c r="R1052" s="4"/>
      <c r="S1052" s="10"/>
    </row>
    <row r="1053" spans="5:19" x14ac:dyDescent="0.2">
      <c r="E1053" s="4" t="s">
        <v>17</v>
      </c>
      <c r="K1053" t="str">
        <v>been</v>
      </c>
      <c r="L1053" s="4" t="str">
        <f t="shared" si="23"/>
        <v>been</v>
      </c>
      <c r="N1053" s="4" cm="1">
        <f t="array" ref="N1053">SUM(--(_xlfn.TEXTSPLIT($J$852,, " ") = M1053))</f>
        <v>2</v>
      </c>
      <c r="O1053">
        <v>2</v>
      </c>
      <c r="P1053">
        <v>0</v>
      </c>
      <c r="Q1053">
        <v>2</v>
      </c>
      <c r="R1053" s="4"/>
      <c r="S1053" s="10"/>
    </row>
    <row r="1054" spans="5:19" x14ac:dyDescent="0.2">
      <c r="E1054" s="4" t="s">
        <v>17</v>
      </c>
      <c r="K1054" t="str">
        <v>this</v>
      </c>
      <c r="L1054" s="4" t="str">
        <f t="shared" si="23"/>
        <v>this</v>
      </c>
      <c r="N1054" s="4" cm="1">
        <f t="array" ref="N1054">SUM(--(_xlfn.TEXTSPLIT($J$852,, " ") = M1054))</f>
        <v>2</v>
      </c>
      <c r="O1054">
        <v>2</v>
      </c>
      <c r="P1054">
        <v>0</v>
      </c>
      <c r="Q1054">
        <v>2</v>
      </c>
      <c r="R1054" s="4"/>
      <c r="S1054" s="10"/>
    </row>
    <row r="1055" spans="5:19" x14ac:dyDescent="0.2">
      <c r="E1055" s="4" t="s">
        <v>17</v>
      </c>
      <c r="K1055" t="str">
        <v xml:space="preserve">way
</v>
      </c>
      <c r="L1055" s="4" t="str">
        <f t="shared" si="23"/>
        <v xml:space="preserve">way </v>
      </c>
      <c r="N1055" s="4" cm="1">
        <f t="array" ref="N1055">SUM(--(_xlfn.TEXTSPLIT($J$852,, " ") = M1055))</f>
        <v>2</v>
      </c>
      <c r="O1055">
        <v>2</v>
      </c>
      <c r="P1055">
        <v>0</v>
      </c>
      <c r="Q1055">
        <v>2</v>
      </c>
      <c r="R1055" s="4"/>
      <c r="S1055" s="10"/>
    </row>
    <row r="1056" spans="5:19" x14ac:dyDescent="0.2">
      <c r="E1056" s="4" t="s">
        <v>17</v>
      </c>
      <c r="K1056" t="str">
        <v>I</v>
      </c>
      <c r="L1056" s="4" t="str">
        <f t="shared" si="23"/>
        <v>I</v>
      </c>
      <c r="N1056" s="4" cm="1">
        <f t="array" ref="N1056">SUM(--(_xlfn.TEXTSPLIT($J$852,, " ") = M1056))</f>
        <v>2</v>
      </c>
      <c r="O1056">
        <v>2</v>
      </c>
      <c r="P1056">
        <v>0</v>
      </c>
      <c r="Q1056">
        <v>2</v>
      </c>
      <c r="R1056" s="4"/>
      <c r="S1056" s="10"/>
    </row>
    <row r="1057" spans="5:19" x14ac:dyDescent="0.2">
      <c r="E1057" s="4" t="s">
        <v>17</v>
      </c>
      <c r="K1057" t="str">
        <v>want</v>
      </c>
      <c r="L1057" s="4" t="str">
        <f t="shared" si="23"/>
        <v>want</v>
      </c>
      <c r="N1057" s="4" cm="1">
        <f t="array" ref="N1057">SUM(--(_xlfn.TEXTSPLIT($J$852,, " ") = M1057))</f>
        <v>2</v>
      </c>
      <c r="O1057">
        <v>2</v>
      </c>
      <c r="P1057">
        <v>0</v>
      </c>
      <c r="Q1057">
        <v>2</v>
      </c>
      <c r="R1057" s="4"/>
      <c r="S1057" s="10"/>
    </row>
    <row r="1058" spans="5:19" x14ac:dyDescent="0.2">
      <c r="E1058" s="4" t="s">
        <v>17</v>
      </c>
      <c r="K1058" t="str">
        <v>to</v>
      </c>
      <c r="L1058" s="4" t="str">
        <f t="shared" si="23"/>
        <v>to</v>
      </c>
      <c r="N1058" s="4" cm="1">
        <f t="array" ref="N1058">SUM(--(_xlfn.TEXTSPLIT($J$852,, " ") = M1058))</f>
        <v>2</v>
      </c>
      <c r="O1058">
        <v>2</v>
      </c>
      <c r="P1058">
        <v>0</v>
      </c>
      <c r="Q1058">
        <v>2</v>
      </c>
      <c r="R1058" s="4"/>
      <c r="S1058" s="10"/>
    </row>
    <row r="1059" spans="5:19" x14ac:dyDescent="0.2">
      <c r="E1059" s="4" t="s">
        <v>17</v>
      </c>
      <c r="K1059" t="str">
        <v xml:space="preserve">change
</v>
      </c>
      <c r="L1059" s="4" t="str">
        <f t="shared" si="23"/>
        <v xml:space="preserve">change </v>
      </c>
      <c r="N1059" s="4" cm="1">
        <f t="array" ref="N1059">SUM(--(_xlfn.TEXTSPLIT($J$852,, " ") = M1059))</f>
        <v>2</v>
      </c>
      <c r="O1059">
        <v>2</v>
      </c>
      <c r="P1059">
        <v>0</v>
      </c>
      <c r="Q1059">
        <v>2</v>
      </c>
      <c r="R1059" s="4"/>
      <c r="S1059" s="10"/>
    </row>
    <row r="1060" spans="5:19" x14ac:dyDescent="0.2">
      <c r="E1060" s="4" t="s">
        <v>17</v>
      </c>
      <c r="K1060" t="str">
        <v>I've</v>
      </c>
      <c r="L1060" s="4" t="str">
        <f t="shared" si="23"/>
        <v>I ve</v>
      </c>
      <c r="N1060" s="4" cm="1">
        <f t="array" ref="N1060">SUM(--(_xlfn.TEXTSPLIT($J$852,, " ") = M1060))</f>
        <v>2</v>
      </c>
      <c r="O1060">
        <v>2</v>
      </c>
      <c r="P1060">
        <v>0</v>
      </c>
      <c r="Q1060">
        <v>2</v>
      </c>
      <c r="R1060" s="4"/>
      <c r="S1060" s="10"/>
    </row>
    <row r="1061" spans="5:19" x14ac:dyDescent="0.2">
      <c r="E1061" s="4" t="s">
        <v>17</v>
      </c>
      <c r="K1061" t="str">
        <v>been</v>
      </c>
      <c r="L1061" s="4" t="str">
        <f t="shared" si="23"/>
        <v>been</v>
      </c>
      <c r="N1061" s="4" cm="1">
        <f t="array" ref="N1061">SUM(--(_xlfn.TEXTSPLIT($J$852,, " ") = M1061))</f>
        <v>2</v>
      </c>
      <c r="O1061">
        <v>2</v>
      </c>
      <c r="P1061">
        <v>0</v>
      </c>
      <c r="Q1061">
        <v>2</v>
      </c>
      <c r="R1061" s="4"/>
      <c r="S1061" s="10"/>
    </row>
    <row r="1062" spans="5:19" x14ac:dyDescent="0.2">
      <c r="E1062" s="4" t="s">
        <v>17</v>
      </c>
      <c r="K1062" t="str">
        <v>this</v>
      </c>
      <c r="L1062" s="4" t="str">
        <f t="shared" si="23"/>
        <v>this</v>
      </c>
      <c r="N1062" s="4" cm="1">
        <f t="array" ref="N1062">SUM(--(_xlfn.TEXTSPLIT($J$852,, " ") = M1062))</f>
        <v>2</v>
      </c>
      <c r="O1062">
        <v>2</v>
      </c>
      <c r="P1062">
        <v>0</v>
      </c>
      <c r="Q1062">
        <v>2</v>
      </c>
      <c r="R1062" s="4"/>
      <c r="S1062" s="10"/>
    </row>
    <row r="1063" spans="5:19" x14ac:dyDescent="0.2">
      <c r="E1063" s="4" t="s">
        <v>17</v>
      </c>
      <c r="K1063" t="str">
        <v xml:space="preserve">way
</v>
      </c>
      <c r="L1063" s="4" t="str">
        <f t="shared" si="23"/>
        <v xml:space="preserve">way </v>
      </c>
      <c r="N1063" s="4" cm="1">
        <f t="array" ref="N1063">SUM(--(_xlfn.TEXTSPLIT($J$852,, " ") = M1063))</f>
        <v>2</v>
      </c>
      <c r="O1063">
        <v>2</v>
      </c>
      <c r="P1063">
        <v>0</v>
      </c>
      <c r="Q1063">
        <v>2</v>
      </c>
      <c r="R1063" s="4"/>
      <c r="S1063" s="10"/>
    </row>
    <row r="1064" spans="5:19" x14ac:dyDescent="0.2">
      <c r="E1064" s="4" t="s">
        <v>17</v>
      </c>
      <c r="K1064" t="str">
        <v>I</v>
      </c>
      <c r="L1064" s="4" t="str">
        <f t="shared" si="23"/>
        <v>I</v>
      </c>
      <c r="N1064" s="4" cm="1">
        <f t="array" ref="N1064">SUM(--(_xlfn.TEXTSPLIT($J$852,, " ") = M1064))</f>
        <v>2</v>
      </c>
      <c r="O1064">
        <v>2</v>
      </c>
      <c r="P1064">
        <v>0</v>
      </c>
      <c r="Q1064">
        <v>2</v>
      </c>
      <c r="R1064" s="4"/>
      <c r="S1064" s="10"/>
    </row>
    <row r="1065" spans="5:19" x14ac:dyDescent="0.2">
      <c r="E1065" s="4" t="s">
        <v>17</v>
      </c>
      <c r="K1065" t="str">
        <v>want</v>
      </c>
      <c r="L1065" s="4" t="str">
        <f t="shared" si="23"/>
        <v>want</v>
      </c>
      <c r="N1065" s="4" cm="1">
        <f t="array" ref="N1065">SUM(--(_xlfn.TEXTSPLIT($J$852,, " ") = M1065))</f>
        <v>2</v>
      </c>
      <c r="O1065">
        <v>2</v>
      </c>
      <c r="P1065">
        <v>0</v>
      </c>
      <c r="Q1065">
        <v>2</v>
      </c>
      <c r="R1065" s="4"/>
      <c r="S1065" s="10"/>
    </row>
    <row r="1066" spans="5:19" x14ac:dyDescent="0.2">
      <c r="E1066" s="4" t="s">
        <v>17</v>
      </c>
      <c r="K1066" t="str">
        <v>to</v>
      </c>
      <c r="L1066" s="4" t="str">
        <f t="shared" si="23"/>
        <v>to</v>
      </c>
      <c r="N1066" s="4" cm="1">
        <f t="array" ref="N1066">SUM(--(_xlfn.TEXTSPLIT($J$852,, " ") = M1066))</f>
        <v>2</v>
      </c>
      <c r="O1066">
        <v>2</v>
      </c>
      <c r="P1066">
        <v>0</v>
      </c>
      <c r="Q1066">
        <v>2</v>
      </c>
      <c r="R1066" s="4"/>
      <c r="S1066" s="10"/>
    </row>
    <row r="1067" spans="5:19" x14ac:dyDescent="0.2">
      <c r="E1067" s="4" t="s">
        <v>17</v>
      </c>
      <c r="K1067" t="str">
        <v xml:space="preserve">change
</v>
      </c>
      <c r="L1067" s="4" t="str">
        <f t="shared" si="23"/>
        <v xml:space="preserve">change  </v>
      </c>
      <c r="N1067" s="4" cm="1">
        <f t="array" ref="N1067">SUM(--(_xlfn.TEXTSPLIT($J$852,, " ") = M1067))</f>
        <v>2</v>
      </c>
      <c r="O1067">
        <v>2</v>
      </c>
      <c r="P1067">
        <v>0</v>
      </c>
      <c r="Q1067">
        <v>2</v>
      </c>
      <c r="R1067" s="4"/>
      <c r="S1067" s="10"/>
    </row>
    <row r="1068" spans="5:19" x14ac:dyDescent="0.2">
      <c r="E1068" s="4" t="s">
        <v>17</v>
      </c>
      <c r="K1068" t="str">
        <v>He's</v>
      </c>
      <c r="L1068" s="4" t="str">
        <f t="shared" si="23"/>
        <v>He s</v>
      </c>
      <c r="N1068" s="4" cm="1">
        <f t="array" ref="N1068">SUM(--(_xlfn.TEXTSPLIT($J$852,, " ") = M1068))</f>
        <v>2</v>
      </c>
      <c r="O1068">
        <v>2</v>
      </c>
      <c r="P1068">
        <v>0</v>
      </c>
      <c r="Q1068">
        <v>2</v>
      </c>
      <c r="R1068" s="4"/>
      <c r="S1068" s="10"/>
    </row>
    <row r="1069" spans="5:19" x14ac:dyDescent="0.2">
      <c r="E1069" s="4" t="s">
        <v>17</v>
      </c>
      <c r="K1069" t="str">
        <v>puttin'</v>
      </c>
      <c r="L1069" s="4" t="str">
        <f t="shared" si="23"/>
        <v xml:space="preserve">puttin </v>
      </c>
      <c r="N1069" s="4" cm="1">
        <f t="array" ref="N1069">SUM(--(_xlfn.TEXTSPLIT($J$852,, " ") = M1069))</f>
        <v>2</v>
      </c>
      <c r="O1069">
        <v>2</v>
      </c>
      <c r="P1069">
        <v>0</v>
      </c>
      <c r="Q1069">
        <v>2</v>
      </c>
      <c r="R1069" s="4"/>
      <c r="S1069" s="10"/>
    </row>
    <row r="1070" spans="5:19" x14ac:dyDescent="0.2">
      <c r="E1070" s="4" t="s">
        <v>17</v>
      </c>
      <c r="K1070" t="str">
        <v>on</v>
      </c>
      <c r="L1070" s="4" t="str">
        <f t="shared" si="23"/>
        <v>on</v>
      </c>
      <c r="N1070" s="4" cm="1">
        <f t="array" ref="N1070">SUM(--(_xlfn.TEXTSPLIT($J$852,, " ") = M1070))</f>
        <v>2</v>
      </c>
      <c r="O1070">
        <v>2</v>
      </c>
      <c r="P1070">
        <v>0</v>
      </c>
      <c r="Q1070">
        <v>2</v>
      </c>
      <c r="R1070" s="4"/>
      <c r="S1070" s="10"/>
    </row>
    <row r="1071" spans="5:19" x14ac:dyDescent="0.2">
      <c r="E1071" s="4" t="s">
        <v>17</v>
      </c>
      <c r="K1071" t="str">
        <v>a</v>
      </c>
      <c r="L1071" s="4" t="str">
        <f t="shared" si="23"/>
        <v>a</v>
      </c>
      <c r="N1071" s="4" cm="1">
        <f t="array" ref="N1071">SUM(--(_xlfn.TEXTSPLIT($J$852,, " ") = M1071))</f>
        <v>2</v>
      </c>
      <c r="O1071">
        <v>2</v>
      </c>
      <c r="P1071">
        <v>0</v>
      </c>
      <c r="Q1071">
        <v>2</v>
      </c>
      <c r="R1071" s="4"/>
      <c r="S1071" s="10"/>
    </row>
    <row r="1072" spans="5:19" x14ac:dyDescent="0.2">
      <c r="E1072" s="4" t="s">
        <v>17</v>
      </c>
      <c r="K1072" t="str">
        <v>drum</v>
      </c>
      <c r="L1072" s="4" t="str">
        <f t="shared" si="23"/>
        <v>drum</v>
      </c>
      <c r="N1072" s="4" cm="1">
        <f t="array" ref="N1072">SUM(--(_xlfn.TEXTSPLIT($J$852,, " ") = M1072))</f>
        <v>2</v>
      </c>
      <c r="O1072">
        <v>2</v>
      </c>
      <c r="P1072">
        <v>0</v>
      </c>
      <c r="Q1072">
        <v>2</v>
      </c>
      <c r="R1072" s="4"/>
      <c r="S1072" s="10"/>
    </row>
    <row r="1073" spans="5:19" x14ac:dyDescent="0.2">
      <c r="E1073" s="4" t="s">
        <v>17</v>
      </c>
      <c r="K1073" t="str">
        <v xml:space="preserve">show
</v>
      </c>
      <c r="L1073" s="4" t="str">
        <f t="shared" si="23"/>
        <v xml:space="preserve">show  </v>
      </c>
      <c r="N1073" s="4" cm="1">
        <f t="array" ref="N1073">SUM(--(_xlfn.TEXTSPLIT($J$852,, " ") = M1073))</f>
        <v>2</v>
      </c>
      <c r="O1073">
        <v>2</v>
      </c>
      <c r="P1073">
        <v>0</v>
      </c>
      <c r="Q1073">
        <v>2</v>
      </c>
      <c r="R1073" s="4"/>
      <c r="S1073" s="10"/>
    </row>
    <row r="1074" spans="5:19" x14ac:dyDescent="0.2">
      <c r="E1074" s="4" t="s">
        <v>17</v>
      </c>
      <c r="K1074" t="str">
        <v>Even</v>
      </c>
      <c r="L1074" s="4" t="str">
        <f t="shared" si="23"/>
        <v>Even</v>
      </c>
      <c r="N1074" s="4" cm="1">
        <f t="array" ref="N1074">SUM(--(_xlfn.TEXTSPLIT($J$852,, " ") = M1074))</f>
        <v>2</v>
      </c>
      <c r="O1074">
        <v>2</v>
      </c>
      <c r="P1074">
        <v>0</v>
      </c>
      <c r="Q1074">
        <v>2</v>
      </c>
      <c r="R1074" s="4"/>
      <c r="S1074" s="10"/>
    </row>
    <row r="1075" spans="5:19" x14ac:dyDescent="0.2">
      <c r="E1075" s="4" t="s">
        <v>17</v>
      </c>
      <c r="K1075" t="str">
        <v>now,</v>
      </c>
      <c r="L1075" s="4" t="str">
        <f t="shared" si="23"/>
        <v xml:space="preserve">now </v>
      </c>
      <c r="N1075" s="4" cm="1">
        <f t="array" ref="N1075">SUM(--(_xlfn.TEXTSPLIT($J$852,, " ") = M1075))</f>
        <v>2</v>
      </c>
      <c r="O1075">
        <v>2</v>
      </c>
      <c r="P1075">
        <v>0</v>
      </c>
      <c r="Q1075">
        <v>2</v>
      </c>
      <c r="R1075" s="4"/>
      <c r="S1075" s="10"/>
    </row>
    <row r="1076" spans="5:19" x14ac:dyDescent="0.2">
      <c r="E1076" s="4" t="s">
        <v>17</v>
      </c>
      <c r="K1076" t="str">
        <v>even</v>
      </c>
      <c r="L1076" s="4" t="str">
        <f t="shared" si="23"/>
        <v>even</v>
      </c>
      <c r="N1076" s="4" cm="1">
        <f t="array" ref="N1076">SUM(--(_xlfn.TEXTSPLIT($J$852,, " ") = M1076))</f>
        <v>2</v>
      </c>
      <c r="O1076">
        <v>2</v>
      </c>
      <c r="P1076">
        <v>0</v>
      </c>
      <c r="Q1076">
        <v>2</v>
      </c>
      <c r="R1076" s="4"/>
      <c r="S1076" s="10"/>
    </row>
    <row r="1077" spans="5:19" x14ac:dyDescent="0.2">
      <c r="E1077" s="4" t="s">
        <v>17</v>
      </c>
      <c r="K1077" t="str">
        <v>now,</v>
      </c>
      <c r="L1077" s="4" t="str">
        <f t="shared" si="23"/>
        <v xml:space="preserve">now </v>
      </c>
      <c r="N1077" s="4" cm="1">
        <f t="array" ref="N1077">SUM(--(_xlfn.TEXTSPLIT($J$852,, " ") = M1077))</f>
        <v>2</v>
      </c>
      <c r="O1077">
        <v>2</v>
      </c>
      <c r="P1077">
        <v>0</v>
      </c>
      <c r="Q1077">
        <v>2</v>
      </c>
      <c r="R1077" s="4"/>
      <c r="S1077" s="10"/>
    </row>
    <row r="1078" spans="5:19" x14ac:dyDescent="0.2">
      <c r="E1078" s="4" t="s">
        <v>17</v>
      </c>
      <c r="K1078" t="str">
        <v>even</v>
      </c>
      <c r="L1078" s="4" t="str">
        <f t="shared" si="23"/>
        <v>even</v>
      </c>
      <c r="N1078" s="4" cm="1">
        <f t="array" ref="N1078">SUM(--(_xlfn.TEXTSPLIT($J$852,, " ") = M1078))</f>
        <v>2</v>
      </c>
      <c r="O1078">
        <v>2</v>
      </c>
      <c r="P1078">
        <v>0</v>
      </c>
      <c r="Q1078">
        <v>2</v>
      </c>
      <c r="R1078" s="4"/>
      <c r="S1078" s="10"/>
    </row>
    <row r="1079" spans="5:19" x14ac:dyDescent="0.2">
      <c r="E1079" s="4" t="s">
        <v>17</v>
      </c>
      <c r="K1079" t="str">
        <v xml:space="preserve">now
</v>
      </c>
      <c r="L1079" s="4" t="str">
        <f t="shared" si="23"/>
        <v xml:space="preserve">now </v>
      </c>
      <c r="N1079" s="4" cm="1">
        <f t="array" ref="N1079">SUM(--(_xlfn.TEXTSPLIT($J$852,, " ") = M1079))</f>
        <v>2</v>
      </c>
      <c r="O1079">
        <v>2</v>
      </c>
      <c r="P1079">
        <v>0</v>
      </c>
      <c r="Q1079">
        <v>2</v>
      </c>
      <c r="R1079" s="4"/>
      <c r="S1079" s="10"/>
    </row>
    <row r="1080" spans="5:19" x14ac:dyDescent="0.2">
      <c r="E1080" s="4" t="s">
        <v>17</v>
      </c>
      <c r="K1080" t="str">
        <v>He'll</v>
      </c>
      <c r="L1080" s="4" t="str">
        <f t="shared" si="23"/>
        <v>He ll</v>
      </c>
      <c r="N1080" s="4" cm="1">
        <f t="array" ref="N1080">SUM(--(_xlfn.TEXTSPLIT($J$852,, " ") = M1080))</f>
        <v>2</v>
      </c>
      <c r="O1080">
        <v>2</v>
      </c>
      <c r="P1080">
        <v>0</v>
      </c>
      <c r="Q1080">
        <v>2</v>
      </c>
      <c r="R1080" s="4"/>
      <c r="S1080" s="10"/>
    </row>
    <row r="1081" spans="5:19" x14ac:dyDescent="0.2">
      <c r="E1081" s="4" t="s">
        <v>17</v>
      </c>
      <c r="K1081" t="str">
        <v>take</v>
      </c>
      <c r="L1081" s="4" t="str">
        <f t="shared" si="23"/>
        <v>take</v>
      </c>
      <c r="N1081" s="4" cm="1">
        <f t="array" ref="N1081">SUM(--(_xlfn.TEXTSPLIT($J$852,, " ") = M1081))</f>
        <v>2</v>
      </c>
      <c r="O1081">
        <v>2</v>
      </c>
      <c r="P1081">
        <v>0</v>
      </c>
      <c r="Q1081">
        <v>2</v>
      </c>
      <c r="R1081" s="4"/>
      <c r="S1081" s="10"/>
    </row>
    <row r="1082" spans="5:19" x14ac:dyDescent="0.2">
      <c r="E1082" s="4" t="s">
        <v>17</v>
      </c>
      <c r="K1082" t="str">
        <v>the</v>
      </c>
      <c r="L1082" s="4" t="str">
        <f t="shared" si="23"/>
        <v>the</v>
      </c>
      <c r="N1082" s="4" cm="1">
        <f t="array" ref="N1082">SUM(--(_xlfn.TEXTSPLIT($J$852,, " ") = M1082))</f>
        <v>2</v>
      </c>
      <c r="O1082">
        <v>2</v>
      </c>
      <c r="P1082">
        <v>0</v>
      </c>
      <c r="Q1082">
        <v>2</v>
      </c>
      <c r="R1082" s="4"/>
      <c r="S1082" s="10"/>
    </row>
    <row r="1083" spans="5:19" x14ac:dyDescent="0.2">
      <c r="E1083" s="4" t="s">
        <v>17</v>
      </c>
      <c r="K1083" t="str">
        <v>longer</v>
      </c>
      <c r="L1083" s="4" t="str">
        <f t="shared" si="23"/>
        <v>longer</v>
      </c>
      <c r="N1083" s="4" cm="1">
        <f t="array" ref="N1083">SUM(--(_xlfn.TEXTSPLIT($J$852,, " ") = M1083))</f>
        <v>2</v>
      </c>
      <c r="O1083">
        <v>2</v>
      </c>
      <c r="P1083">
        <v>0</v>
      </c>
      <c r="Q1083">
        <v>2</v>
      </c>
      <c r="R1083" s="4"/>
      <c r="S1083" s="10"/>
    </row>
    <row r="1084" spans="5:19" x14ac:dyDescent="0.2">
      <c r="E1084" s="4" t="s">
        <v>17</v>
      </c>
      <c r="K1084" t="str">
        <v>way</v>
      </c>
      <c r="L1084" s="4" t="str">
        <f t="shared" si="23"/>
        <v>way</v>
      </c>
      <c r="N1084" s="4" cm="1">
        <f t="array" ref="N1084">SUM(--(_xlfn.TEXTSPLIT($J$852,, " ") = M1084))</f>
        <v>2</v>
      </c>
      <c r="O1084">
        <v>2</v>
      </c>
      <c r="P1084">
        <v>0</v>
      </c>
      <c r="Q1084">
        <v>2</v>
      </c>
      <c r="R1084" s="4"/>
      <c r="S1084" s="10"/>
    </row>
    <row r="1085" spans="5:19" x14ac:dyDescent="0.2">
      <c r="E1085" s="4" t="s">
        <v>17</v>
      </c>
      <c r="K1085" t="str">
        <v>home</v>
      </c>
      <c r="L1085" s="4" t="str">
        <f t="shared" si="23"/>
        <v>home</v>
      </c>
      <c r="N1085" s="4" cm="1">
        <f t="array" ref="N1085">SUM(--(_xlfn.TEXTSPLIT($J$852,, " ") = M1085))</f>
        <v>2</v>
      </c>
      <c r="O1085">
        <v>2</v>
      </c>
      <c r="P1085">
        <v>0</v>
      </c>
      <c r="Q1085">
        <v>2</v>
      </c>
      <c r="R1085" s="4"/>
      <c r="S1085" s="10"/>
    </row>
    <row r="1086" spans="5:19" x14ac:dyDescent="0.2">
      <c r="E1086" s="4" t="s">
        <v>17</v>
      </c>
      <c r="K1086" t="str">
        <v>(I've</v>
      </c>
      <c r="L1086" s="4" t="str">
        <f t="shared" si="23"/>
        <v xml:space="preserve"> I ve</v>
      </c>
      <c r="N1086" s="4" cm="1">
        <f t="array" ref="N1086">SUM(--(_xlfn.TEXTSPLIT($J$852,, " ") = M1086))</f>
        <v>2</v>
      </c>
      <c r="O1086">
        <v>2</v>
      </c>
      <c r="P1086">
        <v>0</v>
      </c>
      <c r="Q1086">
        <v>2</v>
      </c>
      <c r="R1086" s="4"/>
      <c r="S1086" s="10"/>
    </row>
    <row r="1087" spans="5:19" x14ac:dyDescent="0.2">
      <c r="E1087" s="4" t="s">
        <v>17</v>
      </c>
      <c r="K1087" t="str">
        <v>been</v>
      </c>
      <c r="L1087" s="4" t="str">
        <f t="shared" si="23"/>
        <v>been</v>
      </c>
      <c r="N1087" s="4" cm="1">
        <f t="array" ref="N1087">SUM(--(_xlfn.TEXTSPLIT($J$852,, " ") = M1087))</f>
        <v>2</v>
      </c>
      <c r="O1087">
        <v>2</v>
      </c>
      <c r="P1087">
        <v>0</v>
      </c>
      <c r="Q1087">
        <v>2</v>
      </c>
      <c r="R1087" s="4"/>
      <c r="S1087" s="10"/>
    </row>
    <row r="1088" spans="5:19" x14ac:dyDescent="0.2">
      <c r="E1088" s="4" t="s">
        <v>17</v>
      </c>
      <c r="K1088" t="str">
        <v>this</v>
      </c>
      <c r="L1088" s="4" t="str">
        <f t="shared" si="23"/>
        <v>this</v>
      </c>
      <c r="N1088" s="4" cm="1">
        <f t="array" ref="N1088">SUM(--(_xlfn.TEXTSPLIT($J$852,, " ") = M1088))</f>
        <v>2</v>
      </c>
      <c r="O1088">
        <v>2</v>
      </c>
      <c r="P1088">
        <v>0</v>
      </c>
      <c r="Q1088">
        <v>2</v>
      </c>
      <c r="R1088" s="4"/>
      <c r="S1088" s="10"/>
    </row>
    <row r="1089" spans="5:19" x14ac:dyDescent="0.2">
      <c r="E1089" s="4" t="s">
        <v>17</v>
      </c>
      <c r="K1089" t="str">
        <v xml:space="preserve">way)
</v>
      </c>
      <c r="L1089" s="4" t="str">
        <f t="shared" si="23"/>
        <v xml:space="preserve">way  </v>
      </c>
      <c r="N1089" s="4" cm="1">
        <f t="array" ref="N1089">SUM(--(_xlfn.TEXTSPLIT($J$852,, " ") = M1089))</f>
        <v>2</v>
      </c>
      <c r="O1089">
        <v>2</v>
      </c>
      <c r="P1089">
        <v>0</v>
      </c>
      <c r="Q1089">
        <v>2</v>
      </c>
      <c r="R1089" s="4"/>
      <c r="S1089" s="10"/>
    </row>
    <row r="1090" spans="5:19" x14ac:dyDescent="0.2">
      <c r="E1090" s="4" t="s">
        <v>17</v>
      </c>
      <c r="K1090" t="str">
        <v>Even</v>
      </c>
      <c r="L1090" s="4" t="str">
        <f t="shared" si="23"/>
        <v>Even</v>
      </c>
      <c r="N1090" s="4" cm="1">
        <f t="array" ref="N1090">SUM(--(_xlfn.TEXTSPLIT($J$852,, " ") = M1090))</f>
        <v>2</v>
      </c>
      <c r="O1090">
        <v>2</v>
      </c>
      <c r="P1090">
        <v>0</v>
      </c>
      <c r="Q1090">
        <v>2</v>
      </c>
      <c r="R1090" s="4"/>
      <c r="S1090" s="10"/>
    </row>
    <row r="1091" spans="5:19" x14ac:dyDescent="0.2">
      <c r="E1091" s="4" t="s">
        <v>17</v>
      </c>
      <c r="K1091" t="str">
        <v>now,</v>
      </c>
      <c r="L1091" s="4" t="str">
        <f t="shared" si="23"/>
        <v xml:space="preserve">now </v>
      </c>
      <c r="N1091" s="4" cm="1">
        <f t="array" ref="N1091">SUM(--(_xlfn.TEXTSPLIT($J$852,, " ") = M1091))</f>
        <v>2</v>
      </c>
      <c r="O1091">
        <v>2</v>
      </c>
      <c r="P1091">
        <v>0</v>
      </c>
      <c r="Q1091">
        <v>2</v>
      </c>
      <c r="R1091" s="4"/>
      <c r="S1091" s="10"/>
    </row>
    <row r="1092" spans="5:19" x14ac:dyDescent="0.2">
      <c r="E1092" s="4" t="s">
        <v>17</v>
      </c>
      <c r="K1092" t="str">
        <v>well</v>
      </c>
      <c r="L1092" s="4" t="str">
        <f t="shared" ref="L1092:L1155" si="24">_xlfn.REGEXREPLACE(K1092, "[^A-Za-z ]", " ")</f>
        <v>well</v>
      </c>
      <c r="N1092" s="4" cm="1">
        <f t="array" ref="N1092">SUM(--(_xlfn.TEXTSPLIT($J$852,, " ") = M1092))</f>
        <v>2</v>
      </c>
      <c r="O1092">
        <v>2</v>
      </c>
      <c r="P1092">
        <v>0</v>
      </c>
      <c r="Q1092">
        <v>2</v>
      </c>
      <c r="R1092" s="4"/>
      <c r="S1092" s="10"/>
    </row>
    <row r="1093" spans="5:19" x14ac:dyDescent="0.2">
      <c r="E1093" s="4" t="s">
        <v>17</v>
      </c>
      <c r="K1093" t="str">
        <v>even</v>
      </c>
      <c r="L1093" s="4" t="str">
        <f t="shared" si="24"/>
        <v>even</v>
      </c>
      <c r="N1093" s="4" cm="1">
        <f t="array" ref="N1093">SUM(--(_xlfn.TEXTSPLIT($J$852,, " ") = M1093))</f>
        <v>2</v>
      </c>
      <c r="O1093">
        <v>2</v>
      </c>
      <c r="P1093">
        <v>0</v>
      </c>
      <c r="Q1093">
        <v>2</v>
      </c>
      <c r="R1093" s="4"/>
      <c r="S1093" s="10"/>
    </row>
    <row r="1094" spans="5:19" x14ac:dyDescent="0.2">
      <c r="E1094" s="4" t="s">
        <v>17</v>
      </c>
      <c r="K1094" t="str">
        <v>now,</v>
      </c>
      <c r="L1094" s="4" t="str">
        <f t="shared" si="24"/>
        <v xml:space="preserve">now </v>
      </c>
      <c r="N1094" s="4" cm="1">
        <f t="array" ref="N1094">SUM(--(_xlfn.TEXTSPLIT($J$852,, " ") = M1094))</f>
        <v>2</v>
      </c>
      <c r="O1094">
        <v>2</v>
      </c>
      <c r="P1094">
        <v>0</v>
      </c>
      <c r="Q1094">
        <v>2</v>
      </c>
      <c r="R1094" s="4"/>
      <c r="S1094" s="10"/>
    </row>
    <row r="1095" spans="5:19" x14ac:dyDescent="0.2">
      <c r="E1095" s="4" t="s">
        <v>17</v>
      </c>
      <c r="K1095" t="str">
        <v>well</v>
      </c>
      <c r="L1095" s="4" t="str">
        <f t="shared" si="24"/>
        <v>well</v>
      </c>
      <c r="N1095" s="4" cm="1">
        <f t="array" ref="N1095">SUM(--(_xlfn.TEXTSPLIT($J$852,, " ") = M1095))</f>
        <v>2</v>
      </c>
      <c r="O1095">
        <v>2</v>
      </c>
      <c r="P1095">
        <v>0</v>
      </c>
      <c r="Q1095">
        <v>2</v>
      </c>
      <c r="R1095" s="4"/>
      <c r="S1095" s="10"/>
    </row>
    <row r="1096" spans="5:19" x14ac:dyDescent="0.2">
      <c r="E1096" s="4" t="s">
        <v>17</v>
      </c>
      <c r="K1096" t="str">
        <v>even</v>
      </c>
      <c r="L1096" s="4" t="str">
        <f t="shared" si="24"/>
        <v>even</v>
      </c>
      <c r="N1096" s="4" cm="1">
        <f t="array" ref="N1096">SUM(--(_xlfn.TEXTSPLIT($J$852,, " ") = M1096))</f>
        <v>2</v>
      </c>
      <c r="O1096">
        <v>2</v>
      </c>
      <c r="P1096">
        <v>0</v>
      </c>
      <c r="Q1096">
        <v>2</v>
      </c>
      <c r="R1096" s="4"/>
      <c r="S1096" s="10"/>
    </row>
    <row r="1097" spans="5:19" x14ac:dyDescent="0.2">
      <c r="E1097" s="4" t="s">
        <v>17</v>
      </c>
      <c r="K1097" t="str">
        <v xml:space="preserve">now
</v>
      </c>
      <c r="L1097" s="4" t="str">
        <f t="shared" si="24"/>
        <v xml:space="preserve">now </v>
      </c>
      <c r="N1097" s="4" cm="1">
        <f t="array" ref="N1097">SUM(--(_xlfn.TEXTSPLIT($J$852,, " ") = M1097))</f>
        <v>2</v>
      </c>
      <c r="O1097">
        <v>2</v>
      </c>
      <c r="P1097">
        <v>0</v>
      </c>
      <c r="Q1097">
        <v>2</v>
      </c>
      <c r="R1097" s="4"/>
      <c r="S1097" s="10"/>
    </row>
    <row r="1098" spans="5:19" x14ac:dyDescent="0.2">
      <c r="E1098" s="4" t="s">
        <v>17</v>
      </c>
      <c r="K1098" t="str">
        <v>He'll</v>
      </c>
      <c r="L1098" s="4" t="str">
        <f t="shared" si="24"/>
        <v>He ll</v>
      </c>
      <c r="N1098" s="4" cm="1">
        <f t="array" ref="N1098">SUM(--(_xlfn.TEXTSPLIT($J$852,, " ") = M1098))</f>
        <v>2</v>
      </c>
      <c r="O1098">
        <v>2</v>
      </c>
      <c r="P1098">
        <v>0</v>
      </c>
      <c r="Q1098">
        <v>2</v>
      </c>
      <c r="R1098" s="4"/>
      <c r="S1098" s="10"/>
    </row>
    <row r="1099" spans="5:19" x14ac:dyDescent="0.2">
      <c r="E1099" s="4" t="s">
        <v>17</v>
      </c>
      <c r="K1099" t="str">
        <v>never</v>
      </c>
      <c r="L1099" s="4" t="str">
        <f t="shared" si="24"/>
        <v>never</v>
      </c>
      <c r="N1099" s="4" cm="1">
        <f t="array" ref="N1099">SUM(--(_xlfn.TEXTSPLIT($J$852,, " ") = M1099))</f>
        <v>2</v>
      </c>
      <c r="O1099">
        <v>2</v>
      </c>
      <c r="P1099">
        <v>0</v>
      </c>
      <c r="Q1099">
        <v>2</v>
      </c>
      <c r="R1099" s="4"/>
      <c r="S1099" s="10"/>
    </row>
    <row r="1100" spans="5:19" x14ac:dyDescent="0.2">
      <c r="E1100" s="4" t="s">
        <v>17</v>
      </c>
      <c r="K1100" t="str">
        <v>ever</v>
      </c>
      <c r="L1100" s="4" t="str">
        <f t="shared" si="24"/>
        <v>ever</v>
      </c>
      <c r="N1100" s="4" cm="1">
        <f t="array" ref="N1100">SUM(--(_xlfn.TEXTSPLIT($J$852,, " ") = M1100))</f>
        <v>2</v>
      </c>
      <c r="O1100">
        <v>2</v>
      </c>
      <c r="P1100">
        <v>0</v>
      </c>
      <c r="Q1100">
        <v>2</v>
      </c>
      <c r="R1100" s="4"/>
      <c r="S1100" s="10"/>
    </row>
    <row r="1101" spans="5:19" x14ac:dyDescent="0.2">
      <c r="E1101" s="4" t="s">
        <v>17</v>
      </c>
      <c r="K1101" t="str">
        <v>say</v>
      </c>
      <c r="L1101" s="4" t="str">
        <f t="shared" si="24"/>
        <v>say</v>
      </c>
      <c r="N1101" s="4" cm="1">
        <f t="array" ref="N1101">SUM(--(_xlfn.TEXTSPLIT($J$852,, " ") = M1101))</f>
        <v>2</v>
      </c>
      <c r="O1101">
        <v>2</v>
      </c>
      <c r="P1101">
        <v>0</v>
      </c>
      <c r="Q1101">
        <v>2</v>
      </c>
      <c r="R1101" s="4"/>
      <c r="S1101" s="10"/>
    </row>
    <row r="1102" spans="5:19" x14ac:dyDescent="0.2">
      <c r="E1102" s="4" t="s">
        <v>17</v>
      </c>
      <c r="K1102" t="str">
        <v>so</v>
      </c>
      <c r="L1102" s="4" t="str">
        <f t="shared" si="24"/>
        <v>so</v>
      </c>
      <c r="N1102" s="4" cm="1">
        <f t="array" ref="N1102">SUM(--(_xlfn.TEXTSPLIT($J$852,, " ") = M1102))</f>
        <v>2</v>
      </c>
      <c r="O1102">
        <v>2</v>
      </c>
      <c r="P1102">
        <v>0</v>
      </c>
      <c r="Q1102">
        <v>2</v>
      </c>
      <c r="R1102" s="4"/>
      <c r="S1102" s="10"/>
    </row>
    <row r="1103" spans="5:19" x14ac:dyDescent="0.2">
      <c r="E1103" s="4" t="s">
        <v>17</v>
      </c>
      <c r="K1103" t="str">
        <v>(I</v>
      </c>
      <c r="L1103" s="4" t="str">
        <f t="shared" si="24"/>
        <v xml:space="preserve"> I</v>
      </c>
      <c r="N1103" s="4" cm="1">
        <f t="array" ref="N1103">SUM(--(_xlfn.TEXTSPLIT($J$852,, " ") = M1103))</f>
        <v>2</v>
      </c>
      <c r="O1103">
        <v>2</v>
      </c>
      <c r="P1103">
        <v>0</v>
      </c>
      <c r="Q1103">
        <v>2</v>
      </c>
      <c r="R1103" s="4"/>
      <c r="S1103" s="10"/>
    </row>
    <row r="1104" spans="5:19" x14ac:dyDescent="0.2">
      <c r="E1104" s="4" t="s">
        <v>17</v>
      </c>
      <c r="K1104" t="str">
        <v>want</v>
      </c>
      <c r="L1104" s="4" t="str">
        <f t="shared" si="24"/>
        <v>want</v>
      </c>
      <c r="N1104" s="4" cm="1">
        <f t="array" ref="N1104">SUM(--(_xlfn.TEXTSPLIT($J$852,, " ") = M1104))</f>
        <v>2</v>
      </c>
      <c r="O1104">
        <v>2</v>
      </c>
      <c r="P1104">
        <v>0</v>
      </c>
      <c r="Q1104">
        <v>2</v>
      </c>
      <c r="R1104" s="4"/>
      <c r="S1104" s="10"/>
    </row>
    <row r="1105" spans="5:19" x14ac:dyDescent="0.2">
      <c r="E1105" s="4" t="s">
        <v>17</v>
      </c>
      <c r="K1105" t="str">
        <v>to</v>
      </c>
      <c r="L1105" s="4" t="str">
        <f t="shared" si="24"/>
        <v>to</v>
      </c>
      <c r="N1105" s="4" cm="1">
        <f t="array" ref="N1105">SUM(--(_xlfn.TEXTSPLIT($J$852,, " ") = M1105))</f>
        <v>2</v>
      </c>
      <c r="O1105">
        <v>2</v>
      </c>
      <c r="P1105">
        <v>0</v>
      </c>
      <c r="Q1105">
        <v>2</v>
      </c>
      <c r="R1105" s="4"/>
      <c r="S1105" s="10"/>
    </row>
    <row r="1106" spans="5:19" x14ac:dyDescent="0.2">
      <c r="E1106" s="4" t="s">
        <v>17</v>
      </c>
      <c r="K1106" t="str">
        <v xml:space="preserve">change)
</v>
      </c>
      <c r="L1106" s="4" t="str">
        <f t="shared" si="24"/>
        <v xml:space="preserve">change  </v>
      </c>
      <c r="N1106" s="4" cm="1">
        <f t="array" ref="N1106">SUM(--(_xlfn.TEXTSPLIT($J$852,, " ") = M1106))</f>
        <v>2</v>
      </c>
      <c r="O1106">
        <v>2</v>
      </c>
      <c r="P1106">
        <v>0</v>
      </c>
      <c r="Q1106">
        <v>2</v>
      </c>
      <c r="R1106" s="4"/>
      <c r="S1106" s="10"/>
    </row>
    <row r="1107" spans="5:19" x14ac:dyDescent="0.2">
      <c r="E1107" s="4" t="s">
        <v>17</v>
      </c>
      <c r="K1107" t="str">
        <v>He</v>
      </c>
      <c r="L1107" s="4" t="str">
        <f t="shared" si="24"/>
        <v>He</v>
      </c>
      <c r="N1107" s="4" cm="1">
        <f t="array" ref="N1107">SUM(--(_xlfn.TEXTSPLIT($J$852,, " ") = M1107))</f>
        <v>2</v>
      </c>
      <c r="O1107">
        <v>2</v>
      </c>
      <c r="P1107">
        <v>0</v>
      </c>
      <c r="Q1107">
        <v>2</v>
      </c>
      <c r="R1107" s="4"/>
      <c r="S1107" s="10"/>
    </row>
    <row r="1108" spans="5:19" x14ac:dyDescent="0.2">
      <c r="E1108" s="4" t="s">
        <v>17</v>
      </c>
      <c r="K1108" t="str">
        <v>drives</v>
      </c>
      <c r="L1108" s="4" t="str">
        <f t="shared" si="24"/>
        <v>drives</v>
      </c>
      <c r="N1108" s="4" cm="1">
        <f t="array" ref="N1108">SUM(--(_xlfn.TEXTSPLIT($J$852,, " ") = M1108))</f>
        <v>2</v>
      </c>
      <c r="O1108">
        <v>2</v>
      </c>
      <c r="P1108">
        <v>0</v>
      </c>
      <c r="Q1108">
        <v>2</v>
      </c>
      <c r="R1108" s="4"/>
      <c r="S1108" s="10"/>
    </row>
    <row r="1109" spans="5:19" x14ac:dyDescent="0.2">
      <c r="E1109" s="4" t="s">
        <v>17</v>
      </c>
      <c r="K1109" t="str">
        <v>fast</v>
      </c>
      <c r="L1109" s="4" t="str">
        <f t="shared" si="24"/>
        <v>fast</v>
      </c>
      <c r="N1109" s="4" cm="1">
        <f t="array" ref="N1109">SUM(--(_xlfn.TEXTSPLIT($J$852,, " ") = M1109))</f>
        <v>2</v>
      </c>
      <c r="O1109">
        <v>2</v>
      </c>
      <c r="P1109">
        <v>0</v>
      </c>
      <c r="Q1109">
        <v>2</v>
      </c>
      <c r="R1109" s="4"/>
      <c r="S1109" s="10"/>
    </row>
    <row r="1110" spans="5:19" x14ac:dyDescent="0.2">
      <c r="E1110" s="4" t="s">
        <v>17</v>
      </c>
      <c r="K1110" t="str">
        <v>just</v>
      </c>
      <c r="L1110" s="4" t="str">
        <f t="shared" si="24"/>
        <v>just</v>
      </c>
      <c r="N1110" s="4" cm="1">
        <f t="array" ref="N1110">SUM(--(_xlfn.TEXTSPLIT($J$852,, " ") = M1110))</f>
        <v>2</v>
      </c>
      <c r="O1110">
        <v>2</v>
      </c>
      <c r="P1110">
        <v>0</v>
      </c>
      <c r="Q1110">
        <v>2</v>
      </c>
      <c r="R1110" s="4"/>
      <c r="S1110" s="10"/>
    </row>
    <row r="1111" spans="5:19" x14ac:dyDescent="0.2">
      <c r="E1111" s="4" t="s">
        <v>17</v>
      </c>
      <c r="K1111" t="str">
        <v>to</v>
      </c>
      <c r="L1111" s="4" t="str">
        <f t="shared" si="24"/>
        <v>to</v>
      </c>
      <c r="N1111" s="4" cm="1">
        <f t="array" ref="N1111">SUM(--(_xlfn.TEXTSPLIT($J$852,, " ") = M1111))</f>
        <v>2</v>
      </c>
      <c r="O1111">
        <v>2</v>
      </c>
      <c r="P1111">
        <v>0</v>
      </c>
      <c r="Q1111">
        <v>2</v>
      </c>
      <c r="R1111" s="4"/>
      <c r="S1111" s="10"/>
    </row>
    <row r="1112" spans="5:19" x14ac:dyDescent="0.2">
      <c r="E1112" s="4" t="s">
        <v>17</v>
      </c>
      <c r="K1112" t="str">
        <v>feel</v>
      </c>
      <c r="L1112" s="4" t="str">
        <f t="shared" si="24"/>
        <v>feel</v>
      </c>
      <c r="N1112" s="4" cm="1">
        <f t="array" ref="N1112">SUM(--(_xlfn.TEXTSPLIT($J$852,, " ") = M1112))</f>
        <v>2</v>
      </c>
      <c r="O1112">
        <v>2</v>
      </c>
      <c r="P1112">
        <v>0</v>
      </c>
      <c r="Q1112">
        <v>2</v>
      </c>
      <c r="R1112" s="4"/>
      <c r="S1112" s="10"/>
    </row>
    <row r="1113" spans="5:19" x14ac:dyDescent="0.2">
      <c r="E1113" s="4" t="s">
        <v>17</v>
      </c>
      <c r="K1113" t="str">
        <v>it,</v>
      </c>
      <c r="L1113" s="4" t="str">
        <f t="shared" si="24"/>
        <v xml:space="preserve">it </v>
      </c>
      <c r="N1113" s="4" cm="1">
        <f t="array" ref="N1113">SUM(--(_xlfn.TEXTSPLIT($J$852,, " ") = M1113))</f>
        <v>2</v>
      </c>
      <c r="O1113">
        <v>2</v>
      </c>
      <c r="P1113">
        <v>0</v>
      </c>
      <c r="Q1113">
        <v>2</v>
      </c>
      <c r="R1113" s="4"/>
      <c r="S1113" s="10"/>
    </row>
    <row r="1114" spans="5:19" x14ac:dyDescent="0.2">
      <c r="E1114" s="4" t="s">
        <v>17</v>
      </c>
      <c r="K1114" t="str">
        <v>feel</v>
      </c>
      <c r="L1114" s="4" t="str">
        <f t="shared" si="24"/>
        <v>feel</v>
      </c>
      <c r="N1114" s="4" cm="1">
        <f t="array" ref="N1114">SUM(--(_xlfn.TEXTSPLIT($J$852,, " ") = M1114))</f>
        <v>2</v>
      </c>
      <c r="O1114">
        <v>2</v>
      </c>
      <c r="P1114">
        <v>0</v>
      </c>
      <c r="Q1114">
        <v>2</v>
      </c>
      <c r="R1114" s="4"/>
      <c r="S1114" s="10"/>
    </row>
    <row r="1115" spans="5:19" x14ac:dyDescent="0.2">
      <c r="E1115" s="4" t="s">
        <v>17</v>
      </c>
      <c r="K1115" t="str">
        <v>it</v>
      </c>
      <c r="L1115" s="4" t="str">
        <f t="shared" si="24"/>
        <v>it</v>
      </c>
      <c r="N1115" s="4" cm="1">
        <f t="array" ref="N1115">SUM(--(_xlfn.TEXTSPLIT($J$852,, " ") = M1115))</f>
        <v>2</v>
      </c>
      <c r="O1115">
        <v>2</v>
      </c>
      <c r="P1115">
        <v>0</v>
      </c>
      <c r="Q1115">
        <v>2</v>
      </c>
      <c r="R1115" s="4"/>
      <c r="S1115" s="10"/>
    </row>
    <row r="1116" spans="5:19" x14ac:dyDescent="0.2">
      <c r="E1116" s="4" t="s">
        <v>17</v>
      </c>
      <c r="K1116" t="str">
        <v>(Feel</v>
      </c>
      <c r="L1116" s="4" t="str">
        <f t="shared" si="24"/>
        <v xml:space="preserve"> Feel</v>
      </c>
      <c r="N1116" s="4" cm="1">
        <f t="array" ref="N1116">SUM(--(_xlfn.TEXTSPLIT($J$852,, " ") = M1116))</f>
        <v>2</v>
      </c>
      <c r="O1116">
        <v>2</v>
      </c>
      <c r="P1116">
        <v>0</v>
      </c>
      <c r="Q1116">
        <v>2</v>
      </c>
      <c r="R1116" s="4"/>
      <c r="S1116" s="10"/>
    </row>
    <row r="1117" spans="5:19" x14ac:dyDescent="0.2">
      <c r="E1117" s="4" t="s">
        <v>17</v>
      </c>
      <c r="K1117" t="str">
        <v xml:space="preserve">it)
</v>
      </c>
      <c r="L1117" s="4" t="str">
        <f t="shared" si="24"/>
        <v xml:space="preserve">it  </v>
      </c>
      <c r="N1117" s="4" cm="1">
        <f t="array" ref="N1117">SUM(--(_xlfn.TEXTSPLIT($J$852,, " ") = M1117))</f>
        <v>2</v>
      </c>
      <c r="O1117">
        <v>2</v>
      </c>
      <c r="P1117">
        <v>0</v>
      </c>
      <c r="Q1117">
        <v>2</v>
      </c>
      <c r="R1117" s="4"/>
      <c r="S1117" s="10"/>
    </row>
    <row r="1118" spans="5:19" x14ac:dyDescent="0.2">
      <c r="E1118" s="4" t="s">
        <v>17</v>
      </c>
      <c r="K1118" t="str">
        <v>He</v>
      </c>
      <c r="L1118" s="4" t="str">
        <f t="shared" si="24"/>
        <v>He</v>
      </c>
      <c r="N1118" s="4" cm="1">
        <f t="array" ref="N1118">SUM(--(_xlfn.TEXTSPLIT($J$852,, " ") = M1118))</f>
        <v>2</v>
      </c>
      <c r="O1118">
        <v>2</v>
      </c>
      <c r="P1118">
        <v>0</v>
      </c>
      <c r="Q1118">
        <v>2</v>
      </c>
      <c r="R1118" s="4"/>
      <c r="S1118" s="10"/>
    </row>
    <row r="1119" spans="5:19" x14ac:dyDescent="0.2">
      <c r="E1119" s="4" t="s">
        <v>17</v>
      </c>
      <c r="K1119" t="str">
        <v>drives</v>
      </c>
      <c r="L1119" s="4" t="str">
        <f t="shared" si="24"/>
        <v>drives</v>
      </c>
      <c r="N1119" s="4" cm="1">
        <f t="array" ref="N1119">SUM(--(_xlfn.TEXTSPLIT($J$852,, " ") = M1119))</f>
        <v>2</v>
      </c>
      <c r="O1119">
        <v>2</v>
      </c>
      <c r="P1119">
        <v>0</v>
      </c>
      <c r="Q1119">
        <v>2</v>
      </c>
      <c r="R1119" s="4"/>
      <c r="S1119" s="10"/>
    </row>
    <row r="1120" spans="5:19" x14ac:dyDescent="0.2">
      <c r="E1120" s="4" t="s">
        <v>17</v>
      </c>
      <c r="K1120" t="str">
        <v>slow</v>
      </c>
      <c r="L1120" s="4" t="str">
        <f t="shared" si="24"/>
        <v>slow</v>
      </c>
      <c r="N1120" s="4" cm="1">
        <f t="array" ref="N1120">SUM(--(_xlfn.TEXTSPLIT($J$852,, " ") = M1120))</f>
        <v>2</v>
      </c>
      <c r="O1120">
        <v>2</v>
      </c>
      <c r="P1120">
        <v>0</v>
      </c>
      <c r="Q1120">
        <v>2</v>
      </c>
      <c r="R1120" s="4"/>
      <c r="S1120" s="10"/>
    </row>
    <row r="1121" spans="5:19" x14ac:dyDescent="0.2">
      <c r="E1121" s="4" t="s">
        <v>17</v>
      </c>
      <c r="K1121" t="str">
        <v>if</v>
      </c>
      <c r="L1121" s="4" t="str">
        <f t="shared" si="24"/>
        <v>if</v>
      </c>
      <c r="N1121" s="4" cm="1">
        <f t="array" ref="N1121">SUM(--(_xlfn.TEXTSPLIT($J$852,, " ") = M1121))</f>
        <v>2</v>
      </c>
      <c r="O1121">
        <v>2</v>
      </c>
      <c r="P1121">
        <v>0</v>
      </c>
      <c r="Q1121">
        <v>2</v>
      </c>
      <c r="R1121" s="4"/>
      <c r="S1121" s="10"/>
    </row>
    <row r="1122" spans="5:19" x14ac:dyDescent="0.2">
      <c r="E1122" s="4" t="s">
        <v>17</v>
      </c>
      <c r="K1122" t="str">
        <v>his</v>
      </c>
      <c r="L1122" s="4" t="str">
        <f t="shared" si="24"/>
        <v>his</v>
      </c>
      <c r="N1122" s="4" cm="1">
        <f t="array" ref="N1122">SUM(--(_xlfn.TEXTSPLIT($J$852,, " ") = M1122))</f>
        <v>2</v>
      </c>
      <c r="O1122">
        <v>2</v>
      </c>
      <c r="P1122">
        <v>0</v>
      </c>
      <c r="Q1122">
        <v>2</v>
      </c>
      <c r="R1122" s="4"/>
      <c r="S1122" s="10"/>
    </row>
    <row r="1123" spans="5:19" x14ac:dyDescent="0.2">
      <c r="E1123" s="4" t="s">
        <v>17</v>
      </c>
      <c r="K1123" t="str">
        <v>song's</v>
      </c>
      <c r="L1123" s="4" t="str">
        <f t="shared" si="24"/>
        <v>song s</v>
      </c>
      <c r="N1123" s="4" cm="1">
        <f t="array" ref="N1123">SUM(--(_xlfn.TEXTSPLIT($J$852,, " ") = M1123))</f>
        <v>2</v>
      </c>
      <c r="O1123">
        <v>2</v>
      </c>
      <c r="P1123">
        <v>0</v>
      </c>
      <c r="Q1123">
        <v>2</v>
      </c>
      <c r="R1123" s="4"/>
      <c r="S1123" s="10"/>
    </row>
    <row r="1124" spans="5:19" x14ac:dyDescent="0.2">
      <c r="E1124" s="4" t="s">
        <v>17</v>
      </c>
      <c r="K1124" t="str">
        <v>not</v>
      </c>
      <c r="L1124" s="4" t="str">
        <f t="shared" si="24"/>
        <v>not</v>
      </c>
      <c r="N1124" s="4" cm="1">
        <f t="array" ref="N1124">SUM(--(_xlfn.TEXTSPLIT($J$852,, " ") = M1124))</f>
        <v>2</v>
      </c>
      <c r="O1124">
        <v>2</v>
      </c>
      <c r="P1124">
        <v>0</v>
      </c>
      <c r="Q1124">
        <v>2</v>
      </c>
      <c r="R1124" s="4"/>
      <c r="S1124" s="10"/>
    </row>
    <row r="1125" spans="5:19" x14ac:dyDescent="0.2">
      <c r="E1125" s="4" t="s">
        <v>17</v>
      </c>
      <c r="K1125" t="str">
        <v>over</v>
      </c>
      <c r="L1125" s="4" t="str">
        <f t="shared" si="24"/>
        <v>over</v>
      </c>
      <c r="N1125" s="4" cm="1">
        <f t="array" ref="N1125">SUM(--(_xlfn.TEXTSPLIT($J$852,, " ") = M1125))</f>
        <v>2</v>
      </c>
      <c r="O1125">
        <v>2</v>
      </c>
      <c r="P1125">
        <v>0</v>
      </c>
      <c r="Q1125">
        <v>2</v>
      </c>
      <c r="R1125" s="4"/>
      <c r="S1125" s="10"/>
    </row>
    <row r="1126" spans="5:19" x14ac:dyDescent="0.2">
      <c r="E1126" s="4" t="s">
        <v>17</v>
      </c>
      <c r="K1126" t="str">
        <v>(I've</v>
      </c>
      <c r="L1126" s="4" t="str">
        <f t="shared" si="24"/>
        <v xml:space="preserve"> I ve</v>
      </c>
      <c r="N1126" s="4" cm="1">
        <f t="array" ref="N1126">SUM(--(_xlfn.TEXTSPLIT($J$852,, " ") = M1126))</f>
        <v>2</v>
      </c>
      <c r="O1126">
        <v>2</v>
      </c>
      <c r="P1126">
        <v>0</v>
      </c>
      <c r="Q1126">
        <v>2</v>
      </c>
      <c r="R1126" s="4"/>
      <c r="S1126" s="10"/>
    </row>
    <row r="1127" spans="5:19" x14ac:dyDescent="0.2">
      <c r="E1127" s="4" t="s">
        <v>17</v>
      </c>
      <c r="K1127" t="str">
        <v>been</v>
      </c>
      <c r="L1127" s="4" t="str">
        <f t="shared" si="24"/>
        <v>been</v>
      </c>
      <c r="N1127" s="4" cm="1">
        <f t="array" ref="N1127">SUM(--(_xlfn.TEXTSPLIT($J$852,, " ") = M1127))</f>
        <v>2</v>
      </c>
      <c r="O1127">
        <v>2</v>
      </c>
      <c r="P1127">
        <v>0</v>
      </c>
      <c r="Q1127">
        <v>2</v>
      </c>
      <c r="R1127" s="4"/>
      <c r="S1127" s="10"/>
    </row>
    <row r="1128" spans="5:19" x14ac:dyDescent="0.2">
      <c r="E1128" s="4" t="s">
        <v>17</v>
      </c>
      <c r="K1128" t="str">
        <v>this</v>
      </c>
      <c r="L1128" s="4" t="str">
        <f t="shared" si="24"/>
        <v>this</v>
      </c>
      <c r="N1128" s="4" cm="1">
        <f t="array" ref="N1128">SUM(--(_xlfn.TEXTSPLIT($J$852,, " ") = M1128))</f>
        <v>2</v>
      </c>
      <c r="O1128">
        <v>2</v>
      </c>
      <c r="P1128">
        <v>0</v>
      </c>
      <c r="Q1128">
        <v>2</v>
      </c>
      <c r="R1128" s="4"/>
      <c r="S1128" s="10"/>
    </row>
    <row r="1129" spans="5:19" x14ac:dyDescent="0.2">
      <c r="E1129" s="4" t="s">
        <v>17</v>
      </c>
      <c r="K1129" t="str">
        <v>way)</v>
      </c>
      <c r="L1129" s="4" t="str">
        <f t="shared" si="24"/>
        <v xml:space="preserve">way </v>
      </c>
      <c r="N1129" s="4" cm="1">
        <f t="array" ref="N1129">SUM(--(_xlfn.TEXTSPLIT($J$852,, " ") = M1129))</f>
        <v>2</v>
      </c>
      <c r="O1129">
        <v>2</v>
      </c>
      <c r="P1129">
        <v>0</v>
      </c>
      <c r="Q1129">
        <v>2</v>
      </c>
      <c r="R1129" s="4"/>
      <c r="S1129" s="10"/>
    </row>
    <row r="1130" spans="5:19" x14ac:dyDescent="0.2">
      <c r="E1130" s="4" t="s">
        <v>17</v>
      </c>
      <c r="K1130" t="str">
        <v>(Feel</v>
      </c>
      <c r="L1130" s="4" t="str">
        <f t="shared" si="24"/>
        <v xml:space="preserve"> Feel</v>
      </c>
      <c r="N1130" s="4" cm="1">
        <f t="array" ref="N1130">SUM(--(_xlfn.TEXTSPLIT($J$852,, " ") = M1130))</f>
        <v>2</v>
      </c>
      <c r="O1130">
        <v>2</v>
      </c>
      <c r="P1130">
        <v>0</v>
      </c>
      <c r="Q1130">
        <v>2</v>
      </c>
      <c r="R1130" s="4"/>
      <c r="S1130" s="10"/>
    </row>
    <row r="1131" spans="5:19" x14ac:dyDescent="0.2">
      <c r="E1131" s="4" t="s">
        <v>17</v>
      </c>
      <c r="K1131" t="str">
        <v xml:space="preserve">it)
</v>
      </c>
      <c r="L1131" s="4" t="str">
        <f t="shared" si="24"/>
        <v xml:space="preserve">it  </v>
      </c>
      <c r="N1131" s="4" cm="1">
        <f t="array" ref="N1131">SUM(--(_xlfn.TEXTSPLIT($J$852,, " ") = M1131))</f>
        <v>2</v>
      </c>
      <c r="O1131">
        <v>2</v>
      </c>
      <c r="P1131">
        <v>0</v>
      </c>
      <c r="Q1131">
        <v>2</v>
      </c>
      <c r="R1131" s="4"/>
      <c r="S1131" s="10"/>
    </row>
    <row r="1132" spans="5:19" x14ac:dyDescent="0.2">
      <c r="E1132" s="4" t="s">
        <v>17</v>
      </c>
      <c r="K1132" t="str">
        <v>Drown</v>
      </c>
      <c r="L1132" s="4" t="str">
        <f t="shared" si="24"/>
        <v>Drown</v>
      </c>
      <c r="N1132" s="4" cm="1">
        <f t="array" ref="N1132">SUM(--(_xlfn.TEXTSPLIT($J$852,, " ") = M1132))</f>
        <v>2</v>
      </c>
      <c r="O1132">
        <v>2</v>
      </c>
      <c r="P1132">
        <v>0</v>
      </c>
      <c r="Q1132">
        <v>2</v>
      </c>
      <c r="R1132" s="4"/>
      <c r="S1132" s="10"/>
    </row>
    <row r="1133" spans="5:19" x14ac:dyDescent="0.2">
      <c r="E1133" s="4" t="s">
        <v>17</v>
      </c>
      <c r="K1133" t="str">
        <v>it</v>
      </c>
      <c r="L1133" s="4" t="str">
        <f t="shared" si="24"/>
        <v>it</v>
      </c>
      <c r="N1133" s="4" cm="1">
        <f t="array" ref="N1133">SUM(--(_xlfn.TEXTSPLIT($J$852,, " ") = M1133))</f>
        <v>2</v>
      </c>
      <c r="O1133">
        <v>2</v>
      </c>
      <c r="P1133">
        <v>0</v>
      </c>
      <c r="Q1133">
        <v>2</v>
      </c>
      <c r="R1133" s="4"/>
      <c r="S1133" s="10"/>
    </row>
    <row r="1134" spans="5:19" x14ac:dyDescent="0.2">
      <c r="E1134" s="4" t="s">
        <v>17</v>
      </c>
      <c r="K1134" t="str">
        <v>out,</v>
      </c>
      <c r="L1134" s="4" t="str">
        <f t="shared" si="24"/>
        <v xml:space="preserve">out </v>
      </c>
      <c r="N1134" s="4" cm="1">
        <f t="array" ref="N1134">SUM(--(_xlfn.TEXTSPLIT($J$852,, " ") = M1134))</f>
        <v>2</v>
      </c>
      <c r="O1134">
        <v>2</v>
      </c>
      <c r="P1134">
        <v>0</v>
      </c>
      <c r="Q1134">
        <v>2</v>
      </c>
      <c r="R1134" s="4"/>
      <c r="S1134" s="10"/>
    </row>
    <row r="1135" spans="5:19" x14ac:dyDescent="0.2">
      <c r="E1135" s="4" t="s">
        <v>17</v>
      </c>
      <c r="K1135" t="str">
        <v>drown</v>
      </c>
      <c r="L1135" s="4" t="str">
        <f t="shared" si="24"/>
        <v>drown</v>
      </c>
      <c r="N1135" s="4" cm="1">
        <f t="array" ref="N1135">SUM(--(_xlfn.TEXTSPLIT($J$852,, " ") = M1135))</f>
        <v>2</v>
      </c>
      <c r="O1135">
        <v>1</v>
      </c>
      <c r="P1135" t="str">
        <v>Completed</v>
      </c>
      <c r="Q1135">
        <v>1</v>
      </c>
      <c r="R1135" s="4"/>
      <c r="S1135" s="10"/>
    </row>
    <row r="1136" spans="5:19" x14ac:dyDescent="0.2">
      <c r="E1136" s="4" t="s">
        <v>17</v>
      </c>
      <c r="K1136" t="str">
        <v>it</v>
      </c>
      <c r="L1136" s="4" t="str">
        <f t="shared" si="24"/>
        <v>it</v>
      </c>
      <c r="N1136" s="4" cm="1">
        <f t="array" ref="N1136">SUM(--(_xlfn.TEXTSPLIT($J$852,, " ") = M1136))</f>
        <v>2</v>
      </c>
      <c r="O1136">
        <v>1</v>
      </c>
      <c r="P1136" t="str">
        <v>checklist</v>
      </c>
      <c r="Q1136">
        <v>1</v>
      </c>
      <c r="R1136" s="4"/>
      <c r="S1136" s="10"/>
    </row>
    <row r="1137" spans="5:19" x14ac:dyDescent="0.2">
      <c r="E1137" s="4" t="s">
        <v>17</v>
      </c>
      <c r="K1137" t="str">
        <v>out</v>
      </c>
      <c r="L1137" s="4" t="str">
        <f t="shared" si="24"/>
        <v>out</v>
      </c>
      <c r="N1137" s="4" cm="1">
        <f t="array" ref="N1137">SUM(--(_xlfn.TEXTSPLIT($J$852,, " ") = M1137))</f>
        <v>2</v>
      </c>
      <c r="O1137">
        <v>1</v>
      </c>
      <c r="P1137" t="str">
        <v>for</v>
      </c>
      <c r="Q1137">
        <v>1</v>
      </c>
      <c r="R1137" s="4"/>
      <c r="S1137" s="10"/>
    </row>
    <row r="1138" spans="5:19" x14ac:dyDescent="0.2">
      <c r="E1138" s="4" t="s">
        <v>17</v>
      </c>
      <c r="K1138" t="str">
        <v>(I</v>
      </c>
      <c r="L1138" s="4" t="str">
        <f t="shared" si="24"/>
        <v xml:space="preserve"> I</v>
      </c>
      <c r="N1138" s="4" cm="1">
        <f t="array" ref="N1138">SUM(--(_xlfn.TEXTSPLIT($J$852,, " ") = M1138))</f>
        <v>2</v>
      </c>
      <c r="O1138">
        <v>1</v>
      </c>
      <c r="P1138" t="str">
        <v xml:space="preserve">today
</v>
      </c>
      <c r="Q1138">
        <v>1</v>
      </c>
      <c r="R1138" s="4"/>
      <c r="S1138" s="10"/>
    </row>
    <row r="1139" spans="5:19" x14ac:dyDescent="0.2">
      <c r="E1139" s="4" t="s">
        <v>17</v>
      </c>
      <c r="K1139" t="str">
        <v>want</v>
      </c>
      <c r="L1139" s="4" t="str">
        <f t="shared" si="24"/>
        <v>want</v>
      </c>
      <c r="N1139" s="4" cm="1">
        <f t="array" ref="N1139">SUM(--(_xlfn.TEXTSPLIT($J$852,, " ") = M1139))</f>
        <v>2</v>
      </c>
      <c r="O1139">
        <v>1</v>
      </c>
      <c r="P1139" t="str">
        <v>Now</v>
      </c>
      <c r="Q1139">
        <v>1</v>
      </c>
      <c r="R1139" s="4"/>
      <c r="S1139" s="10"/>
    </row>
    <row r="1140" spans="5:19" x14ac:dyDescent="0.2">
      <c r="E1140" s="4" t="s">
        <v>17</v>
      </c>
      <c r="K1140" t="str">
        <v>to</v>
      </c>
      <c r="L1140" s="4" t="str">
        <f t="shared" si="24"/>
        <v>to</v>
      </c>
      <c r="N1140" s="4" cm="1">
        <f t="array" ref="N1140">SUM(--(_xlfn.TEXTSPLIT($J$852,, " ") = M1140))</f>
        <v>2</v>
      </c>
      <c r="O1140">
        <v>1</v>
      </c>
      <c r="P1140" t="str">
        <v>they</v>
      </c>
      <c r="Q1140">
        <v>1</v>
      </c>
      <c r="R1140" s="4"/>
      <c r="S1140" s="10"/>
    </row>
    <row r="1141" spans="5:19" x14ac:dyDescent="0.2">
      <c r="E1141" s="4" t="s">
        <v>17</v>
      </c>
      <c r="K1141" t="str">
        <v xml:space="preserve">change)
</v>
      </c>
      <c r="L1141" s="4" t="str">
        <f t="shared" si="24"/>
        <v xml:space="preserve">change   </v>
      </c>
      <c r="N1141" s="4" cm="1">
        <f t="array" ref="N1141">SUM(--(_xlfn.TEXTSPLIT($J$852,, " ") = M1141))</f>
        <v>2</v>
      </c>
      <c r="O1141">
        <v>1</v>
      </c>
      <c r="P1141" t="str">
        <v>have</v>
      </c>
      <c r="Q1141">
        <v>1</v>
      </c>
      <c r="R1141" s="4"/>
      <c r="S1141" s="10"/>
    </row>
    <row r="1142" spans="5:19" x14ac:dyDescent="0.2">
      <c r="E1142" s="4" t="s">
        <v>17</v>
      </c>
      <c r="K1142" t="str">
        <v>I've</v>
      </c>
      <c r="L1142" s="4" t="str">
        <f t="shared" si="24"/>
        <v>I ve</v>
      </c>
      <c r="N1142" s="4" cm="1">
        <f t="array" ref="N1142">SUM(--(_xlfn.TEXTSPLIT($J$852,, " ") = M1142))</f>
        <v>2</v>
      </c>
      <c r="O1142">
        <v>1</v>
      </c>
      <c r="P1142" t="str">
        <v>let</v>
      </c>
      <c r="Q1142">
        <v>1</v>
      </c>
      <c r="R1142" s="4"/>
      <c r="S1142" s="10"/>
    </row>
    <row r="1143" spans="5:19" x14ac:dyDescent="0.2">
      <c r="E1143" s="4" t="s">
        <v>17</v>
      </c>
      <c r="K1143" t="str">
        <v>been</v>
      </c>
      <c r="L1143" s="4" t="str">
        <f t="shared" si="24"/>
        <v>been</v>
      </c>
      <c r="N1143" s="4" cm="1">
        <f t="array" ref="N1143">SUM(--(_xlfn.TEXTSPLIT($J$852,, " ") = M1143))</f>
        <v>2</v>
      </c>
      <c r="O1143">
        <v>1</v>
      </c>
      <c r="P1143" t="str">
        <v>of</v>
      </c>
      <c r="Q1143">
        <v>1</v>
      </c>
      <c r="R1143" s="4"/>
      <c r="S1143" s="10"/>
    </row>
    <row r="1144" spans="5:19" x14ac:dyDescent="0.2">
      <c r="E1144" s="4" t="s">
        <v>17</v>
      </c>
      <c r="K1144" t="str">
        <v>this</v>
      </c>
      <c r="L1144" s="4" t="str">
        <f t="shared" si="24"/>
        <v>this</v>
      </c>
      <c r="N1144" s="4" cm="1">
        <f t="array" ref="N1144">SUM(--(_xlfn.TEXTSPLIT($J$852,, " ") = M1144))</f>
        <v>2</v>
      </c>
      <c r="O1144">
        <v>1</v>
      </c>
      <c r="P1144" t="str">
        <v>your</v>
      </c>
      <c r="Q1144">
        <v>1</v>
      </c>
      <c r="R1144" s="4"/>
      <c r="S1144" s="10"/>
    </row>
    <row r="1145" spans="5:19" x14ac:dyDescent="0.2">
      <c r="E1145" s="4" t="s">
        <v>17</v>
      </c>
      <c r="K1145" t="str">
        <v>way</v>
      </c>
      <c r="L1145" s="4" t="str">
        <f t="shared" si="24"/>
        <v>way</v>
      </c>
      <c r="N1145" s="4" cm="1">
        <f t="array" ref="N1145">SUM(--(_xlfn.TEXTSPLIT($J$852,, " ") = M1145))</f>
        <v>2</v>
      </c>
      <c r="O1145">
        <v>1</v>
      </c>
      <c r="P1145" t="str">
        <v xml:space="preserve">cage
</v>
      </c>
      <c r="Q1145">
        <v>1</v>
      </c>
      <c r="R1145" s="4"/>
      <c r="S1145" s="10"/>
    </row>
    <row r="1146" spans="5:19" x14ac:dyDescent="0.2">
      <c r="E1146" s="4" t="s">
        <v>17</v>
      </c>
      <c r="K1146" t="str">
        <v>(Feel</v>
      </c>
      <c r="L1146" s="4" t="str">
        <f t="shared" si="24"/>
        <v xml:space="preserve"> Feel</v>
      </c>
      <c r="N1146" s="4" cm="1">
        <f t="array" ref="N1146">SUM(--(_xlfn.TEXTSPLIT($J$852,, " ") = M1146))</f>
        <v>2</v>
      </c>
      <c r="O1146">
        <v>1</v>
      </c>
      <c r="P1146" t="str">
        <v>Feelin'</v>
      </c>
      <c r="Q1146">
        <v>1</v>
      </c>
      <c r="R1146" s="4"/>
      <c r="S1146" s="10"/>
    </row>
    <row r="1147" spans="5:19" x14ac:dyDescent="0.2">
      <c r="E1147" s="4" t="s">
        <v>17</v>
      </c>
      <c r="K1147" t="str">
        <v>it,</v>
      </c>
      <c r="L1147" s="4" t="str">
        <f t="shared" si="24"/>
        <v xml:space="preserve">it </v>
      </c>
      <c r="N1147" s="4" cm="1">
        <f t="array" ref="N1147">SUM(--(_xlfn.TEXTSPLIT($J$852,, " ") = M1147))</f>
        <v>2</v>
      </c>
      <c r="O1147">
        <v>1</v>
      </c>
      <c r="P1147" t="str">
        <v>do</v>
      </c>
      <c r="Q1147">
        <v>1</v>
      </c>
      <c r="R1147" s="4"/>
      <c r="S1147" s="10"/>
    </row>
    <row r="1148" spans="5:19" x14ac:dyDescent="0.2">
      <c r="E1148" s="4" t="s">
        <v>17</v>
      </c>
      <c r="K1148" t="str">
        <v>feel</v>
      </c>
      <c r="L1148" s="4" t="str">
        <f t="shared" si="24"/>
        <v>feel</v>
      </c>
      <c r="N1148" s="4" cm="1">
        <f t="array" ref="N1148">SUM(--(_xlfn.TEXTSPLIT($J$852,, " ") = M1148))</f>
        <v>2</v>
      </c>
      <c r="O1148">
        <v>1</v>
      </c>
      <c r="P1148" t="str">
        <v>He'd</v>
      </c>
      <c r="Q1148">
        <v>1</v>
      </c>
      <c r="R1148" s="4"/>
      <c r="S1148" s="10"/>
    </row>
    <row r="1149" spans="5:19" x14ac:dyDescent="0.2">
      <c r="E1149" s="4" t="s">
        <v>17</v>
      </c>
      <c r="K1149" t="str">
        <v xml:space="preserve">it)
</v>
      </c>
      <c r="L1149" s="4" t="str">
        <f t="shared" si="24"/>
        <v xml:space="preserve">it  </v>
      </c>
      <c r="N1149" s="4" cm="1">
        <f t="array" ref="N1149">SUM(--(_xlfn.TEXTSPLIT($J$852,, " ") = M1149))</f>
        <v>2</v>
      </c>
      <c r="O1149">
        <v>1</v>
      </c>
      <c r="P1149" t="str">
        <v>rather</v>
      </c>
      <c r="Q1149">
        <v>1</v>
      </c>
      <c r="R1149" s="4"/>
      <c r="S1149" s="10"/>
    </row>
    <row r="1150" spans="5:19" x14ac:dyDescent="0.2">
      <c r="E1150" s="4" t="s">
        <v>17</v>
      </c>
      <c r="K1150" t="str">
        <v>I</v>
      </c>
      <c r="L1150" s="4" t="str">
        <f t="shared" si="24"/>
        <v>I</v>
      </c>
      <c r="N1150" s="4" cm="1">
        <f t="array" ref="N1150">SUM(--(_xlfn.TEXTSPLIT($J$852,, " ") = M1150))</f>
        <v>2</v>
      </c>
      <c r="O1150">
        <v>1</v>
      </c>
      <c r="P1150" t="str">
        <v>something</v>
      </c>
      <c r="Q1150">
        <v>1</v>
      </c>
      <c r="R1150" s="4"/>
      <c r="S1150" s="10"/>
    </row>
    <row r="1151" spans="5:19" x14ac:dyDescent="0.2">
      <c r="E1151" s="4" t="s">
        <v>17</v>
      </c>
      <c r="K1151" t="str">
        <v>want</v>
      </c>
      <c r="L1151" s="4" t="str">
        <f t="shared" si="24"/>
        <v>want</v>
      </c>
      <c r="N1151" s="4" cm="1">
        <f t="array" ref="N1151">SUM(--(_xlfn.TEXTSPLIT($J$852,, " ") = M1151))</f>
        <v>2</v>
      </c>
      <c r="O1151">
        <v>1</v>
      </c>
      <c r="P1151" t="str">
        <v>than</v>
      </c>
      <c r="Q1151">
        <v>1</v>
      </c>
      <c r="R1151" s="4"/>
      <c r="S1151" s="10"/>
    </row>
    <row r="1152" spans="5:19" x14ac:dyDescent="0.2">
      <c r="E1152" s="4" t="s">
        <v>17</v>
      </c>
      <c r="K1152" t="str">
        <v>to</v>
      </c>
      <c r="L1152" s="4" t="str">
        <f t="shared" si="24"/>
        <v>to</v>
      </c>
      <c r="N1152" s="4" cm="1">
        <f t="array" ref="N1152">SUM(--(_xlfn.TEXTSPLIT($J$852,, " ") = M1152))</f>
        <v>2</v>
      </c>
      <c r="O1152">
        <v>1</v>
      </c>
      <c r="P1152" t="str">
        <v>nothing</v>
      </c>
      <c r="Q1152">
        <v>1</v>
      </c>
      <c r="R1152" s="4"/>
      <c r="S1152" s="10"/>
    </row>
    <row r="1153" spans="5:19" x14ac:dyDescent="0.2">
      <c r="E1153" s="4" t="s">
        <v>17</v>
      </c>
      <c r="K1153" t="str">
        <v>change</v>
      </c>
      <c r="L1153" s="4" t="str">
        <f t="shared" si="24"/>
        <v>change</v>
      </c>
      <c r="N1153" s="4" cm="1">
        <f t="array" ref="N1153">SUM(--(_xlfn.TEXTSPLIT($J$852,, " ") = M1153))</f>
        <v>2</v>
      </c>
      <c r="O1153">
        <v>1</v>
      </c>
      <c r="P1153" t="str">
        <v>at</v>
      </c>
      <c r="Q1153">
        <v>1</v>
      </c>
      <c r="R1153" s="4"/>
      <c r="S1153" s="10"/>
    </row>
    <row r="1154" spans="5:19" x14ac:dyDescent="0.2">
      <c r="E1154" s="4" t="s">
        <v>17</v>
      </c>
      <c r="K1154" t="str">
        <v>(Feel</v>
      </c>
      <c r="L1154" s="4" t="str">
        <f t="shared" si="24"/>
        <v xml:space="preserve"> Feel</v>
      </c>
      <c r="N1154" s="4" cm="1">
        <f t="array" ref="N1154">SUM(--(_xlfn.TEXTSPLIT($J$852,, " ") = M1154))</f>
        <v>2</v>
      </c>
      <c r="O1154">
        <v>1</v>
      </c>
      <c r="P1154" t="str">
        <v xml:space="preserve">all
</v>
      </c>
      <c r="Q1154">
        <v>1</v>
      </c>
      <c r="R1154" s="4"/>
      <c r="S1154" s="10"/>
    </row>
    <row r="1155" spans="5:19" x14ac:dyDescent="0.2">
      <c r="E1155" s="4" t="s">
        <v>17</v>
      </c>
      <c r="K1155" t="str">
        <v>it,</v>
      </c>
      <c r="L1155" s="4" t="str">
        <f t="shared" si="24"/>
        <v xml:space="preserve">it </v>
      </c>
      <c r="N1155" s="4" cm="1">
        <f t="array" ref="N1155">SUM(--(_xlfn.TEXTSPLIT($J$852,, " ") = M1155))</f>
        <v>2</v>
      </c>
      <c r="O1155">
        <v>1</v>
      </c>
      <c r="P1155" t="str">
        <v>swerves</v>
      </c>
      <c r="Q1155">
        <v>1</v>
      </c>
      <c r="R1155" s="4"/>
      <c r="S1155" s="10"/>
    </row>
    <row r="1156" spans="5:19" x14ac:dyDescent="0.2">
      <c r="E1156" s="4" t="s">
        <v>17</v>
      </c>
      <c r="K1156" t="str">
        <v>feel</v>
      </c>
      <c r="L1156" s="4" t="str">
        <f t="shared" ref="L1156:L1209" si="25">_xlfn.REGEXREPLACE(K1156, "[^A-Za-z ]", " ")</f>
        <v>feel</v>
      </c>
      <c r="N1156" s="4" cm="1">
        <f t="array" ref="N1156">SUM(--(_xlfn.TEXTSPLIT($J$852,, " ") = M1156))</f>
        <v>2</v>
      </c>
      <c r="O1156">
        <v>1</v>
      </c>
      <c r="P1156" t="str">
        <v>all</v>
      </c>
      <c r="Q1156">
        <v>1</v>
      </c>
      <c r="R1156" s="4"/>
      <c r="S1156" s="10"/>
    </row>
    <row r="1157" spans="5:19" x14ac:dyDescent="0.2">
      <c r="E1157" s="4" t="s">
        <v>17</v>
      </c>
      <c r="K1157" t="str">
        <v xml:space="preserve">it)
</v>
      </c>
      <c r="L1157" s="4" t="str">
        <f t="shared" si="25"/>
        <v xml:space="preserve">it  </v>
      </c>
      <c r="N1157" s="4" cm="1">
        <f t="array" ref="N1157">SUM(--(_xlfn.TEXTSPLIT($J$852,, " ") = M1157))</f>
        <v>2</v>
      </c>
      <c r="O1157">
        <v>1</v>
      </c>
      <c r="P1157" t="str">
        <v>around</v>
      </c>
      <c r="Q1157">
        <v>1</v>
      </c>
      <c r="R1157" s="4"/>
      <c r="S1157" s="10"/>
    </row>
    <row r="1158" spans="5:19" x14ac:dyDescent="0.2">
      <c r="E1158" s="4" t="s">
        <v>17</v>
      </c>
      <c r="K1158" t="str">
        <v/>
      </c>
      <c r="L1158" s="4" t="str">
        <f t="shared" si="25"/>
        <v/>
      </c>
      <c r="N1158" s="4" cm="1">
        <f t="array" ref="N1158">SUM(--(_xlfn.TEXTSPLIT($J$852,, " ") = M1158))</f>
        <v>2</v>
      </c>
      <c r="O1158">
        <v>1</v>
      </c>
      <c r="P1158" t="str">
        <v>as</v>
      </c>
      <c r="Q1158">
        <v>1</v>
      </c>
      <c r="R1158" s="4"/>
      <c r="S1158" s="10"/>
    </row>
    <row r="1159" spans="5:19" x14ac:dyDescent="0.2">
      <c r="E1159" s="4" t="s">
        <v>17</v>
      </c>
      <c r="K1159" t="str">
        <v>I've</v>
      </c>
      <c r="L1159" s="4" t="str">
        <f t="shared" si="25"/>
        <v>I ve</v>
      </c>
      <c r="N1159" s="4" cm="1">
        <f t="array" ref="N1159">SUM(--(_xlfn.TEXTSPLIT($J$852,, " ") = M1159))</f>
        <v>2</v>
      </c>
      <c r="O1159">
        <v>1</v>
      </c>
      <c r="P1159" t="str">
        <v>head</v>
      </c>
      <c r="Q1159">
        <v>1</v>
      </c>
      <c r="R1159" s="4"/>
      <c r="S1159" s="10"/>
    </row>
    <row r="1160" spans="5:19" x14ac:dyDescent="0.2">
      <c r="E1160" s="4" t="s">
        <v>17</v>
      </c>
      <c r="K1160" t="str">
        <v>been</v>
      </c>
      <c r="L1160" s="4" t="str">
        <f t="shared" si="25"/>
        <v>been</v>
      </c>
      <c r="N1160" s="4" cm="1">
        <f t="array" ref="N1160">SUM(--(_xlfn.TEXTSPLIT($J$852,, " ") = M1160))</f>
        <v>2</v>
      </c>
      <c r="O1160">
        <v>1</v>
      </c>
      <c r="P1160" t="str">
        <v>starts</v>
      </c>
      <c r="Q1160">
        <v>1</v>
      </c>
      <c r="R1160" s="4"/>
      <c r="S1160" s="10"/>
    </row>
    <row r="1161" spans="5:19" x14ac:dyDescent="0.2">
      <c r="E1161" s="4" t="s">
        <v>17</v>
      </c>
      <c r="K1161" t="str">
        <v>this</v>
      </c>
      <c r="L1161" s="4" t="str">
        <f t="shared" si="25"/>
        <v>this</v>
      </c>
      <c r="N1161" s="4" cm="1">
        <f t="array" ref="N1161">SUM(--(_xlfn.TEXTSPLIT($J$852,, " ") = M1161))</f>
        <v>2</v>
      </c>
      <c r="O1161">
        <v>1</v>
      </c>
      <c r="P1161" t="str">
        <v>fall,</v>
      </c>
      <c r="Q1161">
        <v>1</v>
      </c>
      <c r="R1161" s="4"/>
      <c r="S1161" s="10"/>
    </row>
    <row r="1162" spans="5:19" x14ac:dyDescent="0.2">
      <c r="E1162" s="4" t="s">
        <v>17</v>
      </c>
      <c r="K1162" t="str">
        <v>way</v>
      </c>
      <c r="L1162" s="4" t="str">
        <f t="shared" si="25"/>
        <v>way</v>
      </c>
      <c r="N1162" s="4" cm="1">
        <f t="array" ref="N1162">SUM(--(_xlfn.TEXTSPLIT($J$852,, " ") = M1162))</f>
        <v>2</v>
      </c>
      <c r="O1162">
        <v>1</v>
      </c>
      <c r="P1162" t="str">
        <v>turns</v>
      </c>
      <c r="Q1162">
        <v>1</v>
      </c>
      <c r="R1162" s="4"/>
      <c r="S1162" s="10"/>
    </row>
    <row r="1163" spans="5:19" x14ac:dyDescent="0.2">
      <c r="E1163" s="4" t="s">
        <v>17</v>
      </c>
      <c r="K1163" t="str">
        <v>(Feel</v>
      </c>
      <c r="L1163" s="4" t="str">
        <f t="shared" si="25"/>
        <v xml:space="preserve"> Feel</v>
      </c>
      <c r="N1163" s="4" cm="1">
        <f t="array" ref="N1163">SUM(--(_xlfn.TEXTSPLIT($J$852,, " ") = M1163))</f>
        <v>2</v>
      </c>
      <c r="O1163">
        <v>1</v>
      </c>
      <c r="P1163" t="str">
        <v xml:space="preserve">up
</v>
      </c>
      <c r="Q1163">
        <v>1</v>
      </c>
      <c r="R1163" s="4"/>
      <c r="S1163" s="10"/>
    </row>
    <row r="1164" spans="5:19" x14ac:dyDescent="0.2">
      <c r="E1164" s="4" t="s">
        <v>17</v>
      </c>
      <c r="K1164" t="str">
        <v>it,</v>
      </c>
      <c r="L1164" s="4" t="str">
        <f t="shared" si="25"/>
        <v xml:space="preserve">it </v>
      </c>
      <c r="N1164" s="4" cm="1">
        <f t="array" ref="N1164">SUM(--(_xlfn.TEXTSPLIT($J$852,, " ") = M1164))</f>
        <v>2</v>
      </c>
      <c r="O1164">
        <v>1</v>
      </c>
      <c r="P1164" t="str">
        <v>does</v>
      </c>
      <c r="Q1164">
        <v>1</v>
      </c>
      <c r="R1164" s="4"/>
      <c r="S1164" s="10"/>
    </row>
    <row r="1165" spans="5:19" x14ac:dyDescent="0.2">
      <c r="E1165" s="4" t="s">
        <v>17</v>
      </c>
      <c r="K1165" t="str">
        <v>feel</v>
      </c>
      <c r="L1165" s="4" t="str">
        <f t="shared" si="25"/>
        <v>feel</v>
      </c>
      <c r="N1165" s="4" cm="1">
        <f t="array" ref="N1165">SUM(--(_xlfn.TEXTSPLIT($J$852,, " ") = M1165))</f>
        <v>2</v>
      </c>
      <c r="O1165">
        <v>1</v>
      </c>
      <c r="P1165" t="str">
        <v xml:space="preserve">change
</v>
      </c>
      <c r="Q1165">
        <v>1</v>
      </c>
      <c r="R1165" s="4"/>
      <c r="S1165" s="10"/>
    </row>
    <row r="1166" spans="5:19" x14ac:dyDescent="0.2">
      <c r="E1166" s="4" t="s">
        <v>17</v>
      </c>
      <c r="K1166" t="str">
        <v xml:space="preserve">it)
</v>
      </c>
      <c r="L1166" s="4" t="str">
        <f t="shared" si="25"/>
        <v xml:space="preserve">it  </v>
      </c>
      <c r="N1166" s="4" cm="1">
        <f t="array" ref="N1166">SUM(--(_xlfn.TEXTSPLIT($J$852,, " ") = M1166))</f>
        <v>2</v>
      </c>
      <c r="O1166">
        <v>1</v>
      </c>
      <c r="P1166" t="str">
        <v xml:space="preserve">change
</v>
      </c>
      <c r="Q1166">
        <v>1</v>
      </c>
      <c r="R1166" s="4"/>
      <c r="S1166" s="10"/>
    </row>
    <row r="1167" spans="5:19" x14ac:dyDescent="0.2">
      <c r="E1167" s="4" t="s">
        <v>17</v>
      </c>
      <c r="K1167" t="str">
        <v>I</v>
      </c>
      <c r="L1167" s="4" t="str">
        <f t="shared" si="25"/>
        <v>I</v>
      </c>
      <c r="N1167" s="4" cm="1">
        <f t="array" ref="N1167">SUM(--(_xlfn.TEXTSPLIT($J$852,, " ") = M1167))</f>
        <v>2</v>
      </c>
      <c r="O1167">
        <v>1</v>
      </c>
      <c r="P1167" t="str">
        <v>way)</v>
      </c>
      <c r="Q1167">
        <v>1</v>
      </c>
      <c r="R1167" s="4"/>
      <c r="S1167" s="10"/>
    </row>
    <row r="1168" spans="5:19" x14ac:dyDescent="0.2">
      <c r="E1168" s="4" t="s">
        <v>17</v>
      </c>
      <c r="K1168" t="str">
        <v>want</v>
      </c>
      <c r="L1168" s="4" t="str">
        <f t="shared" si="25"/>
        <v>want</v>
      </c>
      <c r="N1168" s="4" cm="1">
        <f t="array" ref="N1168">SUM(--(_xlfn.TEXTSPLIT($J$852,, " ") = M1168))</f>
        <v>2</v>
      </c>
      <c r="O1168">
        <v>1</v>
      </c>
      <c r="P1168" t="str">
        <v xml:space="preserve">change)
</v>
      </c>
      <c r="Q1168">
        <v>1</v>
      </c>
      <c r="R1168" s="4"/>
      <c r="S1168" s="10"/>
    </row>
    <row r="1169" spans="1:22" x14ac:dyDescent="0.2">
      <c r="E1169" s="4" t="s">
        <v>17</v>
      </c>
      <c r="K1169" t="str">
        <v>to</v>
      </c>
      <c r="L1169" s="4" t="str">
        <f t="shared" si="25"/>
        <v>to</v>
      </c>
      <c r="N1169" s="4" cm="1">
        <f t="array" ref="N1169">SUM(--(_xlfn.TEXTSPLIT($J$852,, " ") = M1169))</f>
        <v>2</v>
      </c>
      <c r="O1169">
        <v>1</v>
      </c>
      <c r="P1169" t="str">
        <v>change</v>
      </c>
      <c r="Q1169">
        <v>1</v>
      </c>
      <c r="R1169" s="4"/>
      <c r="S1169" s="10"/>
    </row>
    <row r="1170" spans="1:22" s="4" customFormat="1" x14ac:dyDescent="0.2">
      <c r="A1170" s="4">
        <v>4</v>
      </c>
      <c r="B1170" s="5">
        <v>45912</v>
      </c>
      <c r="C1170" s="6">
        <v>0.1361111111111111</v>
      </c>
      <c r="D1170" s="7">
        <v>196</v>
      </c>
      <c r="E1170" s="9" t="s">
        <v>20</v>
      </c>
      <c r="F1170" s="4">
        <v>4</v>
      </c>
      <c r="G1170" s="8" t="s">
        <v>15</v>
      </c>
      <c r="H1170" s="9" t="s">
        <v>21</v>
      </c>
      <c r="I1170" s="4">
        <v>1</v>
      </c>
      <c r="J1170" s="4" t="str">
        <f>_xlfn.TEXTJOIN(" ", TRUE, H1170:H1183)</f>
        <v xml:space="preserve"> I didn't do it
 I feel like garbage
 I feel like
 My systems are operating at twenty percent
 Or less
 I'll walk you through the numbers
 I'll show you nothing's left
 Oh-oh
( Yeah, yeah) I'm biting down on my shirtsleeve
( Yeah, yeah) I'll lash out if you're in arm's reach
 (Yeah, yeah) I'm so lost, like, what is happening?
 Like, like
 I feel like garbage
 Ooh, yeah
 I can't decide
  If I could feel more or I just knew less
When I was younger
 Bright-eyed with wonder
 Do you know which name it's under? (Oh-oh-oh)
 Or less
 I'll walk you through the numbers
 I'll show you nothing's left
 Oh-oh
 (Yeah, yeah) I'm biting down on my shirt sleeve
 (Yeah, yeah) I'll lash out if you're in arm's reach
 (Yeah, yeah) I'm so lost, like, what is happening?
 Like, what is happening?
 Would you move closer if I grew quieter?
 Maybe this is you
 Maybe you don't fix and you like it like this
 I feel like garbage (Yeah)
 I feel like garbage
 I feel like (Yeah)
 Like
 I'll lash out, lash out, lash out (Hey)
 I'm biting down on my shirt sleeve
 Like, I'll lash out, lash out, lash out
 Don't give up on me
 Don't give up on me
 No, no, no, please, please, please</v>
      </c>
      <c r="K1170" s="4" t="str" cm="1">
        <f t="array" ref="K1170:K1386">_xlfn.TEXTSPLIT(J1170, ," ")</f>
        <v/>
      </c>
      <c r="L1170" s="4" t="str">
        <f>_xlfn.REGEXREPLACE(K1170, "[^A-Za-z ]", " ")</f>
        <v/>
      </c>
      <c r="M1170" s="4" t="str" cm="1">
        <f t="array" ref="M1170:M1268">_xlfn.UNIQUE(_xlfn.TEXTSPLIT(J1170, , " "))</f>
        <v/>
      </c>
      <c r="N1170" s="4" cm="1">
        <f t="array" ref="N1170">SUM(--(_xlfn.TEXTSPLIT($J$1170,, " ") = M1170))</f>
        <v>2</v>
      </c>
      <c r="O1170" s="4" cm="1">
        <f t="array" ref="O1170:O1386">_xlfn._xlws.SORT(N1170:N1386, ,-1)</f>
        <v>12</v>
      </c>
      <c r="P1170" s="4" t="str" cm="1">
        <f t="array" ref="P1170:Q1386">_xlfn.SORTBY(M1170:N1386, N1170:N1386, -1)</f>
        <v>I</v>
      </c>
      <c r="Q1170" s="4">
        <v>12</v>
      </c>
      <c r="R1170" s="4">
        <v>1386</v>
      </c>
      <c r="S1170" s="10"/>
      <c r="T1170"/>
      <c r="U1170"/>
      <c r="V1170"/>
    </row>
    <row r="1171" spans="1:22" x14ac:dyDescent="0.2">
      <c r="E1171" s="9" t="s">
        <v>20</v>
      </c>
      <c r="K1171" t="str">
        <v>I</v>
      </c>
      <c r="L1171" s="4" t="str">
        <f t="shared" si="25"/>
        <v>I</v>
      </c>
      <c r="M1171" t="str">
        <v>I</v>
      </c>
      <c r="N1171" s="4" cm="1">
        <f t="array" ref="N1171">SUM(--(_xlfn.TEXTSPLIT($J$1170,, " ") = M1171))</f>
        <v>12</v>
      </c>
      <c r="O1171">
        <v>8</v>
      </c>
      <c r="P1171" t="str">
        <v>I'll</v>
      </c>
      <c r="Q1171">
        <v>8</v>
      </c>
      <c r="R1171" s="4"/>
      <c r="S1171" s="10"/>
    </row>
    <row r="1172" spans="1:22" x14ac:dyDescent="0.2">
      <c r="E1172" s="9" t="s">
        <v>20</v>
      </c>
      <c r="K1172" t="str">
        <v>didn't</v>
      </c>
      <c r="L1172" s="4" t="str">
        <f t="shared" si="25"/>
        <v>didn t</v>
      </c>
      <c r="M1172" t="str">
        <v>didn't</v>
      </c>
      <c r="N1172" s="4" cm="1">
        <f t="array" ref="N1172">SUM(--(_xlfn.TEXTSPLIT($J$1170,, " ") = M1172))</f>
        <v>1</v>
      </c>
      <c r="O1172">
        <v>8</v>
      </c>
      <c r="P1172" t="str">
        <v>you</v>
      </c>
      <c r="Q1172">
        <v>8</v>
      </c>
      <c r="R1172" s="4"/>
      <c r="S1172" s="10"/>
    </row>
    <row r="1173" spans="1:22" x14ac:dyDescent="0.2">
      <c r="E1173" s="9" t="s">
        <v>20</v>
      </c>
      <c r="K1173" t="str">
        <v>do</v>
      </c>
      <c r="L1173" s="4" t="str">
        <f t="shared" si="25"/>
        <v>do</v>
      </c>
      <c r="M1173" t="str">
        <v>do</v>
      </c>
      <c r="N1173" s="4" cm="1">
        <f t="array" ref="N1173">SUM(--(_xlfn.TEXTSPLIT($J$1170,, " ") = M1173))</f>
        <v>2</v>
      </c>
      <c r="O1173">
        <v>8</v>
      </c>
      <c r="P1173" t="str">
        <v>lash</v>
      </c>
      <c r="Q1173">
        <v>8</v>
      </c>
      <c r="R1173" s="4"/>
      <c r="S1173" s="10"/>
    </row>
    <row r="1174" spans="1:22" x14ac:dyDescent="0.2">
      <c r="E1174" s="9" t="s">
        <v>20</v>
      </c>
      <c r="K1174" t="str">
        <v xml:space="preserve">it
</v>
      </c>
      <c r="L1174" s="4" t="str">
        <f t="shared" si="25"/>
        <v xml:space="preserve">it  </v>
      </c>
      <c r="M1174" t="str">
        <v xml:space="preserve">it
</v>
      </c>
      <c r="N1174" s="4" cm="1">
        <f t="array" ref="N1174">SUM(--(_xlfn.TEXTSPLIT($J$1170,, " ") = M1174))</f>
        <v>1</v>
      </c>
      <c r="O1174">
        <v>7</v>
      </c>
      <c r="P1174" t="str">
        <v>feel</v>
      </c>
      <c r="Q1174">
        <v>7</v>
      </c>
      <c r="R1174" s="4"/>
      <c r="S1174" s="10"/>
    </row>
    <row r="1175" spans="1:22" x14ac:dyDescent="0.2">
      <c r="E1175" s="9" t="s">
        <v>20</v>
      </c>
      <c r="K1175" t="str">
        <v>I</v>
      </c>
      <c r="L1175" s="4" t="str">
        <f t="shared" si="25"/>
        <v>I</v>
      </c>
      <c r="M1175" t="str">
        <v>feel</v>
      </c>
      <c r="N1175" s="4" cm="1">
        <f t="array" ref="N1175">SUM(--(_xlfn.TEXTSPLIT($J$1170,, " ") = M1175))</f>
        <v>7</v>
      </c>
      <c r="O1175">
        <v>7</v>
      </c>
      <c r="P1175" t="str">
        <v>like</v>
      </c>
      <c r="Q1175">
        <v>7</v>
      </c>
      <c r="R1175" s="4"/>
      <c r="S1175" s="10"/>
    </row>
    <row r="1176" spans="1:22" x14ac:dyDescent="0.2">
      <c r="E1176" s="9" t="s">
        <v>20</v>
      </c>
      <c r="K1176" t="str">
        <v>feel</v>
      </c>
      <c r="L1176" s="4" t="str">
        <f t="shared" si="25"/>
        <v>feel</v>
      </c>
      <c r="M1176" t="str">
        <v>like</v>
      </c>
      <c r="N1176" s="4" cm="1">
        <f t="array" ref="N1176">SUM(--(_xlfn.TEXTSPLIT($J$1170,, " ") = M1176))</f>
        <v>7</v>
      </c>
      <c r="O1176">
        <v>6</v>
      </c>
      <c r="P1176" t="str">
        <v>yeah)</v>
      </c>
      <c r="Q1176">
        <v>6</v>
      </c>
      <c r="R1176" s="4"/>
      <c r="S1176" s="10"/>
    </row>
    <row r="1177" spans="1:22" x14ac:dyDescent="0.2">
      <c r="E1177" s="9" t="s">
        <v>20</v>
      </c>
      <c r="K1177" t="str">
        <v>like</v>
      </c>
      <c r="L1177" s="4" t="str">
        <f t="shared" si="25"/>
        <v>like</v>
      </c>
      <c r="M1177" t="str">
        <v xml:space="preserve">garbage
</v>
      </c>
      <c r="N1177" s="4" cm="1">
        <f t="array" ref="N1177">SUM(--(_xlfn.TEXTSPLIT($J$1170,, " ") = M1177))</f>
        <v>2</v>
      </c>
      <c r="O1177">
        <v>5</v>
      </c>
      <c r="P1177" t="str">
        <v>I'm</v>
      </c>
      <c r="Q1177">
        <v>5</v>
      </c>
      <c r="R1177" s="4"/>
      <c r="S1177" s="10"/>
    </row>
    <row r="1178" spans="1:22" x14ac:dyDescent="0.2">
      <c r="E1178" s="9" t="s">
        <v>20</v>
      </c>
      <c r="K1178" t="str">
        <v xml:space="preserve">garbage
</v>
      </c>
      <c r="L1178" s="4" t="str">
        <f t="shared" si="25"/>
        <v xml:space="preserve">garbage </v>
      </c>
      <c r="M1178" t="str">
        <v xml:space="preserve">like
</v>
      </c>
      <c r="N1178" s="4" cm="1">
        <f t="array" ref="N1178">SUM(--(_xlfn.TEXTSPLIT($J$1170,, " ") = M1178))</f>
        <v>2</v>
      </c>
      <c r="O1178">
        <v>5</v>
      </c>
      <c r="P1178" t="str">
        <v>on</v>
      </c>
      <c r="Q1178">
        <v>5</v>
      </c>
      <c r="R1178" s="4"/>
      <c r="S1178" s="10"/>
    </row>
    <row r="1179" spans="1:22" x14ac:dyDescent="0.2">
      <c r="E1179" s="9" t="s">
        <v>20</v>
      </c>
      <c r="K1179" t="str">
        <v>I</v>
      </c>
      <c r="L1179" s="4" t="str">
        <f t="shared" si="25"/>
        <v>I</v>
      </c>
      <c r="M1179" t="str">
        <v>My</v>
      </c>
      <c r="N1179" s="4" cm="1">
        <f t="array" ref="N1179">SUM(--(_xlfn.TEXTSPLIT($J$1170,, " ") = M1179))</f>
        <v>4</v>
      </c>
      <c r="O1179">
        <v>5</v>
      </c>
      <c r="P1179" t="str">
        <v>like,</v>
      </c>
      <c r="Q1179">
        <v>5</v>
      </c>
      <c r="R1179" s="4"/>
      <c r="S1179" s="10"/>
    </row>
    <row r="1180" spans="1:22" x14ac:dyDescent="0.2">
      <c r="E1180" s="9" t="s">
        <v>20</v>
      </c>
      <c r="K1180" t="str">
        <v>feel</v>
      </c>
      <c r="L1180" s="4" t="str">
        <f t="shared" si="25"/>
        <v>feel</v>
      </c>
      <c r="M1180" t="str">
        <v>systems</v>
      </c>
      <c r="N1180" s="4" cm="1">
        <f t="array" ref="N1180">SUM(--(_xlfn.TEXTSPLIT($J$1170,, " ") = M1180))</f>
        <v>1</v>
      </c>
      <c r="O1180">
        <v>4</v>
      </c>
      <c r="P1180" t="str">
        <v>My</v>
      </c>
      <c r="Q1180">
        <v>4</v>
      </c>
      <c r="R1180" s="4"/>
      <c r="S1180" s="10"/>
    </row>
    <row r="1181" spans="1:22" x14ac:dyDescent="0.2">
      <c r="E1181" s="9" t="s">
        <v>20</v>
      </c>
      <c r="K1181" t="str">
        <v xml:space="preserve">like
</v>
      </c>
      <c r="L1181" s="4" t="str">
        <f t="shared" si="25"/>
        <v xml:space="preserve">like </v>
      </c>
      <c r="M1181" t="str">
        <v>are</v>
      </c>
      <c r="N1181" s="4" cm="1">
        <f t="array" ref="N1181">SUM(--(_xlfn.TEXTSPLIT($J$1170,, " ") = M1181))</f>
        <v>1</v>
      </c>
      <c r="O1181">
        <v>4</v>
      </c>
      <c r="P1181" t="str">
        <v>if</v>
      </c>
      <c r="Q1181">
        <v>4</v>
      </c>
      <c r="R1181" s="4"/>
      <c r="S1181" s="10"/>
    </row>
    <row r="1182" spans="1:22" x14ac:dyDescent="0.2">
      <c r="E1182" s="9" t="s">
        <v>20</v>
      </c>
      <c r="K1182" t="str">
        <v>My</v>
      </c>
      <c r="L1182" s="4" t="str">
        <f t="shared" si="25"/>
        <v>My</v>
      </c>
      <c r="M1182" t="str">
        <v>operating</v>
      </c>
      <c r="N1182" s="4" cm="1">
        <f t="array" ref="N1182">SUM(--(_xlfn.TEXTSPLIT($J$1170,, " ") = M1182))</f>
        <v>1</v>
      </c>
      <c r="O1182">
        <v>4</v>
      </c>
      <c r="P1182" t="str">
        <v>(Yeah,</v>
      </c>
      <c r="Q1182">
        <v>4</v>
      </c>
      <c r="R1182" s="4"/>
      <c r="S1182" s="10"/>
    </row>
    <row r="1183" spans="1:22" x14ac:dyDescent="0.2">
      <c r="E1183" s="9" t="s">
        <v>20</v>
      </c>
      <c r="K1183" t="str">
        <v>systems</v>
      </c>
      <c r="L1183" s="4" t="str">
        <f t="shared" si="25"/>
        <v>systems</v>
      </c>
      <c r="M1183" t="str">
        <v>at</v>
      </c>
      <c r="N1183" s="4" cm="1">
        <f t="array" ref="N1183">SUM(--(_xlfn.TEXTSPLIT($J$1170,, " ") = M1183))</f>
        <v>1</v>
      </c>
      <c r="O1183">
        <v>4</v>
      </c>
      <c r="P1183" t="str">
        <v>is</v>
      </c>
      <c r="Q1183">
        <v>4</v>
      </c>
      <c r="R1183" s="4"/>
      <c r="S1183" s="10"/>
    </row>
    <row r="1184" spans="1:22" x14ac:dyDescent="0.2">
      <c r="E1184" s="9" t="s">
        <v>20</v>
      </c>
      <c r="K1184" t="str">
        <v>are</v>
      </c>
      <c r="L1184" s="4" t="str">
        <f t="shared" si="25"/>
        <v>are</v>
      </c>
      <c r="M1184" t="str">
        <v>twenty</v>
      </c>
      <c r="N1184" s="4" cm="1">
        <f t="array" ref="N1184">SUM(--(_xlfn.TEXTSPLIT($J$1170,, " ") = M1184))</f>
        <v>1</v>
      </c>
      <c r="O1184">
        <v>4</v>
      </c>
      <c r="P1184" t="str">
        <v>out,</v>
      </c>
      <c r="Q1184">
        <v>4</v>
      </c>
      <c r="R1184" s="4"/>
      <c r="S1184" s="10"/>
    </row>
    <row r="1185" spans="5:19" x14ac:dyDescent="0.2">
      <c r="E1185" s="9" t="s">
        <v>20</v>
      </c>
      <c r="K1185" t="str">
        <v>operating</v>
      </c>
      <c r="L1185" s="4" t="str">
        <f t="shared" si="25"/>
        <v>operating</v>
      </c>
      <c r="M1185" t="str">
        <v xml:space="preserve">percent
</v>
      </c>
      <c r="N1185" s="4" cm="1">
        <f t="array" ref="N1185">SUM(--(_xlfn.TEXTSPLIT($J$1170,, " ") = M1185))</f>
        <v>1</v>
      </c>
      <c r="O1185">
        <v>3</v>
      </c>
      <c r="P1185" t="str">
        <v>Or</v>
      </c>
      <c r="Q1185">
        <v>3</v>
      </c>
      <c r="R1185" s="4"/>
      <c r="S1185" s="10"/>
    </row>
    <row r="1186" spans="5:19" x14ac:dyDescent="0.2">
      <c r="E1186" s="9" t="s">
        <v>20</v>
      </c>
      <c r="K1186" t="str">
        <v>at</v>
      </c>
      <c r="L1186" s="4" t="str">
        <f t="shared" si="25"/>
        <v>at</v>
      </c>
      <c r="M1186" t="str">
        <v>Or</v>
      </c>
      <c r="N1186" s="4" cm="1">
        <f t="array" ref="N1186">SUM(--(_xlfn.TEXTSPLIT($J$1170,, " ") = M1186))</f>
        <v>3</v>
      </c>
      <c r="O1186">
        <v>3</v>
      </c>
      <c r="P1186" t="str">
        <v>biting</v>
      </c>
      <c r="Q1186">
        <v>3</v>
      </c>
      <c r="R1186" s="4"/>
      <c r="S1186" s="10"/>
    </row>
    <row r="1187" spans="5:19" x14ac:dyDescent="0.2">
      <c r="E1187" s="9" t="s">
        <v>20</v>
      </c>
      <c r="K1187" t="str">
        <v>twenty</v>
      </c>
      <c r="L1187" s="4" t="str">
        <f t="shared" si="25"/>
        <v>twenty</v>
      </c>
      <c r="M1187" t="str">
        <v xml:space="preserve">less
</v>
      </c>
      <c r="N1187" s="4" cm="1">
        <f t="array" ref="N1187">SUM(--(_xlfn.TEXTSPLIT($J$1170,, " ") = M1187))</f>
        <v>2</v>
      </c>
      <c r="O1187">
        <v>3</v>
      </c>
      <c r="P1187" t="str">
        <v>down</v>
      </c>
      <c r="Q1187">
        <v>3</v>
      </c>
      <c r="R1187" s="4"/>
      <c r="S1187" s="10"/>
    </row>
    <row r="1188" spans="5:19" x14ac:dyDescent="0.2">
      <c r="E1188" s="9" t="s">
        <v>20</v>
      </c>
      <c r="K1188" t="str">
        <v xml:space="preserve">percent
</v>
      </c>
      <c r="L1188" s="4" t="str">
        <f t="shared" si="25"/>
        <v xml:space="preserve">percent  </v>
      </c>
      <c r="M1188" t="str">
        <v>I'll</v>
      </c>
      <c r="N1188" s="4" cm="1">
        <f t="array" ref="N1188">SUM(--(_xlfn.TEXTSPLIT($J$1170,, " ") = M1188))</f>
        <v>8</v>
      </c>
      <c r="O1188">
        <v>3</v>
      </c>
      <c r="P1188" t="str">
        <v>out</v>
      </c>
      <c r="Q1188">
        <v>3</v>
      </c>
      <c r="R1188" s="4"/>
      <c r="S1188" s="10"/>
    </row>
    <row r="1189" spans="5:19" x14ac:dyDescent="0.2">
      <c r="E1189" s="9" t="s">
        <v>20</v>
      </c>
      <c r="K1189" t="str">
        <v>Or</v>
      </c>
      <c r="L1189" s="4" t="str">
        <f t="shared" si="25"/>
        <v>Or</v>
      </c>
      <c r="M1189" t="str">
        <v>walk</v>
      </c>
      <c r="N1189" s="4" cm="1">
        <f t="array" ref="N1189">SUM(--(_xlfn.TEXTSPLIT($J$1170,, " ") = M1189))</f>
        <v>2</v>
      </c>
      <c r="O1189">
        <v>3</v>
      </c>
      <c r="P1189" t="str">
        <v>what</v>
      </c>
      <c r="Q1189">
        <v>3</v>
      </c>
      <c r="R1189" s="4"/>
      <c r="S1189" s="10"/>
    </row>
    <row r="1190" spans="5:19" x14ac:dyDescent="0.2">
      <c r="E1190" s="9" t="s">
        <v>20</v>
      </c>
      <c r="K1190" t="str">
        <v xml:space="preserve">less
</v>
      </c>
      <c r="L1190" s="4" t="str">
        <f t="shared" si="25"/>
        <v xml:space="preserve">less </v>
      </c>
      <c r="M1190" t="str">
        <v>you</v>
      </c>
      <c r="N1190" s="4" cm="1">
        <f t="array" ref="N1190">SUM(--(_xlfn.TEXTSPLIT($J$1170,, " ") = M1190))</f>
        <v>8</v>
      </c>
      <c r="O1190">
        <v>3</v>
      </c>
      <c r="P1190" t="str">
        <v>don't</v>
      </c>
      <c r="Q1190">
        <v>3</v>
      </c>
      <c r="R1190" s="4"/>
      <c r="S1190" s="10"/>
    </row>
    <row r="1191" spans="5:19" x14ac:dyDescent="0.2">
      <c r="E1191" s="9" t="s">
        <v>20</v>
      </c>
      <c r="K1191" t="str">
        <v>I'll</v>
      </c>
      <c r="L1191" s="4" t="str">
        <f t="shared" si="25"/>
        <v>I ll</v>
      </c>
      <c r="M1191" t="str">
        <v>through</v>
      </c>
      <c r="N1191" s="4" cm="1">
        <f t="array" ref="N1191">SUM(--(_xlfn.TEXTSPLIT($J$1170,, " ") = M1191))</f>
        <v>2</v>
      </c>
      <c r="O1191">
        <v>3</v>
      </c>
      <c r="P1191" t="str">
        <v>No,</v>
      </c>
      <c r="Q1191">
        <v>3</v>
      </c>
      <c r="R1191" s="4"/>
      <c r="S1191" s="10"/>
    </row>
    <row r="1192" spans="5:19" x14ac:dyDescent="0.2">
      <c r="E1192" s="9" t="s">
        <v>20</v>
      </c>
      <c r="K1192" t="str">
        <v>walk</v>
      </c>
      <c r="L1192" s="4" t="str">
        <f t="shared" si="25"/>
        <v>walk</v>
      </c>
      <c r="M1192" t="str">
        <v>the</v>
      </c>
      <c r="N1192" s="4" cm="1">
        <f t="array" ref="N1192">SUM(--(_xlfn.TEXTSPLIT($J$1170,, " ") = M1192))</f>
        <v>2</v>
      </c>
      <c r="O1192">
        <v>2</v>
      </c>
      <c r="P1192" t="str">
        <v/>
      </c>
      <c r="Q1192">
        <v>2</v>
      </c>
      <c r="R1192" s="4"/>
      <c r="S1192" s="10"/>
    </row>
    <row r="1193" spans="5:19" x14ac:dyDescent="0.2">
      <c r="E1193" s="9" t="s">
        <v>20</v>
      </c>
      <c r="K1193" t="str">
        <v>you</v>
      </c>
      <c r="L1193" s="4" t="str">
        <f t="shared" si="25"/>
        <v>you</v>
      </c>
      <c r="M1193" t="str">
        <v xml:space="preserve">numbers
</v>
      </c>
      <c r="N1193" s="4" cm="1">
        <f t="array" ref="N1193">SUM(--(_xlfn.TEXTSPLIT($J$1170,, " ") = M1193))</f>
        <v>2</v>
      </c>
      <c r="O1193">
        <v>2</v>
      </c>
      <c r="P1193" t="str">
        <v>do</v>
      </c>
      <c r="Q1193">
        <v>2</v>
      </c>
      <c r="R1193" s="4"/>
      <c r="S1193" s="10"/>
    </row>
    <row r="1194" spans="5:19" x14ac:dyDescent="0.2">
      <c r="E1194" s="9" t="s">
        <v>20</v>
      </c>
      <c r="K1194" t="str">
        <v>through</v>
      </c>
      <c r="L1194" s="4" t="str">
        <f t="shared" si="25"/>
        <v>through</v>
      </c>
      <c r="M1194" t="str">
        <v>show</v>
      </c>
      <c r="N1194" s="4" cm="1">
        <f t="array" ref="N1194">SUM(--(_xlfn.TEXTSPLIT($J$1170,, " ") = M1194))</f>
        <v>2</v>
      </c>
      <c r="O1194">
        <v>2</v>
      </c>
      <c r="P1194" t="str">
        <v xml:space="preserve">garbage
</v>
      </c>
      <c r="Q1194">
        <v>2</v>
      </c>
      <c r="R1194" s="4"/>
      <c r="S1194" s="10"/>
    </row>
    <row r="1195" spans="5:19" x14ac:dyDescent="0.2">
      <c r="E1195" s="9" t="s">
        <v>20</v>
      </c>
      <c r="K1195" t="str">
        <v>the</v>
      </c>
      <c r="L1195" s="4" t="str">
        <f t="shared" si="25"/>
        <v>the</v>
      </c>
      <c r="M1195" t="str">
        <v>nothing's</v>
      </c>
      <c r="N1195" s="4" cm="1">
        <f t="array" ref="N1195">SUM(--(_xlfn.TEXTSPLIT($J$1170,, " ") = M1195))</f>
        <v>2</v>
      </c>
      <c r="O1195">
        <v>2</v>
      </c>
      <c r="P1195" t="str">
        <v xml:space="preserve">like
</v>
      </c>
      <c r="Q1195">
        <v>2</v>
      </c>
      <c r="R1195" s="4"/>
      <c r="S1195" s="10"/>
    </row>
    <row r="1196" spans="5:19" x14ac:dyDescent="0.2">
      <c r="E1196" s="9" t="s">
        <v>20</v>
      </c>
      <c r="K1196" t="str">
        <v xml:space="preserve">numbers
</v>
      </c>
      <c r="L1196" s="4" t="str">
        <f t="shared" si="25"/>
        <v xml:space="preserve">numbers </v>
      </c>
      <c r="M1196" t="str">
        <v xml:space="preserve">left
</v>
      </c>
      <c r="N1196" s="4" cm="1">
        <f t="array" ref="N1196">SUM(--(_xlfn.TEXTSPLIT($J$1170,, " ") = M1196))</f>
        <v>2</v>
      </c>
      <c r="O1196">
        <v>2</v>
      </c>
      <c r="P1196" t="str">
        <v xml:space="preserve">less
</v>
      </c>
      <c r="Q1196">
        <v>2</v>
      </c>
      <c r="R1196" s="4"/>
      <c r="S1196" s="10"/>
    </row>
    <row r="1197" spans="5:19" x14ac:dyDescent="0.2">
      <c r="E1197" s="9" t="s">
        <v>20</v>
      </c>
      <c r="K1197" t="str">
        <v>I'll</v>
      </c>
      <c r="L1197" s="4" t="str">
        <f t="shared" si="25"/>
        <v>I ll</v>
      </c>
      <c r="M1197" t="str">
        <v>Oh-oh
(</v>
      </c>
      <c r="N1197" s="4" cm="1">
        <f t="array" ref="N1197">SUM(--(_xlfn.TEXTSPLIT($J$1170,, " ") = M1197))</f>
        <v>1</v>
      </c>
      <c r="O1197">
        <v>2</v>
      </c>
      <c r="P1197" t="str">
        <v>walk</v>
      </c>
      <c r="Q1197">
        <v>2</v>
      </c>
      <c r="R1197" s="4"/>
      <c r="S1197" s="10"/>
    </row>
    <row r="1198" spans="5:19" x14ac:dyDescent="0.2">
      <c r="E1198" s="9" t="s">
        <v>20</v>
      </c>
      <c r="K1198" t="str">
        <v>show</v>
      </c>
      <c r="L1198" s="4" t="str">
        <f t="shared" si="25"/>
        <v>show</v>
      </c>
      <c r="M1198" t="str">
        <v>Yeah,</v>
      </c>
      <c r="N1198" s="4" cm="1">
        <f t="array" ref="N1198">SUM(--(_xlfn.TEXTSPLIT($J$1170,, " ") = M1198))</f>
        <v>2</v>
      </c>
      <c r="O1198">
        <v>2</v>
      </c>
      <c r="P1198" t="str">
        <v>through</v>
      </c>
      <c r="Q1198">
        <v>2</v>
      </c>
      <c r="R1198" s="4"/>
      <c r="S1198" s="10"/>
    </row>
    <row r="1199" spans="5:19" x14ac:dyDescent="0.2">
      <c r="E1199" s="9" t="s">
        <v>20</v>
      </c>
      <c r="K1199" t="str">
        <v>you</v>
      </c>
      <c r="L1199" s="4" t="str">
        <f t="shared" si="25"/>
        <v>you</v>
      </c>
      <c r="M1199" t="str">
        <v>yeah)</v>
      </c>
      <c r="N1199" s="4" cm="1">
        <f t="array" ref="N1199">SUM(--(_xlfn.TEXTSPLIT($J$1170,, " ") = M1199))</f>
        <v>6</v>
      </c>
      <c r="O1199">
        <v>2</v>
      </c>
      <c r="P1199" t="str">
        <v>the</v>
      </c>
      <c r="Q1199">
        <v>2</v>
      </c>
      <c r="R1199" s="4"/>
      <c r="S1199" s="10"/>
    </row>
    <row r="1200" spans="5:19" x14ac:dyDescent="0.2">
      <c r="E1200" s="9" t="s">
        <v>20</v>
      </c>
      <c r="K1200" t="str">
        <v>nothing's</v>
      </c>
      <c r="L1200" s="4" t="str">
        <f t="shared" si="25"/>
        <v>nothing s</v>
      </c>
      <c r="M1200" t="str">
        <v>I'm</v>
      </c>
      <c r="N1200" s="4" cm="1">
        <f t="array" ref="N1200">SUM(--(_xlfn.TEXTSPLIT($J$1170,, " ") = M1200))</f>
        <v>5</v>
      </c>
      <c r="O1200">
        <v>2</v>
      </c>
      <c r="P1200" t="str">
        <v xml:space="preserve">numbers
</v>
      </c>
      <c r="Q1200">
        <v>2</v>
      </c>
      <c r="R1200" s="4"/>
      <c r="S1200" s="10"/>
    </row>
    <row r="1201" spans="5:19" x14ac:dyDescent="0.2">
      <c r="E1201" s="9" t="s">
        <v>20</v>
      </c>
      <c r="K1201" t="str">
        <v xml:space="preserve">left
</v>
      </c>
      <c r="L1201" s="4" t="str">
        <f t="shared" si="25"/>
        <v xml:space="preserve">left </v>
      </c>
      <c r="M1201" t="str">
        <v>biting</v>
      </c>
      <c r="N1201" s="4" cm="1">
        <f t="array" ref="N1201">SUM(--(_xlfn.TEXTSPLIT($J$1170,, " ") = M1201))</f>
        <v>3</v>
      </c>
      <c r="O1201">
        <v>2</v>
      </c>
      <c r="P1201" t="str">
        <v>show</v>
      </c>
      <c r="Q1201">
        <v>2</v>
      </c>
      <c r="R1201" s="4"/>
      <c r="S1201" s="10"/>
    </row>
    <row r="1202" spans="5:19" x14ac:dyDescent="0.2">
      <c r="E1202" s="9" t="s">
        <v>20</v>
      </c>
      <c r="K1202" t="str">
        <v>Oh-oh
(</v>
      </c>
      <c r="L1202" s="4" t="str">
        <f t="shared" si="25"/>
        <v xml:space="preserve">Oh oh   </v>
      </c>
      <c r="M1202" t="str">
        <v>down</v>
      </c>
      <c r="N1202" s="4" cm="1">
        <f t="array" ref="N1202">SUM(--(_xlfn.TEXTSPLIT($J$1170,, " ") = M1202))</f>
        <v>3</v>
      </c>
      <c r="O1202">
        <v>2</v>
      </c>
      <c r="P1202" t="str">
        <v>nothing's</v>
      </c>
      <c r="Q1202">
        <v>2</v>
      </c>
      <c r="R1202" s="4"/>
      <c r="S1202" s="10"/>
    </row>
    <row r="1203" spans="5:19" x14ac:dyDescent="0.2">
      <c r="E1203" s="9" t="s">
        <v>20</v>
      </c>
      <c r="K1203" t="str">
        <v>Yeah,</v>
      </c>
      <c r="L1203" s="4" t="str">
        <f t="shared" si="25"/>
        <v xml:space="preserve">Yeah </v>
      </c>
      <c r="M1203" t="str">
        <v>on</v>
      </c>
      <c r="N1203" s="4" cm="1">
        <f t="array" ref="N1203">SUM(--(_xlfn.TEXTSPLIT($J$1170,, " ") = M1203))</f>
        <v>5</v>
      </c>
      <c r="O1203">
        <v>2</v>
      </c>
      <c r="P1203" t="str">
        <v xml:space="preserve">left
</v>
      </c>
      <c r="Q1203">
        <v>2</v>
      </c>
      <c r="R1203" s="4"/>
      <c r="S1203" s="10"/>
    </row>
    <row r="1204" spans="5:19" x14ac:dyDescent="0.2">
      <c r="E1204" s="9" t="s">
        <v>20</v>
      </c>
      <c r="K1204" t="str">
        <v>yeah)</v>
      </c>
      <c r="L1204" s="4" t="str">
        <f t="shared" si="25"/>
        <v xml:space="preserve">yeah </v>
      </c>
      <c r="M1204" t="str">
        <v>shirtsleeve
(</v>
      </c>
      <c r="N1204" s="4" cm="1">
        <f t="array" ref="N1204">SUM(--(_xlfn.TEXTSPLIT($J$1170,, " ") = M1204))</f>
        <v>1</v>
      </c>
      <c r="O1204">
        <v>2</v>
      </c>
      <c r="P1204" t="str">
        <v>Yeah,</v>
      </c>
      <c r="Q1204">
        <v>2</v>
      </c>
      <c r="R1204" s="4"/>
      <c r="S1204" s="10"/>
    </row>
    <row r="1205" spans="5:19" x14ac:dyDescent="0.2">
      <c r="E1205" s="9" t="s">
        <v>20</v>
      </c>
      <c r="K1205" t="str">
        <v>I'm</v>
      </c>
      <c r="L1205" s="4" t="str">
        <f t="shared" si="25"/>
        <v>I m</v>
      </c>
      <c r="M1205" t="str">
        <v>lash</v>
      </c>
      <c r="N1205" s="4" cm="1">
        <f t="array" ref="N1205">SUM(--(_xlfn.TEXTSPLIT($J$1170,, " ") = M1205))</f>
        <v>8</v>
      </c>
      <c r="O1205">
        <v>2</v>
      </c>
      <c r="P1205" t="str">
        <v>you're</v>
      </c>
      <c r="Q1205">
        <v>2</v>
      </c>
      <c r="R1205" s="4"/>
      <c r="S1205" s="10"/>
    </row>
    <row r="1206" spans="5:19" x14ac:dyDescent="0.2">
      <c r="E1206" s="9" t="s">
        <v>20</v>
      </c>
      <c r="K1206" t="str">
        <v>biting</v>
      </c>
      <c r="L1206" s="4" t="str">
        <f t="shared" si="25"/>
        <v>biting</v>
      </c>
      <c r="M1206" t="str">
        <v>out</v>
      </c>
      <c r="N1206" s="4" cm="1">
        <f t="array" ref="N1206">SUM(--(_xlfn.TEXTSPLIT($J$1170,, " ") = M1206))</f>
        <v>3</v>
      </c>
      <c r="O1206">
        <v>2</v>
      </c>
      <c r="P1206" t="str">
        <v>in</v>
      </c>
      <c r="Q1206">
        <v>2</v>
      </c>
      <c r="R1206" s="4"/>
      <c r="S1206" s="10"/>
    </row>
    <row r="1207" spans="5:19" x14ac:dyDescent="0.2">
      <c r="E1207" s="9" t="s">
        <v>20</v>
      </c>
      <c r="K1207" t="str">
        <v>down</v>
      </c>
      <c r="L1207" s="4" t="str">
        <f t="shared" si="25"/>
        <v>down</v>
      </c>
      <c r="M1207" t="str">
        <v>if</v>
      </c>
      <c r="N1207" s="4" cm="1">
        <f t="array" ref="N1207">SUM(--(_xlfn.TEXTSPLIT($J$1170,, " ") = M1207))</f>
        <v>4</v>
      </c>
      <c r="O1207">
        <v>2</v>
      </c>
      <c r="P1207" t="str">
        <v>arm's</v>
      </c>
      <c r="Q1207">
        <v>2</v>
      </c>
      <c r="R1207" s="4"/>
      <c r="S1207" s="10"/>
    </row>
    <row r="1208" spans="5:19" x14ac:dyDescent="0.2">
      <c r="E1208" s="9" t="s">
        <v>20</v>
      </c>
      <c r="K1208" t="str">
        <v>on</v>
      </c>
      <c r="L1208" s="4" t="str">
        <f t="shared" si="25"/>
        <v>on</v>
      </c>
      <c r="M1208" t="str">
        <v>you're</v>
      </c>
      <c r="N1208" s="4" cm="1">
        <f t="array" ref="N1208">SUM(--(_xlfn.TEXTSPLIT($J$1170,, " ") = M1208))</f>
        <v>2</v>
      </c>
      <c r="O1208">
        <v>2</v>
      </c>
      <c r="P1208" t="str">
        <v xml:space="preserve">reach
</v>
      </c>
      <c r="Q1208">
        <v>2</v>
      </c>
      <c r="R1208" s="4"/>
      <c r="S1208" s="10"/>
    </row>
    <row r="1209" spans="5:19" x14ac:dyDescent="0.2">
      <c r="E1209" s="9" t="s">
        <v>20</v>
      </c>
      <c r="K1209" t="str">
        <v>my</v>
      </c>
      <c r="L1209" s="4" t="str">
        <f t="shared" si="25"/>
        <v>my</v>
      </c>
      <c r="M1209" t="str">
        <v>in</v>
      </c>
      <c r="N1209" s="4" cm="1">
        <f t="array" ref="N1209">SUM(--(_xlfn.TEXTSPLIT($J$1170,, " ") = M1209))</f>
        <v>2</v>
      </c>
      <c r="O1209">
        <v>2</v>
      </c>
      <c r="P1209" t="str">
        <v>so</v>
      </c>
      <c r="Q1209">
        <v>2</v>
      </c>
      <c r="R1209" s="4"/>
      <c r="S1209" s="10"/>
    </row>
    <row r="1210" spans="5:19" x14ac:dyDescent="0.2">
      <c r="E1210" s="9" t="s">
        <v>20</v>
      </c>
      <c r="K1210" t="str">
        <v>shirtsleeve
(</v>
      </c>
      <c r="L1210" s="4" t="str">
        <f t="shared" ref="L1210:L1241" si="26">_xlfn.REGEXREPLACE(C1210, "[^A-Za-z ]", " ")</f>
        <v/>
      </c>
      <c r="M1210" t="str">
        <v>arm's</v>
      </c>
      <c r="N1210" s="4" cm="1">
        <f t="array" ref="N1210">SUM(--(_xlfn.TEXTSPLIT($J$1170,, " ") = M1210))</f>
        <v>2</v>
      </c>
      <c r="O1210">
        <v>2</v>
      </c>
      <c r="P1210" t="str">
        <v>lost,</v>
      </c>
      <c r="Q1210">
        <v>2</v>
      </c>
      <c r="R1210" s="4"/>
      <c r="S1210" s="10"/>
    </row>
    <row r="1211" spans="5:19" x14ac:dyDescent="0.2">
      <c r="E1211" s="9" t="s">
        <v>20</v>
      </c>
      <c r="K1211" t="str">
        <v>Yeah,</v>
      </c>
      <c r="L1211" s="4" t="str">
        <f t="shared" si="26"/>
        <v/>
      </c>
      <c r="M1211" t="str">
        <v xml:space="preserve">reach
</v>
      </c>
      <c r="N1211" s="4" cm="1">
        <f t="array" ref="N1211">SUM(--(_xlfn.TEXTSPLIT($J$1170,, " ") = M1211))</f>
        <v>2</v>
      </c>
      <c r="O1211">
        <v>2</v>
      </c>
      <c r="P1211" t="str">
        <v xml:space="preserve">happening?
</v>
      </c>
      <c r="Q1211">
        <v>2</v>
      </c>
      <c r="R1211" s="4"/>
      <c r="S1211" s="10"/>
    </row>
    <row r="1212" spans="5:19" x14ac:dyDescent="0.2">
      <c r="E1212" s="9" t="s">
        <v>20</v>
      </c>
      <c r="K1212" t="str">
        <v>yeah)</v>
      </c>
      <c r="L1212" s="4" t="str">
        <f t="shared" si="26"/>
        <v/>
      </c>
      <c r="M1212" t="str">
        <v>(Yeah,</v>
      </c>
      <c r="N1212" s="4" cm="1">
        <f t="array" ref="N1212">SUM(--(_xlfn.TEXTSPLIT($J$1170,, " ") = M1212))</f>
        <v>4</v>
      </c>
      <c r="O1212">
        <v>2</v>
      </c>
      <c r="P1212" t="str">
        <v>shirt</v>
      </c>
      <c r="Q1212">
        <v>2</v>
      </c>
      <c r="R1212" s="4"/>
      <c r="S1212" s="10"/>
    </row>
    <row r="1213" spans="5:19" x14ac:dyDescent="0.2">
      <c r="E1213" s="9" t="s">
        <v>20</v>
      </c>
      <c r="K1213" t="str">
        <v>I'll</v>
      </c>
      <c r="L1213" s="4" t="str">
        <f t="shared" si="26"/>
        <v/>
      </c>
      <c r="M1213" t="str">
        <v>so</v>
      </c>
      <c r="N1213" s="4" cm="1">
        <f t="array" ref="N1213">SUM(--(_xlfn.TEXTSPLIT($J$1170,, " ") = M1213))</f>
        <v>2</v>
      </c>
      <c r="O1213">
        <v>2</v>
      </c>
      <c r="P1213" t="str">
        <v xml:space="preserve">sleeve
</v>
      </c>
      <c r="Q1213">
        <v>2</v>
      </c>
      <c r="R1213" s="4"/>
      <c r="S1213" s="10"/>
    </row>
    <row r="1214" spans="5:19" x14ac:dyDescent="0.2">
      <c r="E1214" s="9" t="s">
        <v>20</v>
      </c>
      <c r="K1214" t="str">
        <v>lash</v>
      </c>
      <c r="L1214" s="4" t="str">
        <f t="shared" si="26"/>
        <v/>
      </c>
      <c r="M1214" t="str">
        <v>lost,</v>
      </c>
      <c r="N1214" s="4" cm="1">
        <f t="array" ref="N1214">SUM(--(_xlfn.TEXTSPLIT($J$1170,, " ") = M1214))</f>
        <v>2</v>
      </c>
      <c r="O1214">
        <v>2</v>
      </c>
      <c r="P1214" t="str">
        <v>Maybe</v>
      </c>
      <c r="Q1214">
        <v>2</v>
      </c>
      <c r="R1214" s="4"/>
      <c r="S1214" s="10"/>
    </row>
    <row r="1215" spans="5:19" x14ac:dyDescent="0.2">
      <c r="E1215" s="9" t="s">
        <v>20</v>
      </c>
      <c r="K1215" t="str">
        <v>out</v>
      </c>
      <c r="L1215" s="4" t="str">
        <f t="shared" si="26"/>
        <v/>
      </c>
      <c r="M1215" t="str">
        <v>like,</v>
      </c>
      <c r="N1215" s="4" cm="1">
        <f t="array" ref="N1215">SUM(--(_xlfn.TEXTSPLIT($J$1170,, " ") = M1215))</f>
        <v>5</v>
      </c>
      <c r="O1215">
        <v>2</v>
      </c>
      <c r="P1215" t="str">
        <v xml:space="preserve">(Yeah)
</v>
      </c>
      <c r="Q1215">
        <v>2</v>
      </c>
      <c r="R1215" s="4"/>
      <c r="S1215" s="10"/>
    </row>
    <row r="1216" spans="5:19" x14ac:dyDescent="0.2">
      <c r="E1216" s="9" t="s">
        <v>20</v>
      </c>
      <c r="K1216" t="str">
        <v>if</v>
      </c>
      <c r="L1216" s="4" t="str">
        <f t="shared" si="26"/>
        <v/>
      </c>
      <c r="M1216" t="str">
        <v>what</v>
      </c>
      <c r="N1216" s="4" cm="1">
        <f t="array" ref="N1216">SUM(--(_xlfn.TEXTSPLIT($J$1170,, " ") = M1216))</f>
        <v>3</v>
      </c>
      <c r="O1216">
        <v>2</v>
      </c>
      <c r="P1216" t="str">
        <v>give</v>
      </c>
      <c r="Q1216">
        <v>2</v>
      </c>
      <c r="R1216" s="4"/>
      <c r="S1216" s="10"/>
    </row>
    <row r="1217" spans="5:19" x14ac:dyDescent="0.2">
      <c r="E1217" s="9" t="s">
        <v>20</v>
      </c>
      <c r="K1217" t="str">
        <v>you're</v>
      </c>
      <c r="L1217" s="4" t="str">
        <f t="shared" si="26"/>
        <v/>
      </c>
      <c r="M1217" t="str">
        <v>is</v>
      </c>
      <c r="N1217" s="4" cm="1">
        <f t="array" ref="N1217">SUM(--(_xlfn.TEXTSPLIT($J$1170,, " ") = M1217))</f>
        <v>4</v>
      </c>
      <c r="O1217">
        <v>2</v>
      </c>
      <c r="P1217" t="str">
        <v>up</v>
      </c>
      <c r="Q1217">
        <v>2</v>
      </c>
      <c r="R1217" s="4"/>
      <c r="S1217" s="10"/>
    </row>
    <row r="1218" spans="5:19" x14ac:dyDescent="0.2">
      <c r="E1218" s="9" t="s">
        <v>20</v>
      </c>
      <c r="K1218" t="str">
        <v>in</v>
      </c>
      <c r="L1218" s="4" t="str">
        <f t="shared" si="26"/>
        <v/>
      </c>
      <c r="M1218" t="str">
        <v xml:space="preserve">happening?
</v>
      </c>
      <c r="N1218" s="4" cm="1">
        <f t="array" ref="N1218">SUM(--(_xlfn.TEXTSPLIT($J$1170,, " ") = M1218))</f>
        <v>2</v>
      </c>
      <c r="O1218">
        <v>2</v>
      </c>
      <c r="P1218" t="str">
        <v xml:space="preserve">me
</v>
      </c>
      <c r="Q1218">
        <v>2</v>
      </c>
      <c r="R1218" s="4"/>
      <c r="S1218" s="10"/>
    </row>
    <row r="1219" spans="5:19" x14ac:dyDescent="0.2">
      <c r="E1219" s="9" t="s">
        <v>20</v>
      </c>
      <c r="K1219" t="str">
        <v>arm's</v>
      </c>
      <c r="L1219" s="4" t="str">
        <f t="shared" si="26"/>
        <v/>
      </c>
      <c r="M1219" t="str">
        <v xml:space="preserve">garbage
</v>
      </c>
      <c r="N1219" s="4" cm="1">
        <f t="array" ref="N1219">SUM(--(_xlfn.TEXTSPLIT($J$1170,, " ") = M1219))</f>
        <v>1</v>
      </c>
      <c r="O1219">
        <v>2</v>
      </c>
      <c r="P1219" t="str">
        <v>please,</v>
      </c>
      <c r="Q1219">
        <v>2</v>
      </c>
      <c r="R1219" s="4"/>
      <c r="S1219" s="10"/>
    </row>
    <row r="1220" spans="5:19" x14ac:dyDescent="0.2">
      <c r="E1220" s="9" t="s">
        <v>20</v>
      </c>
      <c r="K1220" t="str">
        <v xml:space="preserve">reach
</v>
      </c>
      <c r="L1220" s="4" t="str">
        <f t="shared" si="26"/>
        <v/>
      </c>
      <c r="M1220" t="str">
        <v>Ooh,</v>
      </c>
      <c r="N1220" s="4" cm="1">
        <f t="array" ref="N1220">SUM(--(_xlfn.TEXTSPLIT($J$1170,, " ") = M1220))</f>
        <v>1</v>
      </c>
      <c r="O1220">
        <v>2</v>
      </c>
      <c r="P1220">
        <v>0</v>
      </c>
      <c r="Q1220">
        <v>2</v>
      </c>
      <c r="R1220" s="4"/>
      <c r="S1220" s="10"/>
    </row>
    <row r="1221" spans="5:19" x14ac:dyDescent="0.2">
      <c r="E1221" s="9" t="s">
        <v>20</v>
      </c>
      <c r="K1221" t="str">
        <v>(Yeah,</v>
      </c>
      <c r="L1221" s="4" t="str">
        <f t="shared" si="26"/>
        <v/>
      </c>
      <c r="M1221" t="str">
        <v xml:space="preserve">yeah
</v>
      </c>
      <c r="N1221" s="4" cm="1">
        <f t="array" ref="N1221">SUM(--(_xlfn.TEXTSPLIT($J$1170,, " ") = M1221))</f>
        <v>1</v>
      </c>
      <c r="O1221">
        <v>2</v>
      </c>
      <c r="P1221">
        <v>0</v>
      </c>
      <c r="Q1221">
        <v>2</v>
      </c>
      <c r="R1221" s="4"/>
      <c r="S1221" s="10"/>
    </row>
    <row r="1222" spans="5:19" x14ac:dyDescent="0.2">
      <c r="E1222" s="9" t="s">
        <v>20</v>
      </c>
      <c r="K1222" t="str">
        <v>yeah)</v>
      </c>
      <c r="L1222" s="4" t="str">
        <f t="shared" si="26"/>
        <v/>
      </c>
      <c r="M1222" t="str">
        <v>can't</v>
      </c>
      <c r="N1222" s="4" cm="1">
        <f t="array" ref="N1222">SUM(--(_xlfn.TEXTSPLIT($J$1170,, " ") = M1222))</f>
        <v>1</v>
      </c>
      <c r="O1222">
        <v>2</v>
      </c>
      <c r="P1222">
        <v>0</v>
      </c>
      <c r="Q1222">
        <v>2</v>
      </c>
      <c r="R1222" s="4"/>
      <c r="S1222" s="10"/>
    </row>
    <row r="1223" spans="5:19" x14ac:dyDescent="0.2">
      <c r="E1223" s="9" t="s">
        <v>20</v>
      </c>
      <c r="K1223" t="str">
        <v>I'm</v>
      </c>
      <c r="L1223" s="4" t="str">
        <f t="shared" si="26"/>
        <v/>
      </c>
      <c r="M1223" t="str">
        <v xml:space="preserve">decide
</v>
      </c>
      <c r="N1223" s="4" cm="1">
        <f t="array" ref="N1223">SUM(--(_xlfn.TEXTSPLIT($J$1170,, " ") = M1223))</f>
        <v>1</v>
      </c>
      <c r="O1223">
        <v>2</v>
      </c>
      <c r="P1223">
        <v>0</v>
      </c>
      <c r="Q1223">
        <v>2</v>
      </c>
      <c r="R1223" s="4"/>
      <c r="S1223" s="10"/>
    </row>
    <row r="1224" spans="5:19" x14ac:dyDescent="0.2">
      <c r="E1224" s="9" t="s">
        <v>20</v>
      </c>
      <c r="K1224" t="str">
        <v>so</v>
      </c>
      <c r="L1224" s="4" t="str">
        <f t="shared" si="26"/>
        <v/>
      </c>
      <c r="M1224" t="str">
        <v>could</v>
      </c>
      <c r="N1224" s="4" cm="1">
        <f t="array" ref="N1224">SUM(--(_xlfn.TEXTSPLIT($J$1170,, " ") = M1224))</f>
        <v>1</v>
      </c>
      <c r="O1224">
        <v>2</v>
      </c>
      <c r="P1224">
        <v>0</v>
      </c>
      <c r="Q1224">
        <v>2</v>
      </c>
      <c r="R1224" s="4"/>
      <c r="S1224" s="10"/>
    </row>
    <row r="1225" spans="5:19" x14ac:dyDescent="0.2">
      <c r="E1225" s="9" t="s">
        <v>20</v>
      </c>
      <c r="K1225" t="str">
        <v>lost,</v>
      </c>
      <c r="L1225" s="4" t="str">
        <f t="shared" si="26"/>
        <v/>
      </c>
      <c r="M1225" t="str">
        <v>more</v>
      </c>
      <c r="N1225" s="4" cm="1">
        <f t="array" ref="N1225">SUM(--(_xlfn.TEXTSPLIT($J$1170,, " ") = M1225))</f>
        <v>1</v>
      </c>
      <c r="O1225">
        <v>2</v>
      </c>
      <c r="P1225">
        <v>0</v>
      </c>
      <c r="Q1225">
        <v>2</v>
      </c>
      <c r="R1225" s="4"/>
      <c r="S1225" s="10"/>
    </row>
    <row r="1226" spans="5:19" x14ac:dyDescent="0.2">
      <c r="E1226" s="9" t="s">
        <v>20</v>
      </c>
      <c r="K1226" t="str">
        <v>like,</v>
      </c>
      <c r="L1226" s="4" t="str">
        <f t="shared" si="26"/>
        <v/>
      </c>
      <c r="M1226" t="str">
        <v>just</v>
      </c>
      <c r="N1226" s="4" cm="1">
        <f t="array" ref="N1226">SUM(--(_xlfn.TEXTSPLIT($J$1170,, " ") = M1226))</f>
        <v>1</v>
      </c>
      <c r="O1226">
        <v>2</v>
      </c>
      <c r="P1226">
        <v>0</v>
      </c>
      <c r="Q1226">
        <v>2</v>
      </c>
      <c r="R1226" s="4"/>
      <c r="S1226" s="10"/>
    </row>
    <row r="1227" spans="5:19" x14ac:dyDescent="0.2">
      <c r="E1227" s="9" t="s">
        <v>20</v>
      </c>
      <c r="K1227" t="str">
        <v>what</v>
      </c>
      <c r="L1227" s="4" t="str">
        <f t="shared" si="26"/>
        <v/>
      </c>
      <c r="M1227" t="str">
        <v>knew</v>
      </c>
      <c r="N1227" s="4" cm="1">
        <f t="array" ref="N1227">SUM(--(_xlfn.TEXTSPLIT($J$1170,, " ") = M1227))</f>
        <v>1</v>
      </c>
      <c r="O1227">
        <v>2</v>
      </c>
      <c r="P1227">
        <v>0</v>
      </c>
      <c r="Q1227">
        <v>2</v>
      </c>
      <c r="R1227" s="4"/>
      <c r="S1227" s="10"/>
    </row>
    <row r="1228" spans="5:19" x14ac:dyDescent="0.2">
      <c r="E1228" s="9" t="s">
        <v>20</v>
      </c>
      <c r="K1228" t="str">
        <v>is</v>
      </c>
      <c r="L1228" s="4" t="str">
        <f t="shared" si="26"/>
        <v/>
      </c>
      <c r="M1228" t="str">
        <v>less
When</v>
      </c>
      <c r="N1228" s="4" cm="1">
        <f t="array" ref="N1228">SUM(--(_xlfn.TEXTSPLIT($J$1170,, " ") = M1228))</f>
        <v>1</v>
      </c>
      <c r="O1228">
        <v>2</v>
      </c>
      <c r="P1228">
        <v>0</v>
      </c>
      <c r="Q1228">
        <v>2</v>
      </c>
      <c r="R1228" s="4"/>
      <c r="S1228" s="10"/>
    </row>
    <row r="1229" spans="5:19" x14ac:dyDescent="0.2">
      <c r="E1229" s="9" t="s">
        <v>20</v>
      </c>
      <c r="K1229" t="str">
        <v xml:space="preserve">happening?
</v>
      </c>
      <c r="L1229" s="4" t="str">
        <f t="shared" si="26"/>
        <v/>
      </c>
      <c r="M1229" t="str">
        <v>was</v>
      </c>
      <c r="N1229" s="4" cm="1">
        <f t="array" ref="N1229">SUM(--(_xlfn.TEXTSPLIT($J$1170,, " ") = M1229))</f>
        <v>1</v>
      </c>
      <c r="O1229">
        <v>2</v>
      </c>
      <c r="P1229">
        <v>0</v>
      </c>
      <c r="Q1229">
        <v>2</v>
      </c>
      <c r="R1229" s="4"/>
      <c r="S1229" s="10"/>
    </row>
    <row r="1230" spans="5:19" x14ac:dyDescent="0.2">
      <c r="E1230" s="9" t="s">
        <v>20</v>
      </c>
      <c r="K1230" t="str">
        <v>Like,</v>
      </c>
      <c r="L1230" s="4" t="str">
        <f t="shared" si="26"/>
        <v/>
      </c>
      <c r="M1230" t="str">
        <v xml:space="preserve">younger
</v>
      </c>
      <c r="N1230" s="4" cm="1">
        <f t="array" ref="N1230">SUM(--(_xlfn.TEXTSPLIT($J$1170,, " ") = M1230))</f>
        <v>1</v>
      </c>
      <c r="O1230">
        <v>2</v>
      </c>
      <c r="P1230">
        <v>0</v>
      </c>
      <c r="Q1230">
        <v>2</v>
      </c>
      <c r="R1230" s="4"/>
      <c r="S1230" s="10"/>
    </row>
    <row r="1231" spans="5:19" x14ac:dyDescent="0.2">
      <c r="E1231" s="9" t="s">
        <v>20</v>
      </c>
      <c r="K1231" t="str">
        <v xml:space="preserve">like
</v>
      </c>
      <c r="L1231" s="4" t="str">
        <f t="shared" si="26"/>
        <v/>
      </c>
      <c r="M1231" t="str">
        <v>Bright-eyed</v>
      </c>
      <c r="N1231" s="4" cm="1">
        <f t="array" ref="N1231">SUM(--(_xlfn.TEXTSPLIT($J$1170,, " ") = M1231))</f>
        <v>1</v>
      </c>
      <c r="O1231">
        <v>2</v>
      </c>
      <c r="P1231">
        <v>0</v>
      </c>
      <c r="Q1231">
        <v>2</v>
      </c>
      <c r="R1231" s="4"/>
      <c r="S1231" s="10"/>
    </row>
    <row r="1232" spans="5:19" x14ac:dyDescent="0.2">
      <c r="E1232" s="9" t="s">
        <v>20</v>
      </c>
      <c r="K1232" t="str">
        <v>I</v>
      </c>
      <c r="L1232" s="4" t="str">
        <f t="shared" si="26"/>
        <v/>
      </c>
      <c r="M1232" t="str">
        <v>with</v>
      </c>
      <c r="N1232" s="4" cm="1">
        <f t="array" ref="N1232">SUM(--(_xlfn.TEXTSPLIT($J$1170,, " ") = M1232))</f>
        <v>1</v>
      </c>
      <c r="O1232">
        <v>2</v>
      </c>
      <c r="P1232">
        <v>0</v>
      </c>
      <c r="Q1232">
        <v>2</v>
      </c>
      <c r="R1232" s="4"/>
      <c r="S1232" s="10"/>
    </row>
    <row r="1233" spans="5:19" x14ac:dyDescent="0.2">
      <c r="E1233" s="9" t="s">
        <v>20</v>
      </c>
      <c r="K1233" t="str">
        <v>feel</v>
      </c>
      <c r="L1233" s="4" t="str">
        <f t="shared" si="26"/>
        <v/>
      </c>
      <c r="M1233" t="str">
        <v xml:space="preserve">wonder
</v>
      </c>
      <c r="N1233" s="4" cm="1">
        <f t="array" ref="N1233">SUM(--(_xlfn.TEXTSPLIT($J$1170,, " ") = M1233))</f>
        <v>1</v>
      </c>
      <c r="O1233">
        <v>2</v>
      </c>
      <c r="P1233">
        <v>0</v>
      </c>
      <c r="Q1233">
        <v>2</v>
      </c>
      <c r="R1233" s="4"/>
      <c r="S1233" s="10"/>
    </row>
    <row r="1234" spans="5:19" x14ac:dyDescent="0.2">
      <c r="E1234" s="9" t="s">
        <v>20</v>
      </c>
      <c r="K1234" t="str">
        <v>like</v>
      </c>
      <c r="L1234" s="4" t="str">
        <f t="shared" si="26"/>
        <v/>
      </c>
      <c r="M1234" t="str">
        <v>know</v>
      </c>
      <c r="N1234" s="4" cm="1">
        <f t="array" ref="N1234">SUM(--(_xlfn.TEXTSPLIT($J$1170,, " ") = M1234))</f>
        <v>1</v>
      </c>
      <c r="O1234">
        <v>2</v>
      </c>
      <c r="P1234">
        <v>0</v>
      </c>
      <c r="Q1234">
        <v>2</v>
      </c>
      <c r="R1234" s="4"/>
      <c r="S1234" s="10"/>
    </row>
    <row r="1235" spans="5:19" x14ac:dyDescent="0.2">
      <c r="E1235" s="9" t="s">
        <v>20</v>
      </c>
      <c r="K1235" t="str">
        <v xml:space="preserve">garbage
</v>
      </c>
      <c r="L1235" s="4" t="str">
        <f t="shared" si="26"/>
        <v/>
      </c>
      <c r="M1235" t="str">
        <v>which</v>
      </c>
      <c r="N1235" s="4" cm="1">
        <f t="array" ref="N1235">SUM(--(_xlfn.TEXTSPLIT($J$1170,, " ") = M1235))</f>
        <v>1</v>
      </c>
      <c r="O1235">
        <v>2</v>
      </c>
      <c r="P1235">
        <v>0</v>
      </c>
      <c r="Q1235">
        <v>2</v>
      </c>
      <c r="R1235" s="4"/>
      <c r="S1235" s="10"/>
    </row>
    <row r="1236" spans="5:19" x14ac:dyDescent="0.2">
      <c r="E1236" s="9" t="s">
        <v>20</v>
      </c>
      <c r="K1236" t="str">
        <v>Ooh,</v>
      </c>
      <c r="L1236" s="4" t="str">
        <f t="shared" si="26"/>
        <v/>
      </c>
      <c r="M1236" t="str">
        <v>name</v>
      </c>
      <c r="N1236" s="4" cm="1">
        <f t="array" ref="N1236">SUM(--(_xlfn.TEXTSPLIT($J$1170,, " ") = M1236))</f>
        <v>1</v>
      </c>
      <c r="O1236">
        <v>2</v>
      </c>
      <c r="P1236">
        <v>0</v>
      </c>
      <c r="Q1236">
        <v>2</v>
      </c>
      <c r="R1236" s="4"/>
      <c r="S1236" s="10"/>
    </row>
    <row r="1237" spans="5:19" x14ac:dyDescent="0.2">
      <c r="E1237" s="9" t="s">
        <v>20</v>
      </c>
      <c r="K1237" t="str">
        <v xml:space="preserve">yeah
</v>
      </c>
      <c r="L1237" s="4" t="str">
        <f t="shared" si="26"/>
        <v/>
      </c>
      <c r="M1237" t="str">
        <v>it's</v>
      </c>
      <c r="N1237" s="4" cm="1">
        <f t="array" ref="N1237">SUM(--(_xlfn.TEXTSPLIT($J$1170,, " ") = M1237))</f>
        <v>1</v>
      </c>
      <c r="O1237">
        <v>2</v>
      </c>
      <c r="P1237">
        <v>0</v>
      </c>
      <c r="Q1237">
        <v>2</v>
      </c>
      <c r="R1237" s="4"/>
      <c r="S1237" s="10"/>
    </row>
    <row r="1238" spans="5:19" x14ac:dyDescent="0.2">
      <c r="E1238" s="9" t="s">
        <v>20</v>
      </c>
      <c r="K1238" t="str">
        <v>I</v>
      </c>
      <c r="L1238" s="4" t="str">
        <f t="shared" si="26"/>
        <v/>
      </c>
      <c r="M1238" t="str">
        <v>under?</v>
      </c>
      <c r="N1238" s="4" cm="1">
        <f t="array" ref="N1238">SUM(--(_xlfn.TEXTSPLIT($J$1170,, " ") = M1238))</f>
        <v>1</v>
      </c>
      <c r="O1238">
        <v>2</v>
      </c>
      <c r="P1238">
        <v>0</v>
      </c>
      <c r="Q1238">
        <v>2</v>
      </c>
      <c r="R1238" s="4"/>
      <c r="S1238" s="10"/>
    </row>
    <row r="1239" spans="5:19" x14ac:dyDescent="0.2">
      <c r="E1239" s="9" t="s">
        <v>20</v>
      </c>
      <c r="K1239" t="str">
        <v>can't</v>
      </c>
      <c r="L1239" s="4" t="str">
        <f t="shared" si="26"/>
        <v/>
      </c>
      <c r="M1239" t="str">
        <v xml:space="preserve">(Oh-oh-oh)
</v>
      </c>
      <c r="N1239" s="4" cm="1">
        <f t="array" ref="N1239">SUM(--(_xlfn.TEXTSPLIT($J$1170,, " ") = M1239))</f>
        <v>1</v>
      </c>
      <c r="O1239">
        <v>2</v>
      </c>
      <c r="P1239">
        <v>0</v>
      </c>
      <c r="Q1239">
        <v>2</v>
      </c>
      <c r="R1239" s="4"/>
      <c r="S1239" s="10"/>
    </row>
    <row r="1240" spans="5:19" x14ac:dyDescent="0.2">
      <c r="E1240" s="9" t="s">
        <v>20</v>
      </c>
      <c r="K1240" t="str">
        <v xml:space="preserve">decide
</v>
      </c>
      <c r="L1240" s="4" t="str">
        <f t="shared" si="26"/>
        <v/>
      </c>
      <c r="M1240" t="str">
        <v xml:space="preserve">Oh-oh
</v>
      </c>
      <c r="N1240" s="4" cm="1">
        <f t="array" ref="N1240">SUM(--(_xlfn.TEXTSPLIT($J$1170,, " ") = M1240))</f>
        <v>1</v>
      </c>
      <c r="O1240">
        <v>2</v>
      </c>
      <c r="P1240">
        <v>0</v>
      </c>
      <c r="Q1240">
        <v>2</v>
      </c>
      <c r="R1240" s="4"/>
      <c r="S1240" s="10"/>
    </row>
    <row r="1241" spans="5:19" x14ac:dyDescent="0.2">
      <c r="E1241" s="9" t="s">
        <v>20</v>
      </c>
      <c r="K1241" t="str">
        <v/>
      </c>
      <c r="L1241" s="4" t="str">
        <f t="shared" si="26"/>
        <v/>
      </c>
      <c r="M1241" t="str">
        <v>shirt</v>
      </c>
      <c r="N1241" s="4" cm="1">
        <f t="array" ref="N1241">SUM(--(_xlfn.TEXTSPLIT($J$1170,, " ") = M1241))</f>
        <v>2</v>
      </c>
      <c r="O1241">
        <v>2</v>
      </c>
      <c r="P1241">
        <v>0</v>
      </c>
      <c r="Q1241">
        <v>2</v>
      </c>
      <c r="R1241" s="4"/>
      <c r="S1241" s="10"/>
    </row>
    <row r="1242" spans="5:19" x14ac:dyDescent="0.2">
      <c r="E1242" s="9" t="s">
        <v>20</v>
      </c>
      <c r="K1242" t="str">
        <v>If</v>
      </c>
      <c r="L1242" s="4" t="str">
        <f t="shared" ref="L1242:L1264" si="27">_xlfn.REGEXREPLACE(C1242, "[^A-Za-z ]", " ")</f>
        <v/>
      </c>
      <c r="M1242" t="str">
        <v xml:space="preserve">sleeve
</v>
      </c>
      <c r="N1242" s="4" cm="1">
        <f t="array" ref="N1242">SUM(--(_xlfn.TEXTSPLIT($J$1170,, " ") = M1242))</f>
        <v>2</v>
      </c>
      <c r="O1242">
        <v>2</v>
      </c>
      <c r="P1242">
        <v>0</v>
      </c>
      <c r="Q1242">
        <v>2</v>
      </c>
      <c r="R1242" s="4"/>
      <c r="S1242" s="10"/>
    </row>
    <row r="1243" spans="5:19" x14ac:dyDescent="0.2">
      <c r="E1243" s="9" t="s">
        <v>20</v>
      </c>
      <c r="K1243" t="str">
        <v>I</v>
      </c>
      <c r="L1243" s="4" t="str">
        <f t="shared" si="27"/>
        <v/>
      </c>
      <c r="M1243" t="str">
        <v xml:space="preserve">happening?
</v>
      </c>
      <c r="N1243" s="4" cm="1">
        <f t="array" ref="N1243">SUM(--(_xlfn.TEXTSPLIT($J$1170,, " ") = M1243))</f>
        <v>1</v>
      </c>
      <c r="O1243">
        <v>2</v>
      </c>
      <c r="P1243">
        <v>0</v>
      </c>
      <c r="Q1243">
        <v>2</v>
      </c>
      <c r="R1243" s="4"/>
      <c r="S1243" s="10"/>
    </row>
    <row r="1244" spans="5:19" x14ac:dyDescent="0.2">
      <c r="E1244" s="9" t="s">
        <v>20</v>
      </c>
      <c r="K1244" t="str">
        <v>could</v>
      </c>
      <c r="L1244" s="4" t="str">
        <f t="shared" si="27"/>
        <v/>
      </c>
      <c r="M1244" t="str">
        <v>Would</v>
      </c>
      <c r="N1244" s="4" cm="1">
        <f t="array" ref="N1244">SUM(--(_xlfn.TEXTSPLIT($J$1170,, " ") = M1244))</f>
        <v>1</v>
      </c>
      <c r="O1244">
        <v>2</v>
      </c>
      <c r="P1244">
        <v>0</v>
      </c>
      <c r="Q1244">
        <v>2</v>
      </c>
      <c r="R1244" s="4"/>
      <c r="S1244" s="10"/>
    </row>
    <row r="1245" spans="5:19" x14ac:dyDescent="0.2">
      <c r="E1245" s="9" t="s">
        <v>20</v>
      </c>
      <c r="K1245" t="str">
        <v>feel</v>
      </c>
      <c r="L1245" s="4" t="str">
        <f t="shared" si="27"/>
        <v/>
      </c>
      <c r="M1245" t="str">
        <v>move</v>
      </c>
      <c r="N1245" s="4" cm="1">
        <f t="array" ref="N1245">SUM(--(_xlfn.TEXTSPLIT($J$1170,, " ") = M1245))</f>
        <v>1</v>
      </c>
      <c r="O1245">
        <v>2</v>
      </c>
      <c r="P1245">
        <v>0</v>
      </c>
      <c r="Q1245">
        <v>2</v>
      </c>
      <c r="R1245" s="4"/>
      <c r="S1245" s="10"/>
    </row>
    <row r="1246" spans="5:19" x14ac:dyDescent="0.2">
      <c r="E1246" s="9" t="s">
        <v>20</v>
      </c>
      <c r="K1246" t="str">
        <v>more</v>
      </c>
      <c r="L1246" s="4" t="str">
        <f t="shared" si="27"/>
        <v/>
      </c>
      <c r="M1246" t="str">
        <v>closer</v>
      </c>
      <c r="N1246" s="4" cm="1">
        <f t="array" ref="N1246">SUM(--(_xlfn.TEXTSPLIT($J$1170,, " ") = M1246))</f>
        <v>1</v>
      </c>
      <c r="O1246">
        <v>2</v>
      </c>
      <c r="P1246">
        <v>0</v>
      </c>
      <c r="Q1246">
        <v>2</v>
      </c>
      <c r="R1246" s="4"/>
      <c r="S1246" s="10"/>
    </row>
    <row r="1247" spans="5:19" x14ac:dyDescent="0.2">
      <c r="E1247" s="9" t="s">
        <v>20</v>
      </c>
      <c r="K1247" t="str">
        <v>or</v>
      </c>
      <c r="L1247" s="4" t="str">
        <f t="shared" si="27"/>
        <v/>
      </c>
      <c r="M1247" t="str">
        <v>grew</v>
      </c>
      <c r="N1247" s="4" cm="1">
        <f t="array" ref="N1247">SUM(--(_xlfn.TEXTSPLIT($J$1170,, " ") = M1247))</f>
        <v>1</v>
      </c>
      <c r="O1247">
        <v>2</v>
      </c>
      <c r="P1247">
        <v>0</v>
      </c>
      <c r="Q1247">
        <v>2</v>
      </c>
      <c r="R1247" s="4"/>
      <c r="S1247" s="10"/>
    </row>
    <row r="1248" spans="5:19" x14ac:dyDescent="0.2">
      <c r="E1248" s="9" t="s">
        <v>20</v>
      </c>
      <c r="K1248" t="str">
        <v>I</v>
      </c>
      <c r="L1248" s="4" t="str">
        <f t="shared" si="27"/>
        <v/>
      </c>
      <c r="M1248" t="str">
        <v xml:space="preserve">quieter?
</v>
      </c>
      <c r="N1248" s="4" cm="1">
        <f t="array" ref="N1248">SUM(--(_xlfn.TEXTSPLIT($J$1170,, " ") = M1248))</f>
        <v>1</v>
      </c>
      <c r="O1248">
        <v>2</v>
      </c>
      <c r="P1248">
        <v>0</v>
      </c>
      <c r="Q1248">
        <v>2</v>
      </c>
      <c r="R1248" s="4"/>
      <c r="S1248" s="10"/>
    </row>
    <row r="1249" spans="5:19" x14ac:dyDescent="0.2">
      <c r="E1249" s="9" t="s">
        <v>20</v>
      </c>
      <c r="K1249" t="str">
        <v>just</v>
      </c>
      <c r="L1249" s="4" t="str">
        <f t="shared" si="27"/>
        <v/>
      </c>
      <c r="M1249" t="str">
        <v>Maybe</v>
      </c>
      <c r="N1249" s="4" cm="1">
        <f t="array" ref="N1249">SUM(--(_xlfn.TEXTSPLIT($J$1170,, " ") = M1249))</f>
        <v>2</v>
      </c>
      <c r="O1249">
        <v>2</v>
      </c>
      <c r="P1249">
        <v>0</v>
      </c>
      <c r="Q1249">
        <v>2</v>
      </c>
      <c r="R1249" s="4"/>
      <c r="S1249" s="10"/>
    </row>
    <row r="1250" spans="5:19" x14ac:dyDescent="0.2">
      <c r="E1250" s="9" t="s">
        <v>20</v>
      </c>
      <c r="K1250" t="str">
        <v>knew</v>
      </c>
      <c r="L1250" s="4" t="str">
        <f t="shared" si="27"/>
        <v/>
      </c>
      <c r="M1250" t="str">
        <v>this</v>
      </c>
      <c r="N1250" s="4" cm="1">
        <f t="array" ref="N1250">SUM(--(_xlfn.TEXTSPLIT($J$1170,, " ") = M1250))</f>
        <v>1</v>
      </c>
      <c r="O1250">
        <v>2</v>
      </c>
      <c r="P1250">
        <v>0</v>
      </c>
      <c r="Q1250">
        <v>2</v>
      </c>
      <c r="R1250" s="4"/>
      <c r="S1250" s="10"/>
    </row>
    <row r="1251" spans="5:19" x14ac:dyDescent="0.2">
      <c r="E1251" s="9" t="s">
        <v>20</v>
      </c>
      <c r="K1251" t="str">
        <v>less
When</v>
      </c>
      <c r="L1251" s="4" t="str">
        <f t="shared" si="27"/>
        <v/>
      </c>
      <c r="M1251" t="str">
        <v xml:space="preserve">you
</v>
      </c>
      <c r="N1251" s="4" cm="1">
        <f t="array" ref="N1251">SUM(--(_xlfn.TEXTSPLIT($J$1170,, " ") = M1251))</f>
        <v>1</v>
      </c>
      <c r="O1251">
        <v>2</v>
      </c>
      <c r="P1251">
        <v>0</v>
      </c>
      <c r="Q1251">
        <v>2</v>
      </c>
      <c r="R1251" s="4"/>
      <c r="S1251" s="10"/>
    </row>
    <row r="1252" spans="5:19" x14ac:dyDescent="0.2">
      <c r="E1252" s="9" t="s">
        <v>20</v>
      </c>
      <c r="K1252" t="str">
        <v>I</v>
      </c>
      <c r="L1252" s="4" t="str">
        <f t="shared" si="27"/>
        <v/>
      </c>
      <c r="M1252" t="str">
        <v>don't</v>
      </c>
      <c r="N1252" s="4" cm="1">
        <f t="array" ref="N1252">SUM(--(_xlfn.TEXTSPLIT($J$1170,, " ") = M1252))</f>
        <v>3</v>
      </c>
      <c r="O1252">
        <v>2</v>
      </c>
      <c r="P1252">
        <v>0</v>
      </c>
      <c r="Q1252">
        <v>2</v>
      </c>
      <c r="R1252" s="4"/>
      <c r="S1252" s="10"/>
    </row>
    <row r="1253" spans="5:19" x14ac:dyDescent="0.2">
      <c r="E1253" s="9" t="s">
        <v>20</v>
      </c>
      <c r="K1253" t="str">
        <v>was</v>
      </c>
      <c r="L1253" s="4" t="str">
        <f t="shared" si="27"/>
        <v/>
      </c>
      <c r="M1253" t="str">
        <v>fix</v>
      </c>
      <c r="N1253" s="4" cm="1">
        <f t="array" ref="N1253">SUM(--(_xlfn.TEXTSPLIT($J$1170,, " ") = M1253))</f>
        <v>1</v>
      </c>
      <c r="O1253">
        <v>2</v>
      </c>
      <c r="P1253">
        <v>0</v>
      </c>
      <c r="Q1253">
        <v>2</v>
      </c>
      <c r="R1253" s="4"/>
      <c r="S1253" s="10"/>
    </row>
    <row r="1254" spans="5:19" x14ac:dyDescent="0.2">
      <c r="E1254" s="9" t="s">
        <v>20</v>
      </c>
      <c r="K1254" t="str">
        <v xml:space="preserve">younger
</v>
      </c>
      <c r="L1254" s="4" t="str">
        <f t="shared" si="27"/>
        <v/>
      </c>
      <c r="M1254" t="str">
        <v>and</v>
      </c>
      <c r="N1254" s="4" cm="1">
        <f t="array" ref="N1254">SUM(--(_xlfn.TEXTSPLIT($J$1170,, " ") = M1254))</f>
        <v>1</v>
      </c>
      <c r="O1254">
        <v>2</v>
      </c>
      <c r="P1254">
        <v>0</v>
      </c>
      <c r="Q1254">
        <v>2</v>
      </c>
      <c r="R1254" s="4"/>
      <c r="S1254" s="10"/>
    </row>
    <row r="1255" spans="5:19" x14ac:dyDescent="0.2">
      <c r="E1255" s="9" t="s">
        <v>20</v>
      </c>
      <c r="K1255" t="str">
        <v>Bright-eyed</v>
      </c>
      <c r="L1255" s="4" t="str">
        <f t="shared" si="27"/>
        <v/>
      </c>
      <c r="M1255" t="str">
        <v>it</v>
      </c>
      <c r="N1255" s="4" cm="1">
        <f t="array" ref="N1255">SUM(--(_xlfn.TEXTSPLIT($J$1170,, " ") = M1255))</f>
        <v>1</v>
      </c>
      <c r="O1255">
        <v>2</v>
      </c>
      <c r="P1255">
        <v>0</v>
      </c>
      <c r="Q1255">
        <v>2</v>
      </c>
      <c r="R1255" s="4"/>
      <c r="S1255" s="10"/>
    </row>
    <row r="1256" spans="5:19" x14ac:dyDescent="0.2">
      <c r="E1256" s="9" t="s">
        <v>20</v>
      </c>
      <c r="K1256" t="str">
        <v>with</v>
      </c>
      <c r="L1256" s="4" t="str">
        <f t="shared" si="27"/>
        <v/>
      </c>
      <c r="M1256" t="str">
        <v xml:space="preserve">this
</v>
      </c>
      <c r="N1256" s="4" cm="1">
        <f t="array" ref="N1256">SUM(--(_xlfn.TEXTSPLIT($J$1170,, " ") = M1256))</f>
        <v>1</v>
      </c>
      <c r="O1256">
        <v>2</v>
      </c>
      <c r="P1256">
        <v>0</v>
      </c>
      <c r="Q1256">
        <v>2</v>
      </c>
      <c r="R1256" s="4"/>
      <c r="S1256" s="10"/>
    </row>
    <row r="1257" spans="5:19" x14ac:dyDescent="0.2">
      <c r="E1257" s="9" t="s">
        <v>20</v>
      </c>
      <c r="K1257" t="str">
        <v xml:space="preserve">wonder
</v>
      </c>
      <c r="L1257" s="4" t="str">
        <f t="shared" si="27"/>
        <v/>
      </c>
      <c r="M1257" t="str">
        <v>garbage</v>
      </c>
      <c r="N1257" s="4" cm="1">
        <f t="array" ref="N1257">SUM(--(_xlfn.TEXTSPLIT($J$1170,, " ") = M1257))</f>
        <v>1</v>
      </c>
      <c r="O1257">
        <v>2</v>
      </c>
      <c r="P1257">
        <v>0</v>
      </c>
      <c r="Q1257">
        <v>2</v>
      </c>
      <c r="R1257" s="4"/>
      <c r="S1257" s="10"/>
    </row>
    <row r="1258" spans="5:19" x14ac:dyDescent="0.2">
      <c r="E1258" s="9" t="s">
        <v>20</v>
      </c>
      <c r="K1258" t="str">
        <v>Do</v>
      </c>
      <c r="L1258" s="4" t="str">
        <f t="shared" si="27"/>
        <v/>
      </c>
      <c r="M1258" t="str">
        <v xml:space="preserve">(Yeah)
</v>
      </c>
      <c r="N1258" s="4" cm="1">
        <f t="array" ref="N1258">SUM(--(_xlfn.TEXTSPLIT($J$1170,, " ") = M1258))</f>
        <v>2</v>
      </c>
      <c r="O1258">
        <v>2</v>
      </c>
      <c r="P1258">
        <v>0</v>
      </c>
      <c r="Q1258">
        <v>2</v>
      </c>
      <c r="R1258" s="4"/>
      <c r="S1258" s="10"/>
    </row>
    <row r="1259" spans="5:19" x14ac:dyDescent="0.2">
      <c r="E1259" s="9" t="s">
        <v>20</v>
      </c>
      <c r="K1259" t="str">
        <v>you</v>
      </c>
      <c r="L1259" s="4" t="str">
        <f t="shared" si="27"/>
        <v/>
      </c>
      <c r="M1259" t="str">
        <v xml:space="preserve">Like
</v>
      </c>
      <c r="N1259" s="4" cm="1">
        <f t="array" ref="N1259">SUM(--(_xlfn.TEXTSPLIT($J$1170,, " ") = M1259))</f>
        <v>1</v>
      </c>
      <c r="O1259">
        <v>2</v>
      </c>
      <c r="P1259">
        <v>0</v>
      </c>
      <c r="Q1259">
        <v>2</v>
      </c>
      <c r="R1259" s="4"/>
      <c r="S1259" s="10"/>
    </row>
    <row r="1260" spans="5:19" x14ac:dyDescent="0.2">
      <c r="E1260" s="9" t="s">
        <v>20</v>
      </c>
      <c r="K1260" t="str">
        <v>know</v>
      </c>
      <c r="L1260" s="4" t="str">
        <f t="shared" si="27"/>
        <v/>
      </c>
      <c r="M1260" t="str">
        <v>out,</v>
      </c>
      <c r="N1260" s="4" cm="1">
        <f t="array" ref="N1260">SUM(--(_xlfn.TEXTSPLIT($J$1170,, " ") = M1260))</f>
        <v>4</v>
      </c>
      <c r="O1260">
        <v>2</v>
      </c>
      <c r="P1260">
        <v>0</v>
      </c>
      <c r="Q1260">
        <v>2</v>
      </c>
      <c r="R1260" s="4"/>
      <c r="S1260" s="10"/>
    </row>
    <row r="1261" spans="5:19" x14ac:dyDescent="0.2">
      <c r="E1261" s="9" t="s">
        <v>20</v>
      </c>
      <c r="K1261" t="str">
        <v>which</v>
      </c>
      <c r="L1261" s="4" t="str">
        <f t="shared" si="27"/>
        <v/>
      </c>
      <c r="M1261" t="str">
        <v xml:space="preserve">(Hey)
</v>
      </c>
      <c r="N1261" s="4" cm="1">
        <f t="array" ref="N1261">SUM(--(_xlfn.TEXTSPLIT($J$1170,, " ") = M1261))</f>
        <v>1</v>
      </c>
      <c r="O1261">
        <v>2</v>
      </c>
      <c r="P1261">
        <v>0</v>
      </c>
      <c r="Q1261">
        <v>2</v>
      </c>
      <c r="R1261" s="4"/>
      <c r="S1261" s="10"/>
    </row>
    <row r="1262" spans="5:19" x14ac:dyDescent="0.2">
      <c r="E1262" s="9" t="s">
        <v>20</v>
      </c>
      <c r="K1262" t="str">
        <v>name</v>
      </c>
      <c r="L1262" s="4" t="str">
        <f t="shared" si="27"/>
        <v/>
      </c>
      <c r="M1262" t="str">
        <v xml:space="preserve">out
</v>
      </c>
      <c r="N1262" s="4" cm="1">
        <f t="array" ref="N1262">SUM(--(_xlfn.TEXTSPLIT($J$1170,, " ") = M1262))</f>
        <v>1</v>
      </c>
      <c r="O1262">
        <v>2</v>
      </c>
      <c r="P1262">
        <v>0</v>
      </c>
      <c r="Q1262">
        <v>2</v>
      </c>
      <c r="R1262" s="4"/>
      <c r="S1262" s="10"/>
    </row>
    <row r="1263" spans="5:19" x14ac:dyDescent="0.2">
      <c r="E1263" s="9" t="s">
        <v>20</v>
      </c>
      <c r="K1263" t="str">
        <v>it's</v>
      </c>
      <c r="L1263" s="4" t="str">
        <f t="shared" si="27"/>
        <v/>
      </c>
      <c r="M1263" t="str">
        <v>give</v>
      </c>
      <c r="N1263" s="4" cm="1">
        <f t="array" ref="N1263">SUM(--(_xlfn.TEXTSPLIT($J$1170,, " ") = M1263))</f>
        <v>2</v>
      </c>
      <c r="O1263">
        <v>2</v>
      </c>
      <c r="P1263">
        <v>0</v>
      </c>
      <c r="Q1263">
        <v>2</v>
      </c>
      <c r="R1263" s="4"/>
      <c r="S1263" s="10"/>
    </row>
    <row r="1264" spans="5:19" x14ac:dyDescent="0.2">
      <c r="E1264" s="9" t="s">
        <v>20</v>
      </c>
      <c r="K1264" t="str">
        <v>under?</v>
      </c>
      <c r="L1264" s="4" t="str">
        <f t="shared" si="27"/>
        <v/>
      </c>
      <c r="M1264" t="str">
        <v>up</v>
      </c>
      <c r="N1264" s="4" cm="1">
        <f t="array" ref="N1264">SUM(--(_xlfn.TEXTSPLIT($J$1170,, " ") = M1264))</f>
        <v>2</v>
      </c>
      <c r="O1264">
        <v>2</v>
      </c>
      <c r="P1264">
        <v>0</v>
      </c>
      <c r="Q1264">
        <v>2</v>
      </c>
      <c r="R1264" s="4"/>
      <c r="S1264" s="10"/>
    </row>
    <row r="1265" spans="5:19" x14ac:dyDescent="0.2">
      <c r="E1265" s="9" t="s">
        <v>20</v>
      </c>
      <c r="K1265" t="str">
        <v xml:space="preserve">(Oh-oh-oh)
</v>
      </c>
      <c r="M1265" t="str">
        <v xml:space="preserve">me
</v>
      </c>
      <c r="N1265" s="4" cm="1">
        <f t="array" ref="N1265">SUM(--(_xlfn.TEXTSPLIT($J$1170,, " ") = M1265))</f>
        <v>2</v>
      </c>
      <c r="O1265">
        <v>2</v>
      </c>
      <c r="P1265">
        <v>0</v>
      </c>
      <c r="Q1265">
        <v>2</v>
      </c>
      <c r="S1265" s="10"/>
    </row>
    <row r="1266" spans="5:19" x14ac:dyDescent="0.2">
      <c r="E1266" s="9" t="s">
        <v>20</v>
      </c>
      <c r="K1266" t="str">
        <v>Or</v>
      </c>
      <c r="M1266" t="str">
        <v>No,</v>
      </c>
      <c r="N1266" s="4" cm="1">
        <f t="array" ref="N1266">SUM(--(_xlfn.TEXTSPLIT($J$1170,, " ") = M1266))</f>
        <v>3</v>
      </c>
      <c r="O1266">
        <v>2</v>
      </c>
      <c r="P1266">
        <v>0</v>
      </c>
      <c r="Q1266">
        <v>2</v>
      </c>
      <c r="S1266" s="10"/>
    </row>
    <row r="1267" spans="5:19" x14ac:dyDescent="0.2">
      <c r="E1267" s="9" t="s">
        <v>20</v>
      </c>
      <c r="K1267" t="str">
        <v xml:space="preserve">less
</v>
      </c>
      <c r="M1267" t="str">
        <v>please,</v>
      </c>
      <c r="N1267" s="4" cm="1">
        <f t="array" ref="N1267">SUM(--(_xlfn.TEXTSPLIT($J$1170,, " ") = M1267))</f>
        <v>2</v>
      </c>
      <c r="O1267">
        <v>2</v>
      </c>
      <c r="P1267">
        <v>0</v>
      </c>
      <c r="Q1267">
        <v>2</v>
      </c>
      <c r="S1267" s="10"/>
    </row>
    <row r="1268" spans="5:19" x14ac:dyDescent="0.2">
      <c r="E1268" s="9" t="s">
        <v>20</v>
      </c>
      <c r="K1268" t="str">
        <v>I'll</v>
      </c>
      <c r="M1268" t="str">
        <v>please</v>
      </c>
      <c r="N1268" s="4" cm="1">
        <f t="array" ref="N1268">SUM(--(_xlfn.TEXTSPLIT($J$1170,, " ") = M1268))</f>
        <v>1</v>
      </c>
      <c r="O1268">
        <v>2</v>
      </c>
      <c r="P1268">
        <v>0</v>
      </c>
      <c r="Q1268">
        <v>2</v>
      </c>
      <c r="S1268" s="10"/>
    </row>
    <row r="1269" spans="5:19" x14ac:dyDescent="0.2">
      <c r="E1269" s="9" t="s">
        <v>20</v>
      </c>
      <c r="K1269" t="str">
        <v>walk</v>
      </c>
      <c r="N1269" s="4" cm="1">
        <f t="array" ref="N1269">SUM(--(_xlfn.TEXTSPLIT($J$1170,, " ") = M1269))</f>
        <v>2</v>
      </c>
      <c r="O1269">
        <v>2</v>
      </c>
      <c r="P1269">
        <v>0</v>
      </c>
      <c r="Q1269">
        <v>2</v>
      </c>
      <c r="S1269" s="10"/>
    </row>
    <row r="1270" spans="5:19" x14ac:dyDescent="0.2">
      <c r="E1270" s="9" t="s">
        <v>20</v>
      </c>
      <c r="K1270" t="str">
        <v>you</v>
      </c>
      <c r="N1270" s="4" cm="1">
        <f t="array" ref="N1270">SUM(--(_xlfn.TEXTSPLIT($J$1170,, " ") = M1270))</f>
        <v>2</v>
      </c>
      <c r="O1270">
        <v>2</v>
      </c>
      <c r="P1270">
        <v>0</v>
      </c>
      <c r="Q1270">
        <v>2</v>
      </c>
      <c r="S1270" s="10"/>
    </row>
    <row r="1271" spans="5:19" x14ac:dyDescent="0.2">
      <c r="E1271" s="9" t="s">
        <v>20</v>
      </c>
      <c r="K1271" t="str">
        <v>through</v>
      </c>
      <c r="N1271" s="4" cm="1">
        <f t="array" ref="N1271">SUM(--(_xlfn.TEXTSPLIT($J$1170,, " ") = M1271))</f>
        <v>2</v>
      </c>
      <c r="O1271">
        <v>2</v>
      </c>
      <c r="P1271">
        <v>0</v>
      </c>
      <c r="Q1271">
        <v>2</v>
      </c>
      <c r="S1271" s="10"/>
    </row>
    <row r="1272" spans="5:19" x14ac:dyDescent="0.2">
      <c r="E1272" s="9" t="s">
        <v>20</v>
      </c>
      <c r="K1272" t="str">
        <v>the</v>
      </c>
      <c r="N1272" s="4" cm="1">
        <f t="array" ref="N1272">SUM(--(_xlfn.TEXTSPLIT($J$1170,, " ") = M1272))</f>
        <v>2</v>
      </c>
      <c r="O1272">
        <v>2</v>
      </c>
      <c r="P1272">
        <v>0</v>
      </c>
      <c r="Q1272">
        <v>2</v>
      </c>
      <c r="S1272" s="10"/>
    </row>
    <row r="1273" spans="5:19" x14ac:dyDescent="0.2">
      <c r="E1273" s="9" t="s">
        <v>20</v>
      </c>
      <c r="K1273" t="str">
        <v xml:space="preserve">numbers
</v>
      </c>
      <c r="N1273" s="4" cm="1">
        <f t="array" ref="N1273">SUM(--(_xlfn.TEXTSPLIT($J$1170,, " ") = M1273))</f>
        <v>2</v>
      </c>
      <c r="O1273">
        <v>2</v>
      </c>
      <c r="P1273">
        <v>0</v>
      </c>
      <c r="Q1273">
        <v>2</v>
      </c>
      <c r="S1273" s="10"/>
    </row>
    <row r="1274" spans="5:19" x14ac:dyDescent="0.2">
      <c r="E1274" s="9" t="s">
        <v>20</v>
      </c>
      <c r="K1274" t="str">
        <v>I'll</v>
      </c>
      <c r="N1274" s="4" cm="1">
        <f t="array" ref="N1274">SUM(--(_xlfn.TEXTSPLIT($J$1170,, " ") = M1274))</f>
        <v>2</v>
      </c>
      <c r="O1274">
        <v>2</v>
      </c>
      <c r="P1274">
        <v>0</v>
      </c>
      <c r="Q1274">
        <v>2</v>
      </c>
      <c r="S1274" s="10"/>
    </row>
    <row r="1275" spans="5:19" x14ac:dyDescent="0.2">
      <c r="E1275" s="9" t="s">
        <v>20</v>
      </c>
      <c r="K1275" t="str">
        <v>show</v>
      </c>
      <c r="N1275" s="4" cm="1">
        <f t="array" ref="N1275">SUM(--(_xlfn.TEXTSPLIT($J$1170,, " ") = M1275))</f>
        <v>2</v>
      </c>
      <c r="O1275">
        <v>2</v>
      </c>
      <c r="P1275">
        <v>0</v>
      </c>
      <c r="Q1275">
        <v>2</v>
      </c>
      <c r="S1275" s="10"/>
    </row>
    <row r="1276" spans="5:19" x14ac:dyDescent="0.2">
      <c r="E1276" s="9" t="s">
        <v>20</v>
      </c>
      <c r="K1276" t="str">
        <v>you</v>
      </c>
      <c r="N1276" s="4" cm="1">
        <f t="array" ref="N1276">SUM(--(_xlfn.TEXTSPLIT($J$1170,, " ") = M1276))</f>
        <v>2</v>
      </c>
      <c r="O1276">
        <v>2</v>
      </c>
      <c r="P1276">
        <v>0</v>
      </c>
      <c r="Q1276">
        <v>2</v>
      </c>
      <c r="S1276" s="10"/>
    </row>
    <row r="1277" spans="5:19" x14ac:dyDescent="0.2">
      <c r="E1277" s="9" t="s">
        <v>20</v>
      </c>
      <c r="K1277" t="str">
        <v>nothing's</v>
      </c>
      <c r="N1277" s="4" cm="1">
        <f t="array" ref="N1277">SUM(--(_xlfn.TEXTSPLIT($J$1170,, " ") = M1277))</f>
        <v>2</v>
      </c>
      <c r="O1277">
        <v>2</v>
      </c>
      <c r="P1277">
        <v>0</v>
      </c>
      <c r="Q1277">
        <v>2</v>
      </c>
      <c r="S1277" s="10"/>
    </row>
    <row r="1278" spans="5:19" x14ac:dyDescent="0.2">
      <c r="E1278" s="9" t="s">
        <v>20</v>
      </c>
      <c r="K1278" t="str">
        <v xml:space="preserve">left
</v>
      </c>
      <c r="N1278" s="4" cm="1">
        <f t="array" ref="N1278">SUM(--(_xlfn.TEXTSPLIT($J$1170,, " ") = M1278))</f>
        <v>2</v>
      </c>
      <c r="O1278">
        <v>2</v>
      </c>
      <c r="P1278">
        <v>0</v>
      </c>
      <c r="Q1278">
        <v>2</v>
      </c>
      <c r="S1278" s="10"/>
    </row>
    <row r="1279" spans="5:19" x14ac:dyDescent="0.2">
      <c r="E1279" s="9" t="s">
        <v>20</v>
      </c>
      <c r="K1279" t="str">
        <v xml:space="preserve">Oh-oh
</v>
      </c>
      <c r="N1279" s="4" cm="1">
        <f t="array" ref="N1279">SUM(--(_xlfn.TEXTSPLIT($J$1170,, " ") = M1279))</f>
        <v>2</v>
      </c>
      <c r="O1279">
        <v>2</v>
      </c>
      <c r="P1279">
        <v>0</v>
      </c>
      <c r="Q1279">
        <v>2</v>
      </c>
      <c r="S1279" s="10"/>
    </row>
    <row r="1280" spans="5:19" x14ac:dyDescent="0.2">
      <c r="E1280" s="9" t="s">
        <v>20</v>
      </c>
      <c r="K1280" t="str">
        <v>(Yeah,</v>
      </c>
      <c r="N1280" s="4" cm="1">
        <f t="array" ref="N1280">SUM(--(_xlfn.TEXTSPLIT($J$1170,, " ") = M1280))</f>
        <v>2</v>
      </c>
      <c r="O1280">
        <v>2</v>
      </c>
      <c r="P1280">
        <v>0</v>
      </c>
      <c r="Q1280">
        <v>2</v>
      </c>
      <c r="S1280" s="10"/>
    </row>
    <row r="1281" spans="5:19" x14ac:dyDescent="0.2">
      <c r="E1281" s="9" t="s">
        <v>20</v>
      </c>
      <c r="K1281" t="str">
        <v>yeah)</v>
      </c>
      <c r="N1281" s="4" cm="1">
        <f t="array" ref="N1281">SUM(--(_xlfn.TEXTSPLIT($J$1170,, " ") = M1281))</f>
        <v>2</v>
      </c>
      <c r="O1281">
        <v>2</v>
      </c>
      <c r="P1281">
        <v>0</v>
      </c>
      <c r="Q1281">
        <v>2</v>
      </c>
      <c r="S1281" s="10"/>
    </row>
    <row r="1282" spans="5:19" x14ac:dyDescent="0.2">
      <c r="E1282" s="9" t="s">
        <v>20</v>
      </c>
      <c r="K1282" t="str">
        <v>I'm</v>
      </c>
      <c r="N1282" s="4" cm="1">
        <f t="array" ref="N1282">SUM(--(_xlfn.TEXTSPLIT($J$1170,, " ") = M1282))</f>
        <v>2</v>
      </c>
      <c r="O1282">
        <v>2</v>
      </c>
      <c r="P1282">
        <v>0</v>
      </c>
      <c r="Q1282">
        <v>2</v>
      </c>
      <c r="S1282" s="10"/>
    </row>
    <row r="1283" spans="5:19" x14ac:dyDescent="0.2">
      <c r="E1283" s="9" t="s">
        <v>20</v>
      </c>
      <c r="K1283" t="str">
        <v>biting</v>
      </c>
      <c r="N1283" s="4" cm="1">
        <f t="array" ref="N1283">SUM(--(_xlfn.TEXTSPLIT($J$1170,, " ") = M1283))</f>
        <v>2</v>
      </c>
      <c r="O1283">
        <v>2</v>
      </c>
      <c r="P1283">
        <v>0</v>
      </c>
      <c r="Q1283">
        <v>2</v>
      </c>
      <c r="S1283" s="10"/>
    </row>
    <row r="1284" spans="5:19" x14ac:dyDescent="0.2">
      <c r="E1284" s="9" t="s">
        <v>20</v>
      </c>
      <c r="K1284" t="str">
        <v>down</v>
      </c>
      <c r="N1284" s="4" cm="1">
        <f t="array" ref="N1284">SUM(--(_xlfn.TEXTSPLIT($J$1170,, " ") = M1284))</f>
        <v>2</v>
      </c>
      <c r="O1284">
        <v>2</v>
      </c>
      <c r="P1284">
        <v>0</v>
      </c>
      <c r="Q1284">
        <v>2</v>
      </c>
      <c r="S1284" s="10"/>
    </row>
    <row r="1285" spans="5:19" x14ac:dyDescent="0.2">
      <c r="E1285" s="9" t="s">
        <v>20</v>
      </c>
      <c r="K1285" t="str">
        <v>on</v>
      </c>
      <c r="N1285" s="4" cm="1">
        <f t="array" ref="N1285">SUM(--(_xlfn.TEXTSPLIT($J$1170,, " ") = M1285))</f>
        <v>2</v>
      </c>
      <c r="O1285">
        <v>2</v>
      </c>
      <c r="P1285">
        <v>0</v>
      </c>
      <c r="Q1285">
        <v>2</v>
      </c>
      <c r="S1285" s="10"/>
    </row>
    <row r="1286" spans="5:19" x14ac:dyDescent="0.2">
      <c r="E1286" s="9" t="s">
        <v>20</v>
      </c>
      <c r="K1286" t="str">
        <v>my</v>
      </c>
      <c r="N1286" s="4" cm="1">
        <f t="array" ref="N1286">SUM(--(_xlfn.TEXTSPLIT($J$1170,, " ") = M1286))</f>
        <v>2</v>
      </c>
      <c r="O1286">
        <v>2</v>
      </c>
      <c r="P1286">
        <v>0</v>
      </c>
      <c r="Q1286">
        <v>2</v>
      </c>
      <c r="S1286" s="10"/>
    </row>
    <row r="1287" spans="5:19" x14ac:dyDescent="0.2">
      <c r="E1287" s="9" t="s">
        <v>20</v>
      </c>
      <c r="K1287" t="str">
        <v>shirt</v>
      </c>
      <c r="N1287" s="4" cm="1">
        <f t="array" ref="N1287">SUM(--(_xlfn.TEXTSPLIT($J$1170,, " ") = M1287))</f>
        <v>2</v>
      </c>
      <c r="O1287">
        <v>2</v>
      </c>
      <c r="P1287">
        <v>0</v>
      </c>
      <c r="Q1287">
        <v>2</v>
      </c>
      <c r="S1287" s="10"/>
    </row>
    <row r="1288" spans="5:19" x14ac:dyDescent="0.2">
      <c r="E1288" s="9" t="s">
        <v>20</v>
      </c>
      <c r="K1288" t="str">
        <v xml:space="preserve">sleeve
</v>
      </c>
      <c r="N1288" s="4" cm="1">
        <f t="array" ref="N1288">SUM(--(_xlfn.TEXTSPLIT($J$1170,, " ") = M1288))</f>
        <v>2</v>
      </c>
      <c r="O1288">
        <v>2</v>
      </c>
      <c r="P1288">
        <v>0</v>
      </c>
      <c r="Q1288">
        <v>2</v>
      </c>
      <c r="S1288" s="10"/>
    </row>
    <row r="1289" spans="5:19" x14ac:dyDescent="0.2">
      <c r="E1289" s="9" t="s">
        <v>20</v>
      </c>
      <c r="K1289" t="str">
        <v>(Yeah,</v>
      </c>
      <c r="N1289" s="4" cm="1">
        <f t="array" ref="N1289">SUM(--(_xlfn.TEXTSPLIT($J$1170,, " ") = M1289))</f>
        <v>2</v>
      </c>
      <c r="O1289">
        <v>2</v>
      </c>
      <c r="P1289">
        <v>0</v>
      </c>
      <c r="Q1289">
        <v>2</v>
      </c>
      <c r="S1289" s="10"/>
    </row>
    <row r="1290" spans="5:19" x14ac:dyDescent="0.2">
      <c r="E1290" s="9" t="s">
        <v>20</v>
      </c>
      <c r="K1290" t="str">
        <v>yeah)</v>
      </c>
      <c r="N1290" s="4" cm="1">
        <f t="array" ref="N1290">SUM(--(_xlfn.TEXTSPLIT($J$1170,, " ") = M1290))</f>
        <v>2</v>
      </c>
      <c r="O1290">
        <v>2</v>
      </c>
      <c r="P1290">
        <v>0</v>
      </c>
      <c r="Q1290">
        <v>2</v>
      </c>
      <c r="S1290" s="10"/>
    </row>
    <row r="1291" spans="5:19" x14ac:dyDescent="0.2">
      <c r="E1291" s="9" t="s">
        <v>20</v>
      </c>
      <c r="K1291" t="str">
        <v>I'll</v>
      </c>
      <c r="N1291" s="4" cm="1">
        <f t="array" ref="N1291">SUM(--(_xlfn.TEXTSPLIT($J$1170,, " ") = M1291))</f>
        <v>2</v>
      </c>
      <c r="O1291">
        <v>2</v>
      </c>
      <c r="P1291">
        <v>0</v>
      </c>
      <c r="Q1291">
        <v>2</v>
      </c>
    </row>
    <row r="1292" spans="5:19" x14ac:dyDescent="0.2">
      <c r="E1292" s="9" t="s">
        <v>20</v>
      </c>
      <c r="K1292" t="str">
        <v>lash</v>
      </c>
      <c r="N1292" s="4" cm="1">
        <f t="array" ref="N1292">SUM(--(_xlfn.TEXTSPLIT($J$1170,, " ") = M1292))</f>
        <v>2</v>
      </c>
      <c r="O1292">
        <v>2</v>
      </c>
      <c r="P1292">
        <v>0</v>
      </c>
      <c r="Q1292">
        <v>2</v>
      </c>
    </row>
    <row r="1293" spans="5:19" x14ac:dyDescent="0.2">
      <c r="E1293" s="9" t="s">
        <v>20</v>
      </c>
      <c r="K1293" t="str">
        <v>out</v>
      </c>
      <c r="N1293" s="4" cm="1">
        <f t="array" ref="N1293">SUM(--(_xlfn.TEXTSPLIT($J$1170,, " ") = M1293))</f>
        <v>2</v>
      </c>
      <c r="O1293">
        <v>2</v>
      </c>
      <c r="P1293">
        <v>0</v>
      </c>
      <c r="Q1293">
        <v>2</v>
      </c>
    </row>
    <row r="1294" spans="5:19" x14ac:dyDescent="0.2">
      <c r="E1294" s="9" t="s">
        <v>20</v>
      </c>
      <c r="K1294" t="str">
        <v>if</v>
      </c>
      <c r="N1294" s="4" cm="1">
        <f t="array" ref="N1294">SUM(--(_xlfn.TEXTSPLIT($J$1170,, " ") = M1294))</f>
        <v>2</v>
      </c>
      <c r="O1294">
        <v>2</v>
      </c>
      <c r="P1294">
        <v>0</v>
      </c>
      <c r="Q1294">
        <v>2</v>
      </c>
    </row>
    <row r="1295" spans="5:19" x14ac:dyDescent="0.2">
      <c r="E1295" s="9" t="s">
        <v>20</v>
      </c>
      <c r="K1295" t="str">
        <v>you're</v>
      </c>
      <c r="N1295" s="4" cm="1">
        <f t="array" ref="N1295">SUM(--(_xlfn.TEXTSPLIT($J$1170,, " ") = M1295))</f>
        <v>2</v>
      </c>
      <c r="O1295">
        <v>2</v>
      </c>
      <c r="P1295">
        <v>0</v>
      </c>
      <c r="Q1295">
        <v>2</v>
      </c>
    </row>
    <row r="1296" spans="5:19" x14ac:dyDescent="0.2">
      <c r="E1296" s="9" t="s">
        <v>20</v>
      </c>
      <c r="K1296" t="str">
        <v>in</v>
      </c>
      <c r="N1296" s="4" cm="1">
        <f t="array" ref="N1296">SUM(--(_xlfn.TEXTSPLIT($J$1170,, " ") = M1296))</f>
        <v>2</v>
      </c>
      <c r="O1296">
        <v>2</v>
      </c>
      <c r="P1296">
        <v>0</v>
      </c>
      <c r="Q1296">
        <v>2</v>
      </c>
    </row>
    <row r="1297" spans="5:17" x14ac:dyDescent="0.2">
      <c r="E1297" s="9" t="s">
        <v>20</v>
      </c>
      <c r="K1297" t="str">
        <v>arm's</v>
      </c>
      <c r="N1297" s="4" cm="1">
        <f t="array" ref="N1297">SUM(--(_xlfn.TEXTSPLIT($J$1170,, " ") = M1297))</f>
        <v>2</v>
      </c>
      <c r="O1297">
        <v>2</v>
      </c>
      <c r="P1297">
        <v>0</v>
      </c>
      <c r="Q1297">
        <v>2</v>
      </c>
    </row>
    <row r="1298" spans="5:17" x14ac:dyDescent="0.2">
      <c r="E1298" s="9" t="s">
        <v>20</v>
      </c>
      <c r="K1298" t="str">
        <v xml:space="preserve">reach
</v>
      </c>
      <c r="N1298" s="4" cm="1">
        <f t="array" ref="N1298">SUM(--(_xlfn.TEXTSPLIT($J$1170,, " ") = M1298))</f>
        <v>2</v>
      </c>
      <c r="O1298">
        <v>2</v>
      </c>
      <c r="P1298">
        <v>0</v>
      </c>
      <c r="Q1298">
        <v>2</v>
      </c>
    </row>
    <row r="1299" spans="5:17" x14ac:dyDescent="0.2">
      <c r="E1299" s="9" t="s">
        <v>20</v>
      </c>
      <c r="K1299" t="str">
        <v>(Yeah,</v>
      </c>
      <c r="N1299" s="4" cm="1">
        <f t="array" ref="N1299">SUM(--(_xlfn.TEXTSPLIT($J$1170,, " ") = M1299))</f>
        <v>2</v>
      </c>
      <c r="O1299">
        <v>2</v>
      </c>
      <c r="P1299">
        <v>0</v>
      </c>
      <c r="Q1299">
        <v>2</v>
      </c>
    </row>
    <row r="1300" spans="5:17" x14ac:dyDescent="0.2">
      <c r="E1300" s="9" t="s">
        <v>20</v>
      </c>
      <c r="K1300" t="str">
        <v>yeah)</v>
      </c>
      <c r="N1300" s="4" cm="1">
        <f t="array" ref="N1300">SUM(--(_xlfn.TEXTSPLIT($J$1170,, " ") = M1300))</f>
        <v>2</v>
      </c>
      <c r="O1300">
        <v>2</v>
      </c>
      <c r="P1300">
        <v>0</v>
      </c>
      <c r="Q1300">
        <v>2</v>
      </c>
    </row>
    <row r="1301" spans="5:17" x14ac:dyDescent="0.2">
      <c r="E1301" s="9" t="s">
        <v>20</v>
      </c>
      <c r="K1301" t="str">
        <v>I'm</v>
      </c>
      <c r="N1301" s="4" cm="1">
        <f t="array" ref="N1301">SUM(--(_xlfn.TEXTSPLIT($J$1170,, " ") = M1301))</f>
        <v>2</v>
      </c>
      <c r="O1301">
        <v>2</v>
      </c>
      <c r="P1301">
        <v>0</v>
      </c>
      <c r="Q1301">
        <v>2</v>
      </c>
    </row>
    <row r="1302" spans="5:17" x14ac:dyDescent="0.2">
      <c r="E1302" s="9" t="s">
        <v>20</v>
      </c>
      <c r="K1302" t="str">
        <v>so</v>
      </c>
      <c r="N1302" s="4" cm="1">
        <f t="array" ref="N1302">SUM(--(_xlfn.TEXTSPLIT($J$1170,, " ") = M1302))</f>
        <v>2</v>
      </c>
      <c r="O1302">
        <v>2</v>
      </c>
      <c r="P1302">
        <v>0</v>
      </c>
      <c r="Q1302">
        <v>2</v>
      </c>
    </row>
    <row r="1303" spans="5:17" x14ac:dyDescent="0.2">
      <c r="E1303" s="9" t="s">
        <v>20</v>
      </c>
      <c r="K1303" t="str">
        <v>lost,</v>
      </c>
      <c r="N1303" s="4" cm="1">
        <f t="array" ref="N1303">SUM(--(_xlfn.TEXTSPLIT($J$1170,, " ") = M1303))</f>
        <v>2</v>
      </c>
      <c r="O1303">
        <v>2</v>
      </c>
      <c r="P1303">
        <v>0</v>
      </c>
      <c r="Q1303">
        <v>2</v>
      </c>
    </row>
    <row r="1304" spans="5:17" x14ac:dyDescent="0.2">
      <c r="E1304" s="9" t="s">
        <v>20</v>
      </c>
      <c r="K1304" t="str">
        <v>like,</v>
      </c>
      <c r="N1304" s="4" cm="1">
        <f t="array" ref="N1304">SUM(--(_xlfn.TEXTSPLIT($J$1170,, " ") = M1304))</f>
        <v>2</v>
      </c>
      <c r="O1304">
        <v>2</v>
      </c>
      <c r="P1304">
        <v>0</v>
      </c>
      <c r="Q1304">
        <v>2</v>
      </c>
    </row>
    <row r="1305" spans="5:17" x14ac:dyDescent="0.2">
      <c r="E1305" s="9" t="s">
        <v>20</v>
      </c>
      <c r="K1305" t="str">
        <v>what</v>
      </c>
      <c r="N1305" s="4" cm="1">
        <f t="array" ref="N1305">SUM(--(_xlfn.TEXTSPLIT($J$1170,, " ") = M1305))</f>
        <v>2</v>
      </c>
      <c r="O1305">
        <v>2</v>
      </c>
      <c r="P1305">
        <v>0</v>
      </c>
      <c r="Q1305">
        <v>2</v>
      </c>
    </row>
    <row r="1306" spans="5:17" x14ac:dyDescent="0.2">
      <c r="E1306" s="9" t="s">
        <v>20</v>
      </c>
      <c r="K1306" t="str">
        <v>is</v>
      </c>
      <c r="N1306" s="4" cm="1">
        <f t="array" ref="N1306">SUM(--(_xlfn.TEXTSPLIT($J$1170,, " ") = M1306))</f>
        <v>2</v>
      </c>
      <c r="O1306">
        <v>2</v>
      </c>
      <c r="P1306">
        <v>0</v>
      </c>
      <c r="Q1306">
        <v>2</v>
      </c>
    </row>
    <row r="1307" spans="5:17" x14ac:dyDescent="0.2">
      <c r="E1307" s="9" t="s">
        <v>20</v>
      </c>
      <c r="K1307" t="str">
        <v xml:space="preserve">happening?
</v>
      </c>
      <c r="N1307" s="4" cm="1">
        <f t="array" ref="N1307">SUM(--(_xlfn.TEXTSPLIT($J$1170,, " ") = M1307))</f>
        <v>2</v>
      </c>
      <c r="O1307">
        <v>2</v>
      </c>
      <c r="P1307">
        <v>0</v>
      </c>
      <c r="Q1307">
        <v>2</v>
      </c>
    </row>
    <row r="1308" spans="5:17" x14ac:dyDescent="0.2">
      <c r="E1308" s="9" t="s">
        <v>20</v>
      </c>
      <c r="K1308" t="str">
        <v>Like,</v>
      </c>
      <c r="N1308" s="4" cm="1">
        <f t="array" ref="N1308">SUM(--(_xlfn.TEXTSPLIT($J$1170,, " ") = M1308))</f>
        <v>2</v>
      </c>
      <c r="O1308">
        <v>2</v>
      </c>
      <c r="P1308">
        <v>0</v>
      </c>
      <c r="Q1308">
        <v>2</v>
      </c>
    </row>
    <row r="1309" spans="5:17" x14ac:dyDescent="0.2">
      <c r="E1309" s="9" t="s">
        <v>20</v>
      </c>
      <c r="K1309" t="str">
        <v>what</v>
      </c>
      <c r="N1309" s="4" cm="1">
        <f t="array" ref="N1309">SUM(--(_xlfn.TEXTSPLIT($J$1170,, " ") = M1309))</f>
        <v>2</v>
      </c>
      <c r="O1309">
        <v>2</v>
      </c>
      <c r="P1309">
        <v>0</v>
      </c>
      <c r="Q1309">
        <v>2</v>
      </c>
    </row>
    <row r="1310" spans="5:17" x14ac:dyDescent="0.2">
      <c r="E1310" s="9" t="s">
        <v>20</v>
      </c>
      <c r="K1310" t="str">
        <v>is</v>
      </c>
      <c r="N1310" s="4" cm="1">
        <f t="array" ref="N1310">SUM(--(_xlfn.TEXTSPLIT($J$1170,, " ") = M1310))</f>
        <v>2</v>
      </c>
      <c r="O1310">
        <v>2</v>
      </c>
      <c r="P1310">
        <v>0</v>
      </c>
      <c r="Q1310">
        <v>2</v>
      </c>
    </row>
    <row r="1311" spans="5:17" x14ac:dyDescent="0.2">
      <c r="E1311" s="9" t="s">
        <v>20</v>
      </c>
      <c r="K1311" t="str">
        <v xml:space="preserve">happening?
</v>
      </c>
      <c r="N1311" s="4" cm="1">
        <f t="array" ref="N1311">SUM(--(_xlfn.TEXTSPLIT($J$1170,, " ") = M1311))</f>
        <v>2</v>
      </c>
      <c r="O1311">
        <v>2</v>
      </c>
      <c r="P1311">
        <v>0</v>
      </c>
      <c r="Q1311">
        <v>2</v>
      </c>
    </row>
    <row r="1312" spans="5:17" x14ac:dyDescent="0.2">
      <c r="E1312" s="9" t="s">
        <v>20</v>
      </c>
      <c r="K1312" t="str">
        <v>Would</v>
      </c>
      <c r="N1312" s="4" cm="1">
        <f t="array" ref="N1312">SUM(--(_xlfn.TEXTSPLIT($J$1170,, " ") = M1312))</f>
        <v>2</v>
      </c>
      <c r="O1312">
        <v>2</v>
      </c>
      <c r="P1312">
        <v>0</v>
      </c>
      <c r="Q1312">
        <v>2</v>
      </c>
    </row>
    <row r="1313" spans="5:17" x14ac:dyDescent="0.2">
      <c r="E1313" s="9" t="s">
        <v>20</v>
      </c>
      <c r="K1313" t="str">
        <v>you</v>
      </c>
      <c r="N1313" s="4" cm="1">
        <f t="array" ref="N1313">SUM(--(_xlfn.TEXTSPLIT($J$1170,, " ") = M1313))</f>
        <v>2</v>
      </c>
      <c r="O1313">
        <v>2</v>
      </c>
      <c r="P1313">
        <v>0</v>
      </c>
      <c r="Q1313">
        <v>2</v>
      </c>
    </row>
    <row r="1314" spans="5:17" x14ac:dyDescent="0.2">
      <c r="E1314" s="9" t="s">
        <v>20</v>
      </c>
      <c r="K1314" t="str">
        <v>move</v>
      </c>
      <c r="N1314" s="4" cm="1">
        <f t="array" ref="N1314">SUM(--(_xlfn.TEXTSPLIT($J$1170,, " ") = M1314))</f>
        <v>2</v>
      </c>
      <c r="O1314">
        <v>2</v>
      </c>
      <c r="P1314">
        <v>0</v>
      </c>
      <c r="Q1314">
        <v>2</v>
      </c>
    </row>
    <row r="1315" spans="5:17" x14ac:dyDescent="0.2">
      <c r="E1315" s="9" t="s">
        <v>20</v>
      </c>
      <c r="K1315" t="str">
        <v>closer</v>
      </c>
      <c r="N1315" s="4" cm="1">
        <f t="array" ref="N1315">SUM(--(_xlfn.TEXTSPLIT($J$1170,, " ") = M1315))</f>
        <v>2</v>
      </c>
      <c r="O1315">
        <v>2</v>
      </c>
      <c r="P1315">
        <v>0</v>
      </c>
      <c r="Q1315">
        <v>2</v>
      </c>
    </row>
    <row r="1316" spans="5:17" x14ac:dyDescent="0.2">
      <c r="E1316" s="9" t="s">
        <v>20</v>
      </c>
      <c r="K1316" t="str">
        <v>if</v>
      </c>
      <c r="N1316" s="4" cm="1">
        <f t="array" ref="N1316">SUM(--(_xlfn.TEXTSPLIT($J$1170,, " ") = M1316))</f>
        <v>2</v>
      </c>
      <c r="O1316">
        <v>2</v>
      </c>
      <c r="P1316">
        <v>0</v>
      </c>
      <c r="Q1316">
        <v>2</v>
      </c>
    </row>
    <row r="1317" spans="5:17" x14ac:dyDescent="0.2">
      <c r="E1317" s="9" t="s">
        <v>20</v>
      </c>
      <c r="K1317" t="str">
        <v>I</v>
      </c>
      <c r="N1317" s="4" cm="1">
        <f t="array" ref="N1317">SUM(--(_xlfn.TEXTSPLIT($J$1170,, " ") = M1317))</f>
        <v>2</v>
      </c>
      <c r="O1317">
        <v>2</v>
      </c>
      <c r="P1317">
        <v>0</v>
      </c>
      <c r="Q1317">
        <v>2</v>
      </c>
    </row>
    <row r="1318" spans="5:17" x14ac:dyDescent="0.2">
      <c r="E1318" s="9" t="s">
        <v>20</v>
      </c>
      <c r="K1318" t="str">
        <v>grew</v>
      </c>
      <c r="N1318" s="4" cm="1">
        <f t="array" ref="N1318">SUM(--(_xlfn.TEXTSPLIT($J$1170,, " ") = M1318))</f>
        <v>2</v>
      </c>
      <c r="O1318">
        <v>2</v>
      </c>
      <c r="P1318">
        <v>0</v>
      </c>
      <c r="Q1318">
        <v>2</v>
      </c>
    </row>
    <row r="1319" spans="5:17" x14ac:dyDescent="0.2">
      <c r="E1319" s="9" t="s">
        <v>20</v>
      </c>
      <c r="K1319" t="str">
        <v xml:space="preserve">quieter?
</v>
      </c>
      <c r="N1319" s="4" cm="1">
        <f t="array" ref="N1319">SUM(--(_xlfn.TEXTSPLIT($J$1170,, " ") = M1319))</f>
        <v>2</v>
      </c>
      <c r="O1319">
        <v>2</v>
      </c>
      <c r="P1319">
        <v>0</v>
      </c>
      <c r="Q1319">
        <v>2</v>
      </c>
    </row>
    <row r="1320" spans="5:17" x14ac:dyDescent="0.2">
      <c r="E1320" s="9" t="s">
        <v>20</v>
      </c>
      <c r="K1320" t="str">
        <v>Maybe</v>
      </c>
      <c r="N1320" s="4" cm="1">
        <f t="array" ref="N1320">SUM(--(_xlfn.TEXTSPLIT($J$1170,, " ") = M1320))</f>
        <v>2</v>
      </c>
      <c r="O1320">
        <v>2</v>
      </c>
      <c r="P1320">
        <v>0</v>
      </c>
      <c r="Q1320">
        <v>2</v>
      </c>
    </row>
    <row r="1321" spans="5:17" x14ac:dyDescent="0.2">
      <c r="E1321" s="9" t="s">
        <v>20</v>
      </c>
      <c r="K1321" t="str">
        <v>this</v>
      </c>
      <c r="N1321" s="4" cm="1">
        <f t="array" ref="N1321">SUM(--(_xlfn.TEXTSPLIT($J$1170,, " ") = M1321))</f>
        <v>2</v>
      </c>
      <c r="O1321">
        <v>2</v>
      </c>
      <c r="P1321">
        <v>0</v>
      </c>
      <c r="Q1321">
        <v>2</v>
      </c>
    </row>
    <row r="1322" spans="5:17" x14ac:dyDescent="0.2">
      <c r="E1322" s="9" t="s">
        <v>20</v>
      </c>
      <c r="K1322" t="str">
        <v>is</v>
      </c>
      <c r="N1322" s="4" cm="1">
        <f t="array" ref="N1322">SUM(--(_xlfn.TEXTSPLIT($J$1170,, " ") = M1322))</f>
        <v>2</v>
      </c>
      <c r="O1322">
        <v>2</v>
      </c>
      <c r="P1322">
        <v>0</v>
      </c>
      <c r="Q1322">
        <v>2</v>
      </c>
    </row>
    <row r="1323" spans="5:17" x14ac:dyDescent="0.2">
      <c r="E1323" s="9" t="s">
        <v>20</v>
      </c>
      <c r="K1323" t="str">
        <v xml:space="preserve">you
</v>
      </c>
      <c r="N1323" s="4" cm="1">
        <f t="array" ref="N1323">SUM(--(_xlfn.TEXTSPLIT($J$1170,, " ") = M1323))</f>
        <v>2</v>
      </c>
      <c r="O1323">
        <v>2</v>
      </c>
      <c r="P1323">
        <v>0</v>
      </c>
      <c r="Q1323">
        <v>2</v>
      </c>
    </row>
    <row r="1324" spans="5:17" x14ac:dyDescent="0.2">
      <c r="E1324" s="9" t="s">
        <v>20</v>
      </c>
      <c r="K1324" t="str">
        <v>Maybe</v>
      </c>
      <c r="N1324" s="4" cm="1">
        <f t="array" ref="N1324">SUM(--(_xlfn.TEXTSPLIT($J$1170,, " ") = M1324))</f>
        <v>2</v>
      </c>
      <c r="O1324">
        <v>2</v>
      </c>
      <c r="P1324">
        <v>0</v>
      </c>
      <c r="Q1324">
        <v>2</v>
      </c>
    </row>
    <row r="1325" spans="5:17" x14ac:dyDescent="0.2">
      <c r="E1325" s="9" t="s">
        <v>20</v>
      </c>
      <c r="K1325" t="str">
        <v>you</v>
      </c>
      <c r="N1325" s="4" cm="1">
        <f t="array" ref="N1325">SUM(--(_xlfn.TEXTSPLIT($J$1170,, " ") = M1325))</f>
        <v>2</v>
      </c>
      <c r="O1325">
        <v>2</v>
      </c>
      <c r="P1325">
        <v>0</v>
      </c>
      <c r="Q1325">
        <v>2</v>
      </c>
    </row>
    <row r="1326" spans="5:17" x14ac:dyDescent="0.2">
      <c r="E1326" s="9" t="s">
        <v>20</v>
      </c>
      <c r="K1326" t="str">
        <v>don't</v>
      </c>
      <c r="N1326" s="4" cm="1">
        <f t="array" ref="N1326">SUM(--(_xlfn.TEXTSPLIT($J$1170,, " ") = M1326))</f>
        <v>2</v>
      </c>
      <c r="O1326">
        <v>2</v>
      </c>
      <c r="P1326">
        <v>0</v>
      </c>
      <c r="Q1326">
        <v>2</v>
      </c>
    </row>
    <row r="1327" spans="5:17" x14ac:dyDescent="0.2">
      <c r="E1327" s="9" t="s">
        <v>20</v>
      </c>
      <c r="K1327" t="str">
        <v>fix</v>
      </c>
      <c r="N1327" s="4" cm="1">
        <f t="array" ref="N1327">SUM(--(_xlfn.TEXTSPLIT($J$1170,, " ") = M1327))</f>
        <v>2</v>
      </c>
      <c r="O1327">
        <v>2</v>
      </c>
      <c r="P1327">
        <v>0</v>
      </c>
      <c r="Q1327">
        <v>2</v>
      </c>
    </row>
    <row r="1328" spans="5:17" x14ac:dyDescent="0.2">
      <c r="E1328" s="9" t="s">
        <v>20</v>
      </c>
      <c r="K1328" t="str">
        <v>and</v>
      </c>
      <c r="N1328" s="4" cm="1">
        <f t="array" ref="N1328">SUM(--(_xlfn.TEXTSPLIT($J$1170,, " ") = M1328))</f>
        <v>2</v>
      </c>
      <c r="O1328">
        <v>2</v>
      </c>
      <c r="P1328">
        <v>0</v>
      </c>
      <c r="Q1328">
        <v>2</v>
      </c>
    </row>
    <row r="1329" spans="5:17" x14ac:dyDescent="0.2">
      <c r="E1329" s="9" t="s">
        <v>20</v>
      </c>
      <c r="K1329" t="str">
        <v>you</v>
      </c>
      <c r="N1329" s="4" cm="1">
        <f t="array" ref="N1329">SUM(--(_xlfn.TEXTSPLIT($J$1170,, " ") = M1329))</f>
        <v>2</v>
      </c>
      <c r="O1329">
        <v>2</v>
      </c>
      <c r="P1329">
        <v>0</v>
      </c>
      <c r="Q1329">
        <v>2</v>
      </c>
    </row>
    <row r="1330" spans="5:17" x14ac:dyDescent="0.2">
      <c r="E1330" s="9" t="s">
        <v>20</v>
      </c>
      <c r="K1330" t="str">
        <v>like</v>
      </c>
      <c r="N1330" s="4" cm="1">
        <f t="array" ref="N1330">SUM(--(_xlfn.TEXTSPLIT($J$1170,, " ") = M1330))</f>
        <v>2</v>
      </c>
      <c r="O1330">
        <v>2</v>
      </c>
      <c r="P1330">
        <v>0</v>
      </c>
      <c r="Q1330">
        <v>2</v>
      </c>
    </row>
    <row r="1331" spans="5:17" x14ac:dyDescent="0.2">
      <c r="E1331" s="9" t="s">
        <v>20</v>
      </c>
      <c r="K1331" t="str">
        <v>it</v>
      </c>
      <c r="N1331" s="4" cm="1">
        <f t="array" ref="N1331">SUM(--(_xlfn.TEXTSPLIT($J$1170,, " ") = M1331))</f>
        <v>2</v>
      </c>
      <c r="O1331">
        <v>2</v>
      </c>
      <c r="P1331">
        <v>0</v>
      </c>
      <c r="Q1331">
        <v>2</v>
      </c>
    </row>
    <row r="1332" spans="5:17" x14ac:dyDescent="0.2">
      <c r="E1332" s="9" t="s">
        <v>20</v>
      </c>
      <c r="K1332" t="str">
        <v>like</v>
      </c>
      <c r="N1332" s="4" cm="1">
        <f t="array" ref="N1332">SUM(--(_xlfn.TEXTSPLIT($J$1170,, " ") = M1332))</f>
        <v>2</v>
      </c>
      <c r="O1332">
        <v>2</v>
      </c>
      <c r="P1332">
        <v>0</v>
      </c>
      <c r="Q1332">
        <v>2</v>
      </c>
    </row>
    <row r="1333" spans="5:17" x14ac:dyDescent="0.2">
      <c r="E1333" s="9" t="s">
        <v>20</v>
      </c>
      <c r="K1333" t="str">
        <v xml:space="preserve">this
</v>
      </c>
      <c r="N1333" s="4" cm="1">
        <f t="array" ref="N1333">SUM(--(_xlfn.TEXTSPLIT($J$1170,, " ") = M1333))</f>
        <v>2</v>
      </c>
      <c r="O1333">
        <v>2</v>
      </c>
      <c r="P1333">
        <v>0</v>
      </c>
      <c r="Q1333">
        <v>2</v>
      </c>
    </row>
    <row r="1334" spans="5:17" x14ac:dyDescent="0.2">
      <c r="E1334" s="9" t="s">
        <v>20</v>
      </c>
      <c r="K1334" t="str">
        <v>I</v>
      </c>
      <c r="N1334" s="4" cm="1">
        <f t="array" ref="N1334">SUM(--(_xlfn.TEXTSPLIT($J$1170,, " ") = M1334))</f>
        <v>2</v>
      </c>
      <c r="O1334">
        <v>2</v>
      </c>
      <c r="P1334">
        <v>0</v>
      </c>
      <c r="Q1334">
        <v>2</v>
      </c>
    </row>
    <row r="1335" spans="5:17" x14ac:dyDescent="0.2">
      <c r="E1335" s="9" t="s">
        <v>20</v>
      </c>
      <c r="K1335" t="str">
        <v>feel</v>
      </c>
      <c r="N1335" s="4" cm="1">
        <f t="array" ref="N1335">SUM(--(_xlfn.TEXTSPLIT($J$1170,, " ") = M1335))</f>
        <v>2</v>
      </c>
      <c r="O1335">
        <v>2</v>
      </c>
      <c r="P1335">
        <v>0</v>
      </c>
      <c r="Q1335">
        <v>2</v>
      </c>
    </row>
    <row r="1336" spans="5:17" x14ac:dyDescent="0.2">
      <c r="E1336" s="9" t="s">
        <v>20</v>
      </c>
      <c r="K1336" t="str">
        <v>like</v>
      </c>
      <c r="N1336" s="4" cm="1">
        <f t="array" ref="N1336">SUM(--(_xlfn.TEXTSPLIT($J$1170,, " ") = M1336))</f>
        <v>2</v>
      </c>
      <c r="O1336">
        <v>2</v>
      </c>
      <c r="P1336">
        <v>0</v>
      </c>
      <c r="Q1336">
        <v>2</v>
      </c>
    </row>
    <row r="1337" spans="5:17" x14ac:dyDescent="0.2">
      <c r="E1337" s="9" t="s">
        <v>20</v>
      </c>
      <c r="K1337" t="str">
        <v>garbage</v>
      </c>
      <c r="N1337" s="4" cm="1">
        <f t="array" ref="N1337">SUM(--(_xlfn.TEXTSPLIT($J$1170,, " ") = M1337))</f>
        <v>2</v>
      </c>
      <c r="O1337">
        <v>2</v>
      </c>
      <c r="P1337">
        <v>0</v>
      </c>
      <c r="Q1337">
        <v>2</v>
      </c>
    </row>
    <row r="1338" spans="5:17" x14ac:dyDescent="0.2">
      <c r="E1338" s="9" t="s">
        <v>20</v>
      </c>
      <c r="K1338" t="str">
        <v xml:space="preserve">(Yeah)
</v>
      </c>
      <c r="N1338" s="4" cm="1">
        <f t="array" ref="N1338">SUM(--(_xlfn.TEXTSPLIT($J$1170,, " ") = M1338))</f>
        <v>2</v>
      </c>
      <c r="O1338">
        <v>1</v>
      </c>
      <c r="P1338" t="str">
        <v>didn't</v>
      </c>
      <c r="Q1338">
        <v>1</v>
      </c>
    </row>
    <row r="1339" spans="5:17" x14ac:dyDescent="0.2">
      <c r="E1339" s="9" t="s">
        <v>20</v>
      </c>
      <c r="K1339" t="str">
        <v>I</v>
      </c>
      <c r="N1339" s="4" cm="1">
        <f t="array" ref="N1339">SUM(--(_xlfn.TEXTSPLIT($J$1170,, " ") = M1339))</f>
        <v>2</v>
      </c>
      <c r="O1339">
        <v>1</v>
      </c>
      <c r="P1339" t="str">
        <v xml:space="preserve">it
</v>
      </c>
      <c r="Q1339">
        <v>1</v>
      </c>
    </row>
    <row r="1340" spans="5:17" x14ac:dyDescent="0.2">
      <c r="E1340" s="9" t="s">
        <v>20</v>
      </c>
      <c r="K1340" t="str">
        <v>feel</v>
      </c>
      <c r="N1340" s="4" cm="1">
        <f t="array" ref="N1340">SUM(--(_xlfn.TEXTSPLIT($J$1170,, " ") = M1340))</f>
        <v>2</v>
      </c>
      <c r="O1340">
        <v>1</v>
      </c>
      <c r="P1340" t="str">
        <v>systems</v>
      </c>
      <c r="Q1340">
        <v>1</v>
      </c>
    </row>
    <row r="1341" spans="5:17" x14ac:dyDescent="0.2">
      <c r="E1341" s="9" t="s">
        <v>20</v>
      </c>
      <c r="K1341" t="str">
        <v>like</v>
      </c>
      <c r="N1341" s="4" cm="1">
        <f t="array" ref="N1341">SUM(--(_xlfn.TEXTSPLIT($J$1170,, " ") = M1341))</f>
        <v>2</v>
      </c>
      <c r="O1341">
        <v>1</v>
      </c>
      <c r="P1341" t="str">
        <v>are</v>
      </c>
      <c r="Q1341">
        <v>1</v>
      </c>
    </row>
    <row r="1342" spans="5:17" x14ac:dyDescent="0.2">
      <c r="E1342" s="9" t="s">
        <v>20</v>
      </c>
      <c r="K1342" t="str">
        <v xml:space="preserve">garbage
</v>
      </c>
      <c r="N1342" s="4" cm="1">
        <f t="array" ref="N1342">SUM(--(_xlfn.TEXTSPLIT($J$1170,, " ") = M1342))</f>
        <v>2</v>
      </c>
      <c r="O1342">
        <v>1</v>
      </c>
      <c r="P1342" t="str">
        <v>operating</v>
      </c>
      <c r="Q1342">
        <v>1</v>
      </c>
    </row>
    <row r="1343" spans="5:17" x14ac:dyDescent="0.2">
      <c r="E1343" s="9" t="s">
        <v>20</v>
      </c>
      <c r="K1343" t="str">
        <v>I</v>
      </c>
      <c r="N1343" s="4" cm="1">
        <f t="array" ref="N1343">SUM(--(_xlfn.TEXTSPLIT($J$1170,, " ") = M1343))</f>
        <v>2</v>
      </c>
      <c r="O1343">
        <v>1</v>
      </c>
      <c r="P1343" t="str">
        <v>at</v>
      </c>
      <c r="Q1343">
        <v>1</v>
      </c>
    </row>
    <row r="1344" spans="5:17" x14ac:dyDescent="0.2">
      <c r="E1344" s="9" t="s">
        <v>20</v>
      </c>
      <c r="K1344" t="str">
        <v>feel</v>
      </c>
      <c r="N1344" s="4" cm="1">
        <f t="array" ref="N1344">SUM(--(_xlfn.TEXTSPLIT($J$1170,, " ") = M1344))</f>
        <v>2</v>
      </c>
      <c r="O1344">
        <v>1</v>
      </c>
      <c r="P1344" t="str">
        <v>twenty</v>
      </c>
      <c r="Q1344">
        <v>1</v>
      </c>
    </row>
    <row r="1345" spans="5:17" x14ac:dyDescent="0.2">
      <c r="E1345" s="9" t="s">
        <v>20</v>
      </c>
      <c r="K1345" t="str">
        <v>like</v>
      </c>
      <c r="N1345" s="4" cm="1">
        <f t="array" ref="N1345">SUM(--(_xlfn.TEXTSPLIT($J$1170,, " ") = M1345))</f>
        <v>2</v>
      </c>
      <c r="O1345">
        <v>1</v>
      </c>
      <c r="P1345" t="str">
        <v xml:space="preserve">percent
</v>
      </c>
      <c r="Q1345">
        <v>1</v>
      </c>
    </row>
    <row r="1346" spans="5:17" x14ac:dyDescent="0.2">
      <c r="E1346" s="9" t="s">
        <v>20</v>
      </c>
      <c r="K1346" t="str">
        <v xml:space="preserve">(Yeah)
</v>
      </c>
      <c r="N1346" s="4" cm="1">
        <f t="array" ref="N1346">SUM(--(_xlfn.TEXTSPLIT($J$1170,, " ") = M1346))</f>
        <v>2</v>
      </c>
      <c r="O1346">
        <v>1</v>
      </c>
      <c r="P1346" t="str">
        <v>Oh-oh
(</v>
      </c>
      <c r="Q1346">
        <v>1</v>
      </c>
    </row>
    <row r="1347" spans="5:17" x14ac:dyDescent="0.2">
      <c r="E1347" s="9" t="s">
        <v>20</v>
      </c>
      <c r="K1347" t="str">
        <v xml:space="preserve">Like
</v>
      </c>
      <c r="N1347" s="4" cm="1">
        <f t="array" ref="N1347">SUM(--(_xlfn.TEXTSPLIT($J$1170,, " ") = M1347))</f>
        <v>2</v>
      </c>
      <c r="O1347">
        <v>1</v>
      </c>
      <c r="P1347" t="str">
        <v>shirtsleeve
(</v>
      </c>
      <c r="Q1347">
        <v>1</v>
      </c>
    </row>
    <row r="1348" spans="5:17" x14ac:dyDescent="0.2">
      <c r="E1348" s="9" t="s">
        <v>20</v>
      </c>
      <c r="K1348" t="str">
        <v>I'll</v>
      </c>
      <c r="N1348" s="4" cm="1">
        <f t="array" ref="N1348">SUM(--(_xlfn.TEXTSPLIT($J$1170,, " ") = M1348))</f>
        <v>2</v>
      </c>
      <c r="O1348">
        <v>1</v>
      </c>
      <c r="P1348" t="str">
        <v xml:space="preserve">garbage
</v>
      </c>
      <c r="Q1348">
        <v>1</v>
      </c>
    </row>
    <row r="1349" spans="5:17" x14ac:dyDescent="0.2">
      <c r="E1349" s="9" t="s">
        <v>20</v>
      </c>
      <c r="K1349" t="str">
        <v>lash</v>
      </c>
      <c r="N1349" s="4" cm="1">
        <f t="array" ref="N1349">SUM(--(_xlfn.TEXTSPLIT($J$1170,, " ") = M1349))</f>
        <v>2</v>
      </c>
      <c r="O1349">
        <v>1</v>
      </c>
      <c r="P1349" t="str">
        <v>Ooh,</v>
      </c>
      <c r="Q1349">
        <v>1</v>
      </c>
    </row>
    <row r="1350" spans="5:17" x14ac:dyDescent="0.2">
      <c r="E1350" s="9" t="s">
        <v>20</v>
      </c>
      <c r="K1350" t="str">
        <v>out,</v>
      </c>
      <c r="N1350" s="4" cm="1">
        <f t="array" ref="N1350">SUM(--(_xlfn.TEXTSPLIT($J$1170,, " ") = M1350))</f>
        <v>2</v>
      </c>
      <c r="O1350">
        <v>1</v>
      </c>
      <c r="P1350" t="str">
        <v xml:space="preserve">yeah
</v>
      </c>
      <c r="Q1350">
        <v>1</v>
      </c>
    </row>
    <row r="1351" spans="5:17" x14ac:dyDescent="0.2">
      <c r="E1351" s="9" t="s">
        <v>20</v>
      </c>
      <c r="K1351" t="str">
        <v>lash</v>
      </c>
      <c r="N1351" s="4" cm="1">
        <f t="array" ref="N1351">SUM(--(_xlfn.TEXTSPLIT($J$1170,, " ") = M1351))</f>
        <v>2</v>
      </c>
      <c r="O1351">
        <v>1</v>
      </c>
      <c r="P1351" t="str">
        <v>can't</v>
      </c>
      <c r="Q1351">
        <v>1</v>
      </c>
    </row>
    <row r="1352" spans="5:17" x14ac:dyDescent="0.2">
      <c r="E1352" s="9" t="s">
        <v>20</v>
      </c>
      <c r="K1352" t="str">
        <v>out,</v>
      </c>
      <c r="N1352" s="4" cm="1">
        <f t="array" ref="N1352">SUM(--(_xlfn.TEXTSPLIT($J$1170,, " ") = M1352))</f>
        <v>2</v>
      </c>
      <c r="O1352">
        <v>1</v>
      </c>
      <c r="P1352" t="str">
        <v xml:space="preserve">decide
</v>
      </c>
      <c r="Q1352">
        <v>1</v>
      </c>
    </row>
    <row r="1353" spans="5:17" x14ac:dyDescent="0.2">
      <c r="E1353" s="9" t="s">
        <v>20</v>
      </c>
      <c r="K1353" t="str">
        <v>lash</v>
      </c>
      <c r="N1353" s="4" cm="1">
        <f t="array" ref="N1353">SUM(--(_xlfn.TEXTSPLIT($J$1170,, " ") = M1353))</f>
        <v>2</v>
      </c>
      <c r="O1353">
        <v>1</v>
      </c>
      <c r="P1353" t="str">
        <v>could</v>
      </c>
      <c r="Q1353">
        <v>1</v>
      </c>
    </row>
    <row r="1354" spans="5:17" x14ac:dyDescent="0.2">
      <c r="E1354" s="9" t="s">
        <v>20</v>
      </c>
      <c r="K1354" t="str">
        <v>out</v>
      </c>
      <c r="N1354" s="4" cm="1">
        <f t="array" ref="N1354">SUM(--(_xlfn.TEXTSPLIT($J$1170,, " ") = M1354))</f>
        <v>2</v>
      </c>
      <c r="O1354">
        <v>1</v>
      </c>
      <c r="P1354" t="str">
        <v>more</v>
      </c>
      <c r="Q1354">
        <v>1</v>
      </c>
    </row>
    <row r="1355" spans="5:17" x14ac:dyDescent="0.2">
      <c r="E1355" s="9" t="s">
        <v>20</v>
      </c>
      <c r="K1355" t="str">
        <v xml:space="preserve">(Hey)
</v>
      </c>
      <c r="N1355" s="4" cm="1">
        <f t="array" ref="N1355">SUM(--(_xlfn.TEXTSPLIT($J$1170,, " ") = M1355))</f>
        <v>2</v>
      </c>
      <c r="O1355">
        <v>1</v>
      </c>
      <c r="P1355" t="str">
        <v>just</v>
      </c>
      <c r="Q1355">
        <v>1</v>
      </c>
    </row>
    <row r="1356" spans="5:17" x14ac:dyDescent="0.2">
      <c r="E1356" s="9" t="s">
        <v>20</v>
      </c>
      <c r="K1356" t="str">
        <v>I'm</v>
      </c>
      <c r="N1356" s="4" cm="1">
        <f t="array" ref="N1356">SUM(--(_xlfn.TEXTSPLIT($J$1170,, " ") = M1356))</f>
        <v>2</v>
      </c>
      <c r="O1356">
        <v>1</v>
      </c>
      <c r="P1356" t="str">
        <v>knew</v>
      </c>
      <c r="Q1356">
        <v>1</v>
      </c>
    </row>
    <row r="1357" spans="5:17" x14ac:dyDescent="0.2">
      <c r="E1357" s="9" t="s">
        <v>20</v>
      </c>
      <c r="K1357" t="str">
        <v>biting</v>
      </c>
      <c r="N1357" s="4" cm="1">
        <f t="array" ref="N1357">SUM(--(_xlfn.TEXTSPLIT($J$1170,, " ") = M1357))</f>
        <v>2</v>
      </c>
      <c r="O1357">
        <v>1</v>
      </c>
      <c r="P1357" t="str">
        <v>less
When</v>
      </c>
      <c r="Q1357">
        <v>1</v>
      </c>
    </row>
    <row r="1358" spans="5:17" x14ac:dyDescent="0.2">
      <c r="E1358" s="9" t="s">
        <v>20</v>
      </c>
      <c r="K1358" t="str">
        <v>down</v>
      </c>
      <c r="N1358" s="4" cm="1">
        <f t="array" ref="N1358">SUM(--(_xlfn.TEXTSPLIT($J$1170,, " ") = M1358))</f>
        <v>2</v>
      </c>
      <c r="O1358">
        <v>1</v>
      </c>
      <c r="P1358" t="str">
        <v>was</v>
      </c>
      <c r="Q1358">
        <v>1</v>
      </c>
    </row>
    <row r="1359" spans="5:17" x14ac:dyDescent="0.2">
      <c r="E1359" s="9" t="s">
        <v>20</v>
      </c>
      <c r="K1359" t="str">
        <v>on</v>
      </c>
      <c r="N1359" s="4" cm="1">
        <f t="array" ref="N1359">SUM(--(_xlfn.TEXTSPLIT($J$1170,, " ") = M1359))</f>
        <v>2</v>
      </c>
      <c r="O1359">
        <v>1</v>
      </c>
      <c r="P1359" t="str">
        <v xml:space="preserve">younger
</v>
      </c>
      <c r="Q1359">
        <v>1</v>
      </c>
    </row>
    <row r="1360" spans="5:17" x14ac:dyDescent="0.2">
      <c r="E1360" s="9" t="s">
        <v>20</v>
      </c>
      <c r="K1360" t="str">
        <v>my</v>
      </c>
      <c r="N1360" s="4" cm="1">
        <f t="array" ref="N1360">SUM(--(_xlfn.TEXTSPLIT($J$1170,, " ") = M1360))</f>
        <v>2</v>
      </c>
      <c r="O1360">
        <v>1</v>
      </c>
      <c r="P1360" t="str">
        <v>Bright-eyed</v>
      </c>
      <c r="Q1360">
        <v>1</v>
      </c>
    </row>
    <row r="1361" spans="5:17" x14ac:dyDescent="0.2">
      <c r="E1361" s="9" t="s">
        <v>20</v>
      </c>
      <c r="K1361" t="str">
        <v>shirt</v>
      </c>
      <c r="N1361" s="4" cm="1">
        <f t="array" ref="N1361">SUM(--(_xlfn.TEXTSPLIT($J$1170,, " ") = M1361))</f>
        <v>2</v>
      </c>
      <c r="O1361">
        <v>1</v>
      </c>
      <c r="P1361" t="str">
        <v>with</v>
      </c>
      <c r="Q1361">
        <v>1</v>
      </c>
    </row>
    <row r="1362" spans="5:17" x14ac:dyDescent="0.2">
      <c r="E1362" s="9" t="s">
        <v>20</v>
      </c>
      <c r="K1362" t="str">
        <v xml:space="preserve">sleeve
</v>
      </c>
      <c r="N1362" s="4" cm="1">
        <f t="array" ref="N1362">SUM(--(_xlfn.TEXTSPLIT($J$1170,, " ") = M1362))</f>
        <v>2</v>
      </c>
      <c r="O1362">
        <v>1</v>
      </c>
      <c r="P1362" t="str">
        <v xml:space="preserve">wonder
</v>
      </c>
      <c r="Q1362">
        <v>1</v>
      </c>
    </row>
    <row r="1363" spans="5:17" x14ac:dyDescent="0.2">
      <c r="E1363" s="9" t="s">
        <v>20</v>
      </c>
      <c r="K1363" t="str">
        <v>Like,</v>
      </c>
      <c r="N1363" s="4" cm="1">
        <f t="array" ref="N1363">SUM(--(_xlfn.TEXTSPLIT($J$1170,, " ") = M1363))</f>
        <v>2</v>
      </c>
      <c r="O1363">
        <v>1</v>
      </c>
      <c r="P1363" t="str">
        <v>know</v>
      </c>
      <c r="Q1363">
        <v>1</v>
      </c>
    </row>
    <row r="1364" spans="5:17" x14ac:dyDescent="0.2">
      <c r="E1364" s="9" t="s">
        <v>20</v>
      </c>
      <c r="K1364" t="str">
        <v>I'll</v>
      </c>
      <c r="N1364" s="4" cm="1">
        <f t="array" ref="N1364">SUM(--(_xlfn.TEXTSPLIT($J$1170,, " ") = M1364))</f>
        <v>2</v>
      </c>
      <c r="O1364">
        <v>1</v>
      </c>
      <c r="P1364" t="str">
        <v>which</v>
      </c>
      <c r="Q1364">
        <v>1</v>
      </c>
    </row>
    <row r="1365" spans="5:17" x14ac:dyDescent="0.2">
      <c r="E1365" s="9" t="s">
        <v>20</v>
      </c>
      <c r="K1365" t="str">
        <v>lash</v>
      </c>
      <c r="N1365" s="4" cm="1">
        <f t="array" ref="N1365">SUM(--(_xlfn.TEXTSPLIT($J$1170,, " ") = M1365))</f>
        <v>2</v>
      </c>
      <c r="O1365">
        <v>1</v>
      </c>
      <c r="P1365" t="str">
        <v>name</v>
      </c>
      <c r="Q1365">
        <v>1</v>
      </c>
    </row>
    <row r="1366" spans="5:17" x14ac:dyDescent="0.2">
      <c r="E1366" s="9" t="s">
        <v>20</v>
      </c>
      <c r="K1366" t="str">
        <v>out,</v>
      </c>
      <c r="N1366" s="4" cm="1">
        <f t="array" ref="N1366">SUM(--(_xlfn.TEXTSPLIT($J$1170,, " ") = M1366))</f>
        <v>2</v>
      </c>
      <c r="O1366">
        <v>1</v>
      </c>
      <c r="P1366" t="str">
        <v>it's</v>
      </c>
      <c r="Q1366">
        <v>1</v>
      </c>
    </row>
    <row r="1367" spans="5:17" x14ac:dyDescent="0.2">
      <c r="E1367" s="9" t="s">
        <v>20</v>
      </c>
      <c r="K1367" t="str">
        <v>lash</v>
      </c>
      <c r="N1367" s="4" cm="1">
        <f t="array" ref="N1367">SUM(--(_xlfn.TEXTSPLIT($J$1170,, " ") = M1367))</f>
        <v>2</v>
      </c>
      <c r="O1367">
        <v>1</v>
      </c>
      <c r="P1367" t="str">
        <v>under?</v>
      </c>
      <c r="Q1367">
        <v>1</v>
      </c>
    </row>
    <row r="1368" spans="5:17" x14ac:dyDescent="0.2">
      <c r="E1368" s="9" t="s">
        <v>20</v>
      </c>
      <c r="K1368" t="str">
        <v>out,</v>
      </c>
      <c r="N1368" s="4" cm="1">
        <f t="array" ref="N1368">SUM(--(_xlfn.TEXTSPLIT($J$1170,, " ") = M1368))</f>
        <v>2</v>
      </c>
      <c r="O1368">
        <v>1</v>
      </c>
      <c r="P1368" t="str">
        <v xml:space="preserve">(Oh-oh-oh)
</v>
      </c>
      <c r="Q1368">
        <v>1</v>
      </c>
    </row>
    <row r="1369" spans="5:17" x14ac:dyDescent="0.2">
      <c r="E1369" s="9" t="s">
        <v>20</v>
      </c>
      <c r="K1369" t="str">
        <v>lash</v>
      </c>
      <c r="N1369" s="4" cm="1">
        <f t="array" ref="N1369">SUM(--(_xlfn.TEXTSPLIT($J$1170,, " ") = M1369))</f>
        <v>2</v>
      </c>
      <c r="O1369">
        <v>1</v>
      </c>
      <c r="P1369" t="str">
        <v xml:space="preserve">Oh-oh
</v>
      </c>
      <c r="Q1369">
        <v>1</v>
      </c>
    </row>
    <row r="1370" spans="5:17" x14ac:dyDescent="0.2">
      <c r="E1370" s="9" t="s">
        <v>20</v>
      </c>
      <c r="K1370" t="str">
        <v xml:space="preserve">out
</v>
      </c>
      <c r="N1370" s="4" cm="1">
        <f t="array" ref="N1370">SUM(--(_xlfn.TEXTSPLIT($J$1170,, " ") = M1370))</f>
        <v>2</v>
      </c>
      <c r="O1370">
        <v>1</v>
      </c>
      <c r="P1370" t="str">
        <v xml:space="preserve">happening?
</v>
      </c>
      <c r="Q1370">
        <v>1</v>
      </c>
    </row>
    <row r="1371" spans="5:17" x14ac:dyDescent="0.2">
      <c r="E1371" s="9" t="s">
        <v>20</v>
      </c>
      <c r="K1371" t="str">
        <v>Don't</v>
      </c>
      <c r="N1371" s="4" cm="1">
        <f t="array" ref="N1371">SUM(--(_xlfn.TEXTSPLIT($J$1170,, " ") = M1371))</f>
        <v>2</v>
      </c>
      <c r="O1371">
        <v>1</v>
      </c>
      <c r="P1371" t="str">
        <v>Would</v>
      </c>
      <c r="Q1371">
        <v>1</v>
      </c>
    </row>
    <row r="1372" spans="5:17" x14ac:dyDescent="0.2">
      <c r="E1372" s="9" t="s">
        <v>20</v>
      </c>
      <c r="K1372" t="str">
        <v>give</v>
      </c>
      <c r="N1372" s="4" cm="1">
        <f t="array" ref="N1372">SUM(--(_xlfn.TEXTSPLIT($J$1170,, " ") = M1372))</f>
        <v>2</v>
      </c>
      <c r="O1372">
        <v>1</v>
      </c>
      <c r="P1372" t="str">
        <v>move</v>
      </c>
      <c r="Q1372">
        <v>1</v>
      </c>
    </row>
    <row r="1373" spans="5:17" x14ac:dyDescent="0.2">
      <c r="E1373" s="9" t="s">
        <v>20</v>
      </c>
      <c r="K1373" t="str">
        <v>up</v>
      </c>
      <c r="N1373" s="4" cm="1">
        <f t="array" ref="N1373">SUM(--(_xlfn.TEXTSPLIT($J$1170,, " ") = M1373))</f>
        <v>2</v>
      </c>
      <c r="O1373">
        <v>1</v>
      </c>
      <c r="P1373" t="str">
        <v>closer</v>
      </c>
      <c r="Q1373">
        <v>1</v>
      </c>
    </row>
    <row r="1374" spans="5:17" x14ac:dyDescent="0.2">
      <c r="E1374" s="9" t="s">
        <v>20</v>
      </c>
      <c r="K1374" t="str">
        <v>on</v>
      </c>
      <c r="N1374" s="4" cm="1">
        <f t="array" ref="N1374">SUM(--(_xlfn.TEXTSPLIT($J$1170,, " ") = M1374))</f>
        <v>2</v>
      </c>
      <c r="O1374">
        <v>1</v>
      </c>
      <c r="P1374" t="str">
        <v>grew</v>
      </c>
      <c r="Q1374">
        <v>1</v>
      </c>
    </row>
    <row r="1375" spans="5:17" x14ac:dyDescent="0.2">
      <c r="E1375" s="9" t="s">
        <v>20</v>
      </c>
      <c r="K1375" t="str">
        <v xml:space="preserve">me
</v>
      </c>
      <c r="N1375" s="4" cm="1">
        <f t="array" ref="N1375">SUM(--(_xlfn.TEXTSPLIT($J$1170,, " ") = M1375))</f>
        <v>2</v>
      </c>
      <c r="O1375">
        <v>1</v>
      </c>
      <c r="P1375" t="str">
        <v xml:space="preserve">quieter?
</v>
      </c>
      <c r="Q1375">
        <v>1</v>
      </c>
    </row>
    <row r="1376" spans="5:17" x14ac:dyDescent="0.2">
      <c r="E1376" s="9" t="s">
        <v>20</v>
      </c>
      <c r="K1376" t="str">
        <v>Don't</v>
      </c>
      <c r="N1376" s="4" cm="1">
        <f t="array" ref="N1376">SUM(--(_xlfn.TEXTSPLIT($J$1170,, " ") = M1376))</f>
        <v>2</v>
      </c>
      <c r="O1376">
        <v>1</v>
      </c>
      <c r="P1376" t="str">
        <v>this</v>
      </c>
      <c r="Q1376">
        <v>1</v>
      </c>
    </row>
    <row r="1377" spans="1:18" x14ac:dyDescent="0.2">
      <c r="E1377" s="9" t="s">
        <v>20</v>
      </c>
      <c r="K1377" t="str">
        <v>give</v>
      </c>
      <c r="N1377" s="4" cm="1">
        <f t="array" ref="N1377">SUM(--(_xlfn.TEXTSPLIT($J$1170,, " ") = M1377))</f>
        <v>2</v>
      </c>
      <c r="O1377">
        <v>1</v>
      </c>
      <c r="P1377" t="str">
        <v xml:space="preserve">you
</v>
      </c>
      <c r="Q1377">
        <v>1</v>
      </c>
    </row>
    <row r="1378" spans="1:18" x14ac:dyDescent="0.2">
      <c r="E1378" s="9" t="s">
        <v>20</v>
      </c>
      <c r="K1378" t="str">
        <v>up</v>
      </c>
      <c r="N1378" s="4" cm="1">
        <f t="array" ref="N1378">SUM(--(_xlfn.TEXTSPLIT($J$1170,, " ") = M1378))</f>
        <v>2</v>
      </c>
      <c r="O1378">
        <v>1</v>
      </c>
      <c r="P1378" t="str">
        <v>fix</v>
      </c>
      <c r="Q1378">
        <v>1</v>
      </c>
    </row>
    <row r="1379" spans="1:18" x14ac:dyDescent="0.2">
      <c r="E1379" s="9" t="s">
        <v>20</v>
      </c>
      <c r="K1379" t="str">
        <v>on</v>
      </c>
      <c r="N1379" s="4" cm="1">
        <f t="array" ref="N1379">SUM(--(_xlfn.TEXTSPLIT($J$1170,, " ") = M1379))</f>
        <v>2</v>
      </c>
      <c r="O1379">
        <v>1</v>
      </c>
      <c r="P1379" t="str">
        <v>and</v>
      </c>
      <c r="Q1379">
        <v>1</v>
      </c>
    </row>
    <row r="1380" spans="1:18" x14ac:dyDescent="0.2">
      <c r="E1380" s="9" t="s">
        <v>20</v>
      </c>
      <c r="K1380" t="str">
        <v xml:space="preserve">me
</v>
      </c>
      <c r="N1380" s="4" cm="1">
        <f t="array" ref="N1380">SUM(--(_xlfn.TEXTSPLIT($J$1170,, " ") = M1380))</f>
        <v>2</v>
      </c>
      <c r="O1380">
        <v>1</v>
      </c>
      <c r="P1380" t="str">
        <v>it</v>
      </c>
      <c r="Q1380">
        <v>1</v>
      </c>
    </row>
    <row r="1381" spans="1:18" x14ac:dyDescent="0.2">
      <c r="E1381" s="9" t="s">
        <v>20</v>
      </c>
      <c r="K1381" t="str">
        <v>No,</v>
      </c>
      <c r="N1381" s="4" cm="1">
        <f t="array" ref="N1381">SUM(--(_xlfn.TEXTSPLIT($J$1170,, " ") = M1381))</f>
        <v>2</v>
      </c>
      <c r="O1381">
        <v>1</v>
      </c>
      <c r="P1381" t="str">
        <v xml:space="preserve">this
</v>
      </c>
      <c r="Q1381">
        <v>1</v>
      </c>
    </row>
    <row r="1382" spans="1:18" x14ac:dyDescent="0.2">
      <c r="E1382" s="9" t="s">
        <v>20</v>
      </c>
      <c r="K1382" t="str">
        <v>no,</v>
      </c>
      <c r="N1382" s="4" cm="1">
        <f t="array" ref="N1382">SUM(--(_xlfn.TEXTSPLIT($J$1170,, " ") = M1382))</f>
        <v>2</v>
      </c>
      <c r="O1382">
        <v>1</v>
      </c>
      <c r="P1382" t="str">
        <v>garbage</v>
      </c>
      <c r="Q1382">
        <v>1</v>
      </c>
    </row>
    <row r="1383" spans="1:18" x14ac:dyDescent="0.2">
      <c r="E1383" s="9" t="s">
        <v>20</v>
      </c>
      <c r="K1383" t="str">
        <v>no,</v>
      </c>
      <c r="N1383" s="4" cm="1">
        <f t="array" ref="N1383">SUM(--(_xlfn.TEXTSPLIT($J$1170,, " ") = M1383))</f>
        <v>2</v>
      </c>
      <c r="O1383">
        <v>1</v>
      </c>
      <c r="P1383" t="str">
        <v xml:space="preserve">Like
</v>
      </c>
      <c r="Q1383">
        <v>1</v>
      </c>
    </row>
    <row r="1384" spans="1:18" x14ac:dyDescent="0.2">
      <c r="E1384" s="9" t="s">
        <v>20</v>
      </c>
      <c r="K1384" t="str">
        <v>please,</v>
      </c>
      <c r="N1384" s="4" cm="1">
        <f t="array" ref="N1384">SUM(--(_xlfn.TEXTSPLIT($J$1170,, " ") = M1384))</f>
        <v>2</v>
      </c>
      <c r="O1384">
        <v>1</v>
      </c>
      <c r="P1384" t="str">
        <v xml:space="preserve">(Hey)
</v>
      </c>
      <c r="Q1384">
        <v>1</v>
      </c>
    </row>
    <row r="1385" spans="1:18" x14ac:dyDescent="0.2">
      <c r="E1385" s="9" t="s">
        <v>20</v>
      </c>
      <c r="K1385" t="str">
        <v>please,</v>
      </c>
      <c r="N1385" s="4" cm="1">
        <f t="array" ref="N1385">SUM(--(_xlfn.TEXTSPLIT($J$1170,, " ") = M1385))</f>
        <v>2</v>
      </c>
      <c r="O1385">
        <v>1</v>
      </c>
      <c r="P1385" t="str">
        <v xml:space="preserve">out
</v>
      </c>
      <c r="Q1385">
        <v>1</v>
      </c>
    </row>
    <row r="1386" spans="1:18" x14ac:dyDescent="0.2">
      <c r="E1386" s="9" t="s">
        <v>20</v>
      </c>
      <c r="K1386" t="str">
        <v>please</v>
      </c>
      <c r="N1386" s="4" cm="1">
        <f t="array" ref="N1386">SUM(--(_xlfn.TEXTSPLIT($J$1170,, " ") = M1386))</f>
        <v>2</v>
      </c>
      <c r="O1386">
        <v>1</v>
      </c>
      <c r="P1386" t="str">
        <v>please</v>
      </c>
      <c r="Q1386">
        <v>1</v>
      </c>
    </row>
    <row r="1387" spans="1:18" s="4" customFormat="1" x14ac:dyDescent="0.2">
      <c r="A1387" s="4">
        <v>5</v>
      </c>
      <c r="B1387" s="5">
        <v>45912</v>
      </c>
      <c r="C1387" s="6">
        <v>0.15625</v>
      </c>
      <c r="D1387" s="7">
        <v>225</v>
      </c>
      <c r="E1387" s="9" t="s">
        <v>24</v>
      </c>
      <c r="F1387" s="4">
        <v>5</v>
      </c>
      <c r="G1387" s="8" t="s">
        <v>15</v>
      </c>
      <c r="H1387" s="9" t="s">
        <v>25</v>
      </c>
      <c r="I1387" s="4">
        <v>1</v>
      </c>
      <c r="J1387" s="4" t="str">
        <f>_xlfn.TEXTJOIN(" ", TRUE, H1387:H1400)</f>
        <v xml:space="preserve">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Wake up and I find out, did a change up
 Wait, did it change up?
 Is it light out yet? Better find out, bet
 I'ma walk around the edge of the room and the bed
 Where I hide my face, pace around
 Better try to breathe, pace around, pace around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I  used to see
 Sleep I found
 (Oh-ooh) I wanna get out there
 (Oh-ooh) But I don't try
 (Oh-ooh) I wanna get out there
 (Oh-ooh) But I don't try
 I check the clock, wondering what he'll pull this time
 I have a feeling that necromancer's outside
 And I'm just tryin' to stay quiet
 I don't sleep much, that's crazy, how'd you know that? (That)
 I keep myself up, that's maybe how you know that (That, that)
 Ooh, promises and contracts I used to keep
 I don't sleep much, that's crazy, how'd you know that? (That)
 Keep myself up, that's maybe how you know that (That, that)
 Ooh, my hallucination I used to see
 I used to see
 I used to see
 Ooh, my hallucination I used to see
 I used to see, it felt so real
 But now I plead, just take the deal
 I promised you a contract
 I promised you a contract</v>
      </c>
      <c r="K1387" s="4" t="str" cm="1">
        <f t="array" ref="K1387:K1779">_xlfn.TEXTSPLIT(J1387, ," ")</f>
        <v/>
      </c>
      <c r="L1387" s="4" t="str">
        <f>_xlfn.REGEXREPLACE(K1387, "[^A-Za-z ]", " ")</f>
        <v/>
      </c>
      <c r="M1387" s="4" t="str" cm="1">
        <f t="array" ref="M1387:M1492">_xlfn.UNIQUE(_xlfn.TEXTSPLIT(J1387, , " "))</f>
        <v/>
      </c>
      <c r="N1387" s="4" cm="1">
        <f t="array" ref="N1387">SUM(--(_xlfn.TEXTSPLIT($J$1387,, " ") = M1387))</f>
        <v>2</v>
      </c>
      <c r="O1387" s="4" cm="1">
        <f t="array" ref="O1387:O1779">_xlfn._xlws.SORT(N1387:N1779, ,-1)</f>
        <v>35</v>
      </c>
      <c r="P1387" s="4" t="str" cm="1">
        <f t="array" ref="P1387:Q1779">_xlfn.SORTBY(M1387:N1779, N1387:N1779, -1)</f>
        <v>I</v>
      </c>
      <c r="Q1387" s="4">
        <v>35</v>
      </c>
      <c r="R1387" s="4">
        <v>1779</v>
      </c>
    </row>
    <row r="1388" spans="1:18" x14ac:dyDescent="0.2">
      <c r="E1388" s="9" t="s">
        <v>24</v>
      </c>
      <c r="K1388" t="str">
        <v>I</v>
      </c>
      <c r="L1388" s="4" t="str">
        <f>_xlfn.REGEXREPLACE(K1388, "[^A-Za-z ]", " ")</f>
        <v>I</v>
      </c>
      <c r="M1388" t="str">
        <v>I</v>
      </c>
      <c r="N1388" s="4" cm="1">
        <f t="array" ref="N1388">SUM(--(_xlfn.TEXTSPLIT($J$1387,, " ") = M1388))</f>
        <v>35</v>
      </c>
      <c r="O1388">
        <v>15</v>
      </c>
      <c r="P1388" t="str">
        <v>to</v>
      </c>
      <c r="Q1388">
        <v>15</v>
      </c>
    </row>
    <row r="1389" spans="1:18" x14ac:dyDescent="0.2">
      <c r="E1389" s="9" t="s">
        <v>24</v>
      </c>
      <c r="K1389" t="str">
        <v>check</v>
      </c>
      <c r="L1389" s="4" t="str">
        <f t="shared" ref="L1389:L1452" si="28">_xlfn.REGEXREPLACE(K1389, "[^A-Za-z ]", " ")</f>
        <v>check</v>
      </c>
      <c r="M1389" t="str">
        <v>check</v>
      </c>
      <c r="N1389" s="4" cm="1">
        <f t="array" ref="N1389">SUM(--(_xlfn.TEXTSPLIT($J$1387,, " ") = M1389))</f>
        <v>7</v>
      </c>
      <c r="O1389">
        <v>14</v>
      </c>
      <c r="P1389" t="str">
        <v>you</v>
      </c>
      <c r="Q1389">
        <v>14</v>
      </c>
    </row>
    <row r="1390" spans="1:18" x14ac:dyDescent="0.2">
      <c r="E1390" s="9" t="s">
        <v>24</v>
      </c>
      <c r="K1390" t="str">
        <v>the</v>
      </c>
      <c r="L1390" s="4" t="str">
        <f t="shared" si="28"/>
        <v>the</v>
      </c>
      <c r="M1390" t="str">
        <v>the</v>
      </c>
      <c r="N1390" s="4" cm="1">
        <f t="array" ref="N1390">SUM(--(_xlfn.TEXTSPLIT($J$1387,, " ") = M1390))</f>
        <v>13</v>
      </c>
      <c r="O1390">
        <v>13</v>
      </c>
      <c r="P1390" t="str">
        <v>the</v>
      </c>
      <c r="Q1390">
        <v>13</v>
      </c>
    </row>
    <row r="1391" spans="1:18" x14ac:dyDescent="0.2">
      <c r="E1391" s="9" t="s">
        <v>24</v>
      </c>
      <c r="K1391" t="str">
        <v>doors,</v>
      </c>
      <c r="L1391" s="4" t="str">
        <f t="shared" si="28"/>
        <v xml:space="preserve">doors </v>
      </c>
      <c r="M1391" t="str">
        <v>doors,</v>
      </c>
      <c r="N1391" s="4" cm="1">
        <f t="array" ref="N1391">SUM(--(_xlfn.TEXTSPLIT($J$1387,, " ") = M1391))</f>
        <v>2</v>
      </c>
      <c r="O1391">
        <v>12</v>
      </c>
      <c r="P1391" t="str">
        <v>that's</v>
      </c>
      <c r="Q1391">
        <v>12</v>
      </c>
    </row>
    <row r="1392" spans="1:18" x14ac:dyDescent="0.2">
      <c r="E1392" s="9" t="s">
        <v>24</v>
      </c>
      <c r="K1392" t="str">
        <v>check</v>
      </c>
      <c r="L1392" s="4" t="str">
        <f t="shared" si="28"/>
        <v>check</v>
      </c>
      <c r="M1392" t="str">
        <v>windows</v>
      </c>
      <c r="N1392" s="4" cm="1">
        <f t="array" ref="N1392">SUM(--(_xlfn.TEXTSPLIT($J$1387,, " ") = M1392))</f>
        <v>1</v>
      </c>
      <c r="O1392">
        <v>12</v>
      </c>
      <c r="P1392" t="str">
        <v>know</v>
      </c>
      <c r="Q1392">
        <v>12</v>
      </c>
    </row>
    <row r="1393" spans="5:17" x14ac:dyDescent="0.2">
      <c r="E1393" s="9" t="s">
        <v>24</v>
      </c>
      <c r="K1393" t="str">
        <v>the</v>
      </c>
      <c r="L1393" s="4" t="str">
        <f t="shared" si="28"/>
        <v>the</v>
      </c>
      <c r="M1393" t="str">
        <v>and</v>
      </c>
      <c r="N1393" s="4" cm="1">
        <f t="array" ref="N1393">SUM(--(_xlfn.TEXTSPLIT($J$1387,, " ") = M1393))</f>
        <v>10</v>
      </c>
      <c r="O1393">
        <v>11</v>
      </c>
      <c r="P1393" t="str">
        <v>used</v>
      </c>
      <c r="Q1393">
        <v>11</v>
      </c>
    </row>
    <row r="1394" spans="5:17" x14ac:dyDescent="0.2">
      <c r="E1394" s="9" t="s">
        <v>24</v>
      </c>
      <c r="K1394" t="str">
        <v>windows</v>
      </c>
      <c r="L1394" s="4" t="str">
        <f t="shared" si="28"/>
        <v>windows</v>
      </c>
      <c r="M1394" t="str">
        <v>pull</v>
      </c>
      <c r="N1394" s="4" cm="1">
        <f t="array" ref="N1394">SUM(--(_xlfn.TEXTSPLIT($J$1387,, " ") = M1394))</f>
        <v>5</v>
      </c>
      <c r="O1394">
        <v>10</v>
      </c>
      <c r="P1394" t="str">
        <v>and</v>
      </c>
      <c r="Q1394">
        <v>10</v>
      </c>
    </row>
    <row r="1395" spans="5:17" x14ac:dyDescent="0.2">
      <c r="E1395" s="9" t="s">
        <v>24</v>
      </c>
      <c r="K1395" t="str">
        <v>and</v>
      </c>
      <c r="L1395" s="4" t="str">
        <f t="shared" si="28"/>
        <v>and</v>
      </c>
      <c r="M1395" t="str">
        <v xml:space="preserve">blinds
</v>
      </c>
      <c r="N1395" s="4" cm="1">
        <f t="array" ref="N1395">SUM(--(_xlfn.TEXTSPLIT($J$1387,, " ") = M1395))</f>
        <v>2</v>
      </c>
      <c r="O1395">
        <v>9</v>
      </c>
      <c r="P1395" t="str">
        <v>that</v>
      </c>
      <c r="Q1395">
        <v>9</v>
      </c>
    </row>
    <row r="1396" spans="5:17" x14ac:dyDescent="0.2">
      <c r="E1396" s="9" t="s">
        <v>24</v>
      </c>
      <c r="K1396" t="str">
        <v>pull</v>
      </c>
      <c r="L1396" s="4" t="str">
        <f t="shared" si="28"/>
        <v>pull</v>
      </c>
      <c r="M1396" t="str">
        <v>clock,</v>
      </c>
      <c r="N1396" s="4" cm="1">
        <f t="array" ref="N1396">SUM(--(_xlfn.TEXTSPLIT($J$1387,, " ") = M1396))</f>
        <v>3</v>
      </c>
      <c r="O1396">
        <v>8</v>
      </c>
      <c r="P1396" t="str">
        <v>don't</v>
      </c>
      <c r="Q1396">
        <v>8</v>
      </c>
    </row>
    <row r="1397" spans="5:17" x14ac:dyDescent="0.2">
      <c r="E1397" s="9" t="s">
        <v>24</v>
      </c>
      <c r="K1397" t="str">
        <v>the</v>
      </c>
      <c r="L1397" s="4" t="str">
        <f t="shared" si="28"/>
        <v>the</v>
      </c>
      <c r="M1397" t="str">
        <v>wondering</v>
      </c>
      <c r="N1397" s="4" cm="1">
        <f t="array" ref="N1397">SUM(--(_xlfn.TEXTSPLIT($J$1387,, " ") = M1397))</f>
        <v>3</v>
      </c>
      <c r="O1397">
        <v>7</v>
      </c>
      <c r="P1397" t="str">
        <v>check</v>
      </c>
      <c r="Q1397">
        <v>7</v>
      </c>
    </row>
    <row r="1398" spans="5:17" x14ac:dyDescent="0.2">
      <c r="E1398" s="9" t="s">
        <v>24</v>
      </c>
      <c r="K1398" t="str">
        <v xml:space="preserve">blinds
</v>
      </c>
      <c r="L1398" s="4" t="str">
        <f t="shared" si="28"/>
        <v xml:space="preserve">blinds </v>
      </c>
      <c r="M1398" t="str">
        <v>what</v>
      </c>
      <c r="N1398" s="4" cm="1">
        <f t="array" ref="N1398">SUM(--(_xlfn.TEXTSPLIT($J$1387,, " ") = M1398))</f>
        <v>3</v>
      </c>
      <c r="O1398">
        <v>7</v>
      </c>
      <c r="P1398" t="str">
        <v>sleep</v>
      </c>
      <c r="Q1398">
        <v>7</v>
      </c>
    </row>
    <row r="1399" spans="5:17" x14ac:dyDescent="0.2">
      <c r="E1399" s="9" t="s">
        <v>24</v>
      </c>
      <c r="K1399" t="str">
        <v>I</v>
      </c>
      <c r="L1399" s="4" t="str">
        <f t="shared" si="28"/>
        <v>I</v>
      </c>
      <c r="M1399" t="str">
        <v>he'll</v>
      </c>
      <c r="N1399" s="4" cm="1">
        <f t="array" ref="N1399">SUM(--(_xlfn.TEXTSPLIT($J$1387,, " ") = M1399))</f>
        <v>3</v>
      </c>
      <c r="O1399">
        <v>7</v>
      </c>
      <c r="P1399" t="str">
        <v>Ooh,</v>
      </c>
      <c r="Q1399">
        <v>7</v>
      </c>
    </row>
    <row r="1400" spans="5:17" x14ac:dyDescent="0.2">
      <c r="E1400" s="9" t="s">
        <v>24</v>
      </c>
      <c r="K1400" t="str">
        <v>check</v>
      </c>
      <c r="L1400" s="4" t="str">
        <f t="shared" si="28"/>
        <v>check</v>
      </c>
      <c r="M1400" t="str">
        <v>this</v>
      </c>
      <c r="N1400" s="4" cm="1">
        <f t="array" ref="N1400">SUM(--(_xlfn.TEXTSPLIT($J$1387,, " ") = M1400))</f>
        <v>3</v>
      </c>
      <c r="O1400">
        <v>6</v>
      </c>
      <c r="P1400" t="str">
        <v>a</v>
      </c>
      <c r="Q1400">
        <v>6</v>
      </c>
    </row>
    <row r="1401" spans="5:17" x14ac:dyDescent="0.2">
      <c r="E1401" s="9" t="s">
        <v>24</v>
      </c>
      <c r="K1401" t="str">
        <v>the</v>
      </c>
      <c r="L1401" s="4" t="str">
        <f t="shared" si="28"/>
        <v>the</v>
      </c>
      <c r="M1401" t="str">
        <v xml:space="preserve">time
</v>
      </c>
      <c r="N1401" s="4" cm="1">
        <f t="array" ref="N1401">SUM(--(_xlfn.TEXTSPLIT($J$1387,, " ") = M1401))</f>
        <v>3</v>
      </c>
      <c r="O1401">
        <v>6</v>
      </c>
      <c r="P1401" t="str">
        <v>much,</v>
      </c>
      <c r="Q1401">
        <v>6</v>
      </c>
    </row>
    <row r="1402" spans="5:17" x14ac:dyDescent="0.2">
      <c r="E1402" s="9" t="s">
        <v>24</v>
      </c>
      <c r="K1402" t="str">
        <v>clock,</v>
      </c>
      <c r="L1402" s="4" t="str">
        <f t="shared" si="28"/>
        <v xml:space="preserve">clock </v>
      </c>
      <c r="M1402" t="str">
        <v>have</v>
      </c>
      <c r="N1402" s="4" cm="1">
        <f t="array" ref="N1402">SUM(--(_xlfn.TEXTSPLIT($J$1387,, " ") = M1402))</f>
        <v>3</v>
      </c>
      <c r="O1402">
        <v>6</v>
      </c>
      <c r="P1402" t="str">
        <v>crazy,</v>
      </c>
      <c r="Q1402">
        <v>6</v>
      </c>
    </row>
    <row r="1403" spans="5:17" x14ac:dyDescent="0.2">
      <c r="E1403" s="9" t="s">
        <v>24</v>
      </c>
      <c r="K1403" t="str">
        <v>wondering</v>
      </c>
      <c r="L1403" s="4" t="str">
        <f t="shared" si="28"/>
        <v>wondering</v>
      </c>
      <c r="M1403" t="str">
        <v>a</v>
      </c>
      <c r="N1403" s="4" cm="1">
        <f t="array" ref="N1403">SUM(--(_xlfn.TEXTSPLIT($J$1387,, " ") = M1403))</f>
        <v>6</v>
      </c>
      <c r="O1403">
        <v>6</v>
      </c>
      <c r="P1403" t="str">
        <v>how'd</v>
      </c>
      <c r="Q1403">
        <v>6</v>
      </c>
    </row>
    <row r="1404" spans="5:17" x14ac:dyDescent="0.2">
      <c r="E1404" s="9" t="s">
        <v>24</v>
      </c>
      <c r="K1404" t="str">
        <v>what</v>
      </c>
      <c r="L1404" s="4" t="str">
        <f t="shared" si="28"/>
        <v>what</v>
      </c>
      <c r="M1404" t="str">
        <v>feeling</v>
      </c>
      <c r="N1404" s="4" cm="1">
        <f t="array" ref="N1404">SUM(--(_xlfn.TEXTSPLIT($J$1387,, " ") = M1404))</f>
        <v>3</v>
      </c>
      <c r="O1404">
        <v>6</v>
      </c>
      <c r="P1404" t="str">
        <v>that?</v>
      </c>
      <c r="Q1404">
        <v>6</v>
      </c>
    </row>
    <row r="1405" spans="5:17" x14ac:dyDescent="0.2">
      <c r="E1405" s="9" t="s">
        <v>24</v>
      </c>
      <c r="K1405" t="str">
        <v>he'll</v>
      </c>
      <c r="L1405" s="4" t="str">
        <f t="shared" si="28"/>
        <v>he ll</v>
      </c>
      <c r="M1405" t="str">
        <v>that</v>
      </c>
      <c r="N1405" s="4" cm="1">
        <f t="array" ref="N1405">SUM(--(_xlfn.TEXTSPLIT($J$1387,, " ") = M1405))</f>
        <v>9</v>
      </c>
      <c r="O1405">
        <v>6</v>
      </c>
      <c r="P1405" t="str">
        <v xml:space="preserve">(That)
</v>
      </c>
      <c r="Q1405">
        <v>6</v>
      </c>
    </row>
    <row r="1406" spans="5:17" x14ac:dyDescent="0.2">
      <c r="E1406" s="9" t="s">
        <v>24</v>
      </c>
      <c r="K1406" t="str">
        <v>pull</v>
      </c>
      <c r="L1406" s="4" t="str">
        <f t="shared" si="28"/>
        <v>pull</v>
      </c>
      <c r="M1406" t="str">
        <v>necromancer's</v>
      </c>
      <c r="N1406" s="4" cm="1">
        <f t="array" ref="N1406">SUM(--(_xlfn.TEXTSPLIT($J$1387,, " ") = M1406))</f>
        <v>3</v>
      </c>
      <c r="O1406">
        <v>6</v>
      </c>
      <c r="P1406" t="str">
        <v>Keep</v>
      </c>
      <c r="Q1406">
        <v>6</v>
      </c>
    </row>
    <row r="1407" spans="5:17" x14ac:dyDescent="0.2">
      <c r="E1407" s="9" t="s">
        <v>24</v>
      </c>
      <c r="K1407" t="str">
        <v>this</v>
      </c>
      <c r="L1407" s="4" t="str">
        <f t="shared" si="28"/>
        <v>this</v>
      </c>
      <c r="M1407" t="str">
        <v xml:space="preserve">outside
</v>
      </c>
      <c r="N1407" s="4" cm="1">
        <f t="array" ref="N1407">SUM(--(_xlfn.TEXTSPLIT($J$1387,, " ") = M1407))</f>
        <v>3</v>
      </c>
      <c r="O1407">
        <v>6</v>
      </c>
      <c r="P1407" t="str">
        <v>myself</v>
      </c>
      <c r="Q1407">
        <v>6</v>
      </c>
    </row>
    <row r="1408" spans="5:17" x14ac:dyDescent="0.2">
      <c r="E1408" s="9" t="s">
        <v>24</v>
      </c>
      <c r="K1408" t="str">
        <v xml:space="preserve">time
</v>
      </c>
      <c r="L1408" s="4" t="str">
        <f t="shared" si="28"/>
        <v xml:space="preserve">time </v>
      </c>
      <c r="M1408" t="str">
        <v>I'm</v>
      </c>
      <c r="N1408" s="4" cm="1">
        <f t="array" ref="N1408">SUM(--(_xlfn.TEXTSPLIT($J$1387,, " ") = M1408))</f>
        <v>3</v>
      </c>
      <c r="O1408">
        <v>6</v>
      </c>
      <c r="P1408" t="str">
        <v>up,</v>
      </c>
      <c r="Q1408">
        <v>6</v>
      </c>
    </row>
    <row r="1409" spans="5:17" x14ac:dyDescent="0.2">
      <c r="E1409" s="9" t="s">
        <v>24</v>
      </c>
      <c r="K1409" t="str">
        <v>I</v>
      </c>
      <c r="L1409" s="4" t="str">
        <f t="shared" si="28"/>
        <v>I</v>
      </c>
      <c r="M1409" t="str">
        <v>just</v>
      </c>
      <c r="N1409" s="4" cm="1">
        <f t="array" ref="N1409">SUM(--(_xlfn.TEXTSPLIT($J$1387,, " ") = M1409))</f>
        <v>4</v>
      </c>
      <c r="O1409">
        <v>6</v>
      </c>
      <c r="P1409" t="str">
        <v>maybe</v>
      </c>
      <c r="Q1409">
        <v>6</v>
      </c>
    </row>
    <row r="1410" spans="5:17" x14ac:dyDescent="0.2">
      <c r="E1410" s="9" t="s">
        <v>24</v>
      </c>
      <c r="K1410" t="str">
        <v>have</v>
      </c>
      <c r="L1410" s="4" t="str">
        <f t="shared" si="28"/>
        <v>have</v>
      </c>
      <c r="M1410" t="str">
        <v>tryin'</v>
      </c>
      <c r="N1410" s="4" cm="1">
        <f t="array" ref="N1410">SUM(--(_xlfn.TEXTSPLIT($J$1387,, " ") = M1410))</f>
        <v>3</v>
      </c>
      <c r="O1410">
        <v>6</v>
      </c>
      <c r="P1410" t="str">
        <v>how</v>
      </c>
      <c r="Q1410">
        <v>6</v>
      </c>
    </row>
    <row r="1411" spans="5:17" x14ac:dyDescent="0.2">
      <c r="E1411" s="9" t="s">
        <v>24</v>
      </c>
      <c r="K1411" t="str">
        <v>a</v>
      </c>
      <c r="L1411" s="4" t="str">
        <f t="shared" si="28"/>
        <v>a</v>
      </c>
      <c r="M1411" t="str">
        <v>to</v>
      </c>
      <c r="N1411" s="4" cm="1">
        <f t="array" ref="N1411">SUM(--(_xlfn.TEXTSPLIT($J$1387,, " ") = M1411))</f>
        <v>15</v>
      </c>
      <c r="O1411">
        <v>6</v>
      </c>
      <c r="P1411" t="str">
        <v>(That,</v>
      </c>
      <c r="Q1411">
        <v>6</v>
      </c>
    </row>
    <row r="1412" spans="5:17" x14ac:dyDescent="0.2">
      <c r="E1412" s="9" t="s">
        <v>24</v>
      </c>
      <c r="K1412" t="str">
        <v>feeling</v>
      </c>
      <c r="L1412" s="4" t="str">
        <f t="shared" si="28"/>
        <v>feeling</v>
      </c>
      <c r="M1412" t="str">
        <v>stay</v>
      </c>
      <c r="N1412" s="4" cm="1">
        <f t="array" ref="N1412">SUM(--(_xlfn.TEXTSPLIT($J$1387,, " ") = M1412))</f>
        <v>3</v>
      </c>
      <c r="O1412">
        <v>6</v>
      </c>
      <c r="P1412" t="str">
        <v xml:space="preserve">that)
</v>
      </c>
      <c r="Q1412">
        <v>6</v>
      </c>
    </row>
    <row r="1413" spans="5:17" x14ac:dyDescent="0.2">
      <c r="E1413" s="9" t="s">
        <v>24</v>
      </c>
      <c r="K1413" t="str">
        <v>that</v>
      </c>
      <c r="L1413" s="4" t="str">
        <f t="shared" si="28"/>
        <v>that</v>
      </c>
      <c r="M1413" t="str">
        <v xml:space="preserve">quiet
</v>
      </c>
      <c r="N1413" s="4" cm="1">
        <f t="array" ref="N1413">SUM(--(_xlfn.TEXTSPLIT($J$1387,, " ") = M1413))</f>
        <v>3</v>
      </c>
      <c r="O1413">
        <v>5</v>
      </c>
      <c r="P1413" t="str">
        <v>pull</v>
      </c>
      <c r="Q1413">
        <v>5</v>
      </c>
    </row>
    <row r="1414" spans="5:17" x14ac:dyDescent="0.2">
      <c r="E1414" s="9" t="s">
        <v>24</v>
      </c>
      <c r="K1414" t="str">
        <v>necromancer's</v>
      </c>
      <c r="L1414" s="4" t="str">
        <f t="shared" si="28"/>
        <v>necromancer s</v>
      </c>
      <c r="M1414" t="str">
        <v>don't</v>
      </c>
      <c r="N1414" s="4" cm="1">
        <f t="array" ref="N1414">SUM(--(_xlfn.TEXTSPLIT($J$1387,, " ") = M1414))</f>
        <v>8</v>
      </c>
      <c r="O1414">
        <v>5</v>
      </c>
      <c r="P1414" t="str">
        <v>my</v>
      </c>
      <c r="Q1414">
        <v>5</v>
      </c>
    </row>
    <row r="1415" spans="5:17" x14ac:dyDescent="0.2">
      <c r="E1415" s="9" t="s">
        <v>24</v>
      </c>
      <c r="K1415" t="str">
        <v xml:space="preserve">outside
</v>
      </c>
      <c r="L1415" s="4" t="str">
        <f t="shared" si="28"/>
        <v xml:space="preserve">outside </v>
      </c>
      <c r="M1415" t="str">
        <v>sleep</v>
      </c>
      <c r="N1415" s="4" cm="1">
        <f t="array" ref="N1415">SUM(--(_xlfn.TEXTSPLIT($J$1387,, " ") = M1415))</f>
        <v>7</v>
      </c>
      <c r="O1415">
        <v>4</v>
      </c>
      <c r="P1415" t="str">
        <v>just</v>
      </c>
      <c r="Q1415">
        <v>4</v>
      </c>
    </row>
    <row r="1416" spans="5:17" x14ac:dyDescent="0.2">
      <c r="E1416" s="9" t="s">
        <v>24</v>
      </c>
      <c r="K1416" t="str">
        <v>And</v>
      </c>
      <c r="L1416" s="4" t="str">
        <f t="shared" si="28"/>
        <v>And</v>
      </c>
      <c r="M1416" t="str">
        <v>much,</v>
      </c>
      <c r="N1416" s="4" cm="1">
        <f t="array" ref="N1416">SUM(--(_xlfn.TEXTSPLIT($J$1387,, " ") = M1416))</f>
        <v>6</v>
      </c>
      <c r="O1416">
        <v>4</v>
      </c>
      <c r="P1416" t="str">
        <v>hallucination</v>
      </c>
      <c r="Q1416">
        <v>4</v>
      </c>
    </row>
    <row r="1417" spans="5:17" x14ac:dyDescent="0.2">
      <c r="E1417" s="9" t="s">
        <v>24</v>
      </c>
      <c r="K1417" t="str">
        <v>I'm</v>
      </c>
      <c r="L1417" s="4" t="str">
        <f t="shared" si="28"/>
        <v>I m</v>
      </c>
      <c r="M1417" t="str">
        <v>that's</v>
      </c>
      <c r="N1417" s="4" cm="1">
        <f t="array" ref="N1417">SUM(--(_xlfn.TEXTSPLIT($J$1387,, " ") = M1417))</f>
        <v>12</v>
      </c>
      <c r="O1417">
        <v>4</v>
      </c>
      <c r="P1417" t="str">
        <v>(Oh-ooh)</v>
      </c>
      <c r="Q1417">
        <v>4</v>
      </c>
    </row>
    <row r="1418" spans="5:17" x14ac:dyDescent="0.2">
      <c r="E1418" s="9" t="s">
        <v>24</v>
      </c>
      <c r="K1418" t="str">
        <v>just</v>
      </c>
      <c r="L1418" s="4" t="str">
        <f t="shared" si="28"/>
        <v>just</v>
      </c>
      <c r="M1418" t="str">
        <v>crazy,</v>
      </c>
      <c r="N1418" s="4" cm="1">
        <f t="array" ref="N1418">SUM(--(_xlfn.TEXTSPLIT($J$1387,, " ") = M1418))</f>
        <v>6</v>
      </c>
      <c r="O1418">
        <v>3</v>
      </c>
      <c r="P1418" t="str">
        <v>clock,</v>
      </c>
      <c r="Q1418">
        <v>3</v>
      </c>
    </row>
    <row r="1419" spans="5:17" x14ac:dyDescent="0.2">
      <c r="E1419" s="9" t="s">
        <v>24</v>
      </c>
      <c r="K1419" t="str">
        <v>tryin'</v>
      </c>
      <c r="L1419" s="4" t="str">
        <f t="shared" si="28"/>
        <v xml:space="preserve">tryin </v>
      </c>
      <c r="M1419" t="str">
        <v>how'd</v>
      </c>
      <c r="N1419" s="4" cm="1">
        <f t="array" ref="N1419">SUM(--(_xlfn.TEXTSPLIT($J$1387,, " ") = M1419))</f>
        <v>6</v>
      </c>
      <c r="O1419">
        <v>3</v>
      </c>
      <c r="P1419" t="str">
        <v>wondering</v>
      </c>
      <c r="Q1419">
        <v>3</v>
      </c>
    </row>
    <row r="1420" spans="5:17" x14ac:dyDescent="0.2">
      <c r="E1420" s="9" t="s">
        <v>24</v>
      </c>
      <c r="K1420" t="str">
        <v>to</v>
      </c>
      <c r="L1420" s="4" t="str">
        <f t="shared" si="28"/>
        <v>to</v>
      </c>
      <c r="M1420" t="str">
        <v>you</v>
      </c>
      <c r="N1420" s="4" cm="1">
        <f t="array" ref="N1420">SUM(--(_xlfn.TEXTSPLIT($J$1387,, " ") = M1420))</f>
        <v>14</v>
      </c>
      <c r="O1420">
        <v>3</v>
      </c>
      <c r="P1420" t="str">
        <v>what</v>
      </c>
      <c r="Q1420">
        <v>3</v>
      </c>
    </row>
    <row r="1421" spans="5:17" x14ac:dyDescent="0.2">
      <c r="E1421" s="9" t="s">
        <v>24</v>
      </c>
      <c r="K1421" t="str">
        <v>stay</v>
      </c>
      <c r="L1421" s="4" t="str">
        <f t="shared" si="28"/>
        <v>stay</v>
      </c>
      <c r="M1421" t="str">
        <v>know</v>
      </c>
      <c r="N1421" s="4" cm="1">
        <f t="array" ref="N1421">SUM(--(_xlfn.TEXTSPLIT($J$1387,, " ") = M1421))</f>
        <v>12</v>
      </c>
      <c r="O1421">
        <v>3</v>
      </c>
      <c r="P1421" t="str">
        <v>he'll</v>
      </c>
      <c r="Q1421">
        <v>3</v>
      </c>
    </row>
    <row r="1422" spans="5:17" x14ac:dyDescent="0.2">
      <c r="E1422" s="9" t="s">
        <v>24</v>
      </c>
      <c r="K1422" t="str">
        <v xml:space="preserve">quiet
</v>
      </c>
      <c r="L1422" s="4" t="str">
        <f t="shared" si="28"/>
        <v xml:space="preserve">quiet  </v>
      </c>
      <c r="M1422" t="str">
        <v>that?</v>
      </c>
      <c r="N1422" s="4" cm="1">
        <f t="array" ref="N1422">SUM(--(_xlfn.TEXTSPLIT($J$1387,, " ") = M1422))</f>
        <v>6</v>
      </c>
      <c r="O1422">
        <v>3</v>
      </c>
      <c r="P1422" t="str">
        <v>this</v>
      </c>
      <c r="Q1422">
        <v>3</v>
      </c>
    </row>
    <row r="1423" spans="5:17" x14ac:dyDescent="0.2">
      <c r="E1423" s="9" t="s">
        <v>24</v>
      </c>
      <c r="K1423" t="str">
        <v>I</v>
      </c>
      <c r="L1423" s="4" t="str">
        <f t="shared" si="28"/>
        <v>I</v>
      </c>
      <c r="M1423" t="str">
        <v xml:space="preserve">(That)
</v>
      </c>
      <c r="N1423" s="4" cm="1">
        <f t="array" ref="N1423">SUM(--(_xlfn.TEXTSPLIT($J$1387,, " ") = M1423))</f>
        <v>6</v>
      </c>
      <c r="O1423">
        <v>3</v>
      </c>
      <c r="P1423" t="str">
        <v xml:space="preserve">time
</v>
      </c>
      <c r="Q1423">
        <v>3</v>
      </c>
    </row>
    <row r="1424" spans="5:17" x14ac:dyDescent="0.2">
      <c r="E1424" s="9" t="s">
        <v>24</v>
      </c>
      <c r="K1424" t="str">
        <v>don't</v>
      </c>
      <c r="L1424" s="4" t="str">
        <f t="shared" si="28"/>
        <v>don t</v>
      </c>
      <c r="M1424" t="str">
        <v>Keep</v>
      </c>
      <c r="N1424" s="4" cm="1">
        <f t="array" ref="N1424">SUM(--(_xlfn.TEXTSPLIT($J$1387,, " ") = M1424))</f>
        <v>6</v>
      </c>
      <c r="O1424">
        <v>3</v>
      </c>
      <c r="P1424" t="str">
        <v>have</v>
      </c>
      <c r="Q1424">
        <v>3</v>
      </c>
    </row>
    <row r="1425" spans="5:17" x14ac:dyDescent="0.2">
      <c r="E1425" s="9" t="s">
        <v>24</v>
      </c>
      <c r="K1425" t="str">
        <v>sleep</v>
      </c>
      <c r="L1425" s="4" t="str">
        <f t="shared" si="28"/>
        <v>sleep</v>
      </c>
      <c r="M1425" t="str">
        <v>myself</v>
      </c>
      <c r="N1425" s="4" cm="1">
        <f t="array" ref="N1425">SUM(--(_xlfn.TEXTSPLIT($J$1387,, " ") = M1425))</f>
        <v>6</v>
      </c>
      <c r="O1425">
        <v>3</v>
      </c>
      <c r="P1425" t="str">
        <v>feeling</v>
      </c>
      <c r="Q1425">
        <v>3</v>
      </c>
    </row>
    <row r="1426" spans="5:17" x14ac:dyDescent="0.2">
      <c r="E1426" s="9" t="s">
        <v>24</v>
      </c>
      <c r="K1426" t="str">
        <v>much,</v>
      </c>
      <c r="L1426" s="4" t="str">
        <f t="shared" si="28"/>
        <v xml:space="preserve">much </v>
      </c>
      <c r="M1426" t="str">
        <v>up,</v>
      </c>
      <c r="N1426" s="4" cm="1">
        <f t="array" ref="N1426">SUM(--(_xlfn.TEXTSPLIT($J$1387,, " ") = M1426))</f>
        <v>6</v>
      </c>
      <c r="O1426">
        <v>3</v>
      </c>
      <c r="P1426" t="str">
        <v>necromancer's</v>
      </c>
      <c r="Q1426">
        <v>3</v>
      </c>
    </row>
    <row r="1427" spans="5:17" x14ac:dyDescent="0.2">
      <c r="E1427" s="9" t="s">
        <v>24</v>
      </c>
      <c r="K1427" t="str">
        <v>that's</v>
      </c>
      <c r="L1427" s="4" t="str">
        <f t="shared" si="28"/>
        <v>that s</v>
      </c>
      <c r="M1427" t="str">
        <v>maybe</v>
      </c>
      <c r="N1427" s="4" cm="1">
        <f t="array" ref="N1427">SUM(--(_xlfn.TEXTSPLIT($J$1387,, " ") = M1427))</f>
        <v>6</v>
      </c>
      <c r="O1427">
        <v>3</v>
      </c>
      <c r="P1427" t="str">
        <v xml:space="preserve">outside
</v>
      </c>
      <c r="Q1427">
        <v>3</v>
      </c>
    </row>
    <row r="1428" spans="5:17" x14ac:dyDescent="0.2">
      <c r="E1428" s="9" t="s">
        <v>24</v>
      </c>
      <c r="K1428" t="str">
        <v>crazy,</v>
      </c>
      <c r="L1428" s="4" t="str">
        <f t="shared" si="28"/>
        <v xml:space="preserve">crazy </v>
      </c>
      <c r="M1428" t="str">
        <v>how</v>
      </c>
      <c r="N1428" s="4" cm="1">
        <f t="array" ref="N1428">SUM(--(_xlfn.TEXTSPLIT($J$1387,, " ") = M1428))</f>
        <v>6</v>
      </c>
      <c r="O1428">
        <v>3</v>
      </c>
      <c r="P1428" t="str">
        <v>I'm</v>
      </c>
      <c r="Q1428">
        <v>3</v>
      </c>
    </row>
    <row r="1429" spans="5:17" x14ac:dyDescent="0.2">
      <c r="E1429" s="9" t="s">
        <v>24</v>
      </c>
      <c r="K1429" t="str">
        <v>how'd</v>
      </c>
      <c r="L1429" s="4" t="str">
        <f t="shared" si="28"/>
        <v>how d</v>
      </c>
      <c r="M1429" t="str">
        <v>(That,</v>
      </c>
      <c r="N1429" s="4" cm="1">
        <f t="array" ref="N1429">SUM(--(_xlfn.TEXTSPLIT($J$1387,, " ") = M1429))</f>
        <v>6</v>
      </c>
      <c r="O1429">
        <v>3</v>
      </c>
      <c r="P1429" t="str">
        <v>tryin'</v>
      </c>
      <c r="Q1429">
        <v>3</v>
      </c>
    </row>
    <row r="1430" spans="5:17" x14ac:dyDescent="0.2">
      <c r="E1430" s="9" t="s">
        <v>24</v>
      </c>
      <c r="K1430" t="str">
        <v>you</v>
      </c>
      <c r="L1430" s="4" t="str">
        <f t="shared" si="28"/>
        <v>you</v>
      </c>
      <c r="M1430" t="str">
        <v xml:space="preserve">that)
</v>
      </c>
      <c r="N1430" s="4" cm="1">
        <f t="array" ref="N1430">SUM(--(_xlfn.TEXTSPLIT($J$1387,, " ") = M1430))</f>
        <v>6</v>
      </c>
      <c r="O1430">
        <v>3</v>
      </c>
      <c r="P1430" t="str">
        <v>stay</v>
      </c>
      <c r="Q1430">
        <v>3</v>
      </c>
    </row>
    <row r="1431" spans="5:17" x14ac:dyDescent="0.2">
      <c r="E1431" s="9" t="s">
        <v>24</v>
      </c>
      <c r="K1431" t="str">
        <v>know</v>
      </c>
      <c r="L1431" s="4" t="str">
        <f t="shared" si="28"/>
        <v>know</v>
      </c>
      <c r="M1431" t="str">
        <v>Ooh,</v>
      </c>
      <c r="N1431" s="4" cm="1">
        <f t="array" ref="N1431">SUM(--(_xlfn.TEXTSPLIT($J$1387,, " ") = M1431))</f>
        <v>7</v>
      </c>
      <c r="O1431">
        <v>3</v>
      </c>
      <c r="P1431" t="str">
        <v xml:space="preserve">quiet
</v>
      </c>
      <c r="Q1431">
        <v>3</v>
      </c>
    </row>
    <row r="1432" spans="5:17" x14ac:dyDescent="0.2">
      <c r="E1432" s="9" t="s">
        <v>24</v>
      </c>
      <c r="K1432" t="str">
        <v>that?</v>
      </c>
      <c r="L1432" s="4" t="str">
        <f t="shared" si="28"/>
        <v xml:space="preserve">that </v>
      </c>
      <c r="M1432" t="str">
        <v>promises</v>
      </c>
      <c r="N1432" s="4" cm="1">
        <f t="array" ref="N1432">SUM(--(_xlfn.TEXTSPLIT($J$1387,, " ") = M1432))</f>
        <v>3</v>
      </c>
      <c r="O1432">
        <v>3</v>
      </c>
      <c r="P1432" t="str">
        <v>promises</v>
      </c>
      <c r="Q1432">
        <v>3</v>
      </c>
    </row>
    <row r="1433" spans="5:17" x14ac:dyDescent="0.2">
      <c r="E1433" s="9" t="s">
        <v>24</v>
      </c>
      <c r="K1433" t="str">
        <v xml:space="preserve">(That)
</v>
      </c>
      <c r="L1433" s="4" t="str">
        <f t="shared" si="28"/>
        <v xml:space="preserve"> That  </v>
      </c>
      <c r="M1433" t="str">
        <v>contracts</v>
      </c>
      <c r="N1433" s="4" cm="1">
        <f t="array" ref="N1433">SUM(--(_xlfn.TEXTSPLIT($J$1387,, " ") = M1433))</f>
        <v>3</v>
      </c>
      <c r="O1433">
        <v>3</v>
      </c>
      <c r="P1433" t="str">
        <v>contracts</v>
      </c>
      <c r="Q1433">
        <v>3</v>
      </c>
    </row>
    <row r="1434" spans="5:17" x14ac:dyDescent="0.2">
      <c r="E1434" s="9" t="s">
        <v>24</v>
      </c>
      <c r="K1434" t="str">
        <v>Keep</v>
      </c>
      <c r="L1434" s="4" t="str">
        <f t="shared" si="28"/>
        <v>Keep</v>
      </c>
      <c r="M1434" t="str">
        <v>used</v>
      </c>
      <c r="N1434" s="4" cm="1">
        <f t="array" ref="N1434">SUM(--(_xlfn.TEXTSPLIT($J$1387,, " ") = M1434))</f>
        <v>11</v>
      </c>
      <c r="O1434">
        <v>3</v>
      </c>
      <c r="P1434" t="str">
        <v xml:space="preserve">keep
</v>
      </c>
      <c r="Q1434">
        <v>3</v>
      </c>
    </row>
    <row r="1435" spans="5:17" x14ac:dyDescent="0.2">
      <c r="E1435" s="9" t="s">
        <v>24</v>
      </c>
      <c r="K1435" t="str">
        <v>myself</v>
      </c>
      <c r="L1435" s="4" t="str">
        <f t="shared" si="28"/>
        <v>myself</v>
      </c>
      <c r="M1435" t="str">
        <v xml:space="preserve">keep
</v>
      </c>
      <c r="N1435" s="4" cm="1">
        <f t="array" ref="N1435">SUM(--(_xlfn.TEXTSPLIT($J$1387,, " ") = M1435))</f>
        <v>3</v>
      </c>
      <c r="O1435">
        <v>3</v>
      </c>
      <c r="P1435" t="str">
        <v xml:space="preserve">see
</v>
      </c>
      <c r="Q1435">
        <v>3</v>
      </c>
    </row>
    <row r="1436" spans="5:17" x14ac:dyDescent="0.2">
      <c r="E1436" s="9" t="s">
        <v>24</v>
      </c>
      <c r="K1436" t="str">
        <v>up,</v>
      </c>
      <c r="L1436" s="4" t="str">
        <f t="shared" si="28"/>
        <v xml:space="preserve">up </v>
      </c>
      <c r="M1436" t="str">
        <v>my</v>
      </c>
      <c r="N1436" s="4" cm="1">
        <f t="array" ref="N1436">SUM(--(_xlfn.TEXTSPLIT($J$1387,, " ") = M1436))</f>
        <v>5</v>
      </c>
      <c r="O1436">
        <v>3</v>
      </c>
      <c r="P1436" t="str">
        <v>it</v>
      </c>
      <c r="Q1436">
        <v>3</v>
      </c>
    </row>
    <row r="1437" spans="5:17" x14ac:dyDescent="0.2">
      <c r="E1437" s="9" t="s">
        <v>24</v>
      </c>
      <c r="K1437" t="str">
        <v>that's</v>
      </c>
      <c r="L1437" s="4" t="str">
        <f t="shared" si="28"/>
        <v>that s</v>
      </c>
      <c r="M1437" t="str">
        <v>hallucination</v>
      </c>
      <c r="N1437" s="4" cm="1">
        <f t="array" ref="N1437">SUM(--(_xlfn.TEXTSPLIT($J$1387,, " ") = M1437))</f>
        <v>4</v>
      </c>
      <c r="O1437">
        <v>3</v>
      </c>
      <c r="P1437" t="str">
        <v>out</v>
      </c>
      <c r="Q1437">
        <v>3</v>
      </c>
    </row>
    <row r="1438" spans="5:17" x14ac:dyDescent="0.2">
      <c r="E1438" s="9" t="s">
        <v>24</v>
      </c>
      <c r="K1438" t="str">
        <v>maybe</v>
      </c>
      <c r="L1438" s="4" t="str">
        <f t="shared" si="28"/>
        <v>maybe</v>
      </c>
      <c r="M1438" t="str">
        <v xml:space="preserve">see
</v>
      </c>
      <c r="N1438" s="4" cm="1">
        <f t="array" ref="N1438">SUM(--(_xlfn.TEXTSPLIT($J$1387,, " ") = M1438))</f>
        <v>3</v>
      </c>
      <c r="O1438">
        <v>3</v>
      </c>
      <c r="P1438" t="str">
        <v>pace</v>
      </c>
      <c r="Q1438">
        <v>3</v>
      </c>
    </row>
    <row r="1439" spans="5:17" x14ac:dyDescent="0.2">
      <c r="E1439" s="9" t="s">
        <v>24</v>
      </c>
      <c r="K1439" t="str">
        <v>how</v>
      </c>
      <c r="L1439" s="4" t="str">
        <f t="shared" si="28"/>
        <v>how</v>
      </c>
      <c r="M1439" t="str">
        <v>Wake</v>
      </c>
      <c r="N1439" s="4" cm="1">
        <f t="array" ref="N1439">SUM(--(_xlfn.TEXTSPLIT($J$1387,, " ") = M1439))</f>
        <v>1</v>
      </c>
      <c r="O1439">
        <v>3</v>
      </c>
      <c r="P1439" t="str">
        <v xml:space="preserve">see
</v>
      </c>
      <c r="Q1439">
        <v>3</v>
      </c>
    </row>
    <row r="1440" spans="5:17" x14ac:dyDescent="0.2">
      <c r="E1440" s="9" t="s">
        <v>24</v>
      </c>
      <c r="K1440" t="str">
        <v>you</v>
      </c>
      <c r="L1440" s="4" t="str">
        <f t="shared" si="28"/>
        <v>you</v>
      </c>
      <c r="M1440" t="str">
        <v>up</v>
      </c>
      <c r="N1440" s="4" cm="1">
        <f t="array" ref="N1440">SUM(--(_xlfn.TEXTSPLIT($J$1387,, " ") = M1440))</f>
        <v>1</v>
      </c>
      <c r="O1440">
        <v>3</v>
      </c>
      <c r="P1440" t="str">
        <v>But</v>
      </c>
      <c r="Q1440">
        <v>3</v>
      </c>
    </row>
    <row r="1441" spans="5:17" x14ac:dyDescent="0.2">
      <c r="E1441" s="9" t="s">
        <v>24</v>
      </c>
      <c r="K1441" t="str">
        <v>know</v>
      </c>
      <c r="L1441" s="4" t="str">
        <f t="shared" si="28"/>
        <v>know</v>
      </c>
      <c r="M1441" t="str">
        <v>find</v>
      </c>
      <c r="N1441" s="4" cm="1">
        <f t="array" ref="N1441">SUM(--(_xlfn.TEXTSPLIT($J$1387,, " ") = M1441))</f>
        <v>2</v>
      </c>
      <c r="O1441">
        <v>2</v>
      </c>
      <c r="P1441" t="str">
        <v/>
      </c>
      <c r="Q1441">
        <v>2</v>
      </c>
    </row>
    <row r="1442" spans="5:17" x14ac:dyDescent="0.2">
      <c r="E1442" s="9" t="s">
        <v>24</v>
      </c>
      <c r="K1442" t="str">
        <v>that</v>
      </c>
      <c r="L1442" s="4" t="str">
        <f t="shared" si="28"/>
        <v>that</v>
      </c>
      <c r="M1442" t="str">
        <v>out,</v>
      </c>
      <c r="N1442" s="4" cm="1">
        <f t="array" ref="N1442">SUM(--(_xlfn.TEXTSPLIT($J$1387,, " ") = M1442))</f>
        <v>2</v>
      </c>
      <c r="O1442">
        <v>2</v>
      </c>
      <c r="P1442" t="str">
        <v>doors,</v>
      </c>
      <c r="Q1442">
        <v>2</v>
      </c>
    </row>
    <row r="1443" spans="5:17" x14ac:dyDescent="0.2">
      <c r="E1443" s="9" t="s">
        <v>24</v>
      </c>
      <c r="K1443" t="str">
        <v>(That,</v>
      </c>
      <c r="L1443" s="4" t="str">
        <f t="shared" si="28"/>
        <v xml:space="preserve"> That </v>
      </c>
      <c r="M1443" t="str">
        <v>did</v>
      </c>
      <c r="N1443" s="4" cm="1">
        <f t="array" ref="N1443">SUM(--(_xlfn.TEXTSPLIT($J$1387,, " ") = M1443))</f>
        <v>2</v>
      </c>
      <c r="O1443">
        <v>2</v>
      </c>
      <c r="P1443" t="str">
        <v xml:space="preserve">blinds
</v>
      </c>
      <c r="Q1443">
        <v>2</v>
      </c>
    </row>
    <row r="1444" spans="5:17" x14ac:dyDescent="0.2">
      <c r="E1444" s="9" t="s">
        <v>24</v>
      </c>
      <c r="K1444" t="str">
        <v xml:space="preserve">that)
</v>
      </c>
      <c r="L1444" s="4" t="str">
        <f t="shared" si="28"/>
        <v xml:space="preserve">that  </v>
      </c>
      <c r="M1444" t="str">
        <v>change</v>
      </c>
      <c r="N1444" s="4" cm="1">
        <f t="array" ref="N1444">SUM(--(_xlfn.TEXTSPLIT($J$1387,, " ") = M1444))</f>
        <v>2</v>
      </c>
      <c r="O1444">
        <v>2</v>
      </c>
      <c r="P1444" t="str">
        <v>find</v>
      </c>
      <c r="Q1444">
        <v>2</v>
      </c>
    </row>
    <row r="1445" spans="5:17" x14ac:dyDescent="0.2">
      <c r="E1445" s="9" t="s">
        <v>24</v>
      </c>
      <c r="K1445" t="str">
        <v>Ooh,</v>
      </c>
      <c r="L1445" s="4" t="str">
        <f t="shared" si="28"/>
        <v xml:space="preserve">Ooh </v>
      </c>
      <c r="M1445" t="str">
        <v xml:space="preserve">up
</v>
      </c>
      <c r="N1445" s="4" cm="1">
        <f t="array" ref="N1445">SUM(--(_xlfn.TEXTSPLIT($J$1387,, " ") = M1445))</f>
        <v>1</v>
      </c>
      <c r="O1445">
        <v>2</v>
      </c>
      <c r="P1445" t="str">
        <v>out,</v>
      </c>
      <c r="Q1445">
        <v>2</v>
      </c>
    </row>
    <row r="1446" spans="5:17" x14ac:dyDescent="0.2">
      <c r="E1446" s="9" t="s">
        <v>24</v>
      </c>
      <c r="K1446" t="str">
        <v>promises</v>
      </c>
      <c r="L1446" s="4" t="str">
        <f t="shared" si="28"/>
        <v>promises</v>
      </c>
      <c r="M1446" t="str">
        <v>Wait,</v>
      </c>
      <c r="N1446" s="4" cm="1">
        <f t="array" ref="N1446">SUM(--(_xlfn.TEXTSPLIT($J$1387,, " ") = M1446))</f>
        <v>1</v>
      </c>
      <c r="O1446">
        <v>2</v>
      </c>
      <c r="P1446" t="str">
        <v>did</v>
      </c>
      <c r="Q1446">
        <v>2</v>
      </c>
    </row>
    <row r="1447" spans="5:17" x14ac:dyDescent="0.2">
      <c r="E1447" s="9" t="s">
        <v>24</v>
      </c>
      <c r="K1447" t="str">
        <v>and</v>
      </c>
      <c r="L1447" s="4" t="str">
        <f t="shared" si="28"/>
        <v>and</v>
      </c>
      <c r="M1447" t="str">
        <v>it</v>
      </c>
      <c r="N1447" s="4" cm="1">
        <f t="array" ref="N1447">SUM(--(_xlfn.TEXTSPLIT($J$1387,, " ") = M1447))</f>
        <v>3</v>
      </c>
      <c r="O1447">
        <v>2</v>
      </c>
      <c r="P1447" t="str">
        <v>change</v>
      </c>
      <c r="Q1447">
        <v>2</v>
      </c>
    </row>
    <row r="1448" spans="5:17" x14ac:dyDescent="0.2">
      <c r="E1448" s="9" t="s">
        <v>24</v>
      </c>
      <c r="K1448" t="str">
        <v>contracts</v>
      </c>
      <c r="L1448" s="4" t="str">
        <f t="shared" si="28"/>
        <v>contracts</v>
      </c>
      <c r="M1448" t="str">
        <v xml:space="preserve">up?
</v>
      </c>
      <c r="N1448" s="4" cm="1">
        <f t="array" ref="N1448">SUM(--(_xlfn.TEXTSPLIT($J$1387,, " ") = M1448))</f>
        <v>1</v>
      </c>
      <c r="O1448">
        <v>2</v>
      </c>
      <c r="P1448" t="str">
        <v>Better</v>
      </c>
      <c r="Q1448">
        <v>2</v>
      </c>
    </row>
    <row r="1449" spans="5:17" x14ac:dyDescent="0.2">
      <c r="E1449" s="9" t="s">
        <v>24</v>
      </c>
      <c r="K1449" t="str">
        <v>I</v>
      </c>
      <c r="L1449" s="4" t="str">
        <f t="shared" si="28"/>
        <v>I</v>
      </c>
      <c r="M1449" t="str">
        <v>Is</v>
      </c>
      <c r="N1449" s="4" cm="1">
        <f t="array" ref="N1449">SUM(--(_xlfn.TEXTSPLIT($J$1387,, " ") = M1449))</f>
        <v>1</v>
      </c>
      <c r="O1449">
        <v>2</v>
      </c>
      <c r="P1449" t="str">
        <v>wanna</v>
      </c>
      <c r="Q1449">
        <v>2</v>
      </c>
    </row>
    <row r="1450" spans="5:17" x14ac:dyDescent="0.2">
      <c r="E1450" s="9" t="s">
        <v>24</v>
      </c>
      <c r="K1450" t="str">
        <v>used</v>
      </c>
      <c r="L1450" s="4" t="str">
        <f t="shared" si="28"/>
        <v>used</v>
      </c>
      <c r="M1450" t="str">
        <v>light</v>
      </c>
      <c r="N1450" s="4" cm="1">
        <f t="array" ref="N1450">SUM(--(_xlfn.TEXTSPLIT($J$1387,, " ") = M1450))</f>
        <v>1</v>
      </c>
      <c r="O1450">
        <v>2</v>
      </c>
      <c r="P1450" t="str">
        <v>get</v>
      </c>
      <c r="Q1450">
        <v>2</v>
      </c>
    </row>
    <row r="1451" spans="5:17" x14ac:dyDescent="0.2">
      <c r="E1451" s="9" t="s">
        <v>24</v>
      </c>
      <c r="K1451" t="str">
        <v>to</v>
      </c>
      <c r="L1451" s="4" t="str">
        <f t="shared" si="28"/>
        <v>to</v>
      </c>
      <c r="M1451" t="str">
        <v>out</v>
      </c>
      <c r="N1451" s="4" cm="1">
        <f t="array" ref="N1451">SUM(--(_xlfn.TEXTSPLIT($J$1387,, " ") = M1451))</f>
        <v>3</v>
      </c>
      <c r="O1451">
        <v>2</v>
      </c>
      <c r="P1451" t="str">
        <v xml:space="preserve">there
</v>
      </c>
      <c r="Q1451">
        <v>2</v>
      </c>
    </row>
    <row r="1452" spans="5:17" x14ac:dyDescent="0.2">
      <c r="E1452" s="9" t="s">
        <v>24</v>
      </c>
      <c r="K1452" t="str">
        <v xml:space="preserve">keep
</v>
      </c>
      <c r="L1452" s="4" t="str">
        <f t="shared" si="28"/>
        <v xml:space="preserve">keep </v>
      </c>
      <c r="M1452" t="str">
        <v>yet?</v>
      </c>
      <c r="N1452" s="4" cm="1">
        <f t="array" ref="N1452">SUM(--(_xlfn.TEXTSPLIT($J$1387,, " ") = M1452))</f>
        <v>1</v>
      </c>
      <c r="O1452">
        <v>2</v>
      </c>
      <c r="P1452" t="str">
        <v>promised</v>
      </c>
      <c r="Q1452">
        <v>2</v>
      </c>
    </row>
    <row r="1453" spans="5:17" x14ac:dyDescent="0.2">
      <c r="E1453" s="9" t="s">
        <v>24</v>
      </c>
      <c r="K1453" t="str">
        <v>I</v>
      </c>
      <c r="L1453" s="4" t="str">
        <f t="shared" ref="L1453:L1516" si="29">_xlfn.REGEXREPLACE(K1453, "[^A-Za-z ]", " ")</f>
        <v>I</v>
      </c>
      <c r="M1453" t="str">
        <v>Better</v>
      </c>
      <c r="N1453" s="4" cm="1">
        <f t="array" ref="N1453">SUM(--(_xlfn.TEXTSPLIT($J$1387,, " ") = M1453))</f>
        <v>2</v>
      </c>
      <c r="O1453">
        <v>2</v>
      </c>
      <c r="P1453">
        <v>0</v>
      </c>
      <c r="Q1453">
        <v>2</v>
      </c>
    </row>
    <row r="1454" spans="5:17" x14ac:dyDescent="0.2">
      <c r="E1454" s="9" t="s">
        <v>24</v>
      </c>
      <c r="K1454" t="str">
        <v>don't</v>
      </c>
      <c r="L1454" s="4" t="str">
        <f t="shared" si="29"/>
        <v>don t</v>
      </c>
      <c r="M1454" t="str">
        <v xml:space="preserve">bet
</v>
      </c>
      <c r="N1454" s="4" cm="1">
        <f t="array" ref="N1454">SUM(--(_xlfn.TEXTSPLIT($J$1387,, " ") = M1454))</f>
        <v>1</v>
      </c>
      <c r="O1454">
        <v>2</v>
      </c>
      <c r="P1454">
        <v>0</v>
      </c>
      <c r="Q1454">
        <v>2</v>
      </c>
    </row>
    <row r="1455" spans="5:17" x14ac:dyDescent="0.2">
      <c r="E1455" s="9" t="s">
        <v>24</v>
      </c>
      <c r="K1455" t="str">
        <v>sleep</v>
      </c>
      <c r="L1455" s="4" t="str">
        <f t="shared" si="29"/>
        <v>sleep</v>
      </c>
      <c r="M1455" t="str">
        <v>I'ma</v>
      </c>
      <c r="N1455" s="4" cm="1">
        <f t="array" ref="N1455">SUM(--(_xlfn.TEXTSPLIT($J$1387,, " ") = M1455))</f>
        <v>1</v>
      </c>
      <c r="O1455">
        <v>2</v>
      </c>
      <c r="P1455">
        <v>0</v>
      </c>
      <c r="Q1455">
        <v>2</v>
      </c>
    </row>
    <row r="1456" spans="5:17" x14ac:dyDescent="0.2">
      <c r="E1456" s="9" t="s">
        <v>24</v>
      </c>
      <c r="K1456" t="str">
        <v>much,</v>
      </c>
      <c r="L1456" s="4" t="str">
        <f t="shared" si="29"/>
        <v xml:space="preserve">much </v>
      </c>
      <c r="M1456" t="str">
        <v>walk</v>
      </c>
      <c r="N1456" s="4" cm="1">
        <f t="array" ref="N1456">SUM(--(_xlfn.TEXTSPLIT($J$1387,, " ") = M1456))</f>
        <v>1</v>
      </c>
      <c r="O1456">
        <v>2</v>
      </c>
      <c r="P1456">
        <v>0</v>
      </c>
      <c r="Q1456">
        <v>2</v>
      </c>
    </row>
    <row r="1457" spans="5:17" x14ac:dyDescent="0.2">
      <c r="E1457" s="9" t="s">
        <v>24</v>
      </c>
      <c r="K1457" t="str">
        <v>that's</v>
      </c>
      <c r="L1457" s="4" t="str">
        <f t="shared" si="29"/>
        <v>that s</v>
      </c>
      <c r="M1457" t="str">
        <v>around</v>
      </c>
      <c r="N1457" s="4" cm="1">
        <f t="array" ref="N1457">SUM(--(_xlfn.TEXTSPLIT($J$1387,, " ") = M1457))</f>
        <v>1</v>
      </c>
      <c r="O1457">
        <v>2</v>
      </c>
      <c r="P1457">
        <v>0</v>
      </c>
      <c r="Q1457">
        <v>2</v>
      </c>
    </row>
    <row r="1458" spans="5:17" x14ac:dyDescent="0.2">
      <c r="E1458" s="9" t="s">
        <v>24</v>
      </c>
      <c r="K1458" t="str">
        <v>crazy,</v>
      </c>
      <c r="L1458" s="4" t="str">
        <f t="shared" si="29"/>
        <v xml:space="preserve">crazy </v>
      </c>
      <c r="M1458" t="str">
        <v>edge</v>
      </c>
      <c r="N1458" s="4" cm="1">
        <f t="array" ref="N1458">SUM(--(_xlfn.TEXTSPLIT($J$1387,, " ") = M1458))</f>
        <v>1</v>
      </c>
      <c r="O1458">
        <v>2</v>
      </c>
      <c r="P1458">
        <v>0</v>
      </c>
      <c r="Q1458">
        <v>2</v>
      </c>
    </row>
    <row r="1459" spans="5:17" x14ac:dyDescent="0.2">
      <c r="E1459" s="9" t="s">
        <v>24</v>
      </c>
      <c r="K1459" t="str">
        <v>how'd</v>
      </c>
      <c r="L1459" s="4" t="str">
        <f t="shared" si="29"/>
        <v>how d</v>
      </c>
      <c r="M1459" t="str">
        <v>of</v>
      </c>
      <c r="N1459" s="4" cm="1">
        <f t="array" ref="N1459">SUM(--(_xlfn.TEXTSPLIT($J$1387,, " ") = M1459))</f>
        <v>1</v>
      </c>
      <c r="O1459">
        <v>2</v>
      </c>
      <c r="P1459">
        <v>0</v>
      </c>
      <c r="Q1459">
        <v>2</v>
      </c>
    </row>
    <row r="1460" spans="5:17" x14ac:dyDescent="0.2">
      <c r="E1460" s="9" t="s">
        <v>24</v>
      </c>
      <c r="K1460" t="str">
        <v>you</v>
      </c>
      <c r="L1460" s="4" t="str">
        <f t="shared" si="29"/>
        <v>you</v>
      </c>
      <c r="M1460" t="str">
        <v>room</v>
      </c>
      <c r="N1460" s="4" cm="1">
        <f t="array" ref="N1460">SUM(--(_xlfn.TEXTSPLIT($J$1387,, " ") = M1460))</f>
        <v>1</v>
      </c>
      <c r="O1460">
        <v>2</v>
      </c>
      <c r="P1460">
        <v>0</v>
      </c>
      <c r="Q1460">
        <v>2</v>
      </c>
    </row>
    <row r="1461" spans="5:17" x14ac:dyDescent="0.2">
      <c r="E1461" s="9" t="s">
        <v>24</v>
      </c>
      <c r="K1461" t="str">
        <v>know</v>
      </c>
      <c r="L1461" s="4" t="str">
        <f t="shared" si="29"/>
        <v>know</v>
      </c>
      <c r="M1461" t="str">
        <v xml:space="preserve">bed
</v>
      </c>
      <c r="N1461" s="4" cm="1">
        <f t="array" ref="N1461">SUM(--(_xlfn.TEXTSPLIT($J$1387,, " ") = M1461))</f>
        <v>1</v>
      </c>
      <c r="O1461">
        <v>2</v>
      </c>
      <c r="P1461">
        <v>0</v>
      </c>
      <c r="Q1461">
        <v>2</v>
      </c>
    </row>
    <row r="1462" spans="5:17" x14ac:dyDescent="0.2">
      <c r="E1462" s="9" t="s">
        <v>24</v>
      </c>
      <c r="K1462" t="str">
        <v>that?</v>
      </c>
      <c r="L1462" s="4" t="str">
        <f t="shared" si="29"/>
        <v xml:space="preserve">that </v>
      </c>
      <c r="M1462" t="str">
        <v>Where</v>
      </c>
      <c r="N1462" s="4" cm="1">
        <f t="array" ref="N1462">SUM(--(_xlfn.TEXTSPLIT($J$1387,, " ") = M1462))</f>
        <v>1</v>
      </c>
      <c r="O1462">
        <v>2</v>
      </c>
      <c r="P1462">
        <v>0</v>
      </c>
      <c r="Q1462">
        <v>2</v>
      </c>
    </row>
    <row r="1463" spans="5:17" x14ac:dyDescent="0.2">
      <c r="E1463" s="9" t="s">
        <v>24</v>
      </c>
      <c r="K1463" t="str">
        <v xml:space="preserve">(That)
</v>
      </c>
      <c r="L1463" s="4" t="str">
        <f t="shared" si="29"/>
        <v xml:space="preserve"> That  </v>
      </c>
      <c r="M1463" t="str">
        <v>hide</v>
      </c>
      <c r="N1463" s="4" cm="1">
        <f t="array" ref="N1463">SUM(--(_xlfn.TEXTSPLIT($J$1387,, " ") = M1463))</f>
        <v>1</v>
      </c>
      <c r="O1463">
        <v>2</v>
      </c>
      <c r="P1463">
        <v>0</v>
      </c>
      <c r="Q1463">
        <v>2</v>
      </c>
    </row>
    <row r="1464" spans="5:17" x14ac:dyDescent="0.2">
      <c r="E1464" s="9" t="s">
        <v>24</v>
      </c>
      <c r="K1464" t="str">
        <v>Keep</v>
      </c>
      <c r="L1464" s="4" t="str">
        <f t="shared" si="29"/>
        <v>Keep</v>
      </c>
      <c r="M1464" t="str">
        <v>face,</v>
      </c>
      <c r="N1464" s="4" cm="1">
        <f t="array" ref="N1464">SUM(--(_xlfn.TEXTSPLIT($J$1387,, " ") = M1464))</f>
        <v>1</v>
      </c>
      <c r="O1464">
        <v>2</v>
      </c>
      <c r="P1464">
        <v>0</v>
      </c>
      <c r="Q1464">
        <v>2</v>
      </c>
    </row>
    <row r="1465" spans="5:17" x14ac:dyDescent="0.2">
      <c r="E1465" s="9" t="s">
        <v>24</v>
      </c>
      <c r="K1465" t="str">
        <v>myself</v>
      </c>
      <c r="L1465" s="4" t="str">
        <f t="shared" si="29"/>
        <v>myself</v>
      </c>
      <c r="M1465" t="str">
        <v>pace</v>
      </c>
      <c r="N1465" s="4" cm="1">
        <f t="array" ref="N1465">SUM(--(_xlfn.TEXTSPLIT($J$1387,, " ") = M1465))</f>
        <v>3</v>
      </c>
      <c r="O1465">
        <v>2</v>
      </c>
      <c r="P1465">
        <v>0</v>
      </c>
      <c r="Q1465">
        <v>2</v>
      </c>
    </row>
    <row r="1466" spans="5:17" x14ac:dyDescent="0.2">
      <c r="E1466" s="9" t="s">
        <v>24</v>
      </c>
      <c r="K1466" t="str">
        <v>up,</v>
      </c>
      <c r="L1466" s="4" t="str">
        <f t="shared" si="29"/>
        <v xml:space="preserve">up </v>
      </c>
      <c r="M1466" t="str">
        <v xml:space="preserve">around
</v>
      </c>
      <c r="N1466" s="4" cm="1">
        <f t="array" ref="N1466">SUM(--(_xlfn.TEXTSPLIT($J$1387,, " ") = M1466))</f>
        <v>1</v>
      </c>
      <c r="O1466">
        <v>2</v>
      </c>
      <c r="P1466">
        <v>0</v>
      </c>
      <c r="Q1466">
        <v>2</v>
      </c>
    </row>
    <row r="1467" spans="5:17" x14ac:dyDescent="0.2">
      <c r="E1467" s="9" t="s">
        <v>24</v>
      </c>
      <c r="K1467" t="str">
        <v>that's</v>
      </c>
      <c r="L1467" s="4" t="str">
        <f t="shared" si="29"/>
        <v>that s</v>
      </c>
      <c r="M1467" t="str">
        <v>try</v>
      </c>
      <c r="N1467" s="4" cm="1">
        <f t="array" ref="N1467">SUM(--(_xlfn.TEXTSPLIT($J$1387,, " ") = M1467))</f>
        <v>1</v>
      </c>
      <c r="O1467">
        <v>2</v>
      </c>
      <c r="P1467">
        <v>0</v>
      </c>
      <c r="Q1467">
        <v>2</v>
      </c>
    </row>
    <row r="1468" spans="5:17" x14ac:dyDescent="0.2">
      <c r="E1468" s="9" t="s">
        <v>24</v>
      </c>
      <c r="K1468" t="str">
        <v>maybe</v>
      </c>
      <c r="L1468" s="4" t="str">
        <f t="shared" si="29"/>
        <v>maybe</v>
      </c>
      <c r="M1468" t="str">
        <v>breathe,</v>
      </c>
      <c r="N1468" s="4" cm="1">
        <f t="array" ref="N1468">SUM(--(_xlfn.TEXTSPLIT($J$1387,, " ") = M1468))</f>
        <v>1</v>
      </c>
      <c r="O1468">
        <v>2</v>
      </c>
      <c r="P1468">
        <v>0</v>
      </c>
      <c r="Q1468">
        <v>2</v>
      </c>
    </row>
    <row r="1469" spans="5:17" x14ac:dyDescent="0.2">
      <c r="E1469" s="9" t="s">
        <v>24</v>
      </c>
      <c r="K1469" t="str">
        <v>how</v>
      </c>
      <c r="L1469" s="4" t="str">
        <f t="shared" si="29"/>
        <v>how</v>
      </c>
      <c r="M1469" t="str">
        <v>around,</v>
      </c>
      <c r="N1469" s="4" cm="1">
        <f t="array" ref="N1469">SUM(--(_xlfn.TEXTSPLIT($J$1387,, " ") = M1469))</f>
        <v>1</v>
      </c>
      <c r="O1469">
        <v>2</v>
      </c>
      <c r="P1469">
        <v>0</v>
      </c>
      <c r="Q1469">
        <v>2</v>
      </c>
    </row>
    <row r="1470" spans="5:17" x14ac:dyDescent="0.2">
      <c r="E1470" s="9" t="s">
        <v>24</v>
      </c>
      <c r="K1470" t="str">
        <v>you</v>
      </c>
      <c r="L1470" s="4" t="str">
        <f t="shared" si="29"/>
        <v>you</v>
      </c>
      <c r="M1470" t="str">
        <v xml:space="preserve">around
</v>
      </c>
      <c r="N1470" s="4" cm="1">
        <f t="array" ref="N1470">SUM(--(_xlfn.TEXTSPLIT($J$1387,, " ") = M1470))</f>
        <v>1</v>
      </c>
      <c r="O1470">
        <v>2</v>
      </c>
      <c r="P1470">
        <v>0</v>
      </c>
      <c r="Q1470">
        <v>2</v>
      </c>
    </row>
    <row r="1471" spans="5:17" x14ac:dyDescent="0.2">
      <c r="E1471" s="9" t="s">
        <v>24</v>
      </c>
      <c r="K1471" t="str">
        <v>know</v>
      </c>
      <c r="L1471" s="4" t="str">
        <f t="shared" si="29"/>
        <v>know</v>
      </c>
      <c r="M1471" t="str">
        <v>windows,</v>
      </c>
      <c r="N1471" s="4" cm="1">
        <f t="array" ref="N1471">SUM(--(_xlfn.TEXTSPLIT($J$1387,, " ") = M1471))</f>
        <v>1</v>
      </c>
      <c r="O1471">
        <v>2</v>
      </c>
      <c r="P1471">
        <v>0</v>
      </c>
      <c r="Q1471">
        <v>2</v>
      </c>
    </row>
    <row r="1472" spans="5:17" x14ac:dyDescent="0.2">
      <c r="E1472" s="9" t="s">
        <v>24</v>
      </c>
      <c r="K1472" t="str">
        <v>that</v>
      </c>
      <c r="L1472" s="4" t="str">
        <f t="shared" si="29"/>
        <v>that</v>
      </c>
      <c r="M1472" t="str">
        <v>see
I</v>
      </c>
      <c r="N1472" s="4" cm="1">
        <f t="array" ref="N1472">SUM(--(_xlfn.TEXTSPLIT($J$1387,, " ") = M1472))</f>
        <v>1</v>
      </c>
      <c r="O1472">
        <v>2</v>
      </c>
      <c r="P1472">
        <v>0</v>
      </c>
      <c r="Q1472">
        <v>2</v>
      </c>
    </row>
    <row r="1473" spans="5:17" x14ac:dyDescent="0.2">
      <c r="E1473" s="9" t="s">
        <v>24</v>
      </c>
      <c r="K1473" t="str">
        <v>(That,</v>
      </c>
      <c r="L1473" s="4" t="str">
        <f t="shared" si="29"/>
        <v xml:space="preserve"> That </v>
      </c>
      <c r="M1473" t="str">
        <v xml:space="preserve">see
</v>
      </c>
      <c r="N1473" s="4" cm="1">
        <f t="array" ref="N1473">SUM(--(_xlfn.TEXTSPLIT($J$1387,, " ") = M1473))</f>
        <v>3</v>
      </c>
      <c r="O1473">
        <v>2</v>
      </c>
      <c r="P1473">
        <v>0</v>
      </c>
      <c r="Q1473">
        <v>2</v>
      </c>
    </row>
    <row r="1474" spans="5:17" x14ac:dyDescent="0.2">
      <c r="E1474" s="9" t="s">
        <v>24</v>
      </c>
      <c r="K1474" t="str">
        <v xml:space="preserve">that)
</v>
      </c>
      <c r="L1474" s="4" t="str">
        <f t="shared" si="29"/>
        <v xml:space="preserve">that  </v>
      </c>
      <c r="M1474" t="str">
        <v xml:space="preserve">found
</v>
      </c>
      <c r="N1474" s="4" cm="1">
        <f t="array" ref="N1474">SUM(--(_xlfn.TEXTSPLIT($J$1387,, " ") = M1474))</f>
        <v>1</v>
      </c>
      <c r="O1474">
        <v>2</v>
      </c>
      <c r="P1474">
        <v>0</v>
      </c>
      <c r="Q1474">
        <v>2</v>
      </c>
    </row>
    <row r="1475" spans="5:17" x14ac:dyDescent="0.2">
      <c r="E1475" s="9" t="s">
        <v>24</v>
      </c>
      <c r="K1475" t="str">
        <v>Ooh,</v>
      </c>
      <c r="L1475" s="4" t="str">
        <f t="shared" si="29"/>
        <v xml:space="preserve">Ooh </v>
      </c>
      <c r="M1475" t="str">
        <v>(Oh-ooh)</v>
      </c>
      <c r="N1475" s="4" cm="1">
        <f t="array" ref="N1475">SUM(--(_xlfn.TEXTSPLIT($J$1387,, " ") = M1475))</f>
        <v>4</v>
      </c>
      <c r="O1475">
        <v>2</v>
      </c>
      <c r="P1475">
        <v>0</v>
      </c>
      <c r="Q1475">
        <v>2</v>
      </c>
    </row>
    <row r="1476" spans="5:17" x14ac:dyDescent="0.2">
      <c r="E1476" s="9" t="s">
        <v>24</v>
      </c>
      <c r="K1476" t="str">
        <v>my</v>
      </c>
      <c r="L1476" s="4" t="str">
        <f t="shared" si="29"/>
        <v>my</v>
      </c>
      <c r="M1476" t="str">
        <v>wanna</v>
      </c>
      <c r="N1476" s="4" cm="1">
        <f t="array" ref="N1476">SUM(--(_xlfn.TEXTSPLIT($J$1387,, " ") = M1476))</f>
        <v>2</v>
      </c>
      <c r="O1476">
        <v>2</v>
      </c>
      <c r="P1476">
        <v>0</v>
      </c>
      <c r="Q1476">
        <v>2</v>
      </c>
    </row>
    <row r="1477" spans="5:17" x14ac:dyDescent="0.2">
      <c r="E1477" s="9" t="s">
        <v>24</v>
      </c>
      <c r="K1477" t="str">
        <v>hallucination</v>
      </c>
      <c r="L1477" s="4" t="str">
        <f t="shared" si="29"/>
        <v>hallucination</v>
      </c>
      <c r="M1477" t="str">
        <v>get</v>
      </c>
      <c r="N1477" s="4" cm="1">
        <f t="array" ref="N1477">SUM(--(_xlfn.TEXTSPLIT($J$1387,, " ") = M1477))</f>
        <v>2</v>
      </c>
      <c r="O1477">
        <v>2</v>
      </c>
      <c r="P1477">
        <v>0</v>
      </c>
      <c r="Q1477">
        <v>2</v>
      </c>
    </row>
    <row r="1478" spans="5:17" x14ac:dyDescent="0.2">
      <c r="E1478" s="9" t="s">
        <v>24</v>
      </c>
      <c r="K1478" t="str">
        <v>I</v>
      </c>
      <c r="L1478" s="4" t="str">
        <f t="shared" si="29"/>
        <v>I</v>
      </c>
      <c r="M1478" t="str">
        <v xml:space="preserve">there
</v>
      </c>
      <c r="N1478" s="4" cm="1">
        <f t="array" ref="N1478">SUM(--(_xlfn.TEXTSPLIT($J$1387,, " ") = M1478))</f>
        <v>2</v>
      </c>
      <c r="O1478">
        <v>2</v>
      </c>
      <c r="P1478">
        <v>0</v>
      </c>
      <c r="Q1478">
        <v>2</v>
      </c>
    </row>
    <row r="1479" spans="5:17" x14ac:dyDescent="0.2">
      <c r="E1479" s="9" t="s">
        <v>24</v>
      </c>
      <c r="K1479" t="str">
        <v>used</v>
      </c>
      <c r="L1479" s="4" t="str">
        <f t="shared" si="29"/>
        <v>used</v>
      </c>
      <c r="M1479" t="str">
        <v>But</v>
      </c>
      <c r="N1479" s="4" cm="1">
        <f t="array" ref="N1479">SUM(--(_xlfn.TEXTSPLIT($J$1387,, " ") = M1479))</f>
        <v>3</v>
      </c>
      <c r="O1479">
        <v>2</v>
      </c>
      <c r="P1479">
        <v>0</v>
      </c>
      <c r="Q1479">
        <v>2</v>
      </c>
    </row>
    <row r="1480" spans="5:17" x14ac:dyDescent="0.2">
      <c r="E1480" s="9" t="s">
        <v>24</v>
      </c>
      <c r="K1480" t="str">
        <v>to</v>
      </c>
      <c r="L1480" s="4" t="str">
        <f t="shared" si="29"/>
        <v>to</v>
      </c>
      <c r="M1480" t="str">
        <v xml:space="preserve">try
</v>
      </c>
      <c r="N1480" s="4" cm="1">
        <f t="array" ref="N1480">SUM(--(_xlfn.TEXTSPLIT($J$1387,, " ") = M1480))</f>
        <v>1</v>
      </c>
      <c r="O1480">
        <v>2</v>
      </c>
      <c r="P1480">
        <v>0</v>
      </c>
      <c r="Q1480">
        <v>2</v>
      </c>
    </row>
    <row r="1481" spans="5:17" x14ac:dyDescent="0.2">
      <c r="E1481" s="9" t="s">
        <v>24</v>
      </c>
      <c r="K1481" t="str">
        <v xml:space="preserve">see
</v>
      </c>
      <c r="L1481" s="4" t="str">
        <f t="shared" si="29"/>
        <v xml:space="preserve">see  </v>
      </c>
      <c r="M1481" t="str">
        <v xml:space="preserve">try
</v>
      </c>
      <c r="N1481" s="4" cm="1">
        <f t="array" ref="N1481">SUM(--(_xlfn.TEXTSPLIT($J$1387,, " ") = M1481))</f>
        <v>1</v>
      </c>
      <c r="O1481">
        <v>2</v>
      </c>
      <c r="P1481">
        <v>0</v>
      </c>
      <c r="Q1481">
        <v>2</v>
      </c>
    </row>
    <row r="1482" spans="5:17" x14ac:dyDescent="0.2">
      <c r="E1482" s="9" t="s">
        <v>24</v>
      </c>
      <c r="K1482" t="str">
        <v>Wake</v>
      </c>
      <c r="L1482" s="4" t="str">
        <f t="shared" si="29"/>
        <v>Wake</v>
      </c>
      <c r="M1482" t="str">
        <v>see,</v>
      </c>
      <c r="N1482" s="4" cm="1">
        <f t="array" ref="N1482">SUM(--(_xlfn.TEXTSPLIT($J$1387,, " ") = M1482))</f>
        <v>1</v>
      </c>
      <c r="O1482">
        <v>2</v>
      </c>
      <c r="P1482">
        <v>0</v>
      </c>
      <c r="Q1482">
        <v>2</v>
      </c>
    </row>
    <row r="1483" spans="5:17" x14ac:dyDescent="0.2">
      <c r="E1483" s="9" t="s">
        <v>24</v>
      </c>
      <c r="K1483" t="str">
        <v>up</v>
      </c>
      <c r="L1483" s="4" t="str">
        <f t="shared" si="29"/>
        <v>up</v>
      </c>
      <c r="M1483" t="str">
        <v>felt</v>
      </c>
      <c r="N1483" s="4" cm="1">
        <f t="array" ref="N1483">SUM(--(_xlfn.TEXTSPLIT($J$1387,, " ") = M1483))</f>
        <v>1</v>
      </c>
      <c r="O1483">
        <v>2</v>
      </c>
      <c r="P1483">
        <v>0</v>
      </c>
      <c r="Q1483">
        <v>2</v>
      </c>
    </row>
    <row r="1484" spans="5:17" x14ac:dyDescent="0.2">
      <c r="E1484" s="9" t="s">
        <v>24</v>
      </c>
      <c r="K1484" t="str">
        <v>and</v>
      </c>
      <c r="L1484" s="4" t="str">
        <f t="shared" si="29"/>
        <v>and</v>
      </c>
      <c r="M1484" t="str">
        <v>so</v>
      </c>
      <c r="N1484" s="4" cm="1">
        <f t="array" ref="N1484">SUM(--(_xlfn.TEXTSPLIT($J$1387,, " ") = M1484))</f>
        <v>1</v>
      </c>
      <c r="O1484">
        <v>2</v>
      </c>
      <c r="P1484">
        <v>0</v>
      </c>
      <c r="Q1484">
        <v>2</v>
      </c>
    </row>
    <row r="1485" spans="5:17" x14ac:dyDescent="0.2">
      <c r="E1485" s="9" t="s">
        <v>24</v>
      </c>
      <c r="K1485" t="str">
        <v>I</v>
      </c>
      <c r="L1485" s="4" t="str">
        <f t="shared" si="29"/>
        <v>I</v>
      </c>
      <c r="M1485" t="str">
        <v xml:space="preserve">real
</v>
      </c>
      <c r="N1485" s="4" cm="1">
        <f t="array" ref="N1485">SUM(--(_xlfn.TEXTSPLIT($J$1387,, " ") = M1485))</f>
        <v>1</v>
      </c>
      <c r="O1485">
        <v>2</v>
      </c>
      <c r="P1485">
        <v>0</v>
      </c>
      <c r="Q1485">
        <v>2</v>
      </c>
    </row>
    <row r="1486" spans="5:17" x14ac:dyDescent="0.2">
      <c r="E1486" s="9" t="s">
        <v>24</v>
      </c>
      <c r="K1486" t="str">
        <v>find</v>
      </c>
      <c r="L1486" s="4" t="str">
        <f t="shared" si="29"/>
        <v>find</v>
      </c>
      <c r="M1486" t="str">
        <v>now</v>
      </c>
      <c r="N1486" s="4" cm="1">
        <f t="array" ref="N1486">SUM(--(_xlfn.TEXTSPLIT($J$1387,, " ") = M1486))</f>
        <v>1</v>
      </c>
      <c r="O1486">
        <v>2</v>
      </c>
      <c r="P1486">
        <v>0</v>
      </c>
      <c r="Q1486">
        <v>2</v>
      </c>
    </row>
    <row r="1487" spans="5:17" x14ac:dyDescent="0.2">
      <c r="E1487" s="9" t="s">
        <v>24</v>
      </c>
      <c r="K1487" t="str">
        <v>out,</v>
      </c>
      <c r="L1487" s="4" t="str">
        <f t="shared" si="29"/>
        <v xml:space="preserve">out </v>
      </c>
      <c r="M1487" t="str">
        <v>plead,</v>
      </c>
      <c r="N1487" s="4" cm="1">
        <f t="array" ref="N1487">SUM(--(_xlfn.TEXTSPLIT($J$1387,, " ") = M1487))</f>
        <v>1</v>
      </c>
      <c r="O1487">
        <v>2</v>
      </c>
      <c r="P1487">
        <v>0</v>
      </c>
      <c r="Q1487">
        <v>2</v>
      </c>
    </row>
    <row r="1488" spans="5:17" x14ac:dyDescent="0.2">
      <c r="E1488" s="9" t="s">
        <v>24</v>
      </c>
      <c r="K1488" t="str">
        <v>did</v>
      </c>
      <c r="L1488" s="4" t="str">
        <f t="shared" si="29"/>
        <v>did</v>
      </c>
      <c r="M1488" t="str">
        <v>take</v>
      </c>
      <c r="N1488" s="4" cm="1">
        <f t="array" ref="N1488">SUM(--(_xlfn.TEXTSPLIT($J$1387,, " ") = M1488))</f>
        <v>1</v>
      </c>
      <c r="O1488">
        <v>2</v>
      </c>
      <c r="P1488">
        <v>0</v>
      </c>
      <c r="Q1488">
        <v>2</v>
      </c>
    </row>
    <row r="1489" spans="5:17" x14ac:dyDescent="0.2">
      <c r="E1489" s="9" t="s">
        <v>24</v>
      </c>
      <c r="K1489" t="str">
        <v>a</v>
      </c>
      <c r="L1489" s="4" t="str">
        <f t="shared" si="29"/>
        <v>a</v>
      </c>
      <c r="M1489" t="str">
        <v xml:space="preserve">deal
</v>
      </c>
      <c r="N1489" s="4" cm="1">
        <f t="array" ref="N1489">SUM(--(_xlfn.TEXTSPLIT($J$1387,, " ") = M1489))</f>
        <v>1</v>
      </c>
      <c r="O1489">
        <v>2</v>
      </c>
      <c r="P1489">
        <v>0</v>
      </c>
      <c r="Q1489">
        <v>2</v>
      </c>
    </row>
    <row r="1490" spans="5:17" x14ac:dyDescent="0.2">
      <c r="E1490" s="9" t="s">
        <v>24</v>
      </c>
      <c r="K1490" t="str">
        <v>change</v>
      </c>
      <c r="L1490" s="4" t="str">
        <f t="shared" si="29"/>
        <v>change</v>
      </c>
      <c r="M1490" t="str">
        <v>promised</v>
      </c>
      <c r="N1490" s="4" cm="1">
        <f t="array" ref="N1490">SUM(--(_xlfn.TEXTSPLIT($J$1387,, " ") = M1490))</f>
        <v>2</v>
      </c>
      <c r="O1490">
        <v>2</v>
      </c>
      <c r="P1490">
        <v>0</v>
      </c>
      <c r="Q1490">
        <v>2</v>
      </c>
    </row>
    <row r="1491" spans="5:17" x14ac:dyDescent="0.2">
      <c r="E1491" s="9" t="s">
        <v>24</v>
      </c>
      <c r="K1491" t="str">
        <v xml:space="preserve">up
</v>
      </c>
      <c r="L1491" s="4" t="str">
        <f t="shared" si="29"/>
        <v xml:space="preserve">up </v>
      </c>
      <c r="M1491" t="str">
        <v xml:space="preserve">contract
</v>
      </c>
      <c r="N1491" s="4" cm="1">
        <f t="array" ref="N1491">SUM(--(_xlfn.TEXTSPLIT($J$1387,, " ") = M1491))</f>
        <v>1</v>
      </c>
      <c r="O1491">
        <v>2</v>
      </c>
      <c r="P1491">
        <v>0</v>
      </c>
      <c r="Q1491">
        <v>2</v>
      </c>
    </row>
    <row r="1492" spans="5:17" x14ac:dyDescent="0.2">
      <c r="E1492" s="9" t="s">
        <v>24</v>
      </c>
      <c r="K1492" t="str">
        <v>Wait,</v>
      </c>
      <c r="L1492" s="4" t="str">
        <f t="shared" si="29"/>
        <v xml:space="preserve">Wait </v>
      </c>
      <c r="M1492" t="str">
        <v>contract</v>
      </c>
      <c r="N1492" s="4" cm="1">
        <f t="array" ref="N1492">SUM(--(_xlfn.TEXTSPLIT($J$1387,, " ") = M1492))</f>
        <v>1</v>
      </c>
      <c r="O1492">
        <v>2</v>
      </c>
      <c r="P1492">
        <v>0</v>
      </c>
      <c r="Q1492">
        <v>2</v>
      </c>
    </row>
    <row r="1493" spans="5:17" x14ac:dyDescent="0.2">
      <c r="E1493" s="9" t="s">
        <v>24</v>
      </c>
      <c r="K1493" t="str">
        <v>did</v>
      </c>
      <c r="L1493" s="4" t="str">
        <f t="shared" si="29"/>
        <v>did</v>
      </c>
      <c r="N1493" s="4" cm="1">
        <f t="array" ref="N1493">SUM(--(_xlfn.TEXTSPLIT($J$1387,, " ") = M1493))</f>
        <v>2</v>
      </c>
      <c r="O1493">
        <v>2</v>
      </c>
      <c r="P1493">
        <v>0</v>
      </c>
      <c r="Q1493">
        <v>2</v>
      </c>
    </row>
    <row r="1494" spans="5:17" x14ac:dyDescent="0.2">
      <c r="E1494" s="9" t="s">
        <v>24</v>
      </c>
      <c r="K1494" t="str">
        <v>it</v>
      </c>
      <c r="L1494" s="4" t="str">
        <f t="shared" si="29"/>
        <v>it</v>
      </c>
      <c r="N1494" s="4" cm="1">
        <f t="array" ref="N1494">SUM(--(_xlfn.TEXTSPLIT($J$1387,, " ") = M1494))</f>
        <v>2</v>
      </c>
      <c r="O1494">
        <v>2</v>
      </c>
      <c r="P1494">
        <v>0</v>
      </c>
      <c r="Q1494">
        <v>2</v>
      </c>
    </row>
    <row r="1495" spans="5:17" x14ac:dyDescent="0.2">
      <c r="E1495" s="9" t="s">
        <v>24</v>
      </c>
      <c r="K1495" t="str">
        <v>change</v>
      </c>
      <c r="L1495" s="4" t="str">
        <f t="shared" si="29"/>
        <v>change</v>
      </c>
      <c r="N1495" s="4" cm="1">
        <f t="array" ref="N1495">SUM(--(_xlfn.TEXTSPLIT($J$1387,, " ") = M1495))</f>
        <v>2</v>
      </c>
      <c r="O1495">
        <v>2</v>
      </c>
      <c r="P1495">
        <v>0</v>
      </c>
      <c r="Q1495">
        <v>2</v>
      </c>
    </row>
    <row r="1496" spans="5:17" x14ac:dyDescent="0.2">
      <c r="E1496" s="9" t="s">
        <v>24</v>
      </c>
      <c r="K1496" t="str">
        <v xml:space="preserve">up?
</v>
      </c>
      <c r="L1496" s="4" t="str">
        <f t="shared" si="29"/>
        <v xml:space="preserve">up  </v>
      </c>
      <c r="N1496" s="4" cm="1">
        <f t="array" ref="N1496">SUM(--(_xlfn.TEXTSPLIT($J$1387,, " ") = M1496))</f>
        <v>2</v>
      </c>
      <c r="O1496">
        <v>2</v>
      </c>
      <c r="P1496">
        <v>0</v>
      </c>
      <c r="Q1496">
        <v>2</v>
      </c>
    </row>
    <row r="1497" spans="5:17" x14ac:dyDescent="0.2">
      <c r="E1497" s="9" t="s">
        <v>24</v>
      </c>
      <c r="K1497" t="str">
        <v>Is</v>
      </c>
      <c r="L1497" s="4" t="str">
        <f t="shared" si="29"/>
        <v>Is</v>
      </c>
      <c r="N1497" s="4" cm="1">
        <f t="array" ref="N1497">SUM(--(_xlfn.TEXTSPLIT($J$1387,, " ") = M1497))</f>
        <v>2</v>
      </c>
      <c r="O1497">
        <v>2</v>
      </c>
      <c r="P1497">
        <v>0</v>
      </c>
      <c r="Q1497">
        <v>2</v>
      </c>
    </row>
    <row r="1498" spans="5:17" x14ac:dyDescent="0.2">
      <c r="E1498" s="9" t="s">
        <v>24</v>
      </c>
      <c r="K1498" t="str">
        <v>it</v>
      </c>
      <c r="L1498" s="4" t="str">
        <f t="shared" si="29"/>
        <v>it</v>
      </c>
      <c r="N1498" s="4" cm="1">
        <f t="array" ref="N1498">SUM(--(_xlfn.TEXTSPLIT($J$1387,, " ") = M1498))</f>
        <v>2</v>
      </c>
      <c r="O1498">
        <v>2</v>
      </c>
      <c r="P1498">
        <v>0</v>
      </c>
      <c r="Q1498">
        <v>2</v>
      </c>
    </row>
    <row r="1499" spans="5:17" x14ac:dyDescent="0.2">
      <c r="E1499" s="9" t="s">
        <v>24</v>
      </c>
      <c r="K1499" t="str">
        <v>light</v>
      </c>
      <c r="L1499" s="4" t="str">
        <f t="shared" si="29"/>
        <v>light</v>
      </c>
      <c r="N1499" s="4" cm="1">
        <f t="array" ref="N1499">SUM(--(_xlfn.TEXTSPLIT($J$1387,, " ") = M1499))</f>
        <v>2</v>
      </c>
      <c r="O1499">
        <v>2</v>
      </c>
      <c r="P1499">
        <v>0</v>
      </c>
      <c r="Q1499">
        <v>2</v>
      </c>
    </row>
    <row r="1500" spans="5:17" x14ac:dyDescent="0.2">
      <c r="E1500" s="9" t="s">
        <v>24</v>
      </c>
      <c r="K1500" t="str">
        <v>out</v>
      </c>
      <c r="L1500" s="4" t="str">
        <f t="shared" si="29"/>
        <v>out</v>
      </c>
      <c r="N1500" s="4" cm="1">
        <f t="array" ref="N1500">SUM(--(_xlfn.TEXTSPLIT($J$1387,, " ") = M1500))</f>
        <v>2</v>
      </c>
      <c r="O1500">
        <v>2</v>
      </c>
      <c r="P1500">
        <v>0</v>
      </c>
      <c r="Q1500">
        <v>2</v>
      </c>
    </row>
    <row r="1501" spans="5:17" x14ac:dyDescent="0.2">
      <c r="E1501" s="9" t="s">
        <v>24</v>
      </c>
      <c r="K1501" t="str">
        <v>yet?</v>
      </c>
      <c r="L1501" s="4" t="str">
        <f t="shared" si="29"/>
        <v xml:space="preserve">yet </v>
      </c>
      <c r="N1501" s="4" cm="1">
        <f t="array" ref="N1501">SUM(--(_xlfn.TEXTSPLIT($J$1387,, " ") = M1501))</f>
        <v>2</v>
      </c>
      <c r="O1501">
        <v>2</v>
      </c>
      <c r="P1501">
        <v>0</v>
      </c>
      <c r="Q1501">
        <v>2</v>
      </c>
    </row>
    <row r="1502" spans="5:17" x14ac:dyDescent="0.2">
      <c r="E1502" s="9" t="s">
        <v>24</v>
      </c>
      <c r="K1502" t="str">
        <v>Better</v>
      </c>
      <c r="L1502" s="4" t="str">
        <f t="shared" si="29"/>
        <v>Better</v>
      </c>
      <c r="N1502" s="4" cm="1">
        <f t="array" ref="N1502">SUM(--(_xlfn.TEXTSPLIT($J$1387,, " ") = M1502))</f>
        <v>2</v>
      </c>
      <c r="O1502">
        <v>2</v>
      </c>
      <c r="P1502">
        <v>0</v>
      </c>
      <c r="Q1502">
        <v>2</v>
      </c>
    </row>
    <row r="1503" spans="5:17" x14ac:dyDescent="0.2">
      <c r="E1503" s="9" t="s">
        <v>24</v>
      </c>
      <c r="K1503" t="str">
        <v>find</v>
      </c>
      <c r="L1503" s="4" t="str">
        <f t="shared" si="29"/>
        <v>find</v>
      </c>
      <c r="N1503" s="4" cm="1">
        <f t="array" ref="N1503">SUM(--(_xlfn.TEXTSPLIT($J$1387,, " ") = M1503))</f>
        <v>2</v>
      </c>
      <c r="O1503">
        <v>2</v>
      </c>
      <c r="P1503">
        <v>0</v>
      </c>
      <c r="Q1503">
        <v>2</v>
      </c>
    </row>
    <row r="1504" spans="5:17" x14ac:dyDescent="0.2">
      <c r="E1504" s="9" t="s">
        <v>24</v>
      </c>
      <c r="K1504" t="str">
        <v>out,</v>
      </c>
      <c r="L1504" s="4" t="str">
        <f t="shared" si="29"/>
        <v xml:space="preserve">out </v>
      </c>
      <c r="N1504" s="4" cm="1">
        <f t="array" ref="N1504">SUM(--(_xlfn.TEXTSPLIT($J$1387,, " ") = M1504))</f>
        <v>2</v>
      </c>
      <c r="O1504">
        <v>2</v>
      </c>
      <c r="P1504">
        <v>0</v>
      </c>
      <c r="Q1504">
        <v>2</v>
      </c>
    </row>
    <row r="1505" spans="5:17" x14ac:dyDescent="0.2">
      <c r="E1505" s="9" t="s">
        <v>24</v>
      </c>
      <c r="K1505" t="str">
        <v xml:space="preserve">bet
</v>
      </c>
      <c r="L1505" s="4" t="str">
        <f t="shared" si="29"/>
        <v xml:space="preserve">bet </v>
      </c>
      <c r="N1505" s="4" cm="1">
        <f t="array" ref="N1505">SUM(--(_xlfn.TEXTSPLIT($J$1387,, " ") = M1505))</f>
        <v>2</v>
      </c>
      <c r="O1505">
        <v>2</v>
      </c>
      <c r="P1505">
        <v>0</v>
      </c>
      <c r="Q1505">
        <v>2</v>
      </c>
    </row>
    <row r="1506" spans="5:17" x14ac:dyDescent="0.2">
      <c r="E1506" s="9" t="s">
        <v>24</v>
      </c>
      <c r="K1506" t="str">
        <v>I'ma</v>
      </c>
      <c r="L1506" s="4" t="str">
        <f t="shared" si="29"/>
        <v>I ma</v>
      </c>
      <c r="N1506" s="4" cm="1">
        <f t="array" ref="N1506">SUM(--(_xlfn.TEXTSPLIT($J$1387,, " ") = M1506))</f>
        <v>2</v>
      </c>
      <c r="O1506">
        <v>2</v>
      </c>
      <c r="P1506">
        <v>0</v>
      </c>
      <c r="Q1506">
        <v>2</v>
      </c>
    </row>
    <row r="1507" spans="5:17" x14ac:dyDescent="0.2">
      <c r="E1507" s="9" t="s">
        <v>24</v>
      </c>
      <c r="K1507" t="str">
        <v>walk</v>
      </c>
      <c r="L1507" s="4" t="str">
        <f t="shared" si="29"/>
        <v>walk</v>
      </c>
      <c r="N1507" s="4" cm="1">
        <f t="array" ref="N1507">SUM(--(_xlfn.TEXTSPLIT($J$1387,, " ") = M1507))</f>
        <v>2</v>
      </c>
      <c r="O1507">
        <v>2</v>
      </c>
      <c r="P1507">
        <v>0</v>
      </c>
      <c r="Q1507">
        <v>2</v>
      </c>
    </row>
    <row r="1508" spans="5:17" x14ac:dyDescent="0.2">
      <c r="E1508" s="9" t="s">
        <v>24</v>
      </c>
      <c r="K1508" t="str">
        <v>around</v>
      </c>
      <c r="L1508" s="4" t="str">
        <f t="shared" si="29"/>
        <v>around</v>
      </c>
      <c r="N1508" s="4" cm="1">
        <f t="array" ref="N1508">SUM(--(_xlfn.TEXTSPLIT($J$1387,, " ") = M1508))</f>
        <v>2</v>
      </c>
      <c r="O1508">
        <v>2</v>
      </c>
      <c r="P1508">
        <v>0</v>
      </c>
      <c r="Q1508">
        <v>2</v>
      </c>
    </row>
    <row r="1509" spans="5:17" x14ac:dyDescent="0.2">
      <c r="E1509" s="9" t="s">
        <v>24</v>
      </c>
      <c r="K1509" t="str">
        <v>the</v>
      </c>
      <c r="L1509" s="4" t="str">
        <f t="shared" si="29"/>
        <v>the</v>
      </c>
      <c r="N1509" s="4" cm="1">
        <f t="array" ref="N1509">SUM(--(_xlfn.TEXTSPLIT($J$1387,, " ") = M1509))</f>
        <v>2</v>
      </c>
      <c r="O1509">
        <v>2</v>
      </c>
      <c r="P1509">
        <v>0</v>
      </c>
      <c r="Q1509">
        <v>2</v>
      </c>
    </row>
    <row r="1510" spans="5:17" x14ac:dyDescent="0.2">
      <c r="E1510" s="9" t="s">
        <v>24</v>
      </c>
      <c r="K1510" t="str">
        <v>edge</v>
      </c>
      <c r="L1510" s="4" t="str">
        <f t="shared" si="29"/>
        <v>edge</v>
      </c>
      <c r="N1510" s="4" cm="1">
        <f t="array" ref="N1510">SUM(--(_xlfn.TEXTSPLIT($J$1387,, " ") = M1510))</f>
        <v>2</v>
      </c>
      <c r="O1510">
        <v>2</v>
      </c>
      <c r="P1510">
        <v>0</v>
      </c>
      <c r="Q1510">
        <v>2</v>
      </c>
    </row>
    <row r="1511" spans="5:17" x14ac:dyDescent="0.2">
      <c r="E1511" s="9" t="s">
        <v>24</v>
      </c>
      <c r="K1511" t="str">
        <v>of</v>
      </c>
      <c r="L1511" s="4" t="str">
        <f t="shared" si="29"/>
        <v>of</v>
      </c>
      <c r="N1511" s="4" cm="1">
        <f t="array" ref="N1511">SUM(--(_xlfn.TEXTSPLIT($J$1387,, " ") = M1511))</f>
        <v>2</v>
      </c>
      <c r="O1511">
        <v>2</v>
      </c>
      <c r="P1511">
        <v>0</v>
      </c>
      <c r="Q1511">
        <v>2</v>
      </c>
    </row>
    <row r="1512" spans="5:17" x14ac:dyDescent="0.2">
      <c r="E1512" s="9" t="s">
        <v>24</v>
      </c>
      <c r="K1512" t="str">
        <v>the</v>
      </c>
      <c r="L1512" s="4" t="str">
        <f t="shared" si="29"/>
        <v>the</v>
      </c>
      <c r="N1512" s="4" cm="1">
        <f t="array" ref="N1512">SUM(--(_xlfn.TEXTSPLIT($J$1387,, " ") = M1512))</f>
        <v>2</v>
      </c>
      <c r="O1512">
        <v>2</v>
      </c>
      <c r="P1512">
        <v>0</v>
      </c>
      <c r="Q1512">
        <v>2</v>
      </c>
    </row>
    <row r="1513" spans="5:17" x14ac:dyDescent="0.2">
      <c r="E1513" s="9" t="s">
        <v>24</v>
      </c>
      <c r="K1513" t="str">
        <v>room</v>
      </c>
      <c r="L1513" s="4" t="str">
        <f t="shared" si="29"/>
        <v>room</v>
      </c>
      <c r="N1513" s="4" cm="1">
        <f t="array" ref="N1513">SUM(--(_xlfn.TEXTSPLIT($J$1387,, " ") = M1513))</f>
        <v>2</v>
      </c>
      <c r="O1513">
        <v>2</v>
      </c>
      <c r="P1513">
        <v>0</v>
      </c>
      <c r="Q1513">
        <v>2</v>
      </c>
    </row>
    <row r="1514" spans="5:17" x14ac:dyDescent="0.2">
      <c r="E1514" s="9" t="s">
        <v>24</v>
      </c>
      <c r="K1514" t="str">
        <v>and</v>
      </c>
      <c r="L1514" s="4" t="str">
        <f t="shared" si="29"/>
        <v>and</v>
      </c>
      <c r="N1514" s="4" cm="1">
        <f t="array" ref="N1514">SUM(--(_xlfn.TEXTSPLIT($J$1387,, " ") = M1514))</f>
        <v>2</v>
      </c>
      <c r="O1514">
        <v>2</v>
      </c>
      <c r="P1514">
        <v>0</v>
      </c>
      <c r="Q1514">
        <v>2</v>
      </c>
    </row>
    <row r="1515" spans="5:17" x14ac:dyDescent="0.2">
      <c r="E1515" s="9" t="s">
        <v>24</v>
      </c>
      <c r="K1515" t="str">
        <v>the</v>
      </c>
      <c r="L1515" s="4" t="str">
        <f t="shared" si="29"/>
        <v>the</v>
      </c>
      <c r="N1515" s="4" cm="1">
        <f t="array" ref="N1515">SUM(--(_xlfn.TEXTSPLIT($J$1387,, " ") = M1515))</f>
        <v>2</v>
      </c>
      <c r="O1515">
        <v>2</v>
      </c>
      <c r="P1515">
        <v>0</v>
      </c>
      <c r="Q1515">
        <v>2</v>
      </c>
    </row>
    <row r="1516" spans="5:17" x14ac:dyDescent="0.2">
      <c r="E1516" s="9" t="s">
        <v>24</v>
      </c>
      <c r="K1516" t="str">
        <v xml:space="preserve">bed
</v>
      </c>
      <c r="L1516" s="4" t="str">
        <f t="shared" si="29"/>
        <v xml:space="preserve">bed </v>
      </c>
      <c r="N1516" s="4" cm="1">
        <f t="array" ref="N1516">SUM(--(_xlfn.TEXTSPLIT($J$1387,, " ") = M1516))</f>
        <v>2</v>
      </c>
      <c r="O1516">
        <v>2</v>
      </c>
      <c r="P1516">
        <v>0</v>
      </c>
      <c r="Q1516">
        <v>2</v>
      </c>
    </row>
    <row r="1517" spans="5:17" x14ac:dyDescent="0.2">
      <c r="E1517" s="9" t="s">
        <v>24</v>
      </c>
      <c r="K1517" t="str">
        <v>Where</v>
      </c>
      <c r="L1517" s="4" t="str">
        <f t="shared" ref="L1517:L1580" si="30">_xlfn.REGEXREPLACE(K1517, "[^A-Za-z ]", " ")</f>
        <v>Where</v>
      </c>
      <c r="N1517" s="4" cm="1">
        <f t="array" ref="N1517">SUM(--(_xlfn.TEXTSPLIT($J$1387,, " ") = M1517))</f>
        <v>2</v>
      </c>
      <c r="O1517">
        <v>2</v>
      </c>
      <c r="P1517">
        <v>0</v>
      </c>
      <c r="Q1517">
        <v>2</v>
      </c>
    </row>
    <row r="1518" spans="5:17" x14ac:dyDescent="0.2">
      <c r="E1518" s="9" t="s">
        <v>24</v>
      </c>
      <c r="K1518" t="str">
        <v>I</v>
      </c>
      <c r="L1518" s="4" t="str">
        <f t="shared" si="30"/>
        <v>I</v>
      </c>
      <c r="N1518" s="4" cm="1">
        <f t="array" ref="N1518">SUM(--(_xlfn.TEXTSPLIT($J$1387,, " ") = M1518))</f>
        <v>2</v>
      </c>
      <c r="O1518">
        <v>2</v>
      </c>
      <c r="P1518">
        <v>0</v>
      </c>
      <c r="Q1518">
        <v>2</v>
      </c>
    </row>
    <row r="1519" spans="5:17" x14ac:dyDescent="0.2">
      <c r="E1519" s="9" t="s">
        <v>24</v>
      </c>
      <c r="K1519" t="str">
        <v>hide</v>
      </c>
      <c r="L1519" s="4" t="str">
        <f t="shared" si="30"/>
        <v>hide</v>
      </c>
      <c r="N1519" s="4" cm="1">
        <f t="array" ref="N1519">SUM(--(_xlfn.TEXTSPLIT($J$1387,, " ") = M1519))</f>
        <v>2</v>
      </c>
      <c r="O1519">
        <v>2</v>
      </c>
      <c r="P1519">
        <v>0</v>
      </c>
      <c r="Q1519">
        <v>2</v>
      </c>
    </row>
    <row r="1520" spans="5:17" x14ac:dyDescent="0.2">
      <c r="E1520" s="9" t="s">
        <v>24</v>
      </c>
      <c r="K1520" t="str">
        <v>my</v>
      </c>
      <c r="L1520" s="4" t="str">
        <f t="shared" si="30"/>
        <v>my</v>
      </c>
      <c r="N1520" s="4" cm="1">
        <f t="array" ref="N1520">SUM(--(_xlfn.TEXTSPLIT($J$1387,, " ") = M1520))</f>
        <v>2</v>
      </c>
      <c r="O1520">
        <v>2</v>
      </c>
      <c r="P1520">
        <v>0</v>
      </c>
      <c r="Q1520">
        <v>2</v>
      </c>
    </row>
    <row r="1521" spans="5:17" x14ac:dyDescent="0.2">
      <c r="E1521" s="9" t="s">
        <v>24</v>
      </c>
      <c r="K1521" t="str">
        <v>face,</v>
      </c>
      <c r="L1521" s="4" t="str">
        <f t="shared" si="30"/>
        <v xml:space="preserve">face </v>
      </c>
      <c r="N1521" s="4" cm="1">
        <f t="array" ref="N1521">SUM(--(_xlfn.TEXTSPLIT($J$1387,, " ") = M1521))</f>
        <v>2</v>
      </c>
      <c r="O1521">
        <v>2</v>
      </c>
      <c r="P1521">
        <v>0</v>
      </c>
      <c r="Q1521">
        <v>2</v>
      </c>
    </row>
    <row r="1522" spans="5:17" x14ac:dyDescent="0.2">
      <c r="E1522" s="9" t="s">
        <v>24</v>
      </c>
      <c r="K1522" t="str">
        <v>pace</v>
      </c>
      <c r="L1522" s="4" t="str">
        <f t="shared" si="30"/>
        <v>pace</v>
      </c>
      <c r="N1522" s="4" cm="1">
        <f t="array" ref="N1522">SUM(--(_xlfn.TEXTSPLIT($J$1387,, " ") = M1522))</f>
        <v>2</v>
      </c>
      <c r="O1522">
        <v>2</v>
      </c>
      <c r="P1522">
        <v>0</v>
      </c>
      <c r="Q1522">
        <v>2</v>
      </c>
    </row>
    <row r="1523" spans="5:17" x14ac:dyDescent="0.2">
      <c r="E1523" s="9" t="s">
        <v>24</v>
      </c>
      <c r="K1523" t="str">
        <v xml:space="preserve">around
</v>
      </c>
      <c r="L1523" s="4" t="str">
        <f t="shared" si="30"/>
        <v xml:space="preserve">around </v>
      </c>
      <c r="N1523" s="4" cm="1">
        <f t="array" ref="N1523">SUM(--(_xlfn.TEXTSPLIT($J$1387,, " ") = M1523))</f>
        <v>2</v>
      </c>
      <c r="O1523">
        <v>2</v>
      </c>
      <c r="P1523">
        <v>0</v>
      </c>
      <c r="Q1523">
        <v>2</v>
      </c>
    </row>
    <row r="1524" spans="5:17" x14ac:dyDescent="0.2">
      <c r="E1524" s="9" t="s">
        <v>24</v>
      </c>
      <c r="K1524" t="str">
        <v>Better</v>
      </c>
      <c r="L1524" s="4" t="str">
        <f t="shared" si="30"/>
        <v>Better</v>
      </c>
      <c r="N1524" s="4" cm="1">
        <f t="array" ref="N1524">SUM(--(_xlfn.TEXTSPLIT($J$1387,, " ") = M1524))</f>
        <v>2</v>
      </c>
      <c r="O1524">
        <v>2</v>
      </c>
      <c r="P1524">
        <v>0</v>
      </c>
      <c r="Q1524">
        <v>2</v>
      </c>
    </row>
    <row r="1525" spans="5:17" x14ac:dyDescent="0.2">
      <c r="E1525" s="9" t="s">
        <v>24</v>
      </c>
      <c r="K1525" t="str">
        <v>try</v>
      </c>
      <c r="L1525" s="4" t="str">
        <f t="shared" si="30"/>
        <v>try</v>
      </c>
      <c r="N1525" s="4" cm="1">
        <f t="array" ref="N1525">SUM(--(_xlfn.TEXTSPLIT($J$1387,, " ") = M1525))</f>
        <v>2</v>
      </c>
      <c r="O1525">
        <v>2</v>
      </c>
      <c r="P1525">
        <v>0</v>
      </c>
      <c r="Q1525">
        <v>2</v>
      </c>
    </row>
    <row r="1526" spans="5:17" x14ac:dyDescent="0.2">
      <c r="E1526" s="9" t="s">
        <v>24</v>
      </c>
      <c r="K1526" t="str">
        <v>to</v>
      </c>
      <c r="L1526" s="4" t="str">
        <f t="shared" si="30"/>
        <v>to</v>
      </c>
      <c r="N1526" s="4" cm="1">
        <f t="array" ref="N1526">SUM(--(_xlfn.TEXTSPLIT($J$1387,, " ") = M1526))</f>
        <v>2</v>
      </c>
      <c r="O1526">
        <v>2</v>
      </c>
      <c r="P1526">
        <v>0</v>
      </c>
      <c r="Q1526">
        <v>2</v>
      </c>
    </row>
    <row r="1527" spans="5:17" x14ac:dyDescent="0.2">
      <c r="E1527" s="9" t="s">
        <v>24</v>
      </c>
      <c r="K1527" t="str">
        <v>breathe,</v>
      </c>
      <c r="L1527" s="4" t="str">
        <f t="shared" si="30"/>
        <v xml:space="preserve">breathe </v>
      </c>
      <c r="N1527" s="4" cm="1">
        <f t="array" ref="N1527">SUM(--(_xlfn.TEXTSPLIT($J$1387,, " ") = M1527))</f>
        <v>2</v>
      </c>
      <c r="O1527">
        <v>2</v>
      </c>
      <c r="P1527">
        <v>0</v>
      </c>
      <c r="Q1527">
        <v>2</v>
      </c>
    </row>
    <row r="1528" spans="5:17" x14ac:dyDescent="0.2">
      <c r="E1528" s="9" t="s">
        <v>24</v>
      </c>
      <c r="K1528" t="str">
        <v>pace</v>
      </c>
      <c r="L1528" s="4" t="str">
        <f t="shared" si="30"/>
        <v>pace</v>
      </c>
      <c r="N1528" s="4" cm="1">
        <f t="array" ref="N1528">SUM(--(_xlfn.TEXTSPLIT($J$1387,, " ") = M1528))</f>
        <v>2</v>
      </c>
      <c r="O1528">
        <v>2</v>
      </c>
      <c r="P1528">
        <v>0</v>
      </c>
      <c r="Q1528">
        <v>2</v>
      </c>
    </row>
    <row r="1529" spans="5:17" x14ac:dyDescent="0.2">
      <c r="E1529" s="9" t="s">
        <v>24</v>
      </c>
      <c r="K1529" t="str">
        <v>around,</v>
      </c>
      <c r="L1529" s="4" t="str">
        <f t="shared" si="30"/>
        <v xml:space="preserve">around </v>
      </c>
      <c r="N1529" s="4" cm="1">
        <f t="array" ref="N1529">SUM(--(_xlfn.TEXTSPLIT($J$1387,, " ") = M1529))</f>
        <v>2</v>
      </c>
      <c r="O1529">
        <v>2</v>
      </c>
      <c r="P1529">
        <v>0</v>
      </c>
      <c r="Q1529">
        <v>2</v>
      </c>
    </row>
    <row r="1530" spans="5:17" x14ac:dyDescent="0.2">
      <c r="E1530" s="9" t="s">
        <v>24</v>
      </c>
      <c r="K1530" t="str">
        <v>pace</v>
      </c>
      <c r="L1530" s="4" t="str">
        <f t="shared" si="30"/>
        <v>pace</v>
      </c>
      <c r="N1530" s="4" cm="1">
        <f t="array" ref="N1530">SUM(--(_xlfn.TEXTSPLIT($J$1387,, " ") = M1530))</f>
        <v>2</v>
      </c>
      <c r="O1530">
        <v>2</v>
      </c>
      <c r="P1530">
        <v>0</v>
      </c>
      <c r="Q1530">
        <v>2</v>
      </c>
    </row>
    <row r="1531" spans="5:17" x14ac:dyDescent="0.2">
      <c r="E1531" s="9" t="s">
        <v>24</v>
      </c>
      <c r="K1531" t="str">
        <v xml:space="preserve">around
</v>
      </c>
      <c r="L1531" s="4" t="str">
        <f t="shared" si="30"/>
        <v xml:space="preserve">around  </v>
      </c>
      <c r="N1531" s="4" cm="1">
        <f t="array" ref="N1531">SUM(--(_xlfn.TEXTSPLIT($J$1387,, " ") = M1531))</f>
        <v>2</v>
      </c>
      <c r="O1531">
        <v>2</v>
      </c>
      <c r="P1531">
        <v>0</v>
      </c>
      <c r="Q1531">
        <v>2</v>
      </c>
    </row>
    <row r="1532" spans="5:17" x14ac:dyDescent="0.2">
      <c r="E1532" s="9" t="s">
        <v>24</v>
      </c>
      <c r="K1532" t="str">
        <v>I</v>
      </c>
      <c r="L1532" s="4" t="str">
        <f t="shared" si="30"/>
        <v>I</v>
      </c>
      <c r="N1532" s="4" cm="1">
        <f t="array" ref="N1532">SUM(--(_xlfn.TEXTSPLIT($J$1387,, " ") = M1532))</f>
        <v>2</v>
      </c>
      <c r="O1532">
        <v>2</v>
      </c>
      <c r="P1532">
        <v>0</v>
      </c>
      <c r="Q1532">
        <v>2</v>
      </c>
    </row>
    <row r="1533" spans="5:17" x14ac:dyDescent="0.2">
      <c r="E1533" s="9" t="s">
        <v>24</v>
      </c>
      <c r="K1533" t="str">
        <v>check</v>
      </c>
      <c r="L1533" s="4" t="str">
        <f t="shared" si="30"/>
        <v>check</v>
      </c>
      <c r="N1533" s="4" cm="1">
        <f t="array" ref="N1533">SUM(--(_xlfn.TEXTSPLIT($J$1387,, " ") = M1533))</f>
        <v>2</v>
      </c>
      <c r="O1533">
        <v>2</v>
      </c>
      <c r="P1533">
        <v>0</v>
      </c>
      <c r="Q1533">
        <v>2</v>
      </c>
    </row>
    <row r="1534" spans="5:17" x14ac:dyDescent="0.2">
      <c r="E1534" s="9" t="s">
        <v>24</v>
      </c>
      <c r="K1534" t="str">
        <v>the</v>
      </c>
      <c r="L1534" s="4" t="str">
        <f t="shared" si="30"/>
        <v>the</v>
      </c>
      <c r="N1534" s="4" cm="1">
        <f t="array" ref="N1534">SUM(--(_xlfn.TEXTSPLIT($J$1387,, " ") = M1534))</f>
        <v>2</v>
      </c>
      <c r="O1534">
        <v>2</v>
      </c>
      <c r="P1534">
        <v>0</v>
      </c>
      <c r="Q1534">
        <v>2</v>
      </c>
    </row>
    <row r="1535" spans="5:17" x14ac:dyDescent="0.2">
      <c r="E1535" s="9" t="s">
        <v>24</v>
      </c>
      <c r="K1535" t="str">
        <v>doors,</v>
      </c>
      <c r="L1535" s="4" t="str">
        <f t="shared" si="30"/>
        <v xml:space="preserve">doors </v>
      </c>
      <c r="N1535" s="4" cm="1">
        <f t="array" ref="N1535">SUM(--(_xlfn.TEXTSPLIT($J$1387,, " ") = M1535))</f>
        <v>2</v>
      </c>
      <c r="O1535">
        <v>2</v>
      </c>
      <c r="P1535">
        <v>0</v>
      </c>
      <c r="Q1535">
        <v>2</v>
      </c>
    </row>
    <row r="1536" spans="5:17" x14ac:dyDescent="0.2">
      <c r="E1536" s="9" t="s">
        <v>24</v>
      </c>
      <c r="K1536" t="str">
        <v>check</v>
      </c>
      <c r="L1536" s="4" t="str">
        <f t="shared" si="30"/>
        <v>check</v>
      </c>
      <c r="N1536" s="4" cm="1">
        <f t="array" ref="N1536">SUM(--(_xlfn.TEXTSPLIT($J$1387,, " ") = M1536))</f>
        <v>2</v>
      </c>
      <c r="O1536">
        <v>2</v>
      </c>
      <c r="P1536">
        <v>0</v>
      </c>
      <c r="Q1536">
        <v>2</v>
      </c>
    </row>
    <row r="1537" spans="5:17" x14ac:dyDescent="0.2">
      <c r="E1537" s="9" t="s">
        <v>24</v>
      </c>
      <c r="K1537" t="str">
        <v>the</v>
      </c>
      <c r="L1537" s="4" t="str">
        <f t="shared" si="30"/>
        <v>the</v>
      </c>
      <c r="N1537" s="4" cm="1">
        <f t="array" ref="N1537">SUM(--(_xlfn.TEXTSPLIT($J$1387,, " ") = M1537))</f>
        <v>2</v>
      </c>
      <c r="O1537">
        <v>2</v>
      </c>
      <c r="P1537">
        <v>0</v>
      </c>
      <c r="Q1537">
        <v>2</v>
      </c>
    </row>
    <row r="1538" spans="5:17" x14ac:dyDescent="0.2">
      <c r="E1538" s="9" t="s">
        <v>24</v>
      </c>
      <c r="K1538" t="str">
        <v>windows,</v>
      </c>
      <c r="L1538" s="4" t="str">
        <f t="shared" si="30"/>
        <v xml:space="preserve">windows </v>
      </c>
      <c r="N1538" s="4" cm="1">
        <f t="array" ref="N1538">SUM(--(_xlfn.TEXTSPLIT($J$1387,, " ") = M1538))</f>
        <v>2</v>
      </c>
      <c r="O1538">
        <v>2</v>
      </c>
      <c r="P1538">
        <v>0</v>
      </c>
      <c r="Q1538">
        <v>2</v>
      </c>
    </row>
    <row r="1539" spans="5:17" x14ac:dyDescent="0.2">
      <c r="E1539" s="9" t="s">
        <v>24</v>
      </c>
      <c r="K1539" t="str">
        <v>and</v>
      </c>
      <c r="L1539" s="4" t="str">
        <f t="shared" si="30"/>
        <v>and</v>
      </c>
      <c r="N1539" s="4" cm="1">
        <f t="array" ref="N1539">SUM(--(_xlfn.TEXTSPLIT($J$1387,, " ") = M1539))</f>
        <v>2</v>
      </c>
      <c r="O1539">
        <v>2</v>
      </c>
      <c r="P1539">
        <v>0</v>
      </c>
      <c r="Q1539">
        <v>2</v>
      </c>
    </row>
    <row r="1540" spans="5:17" x14ac:dyDescent="0.2">
      <c r="E1540" s="9" t="s">
        <v>24</v>
      </c>
      <c r="K1540" t="str">
        <v>pull</v>
      </c>
      <c r="L1540" s="4" t="str">
        <f t="shared" si="30"/>
        <v>pull</v>
      </c>
      <c r="N1540" s="4" cm="1">
        <f t="array" ref="N1540">SUM(--(_xlfn.TEXTSPLIT($J$1387,, " ") = M1540))</f>
        <v>2</v>
      </c>
      <c r="O1540">
        <v>2</v>
      </c>
      <c r="P1540">
        <v>0</v>
      </c>
      <c r="Q1540">
        <v>2</v>
      </c>
    </row>
    <row r="1541" spans="5:17" x14ac:dyDescent="0.2">
      <c r="E1541" s="9" t="s">
        <v>24</v>
      </c>
      <c r="K1541" t="str">
        <v>the</v>
      </c>
      <c r="L1541" s="4" t="str">
        <f t="shared" si="30"/>
        <v>the</v>
      </c>
      <c r="N1541" s="4" cm="1">
        <f t="array" ref="N1541">SUM(--(_xlfn.TEXTSPLIT($J$1387,, " ") = M1541))</f>
        <v>2</v>
      </c>
      <c r="O1541">
        <v>2</v>
      </c>
      <c r="P1541">
        <v>0</v>
      </c>
      <c r="Q1541">
        <v>2</v>
      </c>
    </row>
    <row r="1542" spans="5:17" x14ac:dyDescent="0.2">
      <c r="E1542" s="9" t="s">
        <v>24</v>
      </c>
      <c r="K1542" t="str">
        <v xml:space="preserve">blinds
</v>
      </c>
      <c r="L1542" s="4" t="str">
        <f t="shared" si="30"/>
        <v xml:space="preserve">blinds </v>
      </c>
      <c r="N1542" s="4" cm="1">
        <f t="array" ref="N1542">SUM(--(_xlfn.TEXTSPLIT($J$1387,, " ") = M1542))</f>
        <v>2</v>
      </c>
      <c r="O1542">
        <v>2</v>
      </c>
      <c r="P1542">
        <v>0</v>
      </c>
      <c r="Q1542">
        <v>2</v>
      </c>
    </row>
    <row r="1543" spans="5:17" x14ac:dyDescent="0.2">
      <c r="E1543" s="9" t="s">
        <v>24</v>
      </c>
      <c r="K1543" t="str">
        <v>I</v>
      </c>
      <c r="L1543" s="4" t="str">
        <f t="shared" si="30"/>
        <v>I</v>
      </c>
      <c r="N1543" s="4" cm="1">
        <f t="array" ref="N1543">SUM(--(_xlfn.TEXTSPLIT($J$1387,, " ") = M1543))</f>
        <v>2</v>
      </c>
      <c r="O1543">
        <v>2</v>
      </c>
      <c r="P1543">
        <v>0</v>
      </c>
      <c r="Q1543">
        <v>2</v>
      </c>
    </row>
    <row r="1544" spans="5:17" x14ac:dyDescent="0.2">
      <c r="E1544" s="9" t="s">
        <v>24</v>
      </c>
      <c r="K1544" t="str">
        <v>check</v>
      </c>
      <c r="L1544" s="4" t="str">
        <f t="shared" si="30"/>
        <v>check</v>
      </c>
      <c r="N1544" s="4" cm="1">
        <f t="array" ref="N1544">SUM(--(_xlfn.TEXTSPLIT($J$1387,, " ") = M1544))</f>
        <v>2</v>
      </c>
      <c r="O1544">
        <v>2</v>
      </c>
      <c r="P1544">
        <v>0</v>
      </c>
      <c r="Q1544">
        <v>2</v>
      </c>
    </row>
    <row r="1545" spans="5:17" x14ac:dyDescent="0.2">
      <c r="E1545" s="9" t="s">
        <v>24</v>
      </c>
      <c r="K1545" t="str">
        <v>the</v>
      </c>
      <c r="L1545" s="4" t="str">
        <f t="shared" si="30"/>
        <v>the</v>
      </c>
      <c r="N1545" s="4" cm="1">
        <f t="array" ref="N1545">SUM(--(_xlfn.TEXTSPLIT($J$1387,, " ") = M1545))</f>
        <v>2</v>
      </c>
      <c r="O1545">
        <v>2</v>
      </c>
      <c r="P1545">
        <v>0</v>
      </c>
      <c r="Q1545">
        <v>2</v>
      </c>
    </row>
    <row r="1546" spans="5:17" x14ac:dyDescent="0.2">
      <c r="E1546" s="9" t="s">
        <v>24</v>
      </c>
      <c r="K1546" t="str">
        <v>clock,</v>
      </c>
      <c r="L1546" s="4" t="str">
        <f t="shared" si="30"/>
        <v xml:space="preserve">clock </v>
      </c>
      <c r="N1546" s="4" cm="1">
        <f t="array" ref="N1546">SUM(--(_xlfn.TEXTSPLIT($J$1387,, " ") = M1546))</f>
        <v>2</v>
      </c>
      <c r="O1546">
        <v>2</v>
      </c>
      <c r="P1546">
        <v>0</v>
      </c>
      <c r="Q1546">
        <v>2</v>
      </c>
    </row>
    <row r="1547" spans="5:17" x14ac:dyDescent="0.2">
      <c r="E1547" s="9" t="s">
        <v>24</v>
      </c>
      <c r="K1547" t="str">
        <v>wondering</v>
      </c>
      <c r="L1547" s="4" t="str">
        <f t="shared" si="30"/>
        <v>wondering</v>
      </c>
      <c r="N1547" s="4" cm="1">
        <f t="array" ref="N1547">SUM(--(_xlfn.TEXTSPLIT($J$1387,, " ") = M1547))</f>
        <v>2</v>
      </c>
      <c r="O1547">
        <v>2</v>
      </c>
      <c r="P1547">
        <v>0</v>
      </c>
      <c r="Q1547">
        <v>2</v>
      </c>
    </row>
    <row r="1548" spans="5:17" x14ac:dyDescent="0.2">
      <c r="E1548" s="9" t="s">
        <v>24</v>
      </c>
      <c r="K1548" t="str">
        <v>what</v>
      </c>
      <c r="L1548" s="4" t="str">
        <f t="shared" si="30"/>
        <v>what</v>
      </c>
      <c r="N1548" s="4" cm="1">
        <f t="array" ref="N1548">SUM(--(_xlfn.TEXTSPLIT($J$1387,, " ") = M1548))</f>
        <v>2</v>
      </c>
      <c r="O1548">
        <v>2</v>
      </c>
      <c r="P1548">
        <v>0</v>
      </c>
      <c r="Q1548">
        <v>2</v>
      </c>
    </row>
    <row r="1549" spans="5:17" x14ac:dyDescent="0.2">
      <c r="E1549" s="9" t="s">
        <v>24</v>
      </c>
      <c r="K1549" t="str">
        <v>he'll</v>
      </c>
      <c r="L1549" s="4" t="str">
        <f t="shared" si="30"/>
        <v>he ll</v>
      </c>
      <c r="N1549" s="4" cm="1">
        <f t="array" ref="N1549">SUM(--(_xlfn.TEXTSPLIT($J$1387,, " ") = M1549))</f>
        <v>2</v>
      </c>
      <c r="O1549">
        <v>2</v>
      </c>
      <c r="P1549">
        <v>0</v>
      </c>
      <c r="Q1549">
        <v>2</v>
      </c>
    </row>
    <row r="1550" spans="5:17" x14ac:dyDescent="0.2">
      <c r="E1550" s="9" t="s">
        <v>24</v>
      </c>
      <c r="K1550" t="str">
        <v>pull</v>
      </c>
      <c r="L1550" s="4" t="str">
        <f t="shared" si="30"/>
        <v>pull</v>
      </c>
      <c r="N1550" s="4" cm="1">
        <f t="array" ref="N1550">SUM(--(_xlfn.TEXTSPLIT($J$1387,, " ") = M1550))</f>
        <v>2</v>
      </c>
      <c r="O1550">
        <v>2</v>
      </c>
      <c r="P1550">
        <v>0</v>
      </c>
      <c r="Q1550">
        <v>2</v>
      </c>
    </row>
    <row r="1551" spans="5:17" x14ac:dyDescent="0.2">
      <c r="E1551" s="9" t="s">
        <v>24</v>
      </c>
      <c r="K1551" t="str">
        <v>this</v>
      </c>
      <c r="L1551" s="4" t="str">
        <f t="shared" si="30"/>
        <v>this</v>
      </c>
      <c r="N1551" s="4" cm="1">
        <f t="array" ref="N1551">SUM(--(_xlfn.TEXTSPLIT($J$1387,, " ") = M1551))</f>
        <v>2</v>
      </c>
      <c r="O1551">
        <v>2</v>
      </c>
      <c r="P1551">
        <v>0</v>
      </c>
      <c r="Q1551">
        <v>2</v>
      </c>
    </row>
    <row r="1552" spans="5:17" x14ac:dyDescent="0.2">
      <c r="E1552" s="9" t="s">
        <v>24</v>
      </c>
      <c r="K1552" t="str">
        <v xml:space="preserve">time
</v>
      </c>
      <c r="L1552" s="4" t="str">
        <f t="shared" si="30"/>
        <v xml:space="preserve">time </v>
      </c>
      <c r="N1552" s="4" cm="1">
        <f t="array" ref="N1552">SUM(--(_xlfn.TEXTSPLIT($J$1387,, " ") = M1552))</f>
        <v>2</v>
      </c>
      <c r="O1552">
        <v>2</v>
      </c>
      <c r="P1552">
        <v>0</v>
      </c>
      <c r="Q1552">
        <v>2</v>
      </c>
    </row>
    <row r="1553" spans="5:17" x14ac:dyDescent="0.2">
      <c r="E1553" s="9" t="s">
        <v>24</v>
      </c>
      <c r="K1553" t="str">
        <v>I</v>
      </c>
      <c r="L1553" s="4" t="str">
        <f t="shared" si="30"/>
        <v>I</v>
      </c>
      <c r="N1553" s="4" cm="1">
        <f t="array" ref="N1553">SUM(--(_xlfn.TEXTSPLIT($J$1387,, " ") = M1553))</f>
        <v>2</v>
      </c>
      <c r="O1553">
        <v>2</v>
      </c>
      <c r="P1553">
        <v>0</v>
      </c>
      <c r="Q1553">
        <v>2</v>
      </c>
    </row>
    <row r="1554" spans="5:17" x14ac:dyDescent="0.2">
      <c r="E1554" s="9" t="s">
        <v>24</v>
      </c>
      <c r="K1554" t="str">
        <v>have</v>
      </c>
      <c r="L1554" s="4" t="str">
        <f t="shared" si="30"/>
        <v>have</v>
      </c>
      <c r="N1554" s="4" cm="1">
        <f t="array" ref="N1554">SUM(--(_xlfn.TEXTSPLIT($J$1387,, " ") = M1554))</f>
        <v>2</v>
      </c>
      <c r="O1554">
        <v>2</v>
      </c>
      <c r="P1554">
        <v>0</v>
      </c>
      <c r="Q1554">
        <v>2</v>
      </c>
    </row>
    <row r="1555" spans="5:17" x14ac:dyDescent="0.2">
      <c r="E1555" s="9" t="s">
        <v>24</v>
      </c>
      <c r="K1555" t="str">
        <v>a</v>
      </c>
      <c r="L1555" s="4" t="str">
        <f t="shared" si="30"/>
        <v>a</v>
      </c>
      <c r="N1555" s="4" cm="1">
        <f t="array" ref="N1555">SUM(--(_xlfn.TEXTSPLIT($J$1387,, " ") = M1555))</f>
        <v>2</v>
      </c>
      <c r="O1555">
        <v>2</v>
      </c>
      <c r="P1555">
        <v>0</v>
      </c>
      <c r="Q1555">
        <v>2</v>
      </c>
    </row>
    <row r="1556" spans="5:17" x14ac:dyDescent="0.2">
      <c r="E1556" s="9" t="s">
        <v>24</v>
      </c>
      <c r="K1556" t="str">
        <v>feeling</v>
      </c>
      <c r="L1556" s="4" t="str">
        <f t="shared" si="30"/>
        <v>feeling</v>
      </c>
      <c r="N1556" s="4" cm="1">
        <f t="array" ref="N1556">SUM(--(_xlfn.TEXTSPLIT($J$1387,, " ") = M1556))</f>
        <v>2</v>
      </c>
      <c r="O1556">
        <v>2</v>
      </c>
      <c r="P1556">
        <v>0</v>
      </c>
      <c r="Q1556">
        <v>2</v>
      </c>
    </row>
    <row r="1557" spans="5:17" x14ac:dyDescent="0.2">
      <c r="E1557" s="9" t="s">
        <v>24</v>
      </c>
      <c r="K1557" t="str">
        <v>that</v>
      </c>
      <c r="L1557" s="4" t="str">
        <f t="shared" si="30"/>
        <v>that</v>
      </c>
      <c r="N1557" s="4" cm="1">
        <f t="array" ref="N1557">SUM(--(_xlfn.TEXTSPLIT($J$1387,, " ") = M1557))</f>
        <v>2</v>
      </c>
      <c r="O1557">
        <v>2</v>
      </c>
      <c r="P1557">
        <v>0</v>
      </c>
      <c r="Q1557">
        <v>2</v>
      </c>
    </row>
    <row r="1558" spans="5:17" x14ac:dyDescent="0.2">
      <c r="E1558" s="9" t="s">
        <v>24</v>
      </c>
      <c r="K1558" t="str">
        <v>necromancer's</v>
      </c>
      <c r="L1558" s="4" t="str">
        <f t="shared" si="30"/>
        <v>necromancer s</v>
      </c>
      <c r="N1558" s="4" cm="1">
        <f t="array" ref="N1558">SUM(--(_xlfn.TEXTSPLIT($J$1387,, " ") = M1558))</f>
        <v>2</v>
      </c>
      <c r="O1558">
        <v>2</v>
      </c>
      <c r="P1558">
        <v>0</v>
      </c>
      <c r="Q1558">
        <v>2</v>
      </c>
    </row>
    <row r="1559" spans="5:17" x14ac:dyDescent="0.2">
      <c r="E1559" s="9" t="s">
        <v>24</v>
      </c>
      <c r="K1559" t="str">
        <v xml:space="preserve">outside
</v>
      </c>
      <c r="L1559" s="4" t="str">
        <f t="shared" si="30"/>
        <v xml:space="preserve">outside </v>
      </c>
      <c r="N1559" s="4" cm="1">
        <f t="array" ref="N1559">SUM(--(_xlfn.TEXTSPLIT($J$1387,, " ") = M1559))</f>
        <v>2</v>
      </c>
      <c r="O1559">
        <v>2</v>
      </c>
      <c r="P1559">
        <v>0</v>
      </c>
      <c r="Q1559">
        <v>2</v>
      </c>
    </row>
    <row r="1560" spans="5:17" x14ac:dyDescent="0.2">
      <c r="E1560" s="9" t="s">
        <v>24</v>
      </c>
      <c r="K1560" t="str">
        <v>And</v>
      </c>
      <c r="L1560" s="4" t="str">
        <f t="shared" si="30"/>
        <v>And</v>
      </c>
      <c r="N1560" s="4" cm="1">
        <f t="array" ref="N1560">SUM(--(_xlfn.TEXTSPLIT($J$1387,, " ") = M1560))</f>
        <v>2</v>
      </c>
      <c r="O1560">
        <v>2</v>
      </c>
      <c r="P1560">
        <v>0</v>
      </c>
      <c r="Q1560">
        <v>2</v>
      </c>
    </row>
    <row r="1561" spans="5:17" x14ac:dyDescent="0.2">
      <c r="E1561" s="9" t="s">
        <v>24</v>
      </c>
      <c r="K1561" t="str">
        <v>I'm</v>
      </c>
      <c r="L1561" s="4" t="str">
        <f t="shared" si="30"/>
        <v>I m</v>
      </c>
      <c r="N1561" s="4" cm="1">
        <f t="array" ref="N1561">SUM(--(_xlfn.TEXTSPLIT($J$1387,, " ") = M1561))</f>
        <v>2</v>
      </c>
      <c r="O1561">
        <v>2</v>
      </c>
      <c r="P1561">
        <v>0</v>
      </c>
      <c r="Q1561">
        <v>2</v>
      </c>
    </row>
    <row r="1562" spans="5:17" x14ac:dyDescent="0.2">
      <c r="E1562" s="9" t="s">
        <v>24</v>
      </c>
      <c r="K1562" t="str">
        <v>just</v>
      </c>
      <c r="L1562" s="4" t="str">
        <f t="shared" si="30"/>
        <v>just</v>
      </c>
      <c r="N1562" s="4" cm="1">
        <f t="array" ref="N1562">SUM(--(_xlfn.TEXTSPLIT($J$1387,, " ") = M1562))</f>
        <v>2</v>
      </c>
      <c r="O1562">
        <v>2</v>
      </c>
      <c r="P1562">
        <v>0</v>
      </c>
      <c r="Q1562">
        <v>2</v>
      </c>
    </row>
    <row r="1563" spans="5:17" x14ac:dyDescent="0.2">
      <c r="E1563" s="9" t="s">
        <v>24</v>
      </c>
      <c r="K1563" t="str">
        <v>tryin'</v>
      </c>
      <c r="L1563" s="4" t="str">
        <f t="shared" si="30"/>
        <v xml:space="preserve">tryin </v>
      </c>
      <c r="N1563" s="4" cm="1">
        <f t="array" ref="N1563">SUM(--(_xlfn.TEXTSPLIT($J$1387,, " ") = M1563))</f>
        <v>2</v>
      </c>
      <c r="O1563">
        <v>2</v>
      </c>
      <c r="P1563">
        <v>0</v>
      </c>
      <c r="Q1563">
        <v>2</v>
      </c>
    </row>
    <row r="1564" spans="5:17" x14ac:dyDescent="0.2">
      <c r="E1564" s="9" t="s">
        <v>24</v>
      </c>
      <c r="K1564" t="str">
        <v>to</v>
      </c>
      <c r="L1564" s="4" t="str">
        <f t="shared" si="30"/>
        <v>to</v>
      </c>
      <c r="N1564" s="4" cm="1">
        <f t="array" ref="N1564">SUM(--(_xlfn.TEXTSPLIT($J$1387,, " ") = M1564))</f>
        <v>2</v>
      </c>
      <c r="O1564">
        <v>2</v>
      </c>
      <c r="P1564">
        <v>0</v>
      </c>
      <c r="Q1564">
        <v>2</v>
      </c>
    </row>
    <row r="1565" spans="5:17" x14ac:dyDescent="0.2">
      <c r="E1565" s="9" t="s">
        <v>24</v>
      </c>
      <c r="K1565" t="str">
        <v>stay</v>
      </c>
      <c r="L1565" s="4" t="str">
        <f t="shared" si="30"/>
        <v>stay</v>
      </c>
      <c r="N1565" s="4" cm="1">
        <f t="array" ref="N1565">SUM(--(_xlfn.TEXTSPLIT($J$1387,, " ") = M1565))</f>
        <v>2</v>
      </c>
      <c r="O1565">
        <v>2</v>
      </c>
      <c r="P1565">
        <v>0</v>
      </c>
      <c r="Q1565">
        <v>2</v>
      </c>
    </row>
    <row r="1566" spans="5:17" x14ac:dyDescent="0.2">
      <c r="E1566" s="9" t="s">
        <v>24</v>
      </c>
      <c r="K1566" t="str">
        <v xml:space="preserve">quiet
</v>
      </c>
      <c r="L1566" s="4" t="str">
        <f t="shared" si="30"/>
        <v xml:space="preserve">quiet  </v>
      </c>
      <c r="N1566" s="4" cm="1">
        <f t="array" ref="N1566">SUM(--(_xlfn.TEXTSPLIT($J$1387,, " ") = M1566))</f>
        <v>2</v>
      </c>
      <c r="O1566">
        <v>2</v>
      </c>
      <c r="P1566">
        <v>0</v>
      </c>
      <c r="Q1566">
        <v>2</v>
      </c>
    </row>
    <row r="1567" spans="5:17" x14ac:dyDescent="0.2">
      <c r="E1567" s="9" t="s">
        <v>24</v>
      </c>
      <c r="K1567" t="str">
        <v>I</v>
      </c>
      <c r="L1567" s="4" t="str">
        <f t="shared" si="30"/>
        <v>I</v>
      </c>
      <c r="N1567" s="4" cm="1">
        <f t="array" ref="N1567">SUM(--(_xlfn.TEXTSPLIT($J$1387,, " ") = M1567))</f>
        <v>2</v>
      </c>
      <c r="O1567">
        <v>2</v>
      </c>
      <c r="P1567">
        <v>0</v>
      </c>
      <c r="Q1567">
        <v>2</v>
      </c>
    </row>
    <row r="1568" spans="5:17" x14ac:dyDescent="0.2">
      <c r="E1568" s="9" t="s">
        <v>24</v>
      </c>
      <c r="K1568" t="str">
        <v>don't</v>
      </c>
      <c r="L1568" s="4" t="str">
        <f t="shared" si="30"/>
        <v>don t</v>
      </c>
      <c r="N1568" s="4" cm="1">
        <f t="array" ref="N1568">SUM(--(_xlfn.TEXTSPLIT($J$1387,, " ") = M1568))</f>
        <v>2</v>
      </c>
      <c r="O1568">
        <v>2</v>
      </c>
      <c r="P1568">
        <v>0</v>
      </c>
      <c r="Q1568">
        <v>2</v>
      </c>
    </row>
    <row r="1569" spans="5:17" x14ac:dyDescent="0.2">
      <c r="E1569" s="9" t="s">
        <v>24</v>
      </c>
      <c r="K1569" t="str">
        <v>sleep</v>
      </c>
      <c r="L1569" s="4" t="str">
        <f t="shared" si="30"/>
        <v>sleep</v>
      </c>
      <c r="N1569" s="4" cm="1">
        <f t="array" ref="N1569">SUM(--(_xlfn.TEXTSPLIT($J$1387,, " ") = M1569))</f>
        <v>2</v>
      </c>
      <c r="O1569">
        <v>2</v>
      </c>
      <c r="P1569">
        <v>0</v>
      </c>
      <c r="Q1569">
        <v>2</v>
      </c>
    </row>
    <row r="1570" spans="5:17" x14ac:dyDescent="0.2">
      <c r="E1570" s="9" t="s">
        <v>24</v>
      </c>
      <c r="K1570" t="str">
        <v>much,</v>
      </c>
      <c r="L1570" s="4" t="str">
        <f t="shared" si="30"/>
        <v xml:space="preserve">much </v>
      </c>
      <c r="N1570" s="4" cm="1">
        <f t="array" ref="N1570">SUM(--(_xlfn.TEXTSPLIT($J$1387,, " ") = M1570))</f>
        <v>2</v>
      </c>
      <c r="O1570">
        <v>2</v>
      </c>
      <c r="P1570">
        <v>0</v>
      </c>
      <c r="Q1570">
        <v>2</v>
      </c>
    </row>
    <row r="1571" spans="5:17" x14ac:dyDescent="0.2">
      <c r="E1571" s="9" t="s">
        <v>24</v>
      </c>
      <c r="K1571" t="str">
        <v>that's</v>
      </c>
      <c r="L1571" s="4" t="str">
        <f t="shared" si="30"/>
        <v>that s</v>
      </c>
      <c r="N1571" s="4" cm="1">
        <f t="array" ref="N1571">SUM(--(_xlfn.TEXTSPLIT($J$1387,, " ") = M1571))</f>
        <v>2</v>
      </c>
      <c r="O1571">
        <v>2</v>
      </c>
      <c r="P1571">
        <v>0</v>
      </c>
      <c r="Q1571">
        <v>2</v>
      </c>
    </row>
    <row r="1572" spans="5:17" x14ac:dyDescent="0.2">
      <c r="E1572" s="9" t="s">
        <v>24</v>
      </c>
      <c r="K1572" t="str">
        <v>crazy,</v>
      </c>
      <c r="L1572" s="4" t="str">
        <f t="shared" si="30"/>
        <v xml:space="preserve">crazy </v>
      </c>
      <c r="N1572" s="4" cm="1">
        <f t="array" ref="N1572">SUM(--(_xlfn.TEXTSPLIT($J$1387,, " ") = M1572))</f>
        <v>2</v>
      </c>
      <c r="O1572">
        <v>2</v>
      </c>
      <c r="P1572">
        <v>0</v>
      </c>
      <c r="Q1572">
        <v>2</v>
      </c>
    </row>
    <row r="1573" spans="5:17" x14ac:dyDescent="0.2">
      <c r="E1573" s="9" t="s">
        <v>24</v>
      </c>
      <c r="K1573" t="str">
        <v>how'd</v>
      </c>
      <c r="L1573" s="4" t="str">
        <f t="shared" si="30"/>
        <v>how d</v>
      </c>
      <c r="N1573" s="4" cm="1">
        <f t="array" ref="N1573">SUM(--(_xlfn.TEXTSPLIT($J$1387,, " ") = M1573))</f>
        <v>2</v>
      </c>
      <c r="O1573">
        <v>2</v>
      </c>
      <c r="P1573">
        <v>0</v>
      </c>
      <c r="Q1573">
        <v>2</v>
      </c>
    </row>
    <row r="1574" spans="5:17" x14ac:dyDescent="0.2">
      <c r="E1574" s="9" t="s">
        <v>24</v>
      </c>
      <c r="K1574" t="str">
        <v>you</v>
      </c>
      <c r="L1574" s="4" t="str">
        <f t="shared" si="30"/>
        <v>you</v>
      </c>
      <c r="N1574" s="4" cm="1">
        <f t="array" ref="N1574">SUM(--(_xlfn.TEXTSPLIT($J$1387,, " ") = M1574))</f>
        <v>2</v>
      </c>
      <c r="O1574">
        <v>2</v>
      </c>
      <c r="P1574">
        <v>0</v>
      </c>
      <c r="Q1574">
        <v>2</v>
      </c>
    </row>
    <row r="1575" spans="5:17" x14ac:dyDescent="0.2">
      <c r="E1575" s="9" t="s">
        <v>24</v>
      </c>
      <c r="K1575" t="str">
        <v>know</v>
      </c>
      <c r="L1575" s="4" t="str">
        <f t="shared" si="30"/>
        <v>know</v>
      </c>
      <c r="N1575" s="4" cm="1">
        <f t="array" ref="N1575">SUM(--(_xlfn.TEXTSPLIT($J$1387,, " ") = M1575))</f>
        <v>2</v>
      </c>
      <c r="O1575">
        <v>2</v>
      </c>
      <c r="P1575">
        <v>0</v>
      </c>
      <c r="Q1575">
        <v>2</v>
      </c>
    </row>
    <row r="1576" spans="5:17" x14ac:dyDescent="0.2">
      <c r="E1576" s="9" t="s">
        <v>24</v>
      </c>
      <c r="K1576" t="str">
        <v>that?</v>
      </c>
      <c r="L1576" s="4" t="str">
        <f t="shared" si="30"/>
        <v xml:space="preserve">that </v>
      </c>
      <c r="N1576" s="4" cm="1">
        <f t="array" ref="N1576">SUM(--(_xlfn.TEXTSPLIT($J$1387,, " ") = M1576))</f>
        <v>2</v>
      </c>
      <c r="O1576">
        <v>2</v>
      </c>
      <c r="P1576">
        <v>0</v>
      </c>
      <c r="Q1576">
        <v>2</v>
      </c>
    </row>
    <row r="1577" spans="5:17" x14ac:dyDescent="0.2">
      <c r="E1577" s="9" t="s">
        <v>24</v>
      </c>
      <c r="K1577" t="str">
        <v xml:space="preserve">(That)
</v>
      </c>
      <c r="L1577" s="4" t="str">
        <f t="shared" si="30"/>
        <v xml:space="preserve"> That  </v>
      </c>
      <c r="N1577" s="4" cm="1">
        <f t="array" ref="N1577">SUM(--(_xlfn.TEXTSPLIT($J$1387,, " ") = M1577))</f>
        <v>2</v>
      </c>
      <c r="O1577">
        <v>2</v>
      </c>
      <c r="P1577">
        <v>0</v>
      </c>
      <c r="Q1577">
        <v>2</v>
      </c>
    </row>
    <row r="1578" spans="5:17" x14ac:dyDescent="0.2">
      <c r="E1578" s="9" t="s">
        <v>24</v>
      </c>
      <c r="K1578" t="str">
        <v>Keep</v>
      </c>
      <c r="L1578" s="4" t="str">
        <f t="shared" si="30"/>
        <v>Keep</v>
      </c>
      <c r="N1578" s="4" cm="1">
        <f t="array" ref="N1578">SUM(--(_xlfn.TEXTSPLIT($J$1387,, " ") = M1578))</f>
        <v>2</v>
      </c>
      <c r="O1578">
        <v>2</v>
      </c>
      <c r="P1578">
        <v>0</v>
      </c>
      <c r="Q1578">
        <v>2</v>
      </c>
    </row>
    <row r="1579" spans="5:17" x14ac:dyDescent="0.2">
      <c r="E1579" s="9" t="s">
        <v>24</v>
      </c>
      <c r="K1579" t="str">
        <v>myself</v>
      </c>
      <c r="L1579" s="4" t="str">
        <f t="shared" si="30"/>
        <v>myself</v>
      </c>
      <c r="N1579" s="4" cm="1">
        <f t="array" ref="N1579">SUM(--(_xlfn.TEXTSPLIT($J$1387,, " ") = M1579))</f>
        <v>2</v>
      </c>
      <c r="O1579">
        <v>2</v>
      </c>
      <c r="P1579">
        <v>0</v>
      </c>
      <c r="Q1579">
        <v>2</v>
      </c>
    </row>
    <row r="1580" spans="5:17" x14ac:dyDescent="0.2">
      <c r="E1580" s="9" t="s">
        <v>24</v>
      </c>
      <c r="K1580" t="str">
        <v>up,</v>
      </c>
      <c r="L1580" s="4" t="str">
        <f t="shared" si="30"/>
        <v xml:space="preserve">up </v>
      </c>
      <c r="N1580" s="4" cm="1">
        <f t="array" ref="N1580">SUM(--(_xlfn.TEXTSPLIT($J$1387,, " ") = M1580))</f>
        <v>2</v>
      </c>
      <c r="O1580">
        <v>2</v>
      </c>
      <c r="P1580">
        <v>0</v>
      </c>
      <c r="Q1580">
        <v>2</v>
      </c>
    </row>
    <row r="1581" spans="5:17" x14ac:dyDescent="0.2">
      <c r="E1581" s="9" t="s">
        <v>24</v>
      </c>
      <c r="K1581" t="str">
        <v>that's</v>
      </c>
      <c r="L1581" s="4" t="str">
        <f t="shared" ref="L1581:L1644" si="31">_xlfn.REGEXREPLACE(K1581, "[^A-Za-z ]", " ")</f>
        <v>that s</v>
      </c>
      <c r="N1581" s="4" cm="1">
        <f t="array" ref="N1581">SUM(--(_xlfn.TEXTSPLIT($J$1387,, " ") = M1581))</f>
        <v>2</v>
      </c>
      <c r="O1581">
        <v>2</v>
      </c>
      <c r="P1581">
        <v>0</v>
      </c>
      <c r="Q1581">
        <v>2</v>
      </c>
    </row>
    <row r="1582" spans="5:17" x14ac:dyDescent="0.2">
      <c r="E1582" s="9" t="s">
        <v>24</v>
      </c>
      <c r="K1582" t="str">
        <v>maybe</v>
      </c>
      <c r="L1582" s="4" t="str">
        <f t="shared" si="31"/>
        <v>maybe</v>
      </c>
      <c r="N1582" s="4" cm="1">
        <f t="array" ref="N1582">SUM(--(_xlfn.TEXTSPLIT($J$1387,, " ") = M1582))</f>
        <v>2</v>
      </c>
      <c r="O1582">
        <v>2</v>
      </c>
      <c r="P1582">
        <v>0</v>
      </c>
      <c r="Q1582">
        <v>2</v>
      </c>
    </row>
    <row r="1583" spans="5:17" x14ac:dyDescent="0.2">
      <c r="E1583" s="9" t="s">
        <v>24</v>
      </c>
      <c r="K1583" t="str">
        <v>how</v>
      </c>
      <c r="L1583" s="4" t="str">
        <f t="shared" si="31"/>
        <v>how</v>
      </c>
      <c r="N1583" s="4" cm="1">
        <f t="array" ref="N1583">SUM(--(_xlfn.TEXTSPLIT($J$1387,, " ") = M1583))</f>
        <v>2</v>
      </c>
      <c r="O1583">
        <v>2</v>
      </c>
      <c r="P1583">
        <v>0</v>
      </c>
      <c r="Q1583">
        <v>2</v>
      </c>
    </row>
    <row r="1584" spans="5:17" x14ac:dyDescent="0.2">
      <c r="E1584" s="9" t="s">
        <v>24</v>
      </c>
      <c r="K1584" t="str">
        <v>you</v>
      </c>
      <c r="L1584" s="4" t="str">
        <f t="shared" si="31"/>
        <v>you</v>
      </c>
      <c r="N1584" s="4" cm="1">
        <f t="array" ref="N1584">SUM(--(_xlfn.TEXTSPLIT($J$1387,, " ") = M1584))</f>
        <v>2</v>
      </c>
      <c r="O1584">
        <v>2</v>
      </c>
      <c r="P1584">
        <v>0</v>
      </c>
      <c r="Q1584">
        <v>2</v>
      </c>
    </row>
    <row r="1585" spans="5:17" x14ac:dyDescent="0.2">
      <c r="E1585" s="9" t="s">
        <v>24</v>
      </c>
      <c r="K1585" t="str">
        <v>know</v>
      </c>
      <c r="L1585" s="4" t="str">
        <f t="shared" si="31"/>
        <v>know</v>
      </c>
      <c r="N1585" s="4" cm="1">
        <f t="array" ref="N1585">SUM(--(_xlfn.TEXTSPLIT($J$1387,, " ") = M1585))</f>
        <v>2</v>
      </c>
      <c r="O1585">
        <v>2</v>
      </c>
      <c r="P1585">
        <v>0</v>
      </c>
      <c r="Q1585">
        <v>2</v>
      </c>
    </row>
    <row r="1586" spans="5:17" x14ac:dyDescent="0.2">
      <c r="E1586" s="9" t="s">
        <v>24</v>
      </c>
      <c r="K1586" t="str">
        <v>that</v>
      </c>
      <c r="L1586" s="4" t="str">
        <f t="shared" si="31"/>
        <v>that</v>
      </c>
      <c r="N1586" s="4" cm="1">
        <f t="array" ref="N1586">SUM(--(_xlfn.TEXTSPLIT($J$1387,, " ") = M1586))</f>
        <v>2</v>
      </c>
      <c r="O1586">
        <v>2</v>
      </c>
      <c r="P1586">
        <v>0</v>
      </c>
      <c r="Q1586">
        <v>2</v>
      </c>
    </row>
    <row r="1587" spans="5:17" x14ac:dyDescent="0.2">
      <c r="E1587" s="9" t="s">
        <v>24</v>
      </c>
      <c r="K1587" t="str">
        <v>(That,</v>
      </c>
      <c r="L1587" s="4" t="str">
        <f t="shared" si="31"/>
        <v xml:space="preserve"> That </v>
      </c>
      <c r="N1587" s="4" cm="1">
        <f t="array" ref="N1587">SUM(--(_xlfn.TEXTSPLIT($J$1387,, " ") = M1587))</f>
        <v>2</v>
      </c>
      <c r="O1587">
        <v>2</v>
      </c>
      <c r="P1587">
        <v>0</v>
      </c>
      <c r="Q1587">
        <v>2</v>
      </c>
    </row>
    <row r="1588" spans="5:17" x14ac:dyDescent="0.2">
      <c r="E1588" s="9" t="s">
        <v>24</v>
      </c>
      <c r="K1588" t="str">
        <v xml:space="preserve">that)
</v>
      </c>
      <c r="L1588" s="4" t="str">
        <f t="shared" si="31"/>
        <v xml:space="preserve">that  </v>
      </c>
      <c r="N1588" s="4" cm="1">
        <f t="array" ref="N1588">SUM(--(_xlfn.TEXTSPLIT($J$1387,, " ") = M1588))</f>
        <v>2</v>
      </c>
      <c r="O1588">
        <v>2</v>
      </c>
      <c r="P1588">
        <v>0</v>
      </c>
      <c r="Q1588">
        <v>2</v>
      </c>
    </row>
    <row r="1589" spans="5:17" x14ac:dyDescent="0.2">
      <c r="E1589" s="9" t="s">
        <v>24</v>
      </c>
      <c r="K1589" t="str">
        <v>Ooh,</v>
      </c>
      <c r="L1589" s="4" t="str">
        <f t="shared" si="31"/>
        <v xml:space="preserve">Ooh </v>
      </c>
      <c r="N1589" s="4" cm="1">
        <f t="array" ref="N1589">SUM(--(_xlfn.TEXTSPLIT($J$1387,, " ") = M1589))</f>
        <v>2</v>
      </c>
      <c r="O1589">
        <v>2</v>
      </c>
      <c r="P1589">
        <v>0</v>
      </c>
      <c r="Q1589">
        <v>2</v>
      </c>
    </row>
    <row r="1590" spans="5:17" x14ac:dyDescent="0.2">
      <c r="E1590" s="9" t="s">
        <v>24</v>
      </c>
      <c r="K1590" t="str">
        <v>promises</v>
      </c>
      <c r="L1590" s="4" t="str">
        <f t="shared" si="31"/>
        <v>promises</v>
      </c>
      <c r="N1590" s="4" cm="1">
        <f t="array" ref="N1590">SUM(--(_xlfn.TEXTSPLIT($J$1387,, " ") = M1590))</f>
        <v>2</v>
      </c>
      <c r="O1590">
        <v>2</v>
      </c>
      <c r="P1590">
        <v>0</v>
      </c>
      <c r="Q1590">
        <v>2</v>
      </c>
    </row>
    <row r="1591" spans="5:17" x14ac:dyDescent="0.2">
      <c r="E1591" s="9" t="s">
        <v>24</v>
      </c>
      <c r="K1591" t="str">
        <v>and</v>
      </c>
      <c r="L1591" s="4" t="str">
        <f t="shared" si="31"/>
        <v>and</v>
      </c>
      <c r="N1591" s="4" cm="1">
        <f t="array" ref="N1591">SUM(--(_xlfn.TEXTSPLIT($J$1387,, " ") = M1591))</f>
        <v>2</v>
      </c>
      <c r="O1591">
        <v>2</v>
      </c>
      <c r="P1591">
        <v>0</v>
      </c>
      <c r="Q1591">
        <v>2</v>
      </c>
    </row>
    <row r="1592" spans="5:17" x14ac:dyDescent="0.2">
      <c r="E1592" s="9" t="s">
        <v>24</v>
      </c>
      <c r="K1592" t="str">
        <v>contracts</v>
      </c>
      <c r="L1592" s="4" t="str">
        <f t="shared" si="31"/>
        <v>contracts</v>
      </c>
      <c r="N1592" s="4" cm="1">
        <f t="array" ref="N1592">SUM(--(_xlfn.TEXTSPLIT($J$1387,, " ") = M1592))</f>
        <v>2</v>
      </c>
      <c r="O1592">
        <v>2</v>
      </c>
      <c r="P1592">
        <v>0</v>
      </c>
      <c r="Q1592">
        <v>2</v>
      </c>
    </row>
    <row r="1593" spans="5:17" x14ac:dyDescent="0.2">
      <c r="E1593" s="9" t="s">
        <v>24</v>
      </c>
      <c r="K1593" t="str">
        <v>I</v>
      </c>
      <c r="L1593" s="4" t="str">
        <f t="shared" si="31"/>
        <v>I</v>
      </c>
      <c r="N1593" s="4" cm="1">
        <f t="array" ref="N1593">SUM(--(_xlfn.TEXTSPLIT($J$1387,, " ") = M1593))</f>
        <v>2</v>
      </c>
      <c r="O1593">
        <v>2</v>
      </c>
      <c r="P1593">
        <v>0</v>
      </c>
      <c r="Q1593">
        <v>2</v>
      </c>
    </row>
    <row r="1594" spans="5:17" x14ac:dyDescent="0.2">
      <c r="E1594" s="9" t="s">
        <v>24</v>
      </c>
      <c r="K1594" t="str">
        <v>used</v>
      </c>
      <c r="L1594" s="4" t="str">
        <f t="shared" si="31"/>
        <v>used</v>
      </c>
      <c r="N1594" s="4" cm="1">
        <f t="array" ref="N1594">SUM(--(_xlfn.TEXTSPLIT($J$1387,, " ") = M1594))</f>
        <v>2</v>
      </c>
      <c r="O1594">
        <v>2</v>
      </c>
      <c r="P1594">
        <v>0</v>
      </c>
      <c r="Q1594">
        <v>2</v>
      </c>
    </row>
    <row r="1595" spans="5:17" x14ac:dyDescent="0.2">
      <c r="E1595" s="9" t="s">
        <v>24</v>
      </c>
      <c r="K1595" t="str">
        <v>to</v>
      </c>
      <c r="L1595" s="4" t="str">
        <f t="shared" si="31"/>
        <v>to</v>
      </c>
      <c r="N1595" s="4" cm="1">
        <f t="array" ref="N1595">SUM(--(_xlfn.TEXTSPLIT($J$1387,, " ") = M1595))</f>
        <v>2</v>
      </c>
      <c r="O1595">
        <v>2</v>
      </c>
      <c r="P1595">
        <v>0</v>
      </c>
      <c r="Q1595">
        <v>2</v>
      </c>
    </row>
    <row r="1596" spans="5:17" x14ac:dyDescent="0.2">
      <c r="E1596" s="9" t="s">
        <v>24</v>
      </c>
      <c r="K1596" t="str">
        <v xml:space="preserve">keep
</v>
      </c>
      <c r="L1596" s="4" t="str">
        <f t="shared" si="31"/>
        <v xml:space="preserve">keep </v>
      </c>
      <c r="N1596" s="4" cm="1">
        <f t="array" ref="N1596">SUM(--(_xlfn.TEXTSPLIT($J$1387,, " ") = M1596))</f>
        <v>2</v>
      </c>
      <c r="O1596">
        <v>2</v>
      </c>
      <c r="P1596">
        <v>0</v>
      </c>
      <c r="Q1596">
        <v>2</v>
      </c>
    </row>
    <row r="1597" spans="5:17" x14ac:dyDescent="0.2">
      <c r="E1597" s="9" t="s">
        <v>24</v>
      </c>
      <c r="K1597" t="str">
        <v>I</v>
      </c>
      <c r="L1597" s="4" t="str">
        <f t="shared" si="31"/>
        <v>I</v>
      </c>
      <c r="N1597" s="4" cm="1">
        <f t="array" ref="N1597">SUM(--(_xlfn.TEXTSPLIT($J$1387,, " ") = M1597))</f>
        <v>2</v>
      </c>
      <c r="O1597">
        <v>2</v>
      </c>
      <c r="P1597">
        <v>0</v>
      </c>
      <c r="Q1597">
        <v>2</v>
      </c>
    </row>
    <row r="1598" spans="5:17" x14ac:dyDescent="0.2">
      <c r="E1598" s="9" t="s">
        <v>24</v>
      </c>
      <c r="K1598" t="str">
        <v>don't</v>
      </c>
      <c r="L1598" s="4" t="str">
        <f t="shared" si="31"/>
        <v>don t</v>
      </c>
      <c r="N1598" s="4" cm="1">
        <f t="array" ref="N1598">SUM(--(_xlfn.TEXTSPLIT($J$1387,, " ") = M1598))</f>
        <v>2</v>
      </c>
      <c r="O1598">
        <v>2</v>
      </c>
      <c r="P1598">
        <v>0</v>
      </c>
      <c r="Q1598">
        <v>2</v>
      </c>
    </row>
    <row r="1599" spans="5:17" x14ac:dyDescent="0.2">
      <c r="E1599" s="9" t="s">
        <v>24</v>
      </c>
      <c r="K1599" t="str">
        <v>sleep</v>
      </c>
      <c r="L1599" s="4" t="str">
        <f t="shared" si="31"/>
        <v>sleep</v>
      </c>
      <c r="N1599" s="4" cm="1">
        <f t="array" ref="N1599">SUM(--(_xlfn.TEXTSPLIT($J$1387,, " ") = M1599))</f>
        <v>2</v>
      </c>
      <c r="O1599">
        <v>2</v>
      </c>
      <c r="P1599">
        <v>0</v>
      </c>
      <c r="Q1599">
        <v>2</v>
      </c>
    </row>
    <row r="1600" spans="5:17" x14ac:dyDescent="0.2">
      <c r="E1600" s="9" t="s">
        <v>24</v>
      </c>
      <c r="K1600" t="str">
        <v>much,</v>
      </c>
      <c r="L1600" s="4" t="str">
        <f t="shared" si="31"/>
        <v xml:space="preserve">much </v>
      </c>
      <c r="N1600" s="4" cm="1">
        <f t="array" ref="N1600">SUM(--(_xlfn.TEXTSPLIT($J$1387,, " ") = M1600))</f>
        <v>2</v>
      </c>
      <c r="O1600">
        <v>2</v>
      </c>
      <c r="P1600">
        <v>0</v>
      </c>
      <c r="Q1600">
        <v>2</v>
      </c>
    </row>
    <row r="1601" spans="5:17" x14ac:dyDescent="0.2">
      <c r="E1601" s="9" t="s">
        <v>24</v>
      </c>
      <c r="K1601" t="str">
        <v>that's</v>
      </c>
      <c r="L1601" s="4" t="str">
        <f t="shared" si="31"/>
        <v>that s</v>
      </c>
      <c r="N1601" s="4" cm="1">
        <f t="array" ref="N1601">SUM(--(_xlfn.TEXTSPLIT($J$1387,, " ") = M1601))</f>
        <v>2</v>
      </c>
      <c r="O1601">
        <v>2</v>
      </c>
      <c r="P1601">
        <v>0</v>
      </c>
      <c r="Q1601">
        <v>2</v>
      </c>
    </row>
    <row r="1602" spans="5:17" x14ac:dyDescent="0.2">
      <c r="E1602" s="9" t="s">
        <v>24</v>
      </c>
      <c r="K1602" t="str">
        <v>crazy,</v>
      </c>
      <c r="L1602" s="4" t="str">
        <f t="shared" si="31"/>
        <v xml:space="preserve">crazy </v>
      </c>
      <c r="N1602" s="4" cm="1">
        <f t="array" ref="N1602">SUM(--(_xlfn.TEXTSPLIT($J$1387,, " ") = M1602))</f>
        <v>2</v>
      </c>
      <c r="O1602">
        <v>2</v>
      </c>
      <c r="P1602">
        <v>0</v>
      </c>
      <c r="Q1602">
        <v>2</v>
      </c>
    </row>
    <row r="1603" spans="5:17" x14ac:dyDescent="0.2">
      <c r="E1603" s="9" t="s">
        <v>24</v>
      </c>
      <c r="K1603" t="str">
        <v>how'd</v>
      </c>
      <c r="L1603" s="4" t="str">
        <f t="shared" si="31"/>
        <v>how d</v>
      </c>
      <c r="N1603" s="4" cm="1">
        <f t="array" ref="N1603">SUM(--(_xlfn.TEXTSPLIT($J$1387,, " ") = M1603))</f>
        <v>2</v>
      </c>
      <c r="O1603">
        <v>2</v>
      </c>
      <c r="P1603">
        <v>0</v>
      </c>
      <c r="Q1603">
        <v>2</v>
      </c>
    </row>
    <row r="1604" spans="5:17" x14ac:dyDescent="0.2">
      <c r="E1604" s="9" t="s">
        <v>24</v>
      </c>
      <c r="K1604" t="str">
        <v>you</v>
      </c>
      <c r="L1604" s="4" t="str">
        <f t="shared" si="31"/>
        <v>you</v>
      </c>
      <c r="N1604" s="4" cm="1">
        <f t="array" ref="N1604">SUM(--(_xlfn.TEXTSPLIT($J$1387,, " ") = M1604))</f>
        <v>2</v>
      </c>
      <c r="O1604">
        <v>2</v>
      </c>
      <c r="P1604">
        <v>0</v>
      </c>
      <c r="Q1604">
        <v>2</v>
      </c>
    </row>
    <row r="1605" spans="5:17" x14ac:dyDescent="0.2">
      <c r="E1605" s="9" t="s">
        <v>24</v>
      </c>
      <c r="K1605" t="str">
        <v>know</v>
      </c>
      <c r="L1605" s="4" t="str">
        <f t="shared" si="31"/>
        <v>know</v>
      </c>
      <c r="N1605" s="4" cm="1">
        <f t="array" ref="N1605">SUM(--(_xlfn.TEXTSPLIT($J$1387,, " ") = M1605))</f>
        <v>2</v>
      </c>
      <c r="O1605">
        <v>2</v>
      </c>
      <c r="P1605">
        <v>0</v>
      </c>
      <c r="Q1605">
        <v>2</v>
      </c>
    </row>
    <row r="1606" spans="5:17" x14ac:dyDescent="0.2">
      <c r="E1606" s="9" t="s">
        <v>24</v>
      </c>
      <c r="K1606" t="str">
        <v>that?</v>
      </c>
      <c r="L1606" s="4" t="str">
        <f t="shared" si="31"/>
        <v xml:space="preserve">that </v>
      </c>
      <c r="N1606" s="4" cm="1">
        <f t="array" ref="N1606">SUM(--(_xlfn.TEXTSPLIT($J$1387,, " ") = M1606))</f>
        <v>2</v>
      </c>
      <c r="O1606">
        <v>2</v>
      </c>
      <c r="P1606">
        <v>0</v>
      </c>
      <c r="Q1606">
        <v>2</v>
      </c>
    </row>
    <row r="1607" spans="5:17" x14ac:dyDescent="0.2">
      <c r="E1607" s="9" t="s">
        <v>24</v>
      </c>
      <c r="K1607" t="str">
        <v xml:space="preserve">(That)
</v>
      </c>
      <c r="L1607" s="4" t="str">
        <f t="shared" si="31"/>
        <v xml:space="preserve"> That  </v>
      </c>
      <c r="N1607" s="4" cm="1">
        <f t="array" ref="N1607">SUM(--(_xlfn.TEXTSPLIT($J$1387,, " ") = M1607))</f>
        <v>2</v>
      </c>
      <c r="O1607">
        <v>2</v>
      </c>
      <c r="P1607">
        <v>0</v>
      </c>
      <c r="Q1607">
        <v>2</v>
      </c>
    </row>
    <row r="1608" spans="5:17" x14ac:dyDescent="0.2">
      <c r="E1608" s="9" t="s">
        <v>24</v>
      </c>
      <c r="K1608" t="str">
        <v>Keep</v>
      </c>
      <c r="L1608" s="4" t="str">
        <f t="shared" si="31"/>
        <v>Keep</v>
      </c>
      <c r="N1608" s="4" cm="1">
        <f t="array" ref="N1608">SUM(--(_xlfn.TEXTSPLIT($J$1387,, " ") = M1608))</f>
        <v>2</v>
      </c>
      <c r="O1608">
        <v>2</v>
      </c>
      <c r="P1608">
        <v>0</v>
      </c>
      <c r="Q1608">
        <v>2</v>
      </c>
    </row>
    <row r="1609" spans="5:17" x14ac:dyDescent="0.2">
      <c r="E1609" s="9" t="s">
        <v>24</v>
      </c>
      <c r="K1609" t="str">
        <v>myself</v>
      </c>
      <c r="L1609" s="4" t="str">
        <f t="shared" si="31"/>
        <v>myself</v>
      </c>
      <c r="N1609" s="4" cm="1">
        <f t="array" ref="N1609">SUM(--(_xlfn.TEXTSPLIT($J$1387,, " ") = M1609))</f>
        <v>2</v>
      </c>
      <c r="O1609">
        <v>2</v>
      </c>
      <c r="P1609">
        <v>0</v>
      </c>
      <c r="Q1609">
        <v>2</v>
      </c>
    </row>
    <row r="1610" spans="5:17" x14ac:dyDescent="0.2">
      <c r="E1610" s="9" t="s">
        <v>24</v>
      </c>
      <c r="K1610" t="str">
        <v>up,</v>
      </c>
      <c r="L1610" s="4" t="str">
        <f t="shared" si="31"/>
        <v xml:space="preserve">up </v>
      </c>
      <c r="N1610" s="4" cm="1">
        <f t="array" ref="N1610">SUM(--(_xlfn.TEXTSPLIT($J$1387,, " ") = M1610))</f>
        <v>2</v>
      </c>
      <c r="O1610">
        <v>2</v>
      </c>
      <c r="P1610">
        <v>0</v>
      </c>
      <c r="Q1610">
        <v>2</v>
      </c>
    </row>
    <row r="1611" spans="5:17" x14ac:dyDescent="0.2">
      <c r="E1611" s="9" t="s">
        <v>24</v>
      </c>
      <c r="K1611" t="str">
        <v>that's</v>
      </c>
      <c r="L1611" s="4" t="str">
        <f t="shared" si="31"/>
        <v>that s</v>
      </c>
      <c r="N1611" s="4" cm="1">
        <f t="array" ref="N1611">SUM(--(_xlfn.TEXTSPLIT($J$1387,, " ") = M1611))</f>
        <v>2</v>
      </c>
      <c r="O1611">
        <v>2</v>
      </c>
      <c r="P1611">
        <v>0</v>
      </c>
      <c r="Q1611">
        <v>2</v>
      </c>
    </row>
    <row r="1612" spans="5:17" x14ac:dyDescent="0.2">
      <c r="E1612" s="9" t="s">
        <v>24</v>
      </c>
      <c r="K1612" t="str">
        <v>maybe</v>
      </c>
      <c r="L1612" s="4" t="str">
        <f t="shared" si="31"/>
        <v>maybe</v>
      </c>
      <c r="N1612" s="4" cm="1">
        <f t="array" ref="N1612">SUM(--(_xlfn.TEXTSPLIT($J$1387,, " ") = M1612))</f>
        <v>2</v>
      </c>
      <c r="O1612">
        <v>2</v>
      </c>
      <c r="P1612">
        <v>0</v>
      </c>
      <c r="Q1612">
        <v>2</v>
      </c>
    </row>
    <row r="1613" spans="5:17" x14ac:dyDescent="0.2">
      <c r="E1613" s="9" t="s">
        <v>24</v>
      </c>
      <c r="K1613" t="str">
        <v>how</v>
      </c>
      <c r="L1613" s="4" t="str">
        <f t="shared" si="31"/>
        <v>how</v>
      </c>
      <c r="N1613" s="4" cm="1">
        <f t="array" ref="N1613">SUM(--(_xlfn.TEXTSPLIT($J$1387,, " ") = M1613))</f>
        <v>2</v>
      </c>
      <c r="O1613">
        <v>2</v>
      </c>
      <c r="P1613">
        <v>0</v>
      </c>
      <c r="Q1613">
        <v>2</v>
      </c>
    </row>
    <row r="1614" spans="5:17" x14ac:dyDescent="0.2">
      <c r="E1614" s="9" t="s">
        <v>24</v>
      </c>
      <c r="K1614" t="str">
        <v>you</v>
      </c>
      <c r="L1614" s="4" t="str">
        <f t="shared" si="31"/>
        <v>you</v>
      </c>
      <c r="N1614" s="4" cm="1">
        <f t="array" ref="N1614">SUM(--(_xlfn.TEXTSPLIT($J$1387,, " ") = M1614))</f>
        <v>2</v>
      </c>
      <c r="O1614">
        <v>2</v>
      </c>
      <c r="P1614">
        <v>0</v>
      </c>
      <c r="Q1614">
        <v>2</v>
      </c>
    </row>
    <row r="1615" spans="5:17" x14ac:dyDescent="0.2">
      <c r="E1615" s="9" t="s">
        <v>24</v>
      </c>
      <c r="K1615" t="str">
        <v>know</v>
      </c>
      <c r="L1615" s="4" t="str">
        <f t="shared" si="31"/>
        <v>know</v>
      </c>
      <c r="N1615" s="4" cm="1">
        <f t="array" ref="N1615">SUM(--(_xlfn.TEXTSPLIT($J$1387,, " ") = M1615))</f>
        <v>2</v>
      </c>
      <c r="O1615">
        <v>2</v>
      </c>
      <c r="P1615">
        <v>0</v>
      </c>
      <c r="Q1615">
        <v>2</v>
      </c>
    </row>
    <row r="1616" spans="5:17" x14ac:dyDescent="0.2">
      <c r="E1616" s="9" t="s">
        <v>24</v>
      </c>
      <c r="K1616" t="str">
        <v>that</v>
      </c>
      <c r="L1616" s="4" t="str">
        <f t="shared" si="31"/>
        <v>that</v>
      </c>
      <c r="N1616" s="4" cm="1">
        <f t="array" ref="N1616">SUM(--(_xlfn.TEXTSPLIT($J$1387,, " ") = M1616))</f>
        <v>2</v>
      </c>
      <c r="O1616">
        <v>2</v>
      </c>
      <c r="P1616">
        <v>0</v>
      </c>
      <c r="Q1616">
        <v>2</v>
      </c>
    </row>
    <row r="1617" spans="5:17" x14ac:dyDescent="0.2">
      <c r="E1617" s="9" t="s">
        <v>24</v>
      </c>
      <c r="K1617" t="str">
        <v>(That,</v>
      </c>
      <c r="L1617" s="4" t="str">
        <f t="shared" si="31"/>
        <v xml:space="preserve"> That </v>
      </c>
      <c r="N1617" s="4" cm="1">
        <f t="array" ref="N1617">SUM(--(_xlfn.TEXTSPLIT($J$1387,, " ") = M1617))</f>
        <v>2</v>
      </c>
      <c r="O1617">
        <v>2</v>
      </c>
      <c r="P1617">
        <v>0</v>
      </c>
      <c r="Q1617">
        <v>2</v>
      </c>
    </row>
    <row r="1618" spans="5:17" x14ac:dyDescent="0.2">
      <c r="E1618" s="9" t="s">
        <v>24</v>
      </c>
      <c r="K1618" t="str">
        <v xml:space="preserve">that)
</v>
      </c>
      <c r="L1618" s="4" t="str">
        <f t="shared" si="31"/>
        <v xml:space="preserve">that  </v>
      </c>
      <c r="N1618" s="4" cm="1">
        <f t="array" ref="N1618">SUM(--(_xlfn.TEXTSPLIT($J$1387,, " ") = M1618))</f>
        <v>2</v>
      </c>
      <c r="O1618">
        <v>2</v>
      </c>
      <c r="P1618">
        <v>0</v>
      </c>
      <c r="Q1618">
        <v>2</v>
      </c>
    </row>
    <row r="1619" spans="5:17" x14ac:dyDescent="0.2">
      <c r="E1619" s="9" t="s">
        <v>24</v>
      </c>
      <c r="K1619" t="str">
        <v>Ooh,</v>
      </c>
      <c r="L1619" s="4" t="str">
        <f t="shared" si="31"/>
        <v xml:space="preserve">Ooh </v>
      </c>
      <c r="N1619" s="4" cm="1">
        <f t="array" ref="N1619">SUM(--(_xlfn.TEXTSPLIT($J$1387,, " ") = M1619))</f>
        <v>2</v>
      </c>
      <c r="O1619">
        <v>2</v>
      </c>
      <c r="P1619">
        <v>0</v>
      </c>
      <c r="Q1619">
        <v>2</v>
      </c>
    </row>
    <row r="1620" spans="5:17" x14ac:dyDescent="0.2">
      <c r="E1620" s="9" t="s">
        <v>24</v>
      </c>
      <c r="K1620" t="str">
        <v>my</v>
      </c>
      <c r="L1620" s="4" t="str">
        <f t="shared" si="31"/>
        <v>my</v>
      </c>
      <c r="N1620" s="4" cm="1">
        <f t="array" ref="N1620">SUM(--(_xlfn.TEXTSPLIT($J$1387,, " ") = M1620))</f>
        <v>2</v>
      </c>
      <c r="O1620">
        <v>2</v>
      </c>
      <c r="P1620">
        <v>0</v>
      </c>
      <c r="Q1620">
        <v>2</v>
      </c>
    </row>
    <row r="1621" spans="5:17" x14ac:dyDescent="0.2">
      <c r="E1621" s="9" t="s">
        <v>24</v>
      </c>
      <c r="K1621" t="str">
        <v>hallucination</v>
      </c>
      <c r="L1621" s="4" t="str">
        <f t="shared" si="31"/>
        <v>hallucination</v>
      </c>
      <c r="N1621" s="4" cm="1">
        <f t="array" ref="N1621">SUM(--(_xlfn.TEXTSPLIT($J$1387,, " ") = M1621))</f>
        <v>2</v>
      </c>
      <c r="O1621">
        <v>2</v>
      </c>
      <c r="P1621">
        <v>0</v>
      </c>
      <c r="Q1621">
        <v>2</v>
      </c>
    </row>
    <row r="1622" spans="5:17" x14ac:dyDescent="0.2">
      <c r="E1622" s="9" t="s">
        <v>24</v>
      </c>
      <c r="K1622" t="str">
        <v>I</v>
      </c>
      <c r="L1622" s="4" t="str">
        <f t="shared" si="31"/>
        <v>I</v>
      </c>
      <c r="N1622" s="4" cm="1">
        <f t="array" ref="N1622">SUM(--(_xlfn.TEXTSPLIT($J$1387,, " ") = M1622))</f>
        <v>2</v>
      </c>
      <c r="O1622">
        <v>2</v>
      </c>
      <c r="P1622">
        <v>0</v>
      </c>
      <c r="Q1622">
        <v>2</v>
      </c>
    </row>
    <row r="1623" spans="5:17" x14ac:dyDescent="0.2">
      <c r="E1623" s="9" t="s">
        <v>24</v>
      </c>
      <c r="K1623" t="str">
        <v>used</v>
      </c>
      <c r="L1623" s="4" t="str">
        <f t="shared" si="31"/>
        <v>used</v>
      </c>
      <c r="N1623" s="4" cm="1">
        <f t="array" ref="N1623">SUM(--(_xlfn.TEXTSPLIT($J$1387,, " ") = M1623))</f>
        <v>2</v>
      </c>
      <c r="O1623">
        <v>2</v>
      </c>
      <c r="P1623">
        <v>0</v>
      </c>
      <c r="Q1623">
        <v>2</v>
      </c>
    </row>
    <row r="1624" spans="5:17" x14ac:dyDescent="0.2">
      <c r="E1624" s="9" t="s">
        <v>24</v>
      </c>
      <c r="K1624" t="str">
        <v>to</v>
      </c>
      <c r="L1624" s="4" t="str">
        <f t="shared" si="31"/>
        <v>to</v>
      </c>
      <c r="N1624" s="4" cm="1">
        <f t="array" ref="N1624">SUM(--(_xlfn.TEXTSPLIT($J$1387,, " ") = M1624))</f>
        <v>2</v>
      </c>
      <c r="O1624">
        <v>2</v>
      </c>
      <c r="P1624">
        <v>0</v>
      </c>
      <c r="Q1624">
        <v>2</v>
      </c>
    </row>
    <row r="1625" spans="5:17" x14ac:dyDescent="0.2">
      <c r="E1625" s="9" t="s">
        <v>24</v>
      </c>
      <c r="K1625" t="str">
        <v>see
I</v>
      </c>
      <c r="L1625" s="4" t="str">
        <f t="shared" si="31"/>
        <v>see  I</v>
      </c>
      <c r="N1625" s="4" cm="1">
        <f t="array" ref="N1625">SUM(--(_xlfn.TEXTSPLIT($J$1387,, " ") = M1625))</f>
        <v>2</v>
      </c>
      <c r="O1625">
        <v>2</v>
      </c>
      <c r="P1625">
        <v>0</v>
      </c>
      <c r="Q1625">
        <v>2</v>
      </c>
    </row>
    <row r="1626" spans="5:17" x14ac:dyDescent="0.2">
      <c r="E1626" s="9" t="s">
        <v>24</v>
      </c>
      <c r="K1626" t="str">
        <v/>
      </c>
      <c r="L1626" s="4" t="str">
        <f t="shared" si="31"/>
        <v/>
      </c>
      <c r="N1626" s="4" cm="1">
        <f t="array" ref="N1626">SUM(--(_xlfn.TEXTSPLIT($J$1387,, " ") = M1626))</f>
        <v>2</v>
      </c>
      <c r="O1626">
        <v>2</v>
      </c>
      <c r="P1626">
        <v>0</v>
      </c>
      <c r="Q1626">
        <v>2</v>
      </c>
    </row>
    <row r="1627" spans="5:17" x14ac:dyDescent="0.2">
      <c r="E1627" s="9" t="s">
        <v>24</v>
      </c>
      <c r="K1627" t="str">
        <v>used</v>
      </c>
      <c r="L1627" s="4" t="str">
        <f t="shared" si="31"/>
        <v>used</v>
      </c>
      <c r="N1627" s="4" cm="1">
        <f t="array" ref="N1627">SUM(--(_xlfn.TEXTSPLIT($J$1387,, " ") = M1627))</f>
        <v>2</v>
      </c>
      <c r="O1627">
        <v>2</v>
      </c>
      <c r="P1627">
        <v>0</v>
      </c>
      <c r="Q1627">
        <v>2</v>
      </c>
    </row>
    <row r="1628" spans="5:17" x14ac:dyDescent="0.2">
      <c r="E1628" s="9" t="s">
        <v>24</v>
      </c>
      <c r="K1628" t="str">
        <v>to</v>
      </c>
      <c r="L1628" s="4" t="str">
        <f t="shared" si="31"/>
        <v>to</v>
      </c>
      <c r="N1628" s="4" cm="1">
        <f t="array" ref="N1628">SUM(--(_xlfn.TEXTSPLIT($J$1387,, " ") = M1628))</f>
        <v>2</v>
      </c>
      <c r="O1628">
        <v>2</v>
      </c>
      <c r="P1628">
        <v>0</v>
      </c>
      <c r="Q1628">
        <v>2</v>
      </c>
    </row>
    <row r="1629" spans="5:17" x14ac:dyDescent="0.2">
      <c r="E1629" s="9" t="s">
        <v>24</v>
      </c>
      <c r="K1629" t="str">
        <v xml:space="preserve">see
</v>
      </c>
      <c r="L1629" s="4" t="str">
        <f t="shared" si="31"/>
        <v xml:space="preserve">see </v>
      </c>
      <c r="N1629" s="4" cm="1">
        <f t="array" ref="N1629">SUM(--(_xlfn.TEXTSPLIT($J$1387,, " ") = M1629))</f>
        <v>2</v>
      </c>
      <c r="O1629">
        <v>2</v>
      </c>
      <c r="P1629">
        <v>0</v>
      </c>
      <c r="Q1629">
        <v>2</v>
      </c>
    </row>
    <row r="1630" spans="5:17" x14ac:dyDescent="0.2">
      <c r="E1630" s="9" t="s">
        <v>24</v>
      </c>
      <c r="K1630" t="str">
        <v>Sleep</v>
      </c>
      <c r="L1630" s="4" t="str">
        <f t="shared" si="31"/>
        <v>Sleep</v>
      </c>
      <c r="N1630" s="4" cm="1">
        <f t="array" ref="N1630">SUM(--(_xlfn.TEXTSPLIT($J$1387,, " ") = M1630))</f>
        <v>2</v>
      </c>
      <c r="O1630">
        <v>2</v>
      </c>
      <c r="P1630">
        <v>0</v>
      </c>
      <c r="Q1630">
        <v>2</v>
      </c>
    </row>
    <row r="1631" spans="5:17" x14ac:dyDescent="0.2">
      <c r="E1631" s="9" t="s">
        <v>24</v>
      </c>
      <c r="K1631" t="str">
        <v>I</v>
      </c>
      <c r="L1631" s="4" t="str">
        <f t="shared" si="31"/>
        <v>I</v>
      </c>
      <c r="N1631" s="4" cm="1">
        <f t="array" ref="N1631">SUM(--(_xlfn.TEXTSPLIT($J$1387,, " ") = M1631))</f>
        <v>2</v>
      </c>
      <c r="O1631">
        <v>2</v>
      </c>
      <c r="P1631">
        <v>0</v>
      </c>
      <c r="Q1631">
        <v>2</v>
      </c>
    </row>
    <row r="1632" spans="5:17" x14ac:dyDescent="0.2">
      <c r="E1632" s="9" t="s">
        <v>24</v>
      </c>
      <c r="K1632" t="str">
        <v xml:space="preserve">found
</v>
      </c>
      <c r="L1632" s="4" t="str">
        <f t="shared" si="31"/>
        <v xml:space="preserve">found  </v>
      </c>
      <c r="N1632" s="4" cm="1">
        <f t="array" ref="N1632">SUM(--(_xlfn.TEXTSPLIT($J$1387,, " ") = M1632))</f>
        <v>2</v>
      </c>
      <c r="O1632">
        <v>2</v>
      </c>
      <c r="P1632">
        <v>0</v>
      </c>
      <c r="Q1632">
        <v>2</v>
      </c>
    </row>
    <row r="1633" spans="5:17" x14ac:dyDescent="0.2">
      <c r="E1633" s="9" t="s">
        <v>24</v>
      </c>
      <c r="K1633" t="str">
        <v>(Oh-ooh)</v>
      </c>
      <c r="L1633" s="4" t="str">
        <f t="shared" si="31"/>
        <v xml:space="preserve"> Oh ooh </v>
      </c>
      <c r="N1633" s="4" cm="1">
        <f t="array" ref="N1633">SUM(--(_xlfn.TEXTSPLIT($J$1387,, " ") = M1633))</f>
        <v>2</v>
      </c>
      <c r="O1633">
        <v>2</v>
      </c>
      <c r="P1633">
        <v>0</v>
      </c>
      <c r="Q1633">
        <v>2</v>
      </c>
    </row>
    <row r="1634" spans="5:17" x14ac:dyDescent="0.2">
      <c r="E1634" s="9" t="s">
        <v>24</v>
      </c>
      <c r="K1634" t="str">
        <v>I</v>
      </c>
      <c r="L1634" s="4" t="str">
        <f t="shared" si="31"/>
        <v>I</v>
      </c>
      <c r="N1634" s="4" cm="1">
        <f t="array" ref="N1634">SUM(--(_xlfn.TEXTSPLIT($J$1387,, " ") = M1634))</f>
        <v>2</v>
      </c>
      <c r="O1634">
        <v>2</v>
      </c>
      <c r="P1634">
        <v>0</v>
      </c>
      <c r="Q1634">
        <v>2</v>
      </c>
    </row>
    <row r="1635" spans="5:17" x14ac:dyDescent="0.2">
      <c r="E1635" s="9" t="s">
        <v>24</v>
      </c>
      <c r="K1635" t="str">
        <v>wanna</v>
      </c>
      <c r="L1635" s="4" t="str">
        <f t="shared" si="31"/>
        <v>wanna</v>
      </c>
      <c r="N1635" s="4" cm="1">
        <f t="array" ref="N1635">SUM(--(_xlfn.TEXTSPLIT($J$1387,, " ") = M1635))</f>
        <v>2</v>
      </c>
      <c r="O1635">
        <v>2</v>
      </c>
      <c r="P1635">
        <v>0</v>
      </c>
      <c r="Q1635">
        <v>2</v>
      </c>
    </row>
    <row r="1636" spans="5:17" x14ac:dyDescent="0.2">
      <c r="E1636" s="9" t="s">
        <v>24</v>
      </c>
      <c r="K1636" t="str">
        <v>get</v>
      </c>
      <c r="L1636" s="4" t="str">
        <f t="shared" si="31"/>
        <v>get</v>
      </c>
      <c r="N1636" s="4" cm="1">
        <f t="array" ref="N1636">SUM(--(_xlfn.TEXTSPLIT($J$1387,, " ") = M1636))</f>
        <v>2</v>
      </c>
      <c r="O1636">
        <v>2</v>
      </c>
      <c r="P1636">
        <v>0</v>
      </c>
      <c r="Q1636">
        <v>2</v>
      </c>
    </row>
    <row r="1637" spans="5:17" x14ac:dyDescent="0.2">
      <c r="E1637" s="9" t="s">
        <v>24</v>
      </c>
      <c r="K1637" t="str">
        <v>out</v>
      </c>
      <c r="L1637" s="4" t="str">
        <f t="shared" si="31"/>
        <v>out</v>
      </c>
      <c r="N1637" s="4" cm="1">
        <f t="array" ref="N1637">SUM(--(_xlfn.TEXTSPLIT($J$1387,, " ") = M1637))</f>
        <v>2</v>
      </c>
      <c r="O1637">
        <v>2</v>
      </c>
      <c r="P1637">
        <v>0</v>
      </c>
      <c r="Q1637">
        <v>2</v>
      </c>
    </row>
    <row r="1638" spans="5:17" x14ac:dyDescent="0.2">
      <c r="E1638" s="9" t="s">
        <v>24</v>
      </c>
      <c r="K1638" t="str">
        <v xml:space="preserve">there
</v>
      </c>
      <c r="L1638" s="4" t="str">
        <f t="shared" si="31"/>
        <v xml:space="preserve">there </v>
      </c>
      <c r="N1638" s="4" cm="1">
        <f t="array" ref="N1638">SUM(--(_xlfn.TEXTSPLIT($J$1387,, " ") = M1638))</f>
        <v>2</v>
      </c>
      <c r="O1638">
        <v>2</v>
      </c>
      <c r="P1638">
        <v>0</v>
      </c>
      <c r="Q1638">
        <v>2</v>
      </c>
    </row>
    <row r="1639" spans="5:17" x14ac:dyDescent="0.2">
      <c r="E1639" s="9" t="s">
        <v>24</v>
      </c>
      <c r="K1639" t="str">
        <v>(Oh-ooh)</v>
      </c>
      <c r="L1639" s="4" t="str">
        <f t="shared" si="31"/>
        <v xml:space="preserve"> Oh ooh </v>
      </c>
      <c r="N1639" s="4" cm="1">
        <f t="array" ref="N1639">SUM(--(_xlfn.TEXTSPLIT($J$1387,, " ") = M1639))</f>
        <v>2</v>
      </c>
      <c r="O1639">
        <v>2</v>
      </c>
      <c r="P1639">
        <v>0</v>
      </c>
      <c r="Q1639">
        <v>2</v>
      </c>
    </row>
    <row r="1640" spans="5:17" x14ac:dyDescent="0.2">
      <c r="E1640" s="9" t="s">
        <v>24</v>
      </c>
      <c r="K1640" t="str">
        <v>But</v>
      </c>
      <c r="L1640" s="4" t="str">
        <f t="shared" si="31"/>
        <v>But</v>
      </c>
      <c r="N1640" s="4" cm="1">
        <f t="array" ref="N1640">SUM(--(_xlfn.TEXTSPLIT($J$1387,, " ") = M1640))</f>
        <v>2</v>
      </c>
      <c r="O1640">
        <v>2</v>
      </c>
      <c r="P1640">
        <v>0</v>
      </c>
      <c r="Q1640">
        <v>2</v>
      </c>
    </row>
    <row r="1641" spans="5:17" x14ac:dyDescent="0.2">
      <c r="E1641" s="9" t="s">
        <v>24</v>
      </c>
      <c r="K1641" t="str">
        <v>I</v>
      </c>
      <c r="L1641" s="4" t="str">
        <f t="shared" si="31"/>
        <v>I</v>
      </c>
      <c r="N1641" s="4" cm="1">
        <f t="array" ref="N1641">SUM(--(_xlfn.TEXTSPLIT($J$1387,, " ") = M1641))</f>
        <v>2</v>
      </c>
      <c r="O1641">
        <v>2</v>
      </c>
      <c r="P1641">
        <v>0</v>
      </c>
      <c r="Q1641">
        <v>2</v>
      </c>
    </row>
    <row r="1642" spans="5:17" x14ac:dyDescent="0.2">
      <c r="E1642" s="9" t="s">
        <v>24</v>
      </c>
      <c r="K1642" t="str">
        <v>don't</v>
      </c>
      <c r="L1642" s="4" t="str">
        <f t="shared" si="31"/>
        <v>don t</v>
      </c>
      <c r="N1642" s="4" cm="1">
        <f t="array" ref="N1642">SUM(--(_xlfn.TEXTSPLIT($J$1387,, " ") = M1642))</f>
        <v>2</v>
      </c>
      <c r="O1642">
        <v>2</v>
      </c>
      <c r="P1642">
        <v>0</v>
      </c>
      <c r="Q1642">
        <v>2</v>
      </c>
    </row>
    <row r="1643" spans="5:17" x14ac:dyDescent="0.2">
      <c r="E1643" s="9" t="s">
        <v>24</v>
      </c>
      <c r="K1643" t="str">
        <v xml:space="preserve">try
</v>
      </c>
      <c r="L1643" s="4" t="str">
        <f t="shared" si="31"/>
        <v xml:space="preserve">try </v>
      </c>
      <c r="N1643" s="4" cm="1">
        <f t="array" ref="N1643">SUM(--(_xlfn.TEXTSPLIT($J$1387,, " ") = M1643))</f>
        <v>2</v>
      </c>
      <c r="O1643">
        <v>2</v>
      </c>
      <c r="P1643">
        <v>0</v>
      </c>
      <c r="Q1643">
        <v>2</v>
      </c>
    </row>
    <row r="1644" spans="5:17" x14ac:dyDescent="0.2">
      <c r="E1644" s="9" t="s">
        <v>24</v>
      </c>
      <c r="K1644" t="str">
        <v>(Oh-ooh)</v>
      </c>
      <c r="L1644" s="4" t="str">
        <f t="shared" si="31"/>
        <v xml:space="preserve"> Oh ooh </v>
      </c>
      <c r="N1644" s="4" cm="1">
        <f t="array" ref="N1644">SUM(--(_xlfn.TEXTSPLIT($J$1387,, " ") = M1644))</f>
        <v>2</v>
      </c>
      <c r="O1644">
        <v>2</v>
      </c>
      <c r="P1644">
        <v>0</v>
      </c>
      <c r="Q1644">
        <v>2</v>
      </c>
    </row>
    <row r="1645" spans="5:17" x14ac:dyDescent="0.2">
      <c r="E1645" s="9" t="s">
        <v>24</v>
      </c>
      <c r="K1645" t="str">
        <v>I</v>
      </c>
      <c r="L1645" s="4" t="str">
        <f t="shared" ref="L1645:L1708" si="32">_xlfn.REGEXREPLACE(K1645, "[^A-Za-z ]", " ")</f>
        <v>I</v>
      </c>
      <c r="N1645" s="4" cm="1">
        <f t="array" ref="N1645">SUM(--(_xlfn.TEXTSPLIT($J$1387,, " ") = M1645))</f>
        <v>2</v>
      </c>
      <c r="O1645">
        <v>2</v>
      </c>
      <c r="P1645">
        <v>0</v>
      </c>
      <c r="Q1645">
        <v>2</v>
      </c>
    </row>
    <row r="1646" spans="5:17" x14ac:dyDescent="0.2">
      <c r="E1646" s="9" t="s">
        <v>24</v>
      </c>
      <c r="K1646" t="str">
        <v>wanna</v>
      </c>
      <c r="L1646" s="4" t="str">
        <f t="shared" si="32"/>
        <v>wanna</v>
      </c>
      <c r="N1646" s="4" cm="1">
        <f t="array" ref="N1646">SUM(--(_xlfn.TEXTSPLIT($J$1387,, " ") = M1646))</f>
        <v>2</v>
      </c>
      <c r="O1646">
        <v>2</v>
      </c>
      <c r="P1646">
        <v>0</v>
      </c>
      <c r="Q1646">
        <v>2</v>
      </c>
    </row>
    <row r="1647" spans="5:17" x14ac:dyDescent="0.2">
      <c r="E1647" s="9" t="s">
        <v>24</v>
      </c>
      <c r="K1647" t="str">
        <v>get</v>
      </c>
      <c r="L1647" s="4" t="str">
        <f t="shared" si="32"/>
        <v>get</v>
      </c>
      <c r="N1647" s="4" cm="1">
        <f t="array" ref="N1647">SUM(--(_xlfn.TEXTSPLIT($J$1387,, " ") = M1647))</f>
        <v>2</v>
      </c>
      <c r="O1647">
        <v>2</v>
      </c>
      <c r="P1647">
        <v>0</v>
      </c>
      <c r="Q1647">
        <v>2</v>
      </c>
    </row>
    <row r="1648" spans="5:17" x14ac:dyDescent="0.2">
      <c r="E1648" s="9" t="s">
        <v>24</v>
      </c>
      <c r="K1648" t="str">
        <v>out</v>
      </c>
      <c r="L1648" s="4" t="str">
        <f t="shared" si="32"/>
        <v>out</v>
      </c>
      <c r="N1648" s="4" cm="1">
        <f t="array" ref="N1648">SUM(--(_xlfn.TEXTSPLIT($J$1387,, " ") = M1648))</f>
        <v>2</v>
      </c>
      <c r="O1648">
        <v>2</v>
      </c>
      <c r="P1648">
        <v>0</v>
      </c>
      <c r="Q1648">
        <v>2</v>
      </c>
    </row>
    <row r="1649" spans="5:17" x14ac:dyDescent="0.2">
      <c r="E1649" s="9" t="s">
        <v>24</v>
      </c>
      <c r="K1649" t="str">
        <v xml:space="preserve">there
</v>
      </c>
      <c r="L1649" s="4" t="str">
        <f t="shared" si="32"/>
        <v xml:space="preserve">there </v>
      </c>
      <c r="N1649" s="4" cm="1">
        <f t="array" ref="N1649">SUM(--(_xlfn.TEXTSPLIT($J$1387,, " ") = M1649))</f>
        <v>2</v>
      </c>
      <c r="O1649">
        <v>2</v>
      </c>
      <c r="P1649">
        <v>0</v>
      </c>
      <c r="Q1649">
        <v>2</v>
      </c>
    </row>
    <row r="1650" spans="5:17" x14ac:dyDescent="0.2">
      <c r="E1650" s="9" t="s">
        <v>24</v>
      </c>
      <c r="K1650" t="str">
        <v>(Oh-ooh)</v>
      </c>
      <c r="L1650" s="4" t="str">
        <f t="shared" si="32"/>
        <v xml:space="preserve"> Oh ooh </v>
      </c>
      <c r="N1650" s="4" cm="1">
        <f t="array" ref="N1650">SUM(--(_xlfn.TEXTSPLIT($J$1387,, " ") = M1650))</f>
        <v>2</v>
      </c>
      <c r="O1650">
        <v>2</v>
      </c>
      <c r="P1650">
        <v>0</v>
      </c>
      <c r="Q1650">
        <v>2</v>
      </c>
    </row>
    <row r="1651" spans="5:17" x14ac:dyDescent="0.2">
      <c r="E1651" s="9" t="s">
        <v>24</v>
      </c>
      <c r="K1651" t="str">
        <v>But</v>
      </c>
      <c r="L1651" s="4" t="str">
        <f t="shared" si="32"/>
        <v>But</v>
      </c>
      <c r="N1651" s="4" cm="1">
        <f t="array" ref="N1651">SUM(--(_xlfn.TEXTSPLIT($J$1387,, " ") = M1651))</f>
        <v>2</v>
      </c>
      <c r="O1651">
        <v>2</v>
      </c>
      <c r="P1651">
        <v>0</v>
      </c>
      <c r="Q1651">
        <v>2</v>
      </c>
    </row>
    <row r="1652" spans="5:17" x14ac:dyDescent="0.2">
      <c r="E1652" s="9" t="s">
        <v>24</v>
      </c>
      <c r="K1652" t="str">
        <v>I</v>
      </c>
      <c r="L1652" s="4" t="str">
        <f t="shared" si="32"/>
        <v>I</v>
      </c>
      <c r="N1652" s="4" cm="1">
        <f t="array" ref="N1652">SUM(--(_xlfn.TEXTSPLIT($J$1387,, " ") = M1652))</f>
        <v>2</v>
      </c>
      <c r="O1652">
        <v>2</v>
      </c>
      <c r="P1652">
        <v>0</v>
      </c>
      <c r="Q1652">
        <v>2</v>
      </c>
    </row>
    <row r="1653" spans="5:17" x14ac:dyDescent="0.2">
      <c r="E1653" s="9" t="s">
        <v>24</v>
      </c>
      <c r="K1653" t="str">
        <v>don't</v>
      </c>
      <c r="L1653" s="4" t="str">
        <f t="shared" si="32"/>
        <v>don t</v>
      </c>
      <c r="N1653" s="4" cm="1">
        <f t="array" ref="N1653">SUM(--(_xlfn.TEXTSPLIT($J$1387,, " ") = M1653))</f>
        <v>2</v>
      </c>
      <c r="O1653">
        <v>2</v>
      </c>
      <c r="P1653">
        <v>0</v>
      </c>
      <c r="Q1653">
        <v>2</v>
      </c>
    </row>
    <row r="1654" spans="5:17" x14ac:dyDescent="0.2">
      <c r="E1654" s="9" t="s">
        <v>24</v>
      </c>
      <c r="K1654" t="str">
        <v xml:space="preserve">try
</v>
      </c>
      <c r="L1654" s="4" t="str">
        <f t="shared" si="32"/>
        <v xml:space="preserve">try  </v>
      </c>
      <c r="N1654" s="4" cm="1">
        <f t="array" ref="N1654">SUM(--(_xlfn.TEXTSPLIT($J$1387,, " ") = M1654))</f>
        <v>2</v>
      </c>
      <c r="O1654">
        <v>2</v>
      </c>
      <c r="P1654">
        <v>0</v>
      </c>
      <c r="Q1654">
        <v>2</v>
      </c>
    </row>
    <row r="1655" spans="5:17" x14ac:dyDescent="0.2">
      <c r="E1655" s="9" t="s">
        <v>24</v>
      </c>
      <c r="K1655" t="str">
        <v>I</v>
      </c>
      <c r="L1655" s="4" t="str">
        <f t="shared" si="32"/>
        <v>I</v>
      </c>
      <c r="N1655" s="4" cm="1">
        <f t="array" ref="N1655">SUM(--(_xlfn.TEXTSPLIT($J$1387,, " ") = M1655))</f>
        <v>2</v>
      </c>
      <c r="O1655">
        <v>2</v>
      </c>
      <c r="P1655">
        <v>0</v>
      </c>
      <c r="Q1655">
        <v>2</v>
      </c>
    </row>
    <row r="1656" spans="5:17" x14ac:dyDescent="0.2">
      <c r="E1656" s="9" t="s">
        <v>24</v>
      </c>
      <c r="K1656" t="str">
        <v>check</v>
      </c>
      <c r="L1656" s="4" t="str">
        <f t="shared" si="32"/>
        <v>check</v>
      </c>
      <c r="N1656" s="4" cm="1">
        <f t="array" ref="N1656">SUM(--(_xlfn.TEXTSPLIT($J$1387,, " ") = M1656))</f>
        <v>2</v>
      </c>
      <c r="O1656">
        <v>2</v>
      </c>
      <c r="P1656">
        <v>0</v>
      </c>
      <c r="Q1656">
        <v>2</v>
      </c>
    </row>
    <row r="1657" spans="5:17" x14ac:dyDescent="0.2">
      <c r="E1657" s="9" t="s">
        <v>24</v>
      </c>
      <c r="K1657" t="str">
        <v>the</v>
      </c>
      <c r="L1657" s="4" t="str">
        <f t="shared" si="32"/>
        <v>the</v>
      </c>
      <c r="N1657" s="4" cm="1">
        <f t="array" ref="N1657">SUM(--(_xlfn.TEXTSPLIT($J$1387,, " ") = M1657))</f>
        <v>2</v>
      </c>
      <c r="O1657">
        <v>2</v>
      </c>
      <c r="P1657">
        <v>0</v>
      </c>
      <c r="Q1657">
        <v>2</v>
      </c>
    </row>
    <row r="1658" spans="5:17" x14ac:dyDescent="0.2">
      <c r="E1658" s="9" t="s">
        <v>24</v>
      </c>
      <c r="K1658" t="str">
        <v>clock,</v>
      </c>
      <c r="L1658" s="4" t="str">
        <f t="shared" si="32"/>
        <v xml:space="preserve">clock </v>
      </c>
      <c r="N1658" s="4" cm="1">
        <f t="array" ref="N1658">SUM(--(_xlfn.TEXTSPLIT($J$1387,, " ") = M1658))</f>
        <v>2</v>
      </c>
      <c r="O1658">
        <v>2</v>
      </c>
      <c r="P1658">
        <v>0</v>
      </c>
      <c r="Q1658">
        <v>2</v>
      </c>
    </row>
    <row r="1659" spans="5:17" x14ac:dyDescent="0.2">
      <c r="E1659" s="9" t="s">
        <v>24</v>
      </c>
      <c r="K1659" t="str">
        <v>wondering</v>
      </c>
      <c r="L1659" s="4" t="str">
        <f t="shared" si="32"/>
        <v>wondering</v>
      </c>
      <c r="N1659" s="4" cm="1">
        <f t="array" ref="N1659">SUM(--(_xlfn.TEXTSPLIT($J$1387,, " ") = M1659))</f>
        <v>2</v>
      </c>
      <c r="O1659">
        <v>2</v>
      </c>
      <c r="P1659">
        <v>0</v>
      </c>
      <c r="Q1659">
        <v>2</v>
      </c>
    </row>
    <row r="1660" spans="5:17" x14ac:dyDescent="0.2">
      <c r="E1660" s="9" t="s">
        <v>24</v>
      </c>
      <c r="K1660" t="str">
        <v>what</v>
      </c>
      <c r="L1660" s="4" t="str">
        <f t="shared" si="32"/>
        <v>what</v>
      </c>
      <c r="N1660" s="4" cm="1">
        <f t="array" ref="N1660">SUM(--(_xlfn.TEXTSPLIT($J$1387,, " ") = M1660))</f>
        <v>2</v>
      </c>
      <c r="O1660">
        <v>2</v>
      </c>
      <c r="P1660">
        <v>0</v>
      </c>
      <c r="Q1660">
        <v>2</v>
      </c>
    </row>
    <row r="1661" spans="5:17" x14ac:dyDescent="0.2">
      <c r="E1661" s="9" t="s">
        <v>24</v>
      </c>
      <c r="K1661" t="str">
        <v>he'll</v>
      </c>
      <c r="L1661" s="4" t="str">
        <f t="shared" si="32"/>
        <v>he ll</v>
      </c>
      <c r="N1661" s="4" cm="1">
        <f t="array" ref="N1661">SUM(--(_xlfn.TEXTSPLIT($J$1387,, " ") = M1661))</f>
        <v>2</v>
      </c>
      <c r="O1661">
        <v>2</v>
      </c>
      <c r="P1661">
        <v>0</v>
      </c>
      <c r="Q1661">
        <v>2</v>
      </c>
    </row>
    <row r="1662" spans="5:17" x14ac:dyDescent="0.2">
      <c r="E1662" s="9" t="s">
        <v>24</v>
      </c>
      <c r="K1662" t="str">
        <v>pull</v>
      </c>
      <c r="L1662" s="4" t="str">
        <f t="shared" si="32"/>
        <v>pull</v>
      </c>
      <c r="N1662" s="4" cm="1">
        <f t="array" ref="N1662">SUM(--(_xlfn.TEXTSPLIT($J$1387,, " ") = M1662))</f>
        <v>2</v>
      </c>
      <c r="O1662">
        <v>2</v>
      </c>
      <c r="P1662">
        <v>0</v>
      </c>
      <c r="Q1662">
        <v>2</v>
      </c>
    </row>
    <row r="1663" spans="5:17" x14ac:dyDescent="0.2">
      <c r="E1663" s="9" t="s">
        <v>24</v>
      </c>
      <c r="K1663" t="str">
        <v>this</v>
      </c>
      <c r="L1663" s="4" t="str">
        <f t="shared" si="32"/>
        <v>this</v>
      </c>
      <c r="N1663" s="4" cm="1">
        <f t="array" ref="N1663">SUM(--(_xlfn.TEXTSPLIT($J$1387,, " ") = M1663))</f>
        <v>2</v>
      </c>
      <c r="O1663">
        <v>2</v>
      </c>
      <c r="P1663">
        <v>0</v>
      </c>
      <c r="Q1663">
        <v>2</v>
      </c>
    </row>
    <row r="1664" spans="5:17" x14ac:dyDescent="0.2">
      <c r="E1664" s="9" t="s">
        <v>24</v>
      </c>
      <c r="K1664" t="str">
        <v xml:space="preserve">time
</v>
      </c>
      <c r="L1664" s="4" t="str">
        <f t="shared" si="32"/>
        <v xml:space="preserve">time </v>
      </c>
      <c r="N1664" s="4" cm="1">
        <f t="array" ref="N1664">SUM(--(_xlfn.TEXTSPLIT($J$1387,, " ") = M1664))</f>
        <v>2</v>
      </c>
      <c r="O1664">
        <v>2</v>
      </c>
      <c r="P1664">
        <v>0</v>
      </c>
      <c r="Q1664">
        <v>2</v>
      </c>
    </row>
    <row r="1665" spans="5:17" x14ac:dyDescent="0.2">
      <c r="E1665" s="9" t="s">
        <v>24</v>
      </c>
      <c r="K1665" t="str">
        <v>I</v>
      </c>
      <c r="L1665" s="4" t="str">
        <f t="shared" si="32"/>
        <v>I</v>
      </c>
      <c r="N1665" s="4" cm="1">
        <f t="array" ref="N1665">SUM(--(_xlfn.TEXTSPLIT($J$1387,, " ") = M1665))</f>
        <v>2</v>
      </c>
      <c r="O1665">
        <v>2</v>
      </c>
      <c r="P1665">
        <v>0</v>
      </c>
      <c r="Q1665">
        <v>2</v>
      </c>
    </row>
    <row r="1666" spans="5:17" x14ac:dyDescent="0.2">
      <c r="E1666" s="9" t="s">
        <v>24</v>
      </c>
      <c r="K1666" t="str">
        <v>have</v>
      </c>
      <c r="L1666" s="4" t="str">
        <f t="shared" si="32"/>
        <v>have</v>
      </c>
      <c r="N1666" s="4" cm="1">
        <f t="array" ref="N1666">SUM(--(_xlfn.TEXTSPLIT($J$1387,, " ") = M1666))</f>
        <v>2</v>
      </c>
      <c r="O1666">
        <v>2</v>
      </c>
      <c r="P1666">
        <v>0</v>
      </c>
      <c r="Q1666">
        <v>2</v>
      </c>
    </row>
    <row r="1667" spans="5:17" x14ac:dyDescent="0.2">
      <c r="E1667" s="9" t="s">
        <v>24</v>
      </c>
      <c r="K1667" t="str">
        <v>a</v>
      </c>
      <c r="L1667" s="4" t="str">
        <f t="shared" si="32"/>
        <v>a</v>
      </c>
      <c r="N1667" s="4" cm="1">
        <f t="array" ref="N1667">SUM(--(_xlfn.TEXTSPLIT($J$1387,, " ") = M1667))</f>
        <v>2</v>
      </c>
      <c r="O1667">
        <v>2</v>
      </c>
      <c r="P1667">
        <v>0</v>
      </c>
      <c r="Q1667">
        <v>2</v>
      </c>
    </row>
    <row r="1668" spans="5:17" x14ac:dyDescent="0.2">
      <c r="E1668" s="9" t="s">
        <v>24</v>
      </c>
      <c r="K1668" t="str">
        <v>feeling</v>
      </c>
      <c r="L1668" s="4" t="str">
        <f t="shared" si="32"/>
        <v>feeling</v>
      </c>
      <c r="N1668" s="4" cm="1">
        <f t="array" ref="N1668">SUM(--(_xlfn.TEXTSPLIT($J$1387,, " ") = M1668))</f>
        <v>2</v>
      </c>
      <c r="O1668">
        <v>2</v>
      </c>
      <c r="P1668">
        <v>0</v>
      </c>
      <c r="Q1668">
        <v>2</v>
      </c>
    </row>
    <row r="1669" spans="5:17" x14ac:dyDescent="0.2">
      <c r="E1669" s="9" t="s">
        <v>24</v>
      </c>
      <c r="K1669" t="str">
        <v>that</v>
      </c>
      <c r="L1669" s="4" t="str">
        <f t="shared" si="32"/>
        <v>that</v>
      </c>
      <c r="N1669" s="4" cm="1">
        <f t="array" ref="N1669">SUM(--(_xlfn.TEXTSPLIT($J$1387,, " ") = M1669))</f>
        <v>2</v>
      </c>
      <c r="O1669">
        <v>2</v>
      </c>
      <c r="P1669">
        <v>0</v>
      </c>
      <c r="Q1669">
        <v>2</v>
      </c>
    </row>
    <row r="1670" spans="5:17" x14ac:dyDescent="0.2">
      <c r="E1670" s="9" t="s">
        <v>24</v>
      </c>
      <c r="K1670" t="str">
        <v>necromancer's</v>
      </c>
      <c r="L1670" s="4" t="str">
        <f t="shared" si="32"/>
        <v>necromancer s</v>
      </c>
      <c r="N1670" s="4" cm="1">
        <f t="array" ref="N1670">SUM(--(_xlfn.TEXTSPLIT($J$1387,, " ") = M1670))</f>
        <v>2</v>
      </c>
      <c r="O1670">
        <v>2</v>
      </c>
      <c r="P1670">
        <v>0</v>
      </c>
      <c r="Q1670">
        <v>2</v>
      </c>
    </row>
    <row r="1671" spans="5:17" x14ac:dyDescent="0.2">
      <c r="E1671" s="9" t="s">
        <v>24</v>
      </c>
      <c r="K1671" t="str">
        <v xml:space="preserve">outside
</v>
      </c>
      <c r="L1671" s="4" t="str">
        <f t="shared" si="32"/>
        <v xml:space="preserve">outside </v>
      </c>
      <c r="N1671" s="4" cm="1">
        <f t="array" ref="N1671">SUM(--(_xlfn.TEXTSPLIT($J$1387,, " ") = M1671))</f>
        <v>2</v>
      </c>
      <c r="O1671">
        <v>2</v>
      </c>
      <c r="P1671">
        <v>0</v>
      </c>
      <c r="Q1671">
        <v>2</v>
      </c>
    </row>
    <row r="1672" spans="5:17" x14ac:dyDescent="0.2">
      <c r="E1672" s="9" t="s">
        <v>24</v>
      </c>
      <c r="K1672" t="str">
        <v>And</v>
      </c>
      <c r="L1672" s="4" t="str">
        <f t="shared" si="32"/>
        <v>And</v>
      </c>
      <c r="N1672" s="4" cm="1">
        <f t="array" ref="N1672">SUM(--(_xlfn.TEXTSPLIT($J$1387,, " ") = M1672))</f>
        <v>2</v>
      </c>
      <c r="O1672">
        <v>2</v>
      </c>
      <c r="P1672">
        <v>0</v>
      </c>
      <c r="Q1672">
        <v>2</v>
      </c>
    </row>
    <row r="1673" spans="5:17" x14ac:dyDescent="0.2">
      <c r="E1673" s="9" t="s">
        <v>24</v>
      </c>
      <c r="K1673" t="str">
        <v>I'm</v>
      </c>
      <c r="L1673" s="4" t="str">
        <f t="shared" si="32"/>
        <v>I m</v>
      </c>
      <c r="N1673" s="4" cm="1">
        <f t="array" ref="N1673">SUM(--(_xlfn.TEXTSPLIT($J$1387,, " ") = M1673))</f>
        <v>2</v>
      </c>
      <c r="O1673">
        <v>2</v>
      </c>
      <c r="P1673">
        <v>0</v>
      </c>
      <c r="Q1673">
        <v>2</v>
      </c>
    </row>
    <row r="1674" spans="5:17" x14ac:dyDescent="0.2">
      <c r="E1674" s="9" t="s">
        <v>24</v>
      </c>
      <c r="K1674" t="str">
        <v>just</v>
      </c>
      <c r="L1674" s="4" t="str">
        <f t="shared" si="32"/>
        <v>just</v>
      </c>
      <c r="N1674" s="4" cm="1">
        <f t="array" ref="N1674">SUM(--(_xlfn.TEXTSPLIT($J$1387,, " ") = M1674))</f>
        <v>2</v>
      </c>
      <c r="O1674">
        <v>2</v>
      </c>
      <c r="P1674">
        <v>0</v>
      </c>
      <c r="Q1674">
        <v>2</v>
      </c>
    </row>
    <row r="1675" spans="5:17" x14ac:dyDescent="0.2">
      <c r="E1675" s="9" t="s">
        <v>24</v>
      </c>
      <c r="K1675" t="str">
        <v>tryin'</v>
      </c>
      <c r="L1675" s="4" t="str">
        <f t="shared" si="32"/>
        <v xml:space="preserve">tryin </v>
      </c>
      <c r="N1675" s="4" cm="1">
        <f t="array" ref="N1675">SUM(--(_xlfn.TEXTSPLIT($J$1387,, " ") = M1675))</f>
        <v>2</v>
      </c>
      <c r="O1675">
        <v>2</v>
      </c>
      <c r="P1675">
        <v>0</v>
      </c>
      <c r="Q1675">
        <v>2</v>
      </c>
    </row>
    <row r="1676" spans="5:17" x14ac:dyDescent="0.2">
      <c r="E1676" s="9" t="s">
        <v>24</v>
      </c>
      <c r="K1676" t="str">
        <v>to</v>
      </c>
      <c r="L1676" s="4" t="str">
        <f t="shared" si="32"/>
        <v>to</v>
      </c>
      <c r="N1676" s="4" cm="1">
        <f t="array" ref="N1676">SUM(--(_xlfn.TEXTSPLIT($J$1387,, " ") = M1676))</f>
        <v>2</v>
      </c>
      <c r="O1676">
        <v>2</v>
      </c>
      <c r="P1676">
        <v>0</v>
      </c>
      <c r="Q1676">
        <v>2</v>
      </c>
    </row>
    <row r="1677" spans="5:17" x14ac:dyDescent="0.2">
      <c r="E1677" s="9" t="s">
        <v>24</v>
      </c>
      <c r="K1677" t="str">
        <v>stay</v>
      </c>
      <c r="L1677" s="4" t="str">
        <f t="shared" si="32"/>
        <v>stay</v>
      </c>
      <c r="N1677" s="4" cm="1">
        <f t="array" ref="N1677">SUM(--(_xlfn.TEXTSPLIT($J$1387,, " ") = M1677))</f>
        <v>2</v>
      </c>
      <c r="O1677">
        <v>2</v>
      </c>
      <c r="P1677">
        <v>0</v>
      </c>
      <c r="Q1677">
        <v>2</v>
      </c>
    </row>
    <row r="1678" spans="5:17" x14ac:dyDescent="0.2">
      <c r="E1678" s="9" t="s">
        <v>24</v>
      </c>
      <c r="K1678" t="str">
        <v xml:space="preserve">quiet
</v>
      </c>
      <c r="L1678" s="4" t="str">
        <f t="shared" si="32"/>
        <v xml:space="preserve">quiet  </v>
      </c>
      <c r="N1678" s="4" cm="1">
        <f t="array" ref="N1678">SUM(--(_xlfn.TEXTSPLIT($J$1387,, " ") = M1678))</f>
        <v>2</v>
      </c>
      <c r="O1678">
        <v>2</v>
      </c>
      <c r="P1678">
        <v>0</v>
      </c>
      <c r="Q1678">
        <v>2</v>
      </c>
    </row>
    <row r="1679" spans="5:17" x14ac:dyDescent="0.2">
      <c r="E1679" s="9" t="s">
        <v>24</v>
      </c>
      <c r="K1679" t="str">
        <v>I</v>
      </c>
      <c r="L1679" s="4" t="str">
        <f t="shared" si="32"/>
        <v>I</v>
      </c>
      <c r="N1679" s="4" cm="1">
        <f t="array" ref="N1679">SUM(--(_xlfn.TEXTSPLIT($J$1387,, " ") = M1679))</f>
        <v>2</v>
      </c>
      <c r="O1679">
        <v>2</v>
      </c>
      <c r="P1679">
        <v>0</v>
      </c>
      <c r="Q1679">
        <v>2</v>
      </c>
    </row>
    <row r="1680" spans="5:17" x14ac:dyDescent="0.2">
      <c r="E1680" s="9" t="s">
        <v>24</v>
      </c>
      <c r="K1680" t="str">
        <v>don't</v>
      </c>
      <c r="L1680" s="4" t="str">
        <f t="shared" si="32"/>
        <v>don t</v>
      </c>
      <c r="N1680" s="4" cm="1">
        <f t="array" ref="N1680">SUM(--(_xlfn.TEXTSPLIT($J$1387,, " ") = M1680))</f>
        <v>2</v>
      </c>
      <c r="O1680">
        <v>2</v>
      </c>
      <c r="P1680">
        <v>0</v>
      </c>
      <c r="Q1680">
        <v>2</v>
      </c>
    </row>
    <row r="1681" spans="5:17" x14ac:dyDescent="0.2">
      <c r="E1681" s="9" t="s">
        <v>24</v>
      </c>
      <c r="K1681" t="str">
        <v>sleep</v>
      </c>
      <c r="L1681" s="4" t="str">
        <f t="shared" si="32"/>
        <v>sleep</v>
      </c>
      <c r="N1681" s="4" cm="1">
        <f t="array" ref="N1681">SUM(--(_xlfn.TEXTSPLIT($J$1387,, " ") = M1681))</f>
        <v>2</v>
      </c>
      <c r="O1681">
        <v>2</v>
      </c>
      <c r="P1681">
        <v>0</v>
      </c>
      <c r="Q1681">
        <v>2</v>
      </c>
    </row>
    <row r="1682" spans="5:17" x14ac:dyDescent="0.2">
      <c r="E1682" s="9" t="s">
        <v>24</v>
      </c>
      <c r="K1682" t="str">
        <v>much,</v>
      </c>
      <c r="L1682" s="4" t="str">
        <f t="shared" si="32"/>
        <v xml:space="preserve">much </v>
      </c>
      <c r="N1682" s="4" cm="1">
        <f t="array" ref="N1682">SUM(--(_xlfn.TEXTSPLIT($J$1387,, " ") = M1682))</f>
        <v>2</v>
      </c>
      <c r="O1682">
        <v>2</v>
      </c>
      <c r="P1682">
        <v>0</v>
      </c>
      <c r="Q1682">
        <v>2</v>
      </c>
    </row>
    <row r="1683" spans="5:17" x14ac:dyDescent="0.2">
      <c r="E1683" s="9" t="s">
        <v>24</v>
      </c>
      <c r="K1683" t="str">
        <v>that's</v>
      </c>
      <c r="L1683" s="4" t="str">
        <f t="shared" si="32"/>
        <v>that s</v>
      </c>
      <c r="N1683" s="4" cm="1">
        <f t="array" ref="N1683">SUM(--(_xlfn.TEXTSPLIT($J$1387,, " ") = M1683))</f>
        <v>2</v>
      </c>
      <c r="O1683">
        <v>2</v>
      </c>
      <c r="P1683">
        <v>0</v>
      </c>
      <c r="Q1683">
        <v>2</v>
      </c>
    </row>
    <row r="1684" spans="5:17" x14ac:dyDescent="0.2">
      <c r="E1684" s="9" t="s">
        <v>24</v>
      </c>
      <c r="K1684" t="str">
        <v>crazy,</v>
      </c>
      <c r="L1684" s="4" t="str">
        <f t="shared" si="32"/>
        <v xml:space="preserve">crazy </v>
      </c>
      <c r="N1684" s="4" cm="1">
        <f t="array" ref="N1684">SUM(--(_xlfn.TEXTSPLIT($J$1387,, " ") = M1684))</f>
        <v>2</v>
      </c>
      <c r="O1684">
        <v>2</v>
      </c>
      <c r="P1684">
        <v>0</v>
      </c>
      <c r="Q1684">
        <v>2</v>
      </c>
    </row>
    <row r="1685" spans="5:17" x14ac:dyDescent="0.2">
      <c r="E1685" s="9" t="s">
        <v>24</v>
      </c>
      <c r="K1685" t="str">
        <v>how'd</v>
      </c>
      <c r="L1685" s="4" t="str">
        <f t="shared" si="32"/>
        <v>how d</v>
      </c>
      <c r="N1685" s="4" cm="1">
        <f t="array" ref="N1685">SUM(--(_xlfn.TEXTSPLIT($J$1387,, " ") = M1685))</f>
        <v>2</v>
      </c>
      <c r="O1685">
        <v>2</v>
      </c>
      <c r="P1685">
        <v>0</v>
      </c>
      <c r="Q1685">
        <v>2</v>
      </c>
    </row>
    <row r="1686" spans="5:17" x14ac:dyDescent="0.2">
      <c r="E1686" s="9" t="s">
        <v>24</v>
      </c>
      <c r="K1686" t="str">
        <v>you</v>
      </c>
      <c r="L1686" s="4" t="str">
        <f t="shared" si="32"/>
        <v>you</v>
      </c>
      <c r="N1686" s="4" cm="1">
        <f t="array" ref="N1686">SUM(--(_xlfn.TEXTSPLIT($J$1387,, " ") = M1686))</f>
        <v>2</v>
      </c>
      <c r="O1686">
        <v>2</v>
      </c>
      <c r="P1686">
        <v>0</v>
      </c>
      <c r="Q1686">
        <v>2</v>
      </c>
    </row>
    <row r="1687" spans="5:17" x14ac:dyDescent="0.2">
      <c r="E1687" s="9" t="s">
        <v>24</v>
      </c>
      <c r="K1687" t="str">
        <v>know</v>
      </c>
      <c r="L1687" s="4" t="str">
        <f t="shared" si="32"/>
        <v>know</v>
      </c>
      <c r="N1687" s="4" cm="1">
        <f t="array" ref="N1687">SUM(--(_xlfn.TEXTSPLIT($J$1387,, " ") = M1687))</f>
        <v>2</v>
      </c>
      <c r="O1687">
        <v>2</v>
      </c>
      <c r="P1687">
        <v>0</v>
      </c>
      <c r="Q1687">
        <v>2</v>
      </c>
    </row>
    <row r="1688" spans="5:17" x14ac:dyDescent="0.2">
      <c r="E1688" s="9" t="s">
        <v>24</v>
      </c>
      <c r="K1688" t="str">
        <v>that?</v>
      </c>
      <c r="L1688" s="4" t="str">
        <f t="shared" si="32"/>
        <v xml:space="preserve">that </v>
      </c>
      <c r="N1688" s="4" cm="1">
        <f t="array" ref="N1688">SUM(--(_xlfn.TEXTSPLIT($J$1387,, " ") = M1688))</f>
        <v>2</v>
      </c>
      <c r="O1688">
        <v>2</v>
      </c>
      <c r="P1688">
        <v>0</v>
      </c>
      <c r="Q1688">
        <v>2</v>
      </c>
    </row>
    <row r="1689" spans="5:17" x14ac:dyDescent="0.2">
      <c r="E1689" s="9" t="s">
        <v>24</v>
      </c>
      <c r="K1689" t="str">
        <v xml:space="preserve">(That)
</v>
      </c>
      <c r="L1689" s="4" t="str">
        <f t="shared" si="32"/>
        <v xml:space="preserve"> That  </v>
      </c>
      <c r="N1689" s="4" cm="1">
        <f t="array" ref="N1689">SUM(--(_xlfn.TEXTSPLIT($J$1387,, " ") = M1689))</f>
        <v>2</v>
      </c>
      <c r="O1689">
        <v>2</v>
      </c>
      <c r="P1689">
        <v>0</v>
      </c>
      <c r="Q1689">
        <v>2</v>
      </c>
    </row>
    <row r="1690" spans="5:17" x14ac:dyDescent="0.2">
      <c r="E1690" s="9" t="s">
        <v>24</v>
      </c>
      <c r="K1690" t="str">
        <v>I</v>
      </c>
      <c r="L1690" s="4" t="str">
        <f t="shared" si="32"/>
        <v>I</v>
      </c>
      <c r="N1690" s="4" cm="1">
        <f t="array" ref="N1690">SUM(--(_xlfn.TEXTSPLIT($J$1387,, " ") = M1690))</f>
        <v>2</v>
      </c>
      <c r="O1690">
        <v>2</v>
      </c>
      <c r="P1690">
        <v>0</v>
      </c>
      <c r="Q1690">
        <v>2</v>
      </c>
    </row>
    <row r="1691" spans="5:17" x14ac:dyDescent="0.2">
      <c r="E1691" s="9" t="s">
        <v>24</v>
      </c>
      <c r="K1691" t="str">
        <v>keep</v>
      </c>
      <c r="L1691" s="4" t="str">
        <f t="shared" si="32"/>
        <v>keep</v>
      </c>
      <c r="N1691" s="4" cm="1">
        <f t="array" ref="N1691">SUM(--(_xlfn.TEXTSPLIT($J$1387,, " ") = M1691))</f>
        <v>2</v>
      </c>
      <c r="O1691">
        <v>2</v>
      </c>
      <c r="P1691">
        <v>0</v>
      </c>
      <c r="Q1691">
        <v>2</v>
      </c>
    </row>
    <row r="1692" spans="5:17" x14ac:dyDescent="0.2">
      <c r="E1692" s="9" t="s">
        <v>24</v>
      </c>
      <c r="K1692" t="str">
        <v>myself</v>
      </c>
      <c r="L1692" s="4" t="str">
        <f t="shared" si="32"/>
        <v>myself</v>
      </c>
      <c r="N1692" s="4" cm="1">
        <f t="array" ref="N1692">SUM(--(_xlfn.TEXTSPLIT($J$1387,, " ") = M1692))</f>
        <v>2</v>
      </c>
      <c r="O1692">
        <v>2</v>
      </c>
      <c r="P1692">
        <v>0</v>
      </c>
      <c r="Q1692">
        <v>2</v>
      </c>
    </row>
    <row r="1693" spans="5:17" x14ac:dyDescent="0.2">
      <c r="E1693" s="9" t="s">
        <v>24</v>
      </c>
      <c r="K1693" t="str">
        <v>up,</v>
      </c>
      <c r="L1693" s="4" t="str">
        <f t="shared" si="32"/>
        <v xml:space="preserve">up </v>
      </c>
      <c r="N1693" s="4" cm="1">
        <f t="array" ref="N1693">SUM(--(_xlfn.TEXTSPLIT($J$1387,, " ") = M1693))</f>
        <v>2</v>
      </c>
      <c r="O1693">
        <v>2</v>
      </c>
      <c r="P1693">
        <v>0</v>
      </c>
      <c r="Q1693">
        <v>2</v>
      </c>
    </row>
    <row r="1694" spans="5:17" x14ac:dyDescent="0.2">
      <c r="E1694" s="9" t="s">
        <v>24</v>
      </c>
      <c r="K1694" t="str">
        <v>that's</v>
      </c>
      <c r="L1694" s="4" t="str">
        <f t="shared" si="32"/>
        <v>that s</v>
      </c>
      <c r="N1694" s="4" cm="1">
        <f t="array" ref="N1694">SUM(--(_xlfn.TEXTSPLIT($J$1387,, " ") = M1694))</f>
        <v>2</v>
      </c>
      <c r="O1694">
        <v>2</v>
      </c>
      <c r="P1694">
        <v>0</v>
      </c>
      <c r="Q1694">
        <v>2</v>
      </c>
    </row>
    <row r="1695" spans="5:17" x14ac:dyDescent="0.2">
      <c r="E1695" s="9" t="s">
        <v>24</v>
      </c>
      <c r="K1695" t="str">
        <v>maybe</v>
      </c>
      <c r="L1695" s="4" t="str">
        <f t="shared" si="32"/>
        <v>maybe</v>
      </c>
      <c r="N1695" s="4" cm="1">
        <f t="array" ref="N1695">SUM(--(_xlfn.TEXTSPLIT($J$1387,, " ") = M1695))</f>
        <v>2</v>
      </c>
      <c r="O1695">
        <v>2</v>
      </c>
      <c r="P1695">
        <v>0</v>
      </c>
      <c r="Q1695">
        <v>2</v>
      </c>
    </row>
    <row r="1696" spans="5:17" x14ac:dyDescent="0.2">
      <c r="E1696" s="9" t="s">
        <v>24</v>
      </c>
      <c r="K1696" t="str">
        <v>how</v>
      </c>
      <c r="L1696" s="4" t="str">
        <f t="shared" si="32"/>
        <v>how</v>
      </c>
      <c r="N1696" s="4" cm="1">
        <f t="array" ref="N1696">SUM(--(_xlfn.TEXTSPLIT($J$1387,, " ") = M1696))</f>
        <v>2</v>
      </c>
      <c r="O1696">
        <v>2</v>
      </c>
      <c r="P1696">
        <v>0</v>
      </c>
      <c r="Q1696">
        <v>2</v>
      </c>
    </row>
    <row r="1697" spans="5:17" x14ac:dyDescent="0.2">
      <c r="E1697" s="9" t="s">
        <v>24</v>
      </c>
      <c r="K1697" t="str">
        <v>you</v>
      </c>
      <c r="L1697" s="4" t="str">
        <f t="shared" si="32"/>
        <v>you</v>
      </c>
      <c r="N1697" s="4" cm="1">
        <f t="array" ref="N1697">SUM(--(_xlfn.TEXTSPLIT($J$1387,, " ") = M1697))</f>
        <v>2</v>
      </c>
      <c r="O1697">
        <v>2</v>
      </c>
      <c r="P1697">
        <v>0</v>
      </c>
      <c r="Q1697">
        <v>2</v>
      </c>
    </row>
    <row r="1698" spans="5:17" x14ac:dyDescent="0.2">
      <c r="E1698" s="9" t="s">
        <v>24</v>
      </c>
      <c r="K1698" t="str">
        <v>know</v>
      </c>
      <c r="L1698" s="4" t="str">
        <f t="shared" si="32"/>
        <v>know</v>
      </c>
      <c r="N1698" s="4" cm="1">
        <f t="array" ref="N1698">SUM(--(_xlfn.TEXTSPLIT($J$1387,, " ") = M1698))</f>
        <v>2</v>
      </c>
      <c r="O1698">
        <v>2</v>
      </c>
      <c r="P1698">
        <v>0</v>
      </c>
      <c r="Q1698">
        <v>2</v>
      </c>
    </row>
    <row r="1699" spans="5:17" x14ac:dyDescent="0.2">
      <c r="E1699" s="9" t="s">
        <v>24</v>
      </c>
      <c r="K1699" t="str">
        <v>that</v>
      </c>
      <c r="L1699" s="4" t="str">
        <f t="shared" si="32"/>
        <v>that</v>
      </c>
      <c r="N1699" s="4" cm="1">
        <f t="array" ref="N1699">SUM(--(_xlfn.TEXTSPLIT($J$1387,, " ") = M1699))</f>
        <v>2</v>
      </c>
      <c r="O1699">
        <v>2</v>
      </c>
      <c r="P1699">
        <v>0</v>
      </c>
      <c r="Q1699">
        <v>2</v>
      </c>
    </row>
    <row r="1700" spans="5:17" x14ac:dyDescent="0.2">
      <c r="E1700" s="9" t="s">
        <v>24</v>
      </c>
      <c r="K1700" t="str">
        <v>(That,</v>
      </c>
      <c r="L1700" s="4" t="str">
        <f t="shared" si="32"/>
        <v xml:space="preserve"> That </v>
      </c>
      <c r="N1700" s="4" cm="1">
        <f t="array" ref="N1700">SUM(--(_xlfn.TEXTSPLIT($J$1387,, " ") = M1700))</f>
        <v>2</v>
      </c>
      <c r="O1700">
        <v>2</v>
      </c>
      <c r="P1700">
        <v>0</v>
      </c>
      <c r="Q1700">
        <v>2</v>
      </c>
    </row>
    <row r="1701" spans="5:17" x14ac:dyDescent="0.2">
      <c r="E1701" s="9" t="s">
        <v>24</v>
      </c>
      <c r="K1701" t="str">
        <v xml:space="preserve">that)
</v>
      </c>
      <c r="L1701" s="4" t="str">
        <f t="shared" si="32"/>
        <v xml:space="preserve">that  </v>
      </c>
      <c r="N1701" s="4" cm="1">
        <f t="array" ref="N1701">SUM(--(_xlfn.TEXTSPLIT($J$1387,, " ") = M1701))</f>
        <v>2</v>
      </c>
      <c r="O1701">
        <v>2</v>
      </c>
      <c r="P1701">
        <v>0</v>
      </c>
      <c r="Q1701">
        <v>2</v>
      </c>
    </row>
    <row r="1702" spans="5:17" x14ac:dyDescent="0.2">
      <c r="E1702" s="9" t="s">
        <v>24</v>
      </c>
      <c r="K1702" t="str">
        <v>Ooh,</v>
      </c>
      <c r="L1702" s="4" t="str">
        <f t="shared" si="32"/>
        <v xml:space="preserve">Ooh </v>
      </c>
      <c r="N1702" s="4" cm="1">
        <f t="array" ref="N1702">SUM(--(_xlfn.TEXTSPLIT($J$1387,, " ") = M1702))</f>
        <v>2</v>
      </c>
      <c r="O1702">
        <v>2</v>
      </c>
      <c r="P1702">
        <v>0</v>
      </c>
      <c r="Q1702">
        <v>2</v>
      </c>
    </row>
    <row r="1703" spans="5:17" x14ac:dyDescent="0.2">
      <c r="E1703" s="9" t="s">
        <v>24</v>
      </c>
      <c r="K1703" t="str">
        <v>promises</v>
      </c>
      <c r="L1703" s="4" t="str">
        <f t="shared" si="32"/>
        <v>promises</v>
      </c>
      <c r="N1703" s="4" cm="1">
        <f t="array" ref="N1703">SUM(--(_xlfn.TEXTSPLIT($J$1387,, " ") = M1703))</f>
        <v>2</v>
      </c>
      <c r="O1703">
        <v>2</v>
      </c>
      <c r="P1703">
        <v>0</v>
      </c>
      <c r="Q1703">
        <v>2</v>
      </c>
    </row>
    <row r="1704" spans="5:17" x14ac:dyDescent="0.2">
      <c r="E1704" s="9" t="s">
        <v>24</v>
      </c>
      <c r="K1704" t="str">
        <v>and</v>
      </c>
      <c r="L1704" s="4" t="str">
        <f t="shared" si="32"/>
        <v>and</v>
      </c>
      <c r="N1704" s="4" cm="1">
        <f t="array" ref="N1704">SUM(--(_xlfn.TEXTSPLIT($J$1387,, " ") = M1704))</f>
        <v>2</v>
      </c>
      <c r="O1704">
        <v>2</v>
      </c>
      <c r="P1704">
        <v>0</v>
      </c>
      <c r="Q1704">
        <v>2</v>
      </c>
    </row>
    <row r="1705" spans="5:17" x14ac:dyDescent="0.2">
      <c r="E1705" s="9" t="s">
        <v>24</v>
      </c>
      <c r="K1705" t="str">
        <v>contracts</v>
      </c>
      <c r="L1705" s="4" t="str">
        <f t="shared" si="32"/>
        <v>contracts</v>
      </c>
      <c r="N1705" s="4" cm="1">
        <f t="array" ref="N1705">SUM(--(_xlfn.TEXTSPLIT($J$1387,, " ") = M1705))</f>
        <v>2</v>
      </c>
      <c r="O1705">
        <v>2</v>
      </c>
      <c r="P1705">
        <v>0</v>
      </c>
      <c r="Q1705">
        <v>2</v>
      </c>
    </row>
    <row r="1706" spans="5:17" x14ac:dyDescent="0.2">
      <c r="E1706" s="9" t="s">
        <v>24</v>
      </c>
      <c r="K1706" t="str">
        <v>I</v>
      </c>
      <c r="L1706" s="4" t="str">
        <f t="shared" si="32"/>
        <v>I</v>
      </c>
      <c r="N1706" s="4" cm="1">
        <f t="array" ref="N1706">SUM(--(_xlfn.TEXTSPLIT($J$1387,, " ") = M1706))</f>
        <v>2</v>
      </c>
      <c r="O1706">
        <v>2</v>
      </c>
      <c r="P1706">
        <v>0</v>
      </c>
      <c r="Q1706">
        <v>2</v>
      </c>
    </row>
    <row r="1707" spans="5:17" x14ac:dyDescent="0.2">
      <c r="E1707" s="9" t="s">
        <v>24</v>
      </c>
      <c r="K1707" t="str">
        <v>used</v>
      </c>
      <c r="L1707" s="4" t="str">
        <f t="shared" si="32"/>
        <v>used</v>
      </c>
      <c r="N1707" s="4" cm="1">
        <f t="array" ref="N1707">SUM(--(_xlfn.TEXTSPLIT($J$1387,, " ") = M1707))</f>
        <v>2</v>
      </c>
      <c r="O1707">
        <v>2</v>
      </c>
      <c r="P1707">
        <v>0</v>
      </c>
      <c r="Q1707">
        <v>2</v>
      </c>
    </row>
    <row r="1708" spans="5:17" x14ac:dyDescent="0.2">
      <c r="E1708" s="9" t="s">
        <v>24</v>
      </c>
      <c r="K1708" t="str">
        <v>to</v>
      </c>
      <c r="L1708" s="4" t="str">
        <f t="shared" si="32"/>
        <v>to</v>
      </c>
      <c r="N1708" s="4" cm="1">
        <f t="array" ref="N1708">SUM(--(_xlfn.TEXTSPLIT($J$1387,, " ") = M1708))</f>
        <v>2</v>
      </c>
      <c r="O1708">
        <v>2</v>
      </c>
      <c r="P1708">
        <v>0</v>
      </c>
      <c r="Q1708">
        <v>2</v>
      </c>
    </row>
    <row r="1709" spans="5:17" x14ac:dyDescent="0.2">
      <c r="E1709" s="9" t="s">
        <v>24</v>
      </c>
      <c r="K1709" t="str">
        <v xml:space="preserve">keep
</v>
      </c>
      <c r="L1709" s="4" t="str">
        <f t="shared" ref="L1709:L1772" si="33">_xlfn.REGEXREPLACE(K1709, "[^A-Za-z ]", " ")</f>
        <v xml:space="preserve">keep </v>
      </c>
      <c r="N1709" s="4" cm="1">
        <f t="array" ref="N1709">SUM(--(_xlfn.TEXTSPLIT($J$1387,, " ") = M1709))</f>
        <v>2</v>
      </c>
      <c r="O1709">
        <v>2</v>
      </c>
      <c r="P1709">
        <v>0</v>
      </c>
      <c r="Q1709">
        <v>2</v>
      </c>
    </row>
    <row r="1710" spans="5:17" x14ac:dyDescent="0.2">
      <c r="E1710" s="9" t="s">
        <v>24</v>
      </c>
      <c r="K1710" t="str">
        <v>I</v>
      </c>
      <c r="L1710" s="4" t="str">
        <f t="shared" si="33"/>
        <v>I</v>
      </c>
      <c r="N1710" s="4" cm="1">
        <f t="array" ref="N1710">SUM(--(_xlfn.TEXTSPLIT($J$1387,, " ") = M1710))</f>
        <v>2</v>
      </c>
      <c r="O1710">
        <v>2</v>
      </c>
      <c r="P1710">
        <v>0</v>
      </c>
      <c r="Q1710">
        <v>2</v>
      </c>
    </row>
    <row r="1711" spans="5:17" x14ac:dyDescent="0.2">
      <c r="E1711" s="9" t="s">
        <v>24</v>
      </c>
      <c r="K1711" t="str">
        <v>don't</v>
      </c>
      <c r="L1711" s="4" t="str">
        <f t="shared" si="33"/>
        <v>don t</v>
      </c>
      <c r="N1711" s="4" cm="1">
        <f t="array" ref="N1711">SUM(--(_xlfn.TEXTSPLIT($J$1387,, " ") = M1711))</f>
        <v>2</v>
      </c>
      <c r="O1711">
        <v>2</v>
      </c>
      <c r="P1711">
        <v>0</v>
      </c>
      <c r="Q1711">
        <v>2</v>
      </c>
    </row>
    <row r="1712" spans="5:17" x14ac:dyDescent="0.2">
      <c r="E1712" s="9" t="s">
        <v>24</v>
      </c>
      <c r="K1712" t="str">
        <v>sleep</v>
      </c>
      <c r="L1712" s="4" t="str">
        <f t="shared" si="33"/>
        <v>sleep</v>
      </c>
      <c r="N1712" s="4" cm="1">
        <f t="array" ref="N1712">SUM(--(_xlfn.TEXTSPLIT($J$1387,, " ") = M1712))</f>
        <v>2</v>
      </c>
      <c r="O1712">
        <v>2</v>
      </c>
      <c r="P1712">
        <v>0</v>
      </c>
      <c r="Q1712">
        <v>2</v>
      </c>
    </row>
    <row r="1713" spans="5:17" x14ac:dyDescent="0.2">
      <c r="E1713" s="9" t="s">
        <v>24</v>
      </c>
      <c r="K1713" t="str">
        <v>much,</v>
      </c>
      <c r="L1713" s="4" t="str">
        <f t="shared" si="33"/>
        <v xml:space="preserve">much </v>
      </c>
      <c r="N1713" s="4" cm="1">
        <f t="array" ref="N1713">SUM(--(_xlfn.TEXTSPLIT($J$1387,, " ") = M1713))</f>
        <v>2</v>
      </c>
      <c r="O1713">
        <v>2</v>
      </c>
      <c r="P1713">
        <v>0</v>
      </c>
      <c r="Q1713">
        <v>2</v>
      </c>
    </row>
    <row r="1714" spans="5:17" x14ac:dyDescent="0.2">
      <c r="E1714" s="9" t="s">
        <v>24</v>
      </c>
      <c r="K1714" t="str">
        <v>that's</v>
      </c>
      <c r="L1714" s="4" t="str">
        <f t="shared" si="33"/>
        <v>that s</v>
      </c>
      <c r="N1714" s="4" cm="1">
        <f t="array" ref="N1714">SUM(--(_xlfn.TEXTSPLIT($J$1387,, " ") = M1714))</f>
        <v>2</v>
      </c>
      <c r="O1714">
        <v>2</v>
      </c>
      <c r="P1714">
        <v>0</v>
      </c>
      <c r="Q1714">
        <v>2</v>
      </c>
    </row>
    <row r="1715" spans="5:17" x14ac:dyDescent="0.2">
      <c r="E1715" s="9" t="s">
        <v>24</v>
      </c>
      <c r="K1715" t="str">
        <v>crazy,</v>
      </c>
      <c r="L1715" s="4" t="str">
        <f t="shared" si="33"/>
        <v xml:space="preserve">crazy </v>
      </c>
      <c r="N1715" s="4" cm="1">
        <f t="array" ref="N1715">SUM(--(_xlfn.TEXTSPLIT($J$1387,, " ") = M1715))</f>
        <v>2</v>
      </c>
      <c r="O1715">
        <v>2</v>
      </c>
      <c r="P1715">
        <v>0</v>
      </c>
      <c r="Q1715">
        <v>2</v>
      </c>
    </row>
    <row r="1716" spans="5:17" x14ac:dyDescent="0.2">
      <c r="E1716" s="9" t="s">
        <v>24</v>
      </c>
      <c r="K1716" t="str">
        <v>how'd</v>
      </c>
      <c r="L1716" s="4" t="str">
        <f t="shared" si="33"/>
        <v>how d</v>
      </c>
      <c r="N1716" s="4" cm="1">
        <f t="array" ref="N1716">SUM(--(_xlfn.TEXTSPLIT($J$1387,, " ") = M1716))</f>
        <v>2</v>
      </c>
      <c r="O1716">
        <v>2</v>
      </c>
      <c r="P1716">
        <v>0</v>
      </c>
      <c r="Q1716">
        <v>2</v>
      </c>
    </row>
    <row r="1717" spans="5:17" x14ac:dyDescent="0.2">
      <c r="E1717" s="9" t="s">
        <v>24</v>
      </c>
      <c r="K1717" t="str">
        <v>you</v>
      </c>
      <c r="L1717" s="4" t="str">
        <f t="shared" si="33"/>
        <v>you</v>
      </c>
      <c r="N1717" s="4" cm="1">
        <f t="array" ref="N1717">SUM(--(_xlfn.TEXTSPLIT($J$1387,, " ") = M1717))</f>
        <v>2</v>
      </c>
      <c r="O1717">
        <v>2</v>
      </c>
      <c r="P1717">
        <v>0</v>
      </c>
      <c r="Q1717">
        <v>2</v>
      </c>
    </row>
    <row r="1718" spans="5:17" x14ac:dyDescent="0.2">
      <c r="E1718" s="9" t="s">
        <v>24</v>
      </c>
      <c r="K1718" t="str">
        <v>know</v>
      </c>
      <c r="L1718" s="4" t="str">
        <f t="shared" si="33"/>
        <v>know</v>
      </c>
      <c r="N1718" s="4" cm="1">
        <f t="array" ref="N1718">SUM(--(_xlfn.TEXTSPLIT($J$1387,, " ") = M1718))</f>
        <v>2</v>
      </c>
      <c r="O1718">
        <v>2</v>
      </c>
      <c r="P1718">
        <v>0</v>
      </c>
      <c r="Q1718">
        <v>2</v>
      </c>
    </row>
    <row r="1719" spans="5:17" x14ac:dyDescent="0.2">
      <c r="E1719" s="9" t="s">
        <v>24</v>
      </c>
      <c r="K1719" t="str">
        <v>that?</v>
      </c>
      <c r="L1719" s="4" t="str">
        <f t="shared" si="33"/>
        <v xml:space="preserve">that </v>
      </c>
      <c r="N1719" s="4" cm="1">
        <f t="array" ref="N1719">SUM(--(_xlfn.TEXTSPLIT($J$1387,, " ") = M1719))</f>
        <v>2</v>
      </c>
      <c r="O1719">
        <v>2</v>
      </c>
      <c r="P1719">
        <v>0</v>
      </c>
      <c r="Q1719">
        <v>2</v>
      </c>
    </row>
    <row r="1720" spans="5:17" x14ac:dyDescent="0.2">
      <c r="E1720" s="9" t="s">
        <v>24</v>
      </c>
      <c r="K1720" t="str">
        <v xml:space="preserve">(That)
</v>
      </c>
      <c r="L1720" s="4" t="str">
        <f t="shared" si="33"/>
        <v xml:space="preserve"> That  </v>
      </c>
      <c r="N1720" s="4" cm="1">
        <f t="array" ref="N1720">SUM(--(_xlfn.TEXTSPLIT($J$1387,, " ") = M1720))</f>
        <v>2</v>
      </c>
      <c r="O1720">
        <v>2</v>
      </c>
      <c r="P1720">
        <v>0</v>
      </c>
      <c r="Q1720">
        <v>2</v>
      </c>
    </row>
    <row r="1721" spans="5:17" x14ac:dyDescent="0.2">
      <c r="E1721" s="9" t="s">
        <v>24</v>
      </c>
      <c r="K1721" t="str">
        <v>Keep</v>
      </c>
      <c r="L1721" s="4" t="str">
        <f t="shared" si="33"/>
        <v>Keep</v>
      </c>
      <c r="N1721" s="4" cm="1">
        <f t="array" ref="N1721">SUM(--(_xlfn.TEXTSPLIT($J$1387,, " ") = M1721))</f>
        <v>2</v>
      </c>
      <c r="O1721">
        <v>2</v>
      </c>
      <c r="P1721">
        <v>0</v>
      </c>
      <c r="Q1721">
        <v>2</v>
      </c>
    </row>
    <row r="1722" spans="5:17" x14ac:dyDescent="0.2">
      <c r="E1722" s="9" t="s">
        <v>24</v>
      </c>
      <c r="K1722" t="str">
        <v>myself</v>
      </c>
      <c r="L1722" s="4" t="str">
        <f t="shared" si="33"/>
        <v>myself</v>
      </c>
      <c r="N1722" s="4" cm="1">
        <f t="array" ref="N1722">SUM(--(_xlfn.TEXTSPLIT($J$1387,, " ") = M1722))</f>
        <v>2</v>
      </c>
      <c r="O1722">
        <v>2</v>
      </c>
      <c r="P1722">
        <v>0</v>
      </c>
      <c r="Q1722">
        <v>2</v>
      </c>
    </row>
    <row r="1723" spans="5:17" x14ac:dyDescent="0.2">
      <c r="E1723" s="9" t="s">
        <v>24</v>
      </c>
      <c r="K1723" t="str">
        <v>up,</v>
      </c>
      <c r="L1723" s="4" t="str">
        <f t="shared" si="33"/>
        <v xml:space="preserve">up </v>
      </c>
      <c r="N1723" s="4" cm="1">
        <f t="array" ref="N1723">SUM(--(_xlfn.TEXTSPLIT($J$1387,, " ") = M1723))</f>
        <v>2</v>
      </c>
      <c r="O1723">
        <v>2</v>
      </c>
      <c r="P1723">
        <v>0</v>
      </c>
      <c r="Q1723">
        <v>2</v>
      </c>
    </row>
    <row r="1724" spans="5:17" x14ac:dyDescent="0.2">
      <c r="E1724" s="9" t="s">
        <v>24</v>
      </c>
      <c r="K1724" t="str">
        <v>that's</v>
      </c>
      <c r="L1724" s="4" t="str">
        <f t="shared" si="33"/>
        <v>that s</v>
      </c>
      <c r="N1724" s="4" cm="1">
        <f t="array" ref="N1724">SUM(--(_xlfn.TEXTSPLIT($J$1387,, " ") = M1724))</f>
        <v>2</v>
      </c>
      <c r="O1724">
        <v>2</v>
      </c>
      <c r="P1724">
        <v>0</v>
      </c>
      <c r="Q1724">
        <v>2</v>
      </c>
    </row>
    <row r="1725" spans="5:17" x14ac:dyDescent="0.2">
      <c r="E1725" s="9" t="s">
        <v>24</v>
      </c>
      <c r="K1725" t="str">
        <v>maybe</v>
      </c>
      <c r="L1725" s="4" t="str">
        <f t="shared" si="33"/>
        <v>maybe</v>
      </c>
      <c r="N1725" s="4" cm="1">
        <f t="array" ref="N1725">SUM(--(_xlfn.TEXTSPLIT($J$1387,, " ") = M1725))</f>
        <v>2</v>
      </c>
      <c r="O1725">
        <v>2</v>
      </c>
      <c r="P1725">
        <v>0</v>
      </c>
      <c r="Q1725">
        <v>2</v>
      </c>
    </row>
    <row r="1726" spans="5:17" x14ac:dyDescent="0.2">
      <c r="E1726" s="9" t="s">
        <v>24</v>
      </c>
      <c r="K1726" t="str">
        <v>how</v>
      </c>
      <c r="L1726" s="4" t="str">
        <f t="shared" si="33"/>
        <v>how</v>
      </c>
      <c r="N1726" s="4" cm="1">
        <f t="array" ref="N1726">SUM(--(_xlfn.TEXTSPLIT($J$1387,, " ") = M1726))</f>
        <v>2</v>
      </c>
      <c r="O1726">
        <v>2</v>
      </c>
      <c r="P1726">
        <v>0</v>
      </c>
      <c r="Q1726">
        <v>2</v>
      </c>
    </row>
    <row r="1727" spans="5:17" x14ac:dyDescent="0.2">
      <c r="E1727" s="9" t="s">
        <v>24</v>
      </c>
      <c r="K1727" t="str">
        <v>you</v>
      </c>
      <c r="L1727" s="4" t="str">
        <f t="shared" si="33"/>
        <v>you</v>
      </c>
      <c r="N1727" s="4" cm="1">
        <f t="array" ref="N1727">SUM(--(_xlfn.TEXTSPLIT($J$1387,, " ") = M1727))</f>
        <v>2</v>
      </c>
      <c r="O1727">
        <v>2</v>
      </c>
      <c r="P1727">
        <v>0</v>
      </c>
      <c r="Q1727">
        <v>2</v>
      </c>
    </row>
    <row r="1728" spans="5:17" x14ac:dyDescent="0.2">
      <c r="E1728" s="9" t="s">
        <v>24</v>
      </c>
      <c r="K1728" t="str">
        <v>know</v>
      </c>
      <c r="L1728" s="4" t="str">
        <f t="shared" si="33"/>
        <v>know</v>
      </c>
      <c r="N1728" s="4" cm="1">
        <f t="array" ref="N1728">SUM(--(_xlfn.TEXTSPLIT($J$1387,, " ") = M1728))</f>
        <v>2</v>
      </c>
      <c r="O1728">
        <v>2</v>
      </c>
      <c r="P1728">
        <v>0</v>
      </c>
      <c r="Q1728">
        <v>2</v>
      </c>
    </row>
    <row r="1729" spans="5:17" x14ac:dyDescent="0.2">
      <c r="E1729" s="9" t="s">
        <v>24</v>
      </c>
      <c r="K1729" t="str">
        <v>that</v>
      </c>
      <c r="L1729" s="4" t="str">
        <f t="shared" si="33"/>
        <v>that</v>
      </c>
      <c r="N1729" s="4" cm="1">
        <f t="array" ref="N1729">SUM(--(_xlfn.TEXTSPLIT($J$1387,, " ") = M1729))</f>
        <v>2</v>
      </c>
      <c r="O1729">
        <v>2</v>
      </c>
      <c r="P1729">
        <v>0</v>
      </c>
      <c r="Q1729">
        <v>2</v>
      </c>
    </row>
    <row r="1730" spans="5:17" x14ac:dyDescent="0.2">
      <c r="E1730" s="9" t="s">
        <v>24</v>
      </c>
      <c r="K1730" t="str">
        <v>(That,</v>
      </c>
      <c r="L1730" s="4" t="str">
        <f t="shared" si="33"/>
        <v xml:space="preserve"> That </v>
      </c>
      <c r="N1730" s="4" cm="1">
        <f t="array" ref="N1730">SUM(--(_xlfn.TEXTSPLIT($J$1387,, " ") = M1730))</f>
        <v>2</v>
      </c>
      <c r="O1730">
        <v>2</v>
      </c>
      <c r="P1730">
        <v>0</v>
      </c>
      <c r="Q1730">
        <v>2</v>
      </c>
    </row>
    <row r="1731" spans="5:17" x14ac:dyDescent="0.2">
      <c r="E1731" s="9" t="s">
        <v>24</v>
      </c>
      <c r="K1731" t="str">
        <v xml:space="preserve">that)
</v>
      </c>
      <c r="L1731" s="4" t="str">
        <f t="shared" si="33"/>
        <v xml:space="preserve">that  </v>
      </c>
      <c r="N1731" s="4" cm="1">
        <f t="array" ref="N1731">SUM(--(_xlfn.TEXTSPLIT($J$1387,, " ") = M1731))</f>
        <v>2</v>
      </c>
      <c r="O1731">
        <v>2</v>
      </c>
      <c r="P1731">
        <v>0</v>
      </c>
      <c r="Q1731">
        <v>2</v>
      </c>
    </row>
    <row r="1732" spans="5:17" x14ac:dyDescent="0.2">
      <c r="E1732" s="9" t="s">
        <v>24</v>
      </c>
      <c r="K1732" t="str">
        <v>Ooh,</v>
      </c>
      <c r="L1732" s="4" t="str">
        <f t="shared" si="33"/>
        <v xml:space="preserve">Ooh </v>
      </c>
      <c r="N1732" s="4" cm="1">
        <f t="array" ref="N1732">SUM(--(_xlfn.TEXTSPLIT($J$1387,, " ") = M1732))</f>
        <v>2</v>
      </c>
      <c r="O1732">
        <v>2</v>
      </c>
      <c r="P1732">
        <v>0</v>
      </c>
      <c r="Q1732">
        <v>2</v>
      </c>
    </row>
    <row r="1733" spans="5:17" x14ac:dyDescent="0.2">
      <c r="E1733" s="9" t="s">
        <v>24</v>
      </c>
      <c r="K1733" t="str">
        <v>my</v>
      </c>
      <c r="L1733" s="4" t="str">
        <f t="shared" si="33"/>
        <v>my</v>
      </c>
      <c r="N1733" s="4" cm="1">
        <f t="array" ref="N1733">SUM(--(_xlfn.TEXTSPLIT($J$1387,, " ") = M1733))</f>
        <v>2</v>
      </c>
      <c r="O1733">
        <v>2</v>
      </c>
      <c r="P1733">
        <v>0</v>
      </c>
      <c r="Q1733">
        <v>2</v>
      </c>
    </row>
    <row r="1734" spans="5:17" x14ac:dyDescent="0.2">
      <c r="E1734" s="9" t="s">
        <v>24</v>
      </c>
      <c r="K1734" t="str">
        <v>hallucination</v>
      </c>
      <c r="L1734" s="4" t="str">
        <f t="shared" si="33"/>
        <v>hallucination</v>
      </c>
      <c r="N1734" s="4" cm="1">
        <f t="array" ref="N1734">SUM(--(_xlfn.TEXTSPLIT($J$1387,, " ") = M1734))</f>
        <v>2</v>
      </c>
      <c r="O1734">
        <v>2</v>
      </c>
      <c r="P1734">
        <v>0</v>
      </c>
      <c r="Q1734">
        <v>2</v>
      </c>
    </row>
    <row r="1735" spans="5:17" x14ac:dyDescent="0.2">
      <c r="E1735" s="9" t="s">
        <v>24</v>
      </c>
      <c r="K1735" t="str">
        <v>I</v>
      </c>
      <c r="L1735" s="4" t="str">
        <f t="shared" si="33"/>
        <v>I</v>
      </c>
      <c r="N1735" s="4" cm="1">
        <f t="array" ref="N1735">SUM(--(_xlfn.TEXTSPLIT($J$1387,, " ") = M1735))</f>
        <v>2</v>
      </c>
      <c r="O1735">
        <v>2</v>
      </c>
      <c r="P1735">
        <v>0</v>
      </c>
      <c r="Q1735">
        <v>2</v>
      </c>
    </row>
    <row r="1736" spans="5:17" x14ac:dyDescent="0.2">
      <c r="E1736" s="9" t="s">
        <v>24</v>
      </c>
      <c r="K1736" t="str">
        <v>used</v>
      </c>
      <c r="L1736" s="4" t="str">
        <f t="shared" si="33"/>
        <v>used</v>
      </c>
      <c r="N1736" s="4" cm="1">
        <f t="array" ref="N1736">SUM(--(_xlfn.TEXTSPLIT($J$1387,, " ") = M1736))</f>
        <v>2</v>
      </c>
      <c r="O1736">
        <v>2</v>
      </c>
      <c r="P1736">
        <v>0</v>
      </c>
      <c r="Q1736">
        <v>2</v>
      </c>
    </row>
    <row r="1737" spans="5:17" x14ac:dyDescent="0.2">
      <c r="E1737" s="9" t="s">
        <v>24</v>
      </c>
      <c r="K1737" t="str">
        <v>to</v>
      </c>
      <c r="L1737" s="4" t="str">
        <f t="shared" si="33"/>
        <v>to</v>
      </c>
      <c r="N1737" s="4" cm="1">
        <f t="array" ref="N1737">SUM(--(_xlfn.TEXTSPLIT($J$1387,, " ") = M1737))</f>
        <v>2</v>
      </c>
      <c r="O1737">
        <v>2</v>
      </c>
      <c r="P1737">
        <v>0</v>
      </c>
      <c r="Q1737">
        <v>2</v>
      </c>
    </row>
    <row r="1738" spans="5:17" x14ac:dyDescent="0.2">
      <c r="E1738" s="9" t="s">
        <v>24</v>
      </c>
      <c r="K1738" t="str">
        <v xml:space="preserve">see
</v>
      </c>
      <c r="L1738" s="4" t="str">
        <f t="shared" si="33"/>
        <v xml:space="preserve">see  </v>
      </c>
      <c r="N1738" s="4" cm="1">
        <f t="array" ref="N1738">SUM(--(_xlfn.TEXTSPLIT($J$1387,, " ") = M1738))</f>
        <v>2</v>
      </c>
      <c r="O1738">
        <v>2</v>
      </c>
      <c r="P1738">
        <v>0</v>
      </c>
      <c r="Q1738">
        <v>2</v>
      </c>
    </row>
    <row r="1739" spans="5:17" x14ac:dyDescent="0.2">
      <c r="E1739" s="9" t="s">
        <v>24</v>
      </c>
      <c r="K1739" t="str">
        <v>I</v>
      </c>
      <c r="L1739" s="4" t="str">
        <f t="shared" si="33"/>
        <v>I</v>
      </c>
      <c r="N1739" s="4" cm="1">
        <f t="array" ref="N1739">SUM(--(_xlfn.TEXTSPLIT($J$1387,, " ") = M1739))</f>
        <v>2</v>
      </c>
      <c r="O1739">
        <v>2</v>
      </c>
      <c r="P1739">
        <v>0</v>
      </c>
      <c r="Q1739">
        <v>2</v>
      </c>
    </row>
    <row r="1740" spans="5:17" x14ac:dyDescent="0.2">
      <c r="E1740" s="9" t="s">
        <v>24</v>
      </c>
      <c r="K1740" t="str">
        <v>used</v>
      </c>
      <c r="L1740" s="4" t="str">
        <f t="shared" si="33"/>
        <v>used</v>
      </c>
      <c r="N1740" s="4" cm="1">
        <f t="array" ref="N1740">SUM(--(_xlfn.TEXTSPLIT($J$1387,, " ") = M1740))</f>
        <v>2</v>
      </c>
      <c r="O1740">
        <v>1</v>
      </c>
      <c r="P1740" t="str">
        <v>windows</v>
      </c>
      <c r="Q1740">
        <v>1</v>
      </c>
    </row>
    <row r="1741" spans="5:17" x14ac:dyDescent="0.2">
      <c r="E1741" s="9" t="s">
        <v>24</v>
      </c>
      <c r="K1741" t="str">
        <v>to</v>
      </c>
      <c r="L1741" s="4" t="str">
        <f t="shared" si="33"/>
        <v>to</v>
      </c>
      <c r="N1741" s="4" cm="1">
        <f t="array" ref="N1741">SUM(--(_xlfn.TEXTSPLIT($J$1387,, " ") = M1741))</f>
        <v>2</v>
      </c>
      <c r="O1741">
        <v>1</v>
      </c>
      <c r="P1741" t="str">
        <v>Wake</v>
      </c>
      <c r="Q1741">
        <v>1</v>
      </c>
    </row>
    <row r="1742" spans="5:17" x14ac:dyDescent="0.2">
      <c r="E1742" s="9" t="s">
        <v>24</v>
      </c>
      <c r="K1742" t="str">
        <v xml:space="preserve">see
</v>
      </c>
      <c r="L1742" s="4" t="str">
        <f t="shared" si="33"/>
        <v xml:space="preserve">see </v>
      </c>
      <c r="N1742" s="4" cm="1">
        <f t="array" ref="N1742">SUM(--(_xlfn.TEXTSPLIT($J$1387,, " ") = M1742))</f>
        <v>2</v>
      </c>
      <c r="O1742">
        <v>1</v>
      </c>
      <c r="P1742" t="str">
        <v>up</v>
      </c>
      <c r="Q1742">
        <v>1</v>
      </c>
    </row>
    <row r="1743" spans="5:17" x14ac:dyDescent="0.2">
      <c r="E1743" s="9" t="s">
        <v>24</v>
      </c>
      <c r="K1743" t="str">
        <v>I</v>
      </c>
      <c r="L1743" s="4" t="str">
        <f t="shared" si="33"/>
        <v>I</v>
      </c>
      <c r="N1743" s="4" cm="1">
        <f t="array" ref="N1743">SUM(--(_xlfn.TEXTSPLIT($J$1387,, " ") = M1743))</f>
        <v>2</v>
      </c>
      <c r="O1743">
        <v>1</v>
      </c>
      <c r="P1743" t="str">
        <v xml:space="preserve">up
</v>
      </c>
      <c r="Q1743">
        <v>1</v>
      </c>
    </row>
    <row r="1744" spans="5:17" x14ac:dyDescent="0.2">
      <c r="E1744" s="9" t="s">
        <v>24</v>
      </c>
      <c r="K1744" t="str">
        <v>used</v>
      </c>
      <c r="L1744" s="4" t="str">
        <f t="shared" si="33"/>
        <v>used</v>
      </c>
      <c r="N1744" s="4" cm="1">
        <f t="array" ref="N1744">SUM(--(_xlfn.TEXTSPLIT($J$1387,, " ") = M1744))</f>
        <v>2</v>
      </c>
      <c r="O1744">
        <v>1</v>
      </c>
      <c r="P1744" t="str">
        <v>Wait,</v>
      </c>
      <c r="Q1744">
        <v>1</v>
      </c>
    </row>
    <row r="1745" spans="5:17" x14ac:dyDescent="0.2">
      <c r="E1745" s="9" t="s">
        <v>24</v>
      </c>
      <c r="K1745" t="str">
        <v>to</v>
      </c>
      <c r="L1745" s="4" t="str">
        <f t="shared" si="33"/>
        <v>to</v>
      </c>
      <c r="N1745" s="4" cm="1">
        <f t="array" ref="N1745">SUM(--(_xlfn.TEXTSPLIT($J$1387,, " ") = M1745))</f>
        <v>2</v>
      </c>
      <c r="O1745">
        <v>1</v>
      </c>
      <c r="P1745" t="str">
        <v xml:space="preserve">up?
</v>
      </c>
      <c r="Q1745">
        <v>1</v>
      </c>
    </row>
    <row r="1746" spans="5:17" x14ac:dyDescent="0.2">
      <c r="E1746" s="9" t="s">
        <v>24</v>
      </c>
      <c r="K1746" t="str">
        <v xml:space="preserve">see
</v>
      </c>
      <c r="L1746" s="4" t="str">
        <f t="shared" si="33"/>
        <v xml:space="preserve">see </v>
      </c>
      <c r="N1746" s="4" cm="1">
        <f t="array" ref="N1746">SUM(--(_xlfn.TEXTSPLIT($J$1387,, " ") = M1746))</f>
        <v>2</v>
      </c>
      <c r="O1746">
        <v>1</v>
      </c>
      <c r="P1746" t="str">
        <v>Is</v>
      </c>
      <c r="Q1746">
        <v>1</v>
      </c>
    </row>
    <row r="1747" spans="5:17" x14ac:dyDescent="0.2">
      <c r="E1747" s="9" t="s">
        <v>24</v>
      </c>
      <c r="K1747" t="str">
        <v>Ooh,</v>
      </c>
      <c r="L1747" s="4" t="str">
        <f t="shared" si="33"/>
        <v xml:space="preserve">Ooh </v>
      </c>
      <c r="N1747" s="4" cm="1">
        <f t="array" ref="N1747">SUM(--(_xlfn.TEXTSPLIT($J$1387,, " ") = M1747))</f>
        <v>2</v>
      </c>
      <c r="O1747">
        <v>1</v>
      </c>
      <c r="P1747" t="str">
        <v>light</v>
      </c>
      <c r="Q1747">
        <v>1</v>
      </c>
    </row>
    <row r="1748" spans="5:17" x14ac:dyDescent="0.2">
      <c r="E1748" s="9" t="s">
        <v>24</v>
      </c>
      <c r="K1748" t="str">
        <v>my</v>
      </c>
      <c r="L1748" s="4" t="str">
        <f t="shared" si="33"/>
        <v>my</v>
      </c>
      <c r="N1748" s="4" cm="1">
        <f t="array" ref="N1748">SUM(--(_xlfn.TEXTSPLIT($J$1387,, " ") = M1748))</f>
        <v>2</v>
      </c>
      <c r="O1748">
        <v>1</v>
      </c>
      <c r="P1748" t="str">
        <v>yet?</v>
      </c>
      <c r="Q1748">
        <v>1</v>
      </c>
    </row>
    <row r="1749" spans="5:17" x14ac:dyDescent="0.2">
      <c r="E1749" s="9" t="s">
        <v>24</v>
      </c>
      <c r="K1749" t="str">
        <v>hallucination</v>
      </c>
      <c r="L1749" s="4" t="str">
        <f t="shared" si="33"/>
        <v>hallucination</v>
      </c>
      <c r="N1749" s="4" cm="1">
        <f t="array" ref="N1749">SUM(--(_xlfn.TEXTSPLIT($J$1387,, " ") = M1749))</f>
        <v>2</v>
      </c>
      <c r="O1749">
        <v>1</v>
      </c>
      <c r="P1749" t="str">
        <v xml:space="preserve">bet
</v>
      </c>
      <c r="Q1749">
        <v>1</v>
      </c>
    </row>
    <row r="1750" spans="5:17" x14ac:dyDescent="0.2">
      <c r="E1750" s="9" t="s">
        <v>24</v>
      </c>
      <c r="K1750" t="str">
        <v>I</v>
      </c>
      <c r="L1750" s="4" t="str">
        <f t="shared" si="33"/>
        <v>I</v>
      </c>
      <c r="N1750" s="4" cm="1">
        <f t="array" ref="N1750">SUM(--(_xlfn.TEXTSPLIT($J$1387,, " ") = M1750))</f>
        <v>2</v>
      </c>
      <c r="O1750">
        <v>1</v>
      </c>
      <c r="P1750" t="str">
        <v>I'ma</v>
      </c>
      <c r="Q1750">
        <v>1</v>
      </c>
    </row>
    <row r="1751" spans="5:17" x14ac:dyDescent="0.2">
      <c r="E1751" s="9" t="s">
        <v>24</v>
      </c>
      <c r="K1751" t="str">
        <v>used</v>
      </c>
      <c r="L1751" s="4" t="str">
        <f t="shared" si="33"/>
        <v>used</v>
      </c>
      <c r="N1751" s="4" cm="1">
        <f t="array" ref="N1751">SUM(--(_xlfn.TEXTSPLIT($J$1387,, " ") = M1751))</f>
        <v>2</v>
      </c>
      <c r="O1751">
        <v>1</v>
      </c>
      <c r="P1751" t="str">
        <v>walk</v>
      </c>
      <c r="Q1751">
        <v>1</v>
      </c>
    </row>
    <row r="1752" spans="5:17" x14ac:dyDescent="0.2">
      <c r="E1752" s="9" t="s">
        <v>24</v>
      </c>
      <c r="K1752" t="str">
        <v>to</v>
      </c>
      <c r="L1752" s="4" t="str">
        <f t="shared" si="33"/>
        <v>to</v>
      </c>
      <c r="N1752" s="4" cm="1">
        <f t="array" ref="N1752">SUM(--(_xlfn.TEXTSPLIT($J$1387,, " ") = M1752))</f>
        <v>2</v>
      </c>
      <c r="O1752">
        <v>1</v>
      </c>
      <c r="P1752" t="str">
        <v>around</v>
      </c>
      <c r="Q1752">
        <v>1</v>
      </c>
    </row>
    <row r="1753" spans="5:17" x14ac:dyDescent="0.2">
      <c r="E1753" s="9" t="s">
        <v>24</v>
      </c>
      <c r="K1753" t="str">
        <v xml:space="preserve">see
</v>
      </c>
      <c r="L1753" s="4" t="str">
        <f t="shared" si="33"/>
        <v xml:space="preserve">see  </v>
      </c>
      <c r="N1753" s="4" cm="1">
        <f t="array" ref="N1753">SUM(--(_xlfn.TEXTSPLIT($J$1387,, " ") = M1753))</f>
        <v>2</v>
      </c>
      <c r="O1753">
        <v>1</v>
      </c>
      <c r="P1753" t="str">
        <v>edge</v>
      </c>
      <c r="Q1753">
        <v>1</v>
      </c>
    </row>
    <row r="1754" spans="5:17" x14ac:dyDescent="0.2">
      <c r="E1754" s="9" t="s">
        <v>24</v>
      </c>
      <c r="K1754" t="str">
        <v>I</v>
      </c>
      <c r="L1754" s="4" t="str">
        <f t="shared" si="33"/>
        <v>I</v>
      </c>
      <c r="N1754" s="4" cm="1">
        <f t="array" ref="N1754">SUM(--(_xlfn.TEXTSPLIT($J$1387,, " ") = M1754))</f>
        <v>2</v>
      </c>
      <c r="O1754">
        <v>1</v>
      </c>
      <c r="P1754" t="str">
        <v>of</v>
      </c>
      <c r="Q1754">
        <v>1</v>
      </c>
    </row>
    <row r="1755" spans="5:17" x14ac:dyDescent="0.2">
      <c r="E1755" s="9" t="s">
        <v>24</v>
      </c>
      <c r="K1755" t="str">
        <v>used</v>
      </c>
      <c r="L1755" s="4" t="str">
        <f t="shared" si="33"/>
        <v>used</v>
      </c>
      <c r="N1755" s="4" cm="1">
        <f t="array" ref="N1755">SUM(--(_xlfn.TEXTSPLIT($J$1387,, " ") = M1755))</f>
        <v>2</v>
      </c>
      <c r="O1755">
        <v>1</v>
      </c>
      <c r="P1755" t="str">
        <v>room</v>
      </c>
      <c r="Q1755">
        <v>1</v>
      </c>
    </row>
    <row r="1756" spans="5:17" x14ac:dyDescent="0.2">
      <c r="E1756" s="9" t="s">
        <v>24</v>
      </c>
      <c r="K1756" t="str">
        <v>to</v>
      </c>
      <c r="L1756" s="4" t="str">
        <f t="shared" si="33"/>
        <v>to</v>
      </c>
      <c r="N1756" s="4" cm="1">
        <f t="array" ref="N1756">SUM(--(_xlfn.TEXTSPLIT($J$1387,, " ") = M1756))</f>
        <v>2</v>
      </c>
      <c r="O1756">
        <v>1</v>
      </c>
      <c r="P1756" t="str">
        <v xml:space="preserve">bed
</v>
      </c>
      <c r="Q1756">
        <v>1</v>
      </c>
    </row>
    <row r="1757" spans="5:17" x14ac:dyDescent="0.2">
      <c r="E1757" s="9" t="s">
        <v>24</v>
      </c>
      <c r="K1757" t="str">
        <v>see,</v>
      </c>
      <c r="L1757" s="4" t="str">
        <f t="shared" si="33"/>
        <v xml:space="preserve">see </v>
      </c>
      <c r="N1757" s="4" cm="1">
        <f t="array" ref="N1757">SUM(--(_xlfn.TEXTSPLIT($J$1387,, " ") = M1757))</f>
        <v>2</v>
      </c>
      <c r="O1757">
        <v>1</v>
      </c>
      <c r="P1757" t="str">
        <v>Where</v>
      </c>
      <c r="Q1757">
        <v>1</v>
      </c>
    </row>
    <row r="1758" spans="5:17" x14ac:dyDescent="0.2">
      <c r="E1758" s="9" t="s">
        <v>24</v>
      </c>
      <c r="K1758" t="str">
        <v>it</v>
      </c>
      <c r="L1758" s="4" t="str">
        <f t="shared" si="33"/>
        <v>it</v>
      </c>
      <c r="N1758" s="4" cm="1">
        <f t="array" ref="N1758">SUM(--(_xlfn.TEXTSPLIT($J$1387,, " ") = M1758))</f>
        <v>2</v>
      </c>
      <c r="O1758">
        <v>1</v>
      </c>
      <c r="P1758" t="str">
        <v>hide</v>
      </c>
      <c r="Q1758">
        <v>1</v>
      </c>
    </row>
    <row r="1759" spans="5:17" x14ac:dyDescent="0.2">
      <c r="E1759" s="9" t="s">
        <v>24</v>
      </c>
      <c r="K1759" t="str">
        <v>felt</v>
      </c>
      <c r="L1759" s="4" t="str">
        <f t="shared" si="33"/>
        <v>felt</v>
      </c>
      <c r="N1759" s="4" cm="1">
        <f t="array" ref="N1759">SUM(--(_xlfn.TEXTSPLIT($J$1387,, " ") = M1759))</f>
        <v>2</v>
      </c>
      <c r="O1759">
        <v>1</v>
      </c>
      <c r="P1759" t="str">
        <v>face,</v>
      </c>
      <c r="Q1759">
        <v>1</v>
      </c>
    </row>
    <row r="1760" spans="5:17" x14ac:dyDescent="0.2">
      <c r="E1760" s="9" t="s">
        <v>24</v>
      </c>
      <c r="K1760" t="str">
        <v>so</v>
      </c>
      <c r="L1760" s="4" t="str">
        <f t="shared" si="33"/>
        <v>so</v>
      </c>
      <c r="N1760" s="4" cm="1">
        <f t="array" ref="N1760">SUM(--(_xlfn.TEXTSPLIT($J$1387,, " ") = M1760))</f>
        <v>2</v>
      </c>
      <c r="O1760">
        <v>1</v>
      </c>
      <c r="P1760" t="str">
        <v xml:space="preserve">around
</v>
      </c>
      <c r="Q1760">
        <v>1</v>
      </c>
    </row>
    <row r="1761" spans="5:17" x14ac:dyDescent="0.2">
      <c r="E1761" s="9" t="s">
        <v>24</v>
      </c>
      <c r="K1761" t="str">
        <v xml:space="preserve">real
</v>
      </c>
      <c r="L1761" s="4" t="str">
        <f t="shared" si="33"/>
        <v xml:space="preserve">real </v>
      </c>
      <c r="N1761" s="4" cm="1">
        <f t="array" ref="N1761">SUM(--(_xlfn.TEXTSPLIT($J$1387,, " ") = M1761))</f>
        <v>2</v>
      </c>
      <c r="O1761">
        <v>1</v>
      </c>
      <c r="P1761" t="str">
        <v>try</v>
      </c>
      <c r="Q1761">
        <v>1</v>
      </c>
    </row>
    <row r="1762" spans="5:17" x14ac:dyDescent="0.2">
      <c r="E1762" s="9" t="s">
        <v>24</v>
      </c>
      <c r="K1762" t="str">
        <v>But</v>
      </c>
      <c r="L1762" s="4" t="str">
        <f t="shared" si="33"/>
        <v>But</v>
      </c>
      <c r="N1762" s="4" cm="1">
        <f t="array" ref="N1762">SUM(--(_xlfn.TEXTSPLIT($J$1387,, " ") = M1762))</f>
        <v>2</v>
      </c>
      <c r="O1762">
        <v>1</v>
      </c>
      <c r="P1762" t="str">
        <v>breathe,</v>
      </c>
      <c r="Q1762">
        <v>1</v>
      </c>
    </row>
    <row r="1763" spans="5:17" x14ac:dyDescent="0.2">
      <c r="E1763" s="9" t="s">
        <v>24</v>
      </c>
      <c r="K1763" t="str">
        <v>now</v>
      </c>
      <c r="L1763" s="4" t="str">
        <f t="shared" si="33"/>
        <v>now</v>
      </c>
      <c r="N1763" s="4" cm="1">
        <f t="array" ref="N1763">SUM(--(_xlfn.TEXTSPLIT($J$1387,, " ") = M1763))</f>
        <v>2</v>
      </c>
      <c r="O1763">
        <v>1</v>
      </c>
      <c r="P1763" t="str">
        <v>around,</v>
      </c>
      <c r="Q1763">
        <v>1</v>
      </c>
    </row>
    <row r="1764" spans="5:17" x14ac:dyDescent="0.2">
      <c r="E1764" s="9" t="s">
        <v>24</v>
      </c>
      <c r="K1764" t="str">
        <v>I</v>
      </c>
      <c r="L1764" s="4" t="str">
        <f t="shared" si="33"/>
        <v>I</v>
      </c>
      <c r="N1764" s="4" cm="1">
        <f t="array" ref="N1764">SUM(--(_xlfn.TEXTSPLIT($J$1387,, " ") = M1764))</f>
        <v>2</v>
      </c>
      <c r="O1764">
        <v>1</v>
      </c>
      <c r="P1764" t="str">
        <v xml:space="preserve">around
</v>
      </c>
      <c r="Q1764">
        <v>1</v>
      </c>
    </row>
    <row r="1765" spans="5:17" x14ac:dyDescent="0.2">
      <c r="E1765" s="9" t="s">
        <v>24</v>
      </c>
      <c r="K1765" t="str">
        <v>plead,</v>
      </c>
      <c r="L1765" s="4" t="str">
        <f t="shared" si="33"/>
        <v xml:space="preserve">plead </v>
      </c>
      <c r="N1765" s="4" cm="1">
        <f t="array" ref="N1765">SUM(--(_xlfn.TEXTSPLIT($J$1387,, " ") = M1765))</f>
        <v>2</v>
      </c>
      <c r="O1765">
        <v>1</v>
      </c>
      <c r="P1765" t="str">
        <v>windows,</v>
      </c>
      <c r="Q1765">
        <v>1</v>
      </c>
    </row>
    <row r="1766" spans="5:17" x14ac:dyDescent="0.2">
      <c r="E1766" s="9" t="s">
        <v>24</v>
      </c>
      <c r="K1766" t="str">
        <v>just</v>
      </c>
      <c r="L1766" s="4" t="str">
        <f t="shared" si="33"/>
        <v>just</v>
      </c>
      <c r="N1766" s="4" cm="1">
        <f t="array" ref="N1766">SUM(--(_xlfn.TEXTSPLIT($J$1387,, " ") = M1766))</f>
        <v>2</v>
      </c>
      <c r="O1766">
        <v>1</v>
      </c>
      <c r="P1766" t="str">
        <v>see
I</v>
      </c>
      <c r="Q1766">
        <v>1</v>
      </c>
    </row>
    <row r="1767" spans="5:17" x14ac:dyDescent="0.2">
      <c r="E1767" s="9" t="s">
        <v>24</v>
      </c>
      <c r="K1767" t="str">
        <v>take</v>
      </c>
      <c r="L1767" s="4" t="str">
        <f t="shared" si="33"/>
        <v>take</v>
      </c>
      <c r="N1767" s="4" cm="1">
        <f t="array" ref="N1767">SUM(--(_xlfn.TEXTSPLIT($J$1387,, " ") = M1767))</f>
        <v>2</v>
      </c>
      <c r="O1767">
        <v>1</v>
      </c>
      <c r="P1767" t="str">
        <v xml:space="preserve">found
</v>
      </c>
      <c r="Q1767">
        <v>1</v>
      </c>
    </row>
    <row r="1768" spans="5:17" x14ac:dyDescent="0.2">
      <c r="E1768" s="9" t="s">
        <v>24</v>
      </c>
      <c r="K1768" t="str">
        <v>the</v>
      </c>
      <c r="L1768" s="4" t="str">
        <f t="shared" si="33"/>
        <v>the</v>
      </c>
      <c r="N1768" s="4" cm="1">
        <f t="array" ref="N1768">SUM(--(_xlfn.TEXTSPLIT($J$1387,, " ") = M1768))</f>
        <v>2</v>
      </c>
      <c r="O1768">
        <v>1</v>
      </c>
      <c r="P1768" t="str">
        <v xml:space="preserve">try
</v>
      </c>
      <c r="Q1768">
        <v>1</v>
      </c>
    </row>
    <row r="1769" spans="5:17" x14ac:dyDescent="0.2">
      <c r="E1769" s="9" t="s">
        <v>24</v>
      </c>
      <c r="K1769" t="str">
        <v xml:space="preserve">deal
</v>
      </c>
      <c r="L1769" s="4" t="str">
        <f t="shared" si="33"/>
        <v xml:space="preserve">deal </v>
      </c>
      <c r="N1769" s="4" cm="1">
        <f t="array" ref="N1769">SUM(--(_xlfn.TEXTSPLIT($J$1387,, " ") = M1769))</f>
        <v>2</v>
      </c>
      <c r="O1769">
        <v>1</v>
      </c>
      <c r="P1769" t="str">
        <v xml:space="preserve">try
</v>
      </c>
      <c r="Q1769">
        <v>1</v>
      </c>
    </row>
    <row r="1770" spans="5:17" x14ac:dyDescent="0.2">
      <c r="E1770" s="9" t="s">
        <v>24</v>
      </c>
      <c r="K1770" t="str">
        <v>I</v>
      </c>
      <c r="L1770" s="4" t="str">
        <f t="shared" si="33"/>
        <v>I</v>
      </c>
      <c r="N1770" s="4" cm="1">
        <f t="array" ref="N1770">SUM(--(_xlfn.TEXTSPLIT($J$1387,, " ") = M1770))</f>
        <v>2</v>
      </c>
      <c r="O1770">
        <v>1</v>
      </c>
      <c r="P1770" t="str">
        <v>see,</v>
      </c>
      <c r="Q1770">
        <v>1</v>
      </c>
    </row>
    <row r="1771" spans="5:17" x14ac:dyDescent="0.2">
      <c r="E1771" s="9" t="s">
        <v>24</v>
      </c>
      <c r="K1771" t="str">
        <v>promised</v>
      </c>
      <c r="L1771" s="4" t="str">
        <f t="shared" si="33"/>
        <v>promised</v>
      </c>
      <c r="N1771" s="4" cm="1">
        <f t="array" ref="N1771">SUM(--(_xlfn.TEXTSPLIT($J$1387,, " ") = M1771))</f>
        <v>2</v>
      </c>
      <c r="O1771">
        <v>1</v>
      </c>
      <c r="P1771" t="str">
        <v>felt</v>
      </c>
      <c r="Q1771">
        <v>1</v>
      </c>
    </row>
    <row r="1772" spans="5:17" x14ac:dyDescent="0.2">
      <c r="E1772" s="9" t="s">
        <v>24</v>
      </c>
      <c r="K1772" t="str">
        <v>you</v>
      </c>
      <c r="L1772" s="4" t="str">
        <f t="shared" si="33"/>
        <v>you</v>
      </c>
      <c r="N1772" s="4" cm="1">
        <f t="array" ref="N1772">SUM(--(_xlfn.TEXTSPLIT($J$1387,, " ") = M1772))</f>
        <v>2</v>
      </c>
      <c r="O1772">
        <v>1</v>
      </c>
      <c r="P1772" t="str">
        <v>so</v>
      </c>
      <c r="Q1772">
        <v>1</v>
      </c>
    </row>
    <row r="1773" spans="5:17" x14ac:dyDescent="0.2">
      <c r="E1773" s="9" t="s">
        <v>24</v>
      </c>
      <c r="K1773" t="str">
        <v>a</v>
      </c>
      <c r="L1773" s="4" t="str">
        <f t="shared" ref="L1773:L1779" si="34">_xlfn.REGEXREPLACE(K1773, "[^A-Za-z ]", " ")</f>
        <v>a</v>
      </c>
      <c r="N1773" s="4" cm="1">
        <f t="array" ref="N1773">SUM(--(_xlfn.TEXTSPLIT($J$1387,, " ") = M1773))</f>
        <v>2</v>
      </c>
      <c r="O1773">
        <v>1</v>
      </c>
      <c r="P1773" t="str">
        <v xml:space="preserve">real
</v>
      </c>
      <c r="Q1773">
        <v>1</v>
      </c>
    </row>
    <row r="1774" spans="5:17" x14ac:dyDescent="0.2">
      <c r="E1774" s="9" t="s">
        <v>24</v>
      </c>
      <c r="K1774" t="str">
        <v xml:space="preserve">contract
</v>
      </c>
      <c r="L1774" s="4" t="str">
        <f t="shared" si="34"/>
        <v xml:space="preserve">contract </v>
      </c>
      <c r="N1774" s="4" cm="1">
        <f t="array" ref="N1774">SUM(--(_xlfn.TEXTSPLIT($J$1387,, " ") = M1774))</f>
        <v>2</v>
      </c>
      <c r="O1774">
        <v>1</v>
      </c>
      <c r="P1774" t="str">
        <v>now</v>
      </c>
      <c r="Q1774">
        <v>1</v>
      </c>
    </row>
    <row r="1775" spans="5:17" x14ac:dyDescent="0.2">
      <c r="E1775" s="9" t="s">
        <v>24</v>
      </c>
      <c r="K1775" t="str">
        <v>I</v>
      </c>
      <c r="L1775" s="4" t="str">
        <f t="shared" si="34"/>
        <v>I</v>
      </c>
      <c r="N1775" s="4" cm="1">
        <f t="array" ref="N1775">SUM(--(_xlfn.TEXTSPLIT($J$1387,, " ") = M1775))</f>
        <v>2</v>
      </c>
      <c r="O1775">
        <v>1</v>
      </c>
      <c r="P1775" t="str">
        <v>plead,</v>
      </c>
      <c r="Q1775">
        <v>1</v>
      </c>
    </row>
    <row r="1776" spans="5:17" x14ac:dyDescent="0.2">
      <c r="E1776" s="9" t="s">
        <v>24</v>
      </c>
      <c r="K1776" t="str">
        <v>promised</v>
      </c>
      <c r="L1776" s="4" t="str">
        <f t="shared" si="34"/>
        <v>promised</v>
      </c>
      <c r="N1776" s="4" cm="1">
        <f t="array" ref="N1776">SUM(--(_xlfn.TEXTSPLIT($J$1387,, " ") = M1776))</f>
        <v>2</v>
      </c>
      <c r="O1776">
        <v>1</v>
      </c>
      <c r="P1776" t="str">
        <v>take</v>
      </c>
      <c r="Q1776">
        <v>1</v>
      </c>
    </row>
    <row r="1777" spans="1:18" x14ac:dyDescent="0.2">
      <c r="E1777" s="9" t="s">
        <v>24</v>
      </c>
      <c r="K1777" t="str">
        <v>you</v>
      </c>
      <c r="L1777" s="4" t="str">
        <f t="shared" si="34"/>
        <v>you</v>
      </c>
      <c r="N1777" s="4" cm="1">
        <f t="array" ref="N1777">SUM(--(_xlfn.TEXTSPLIT($J$1387,, " ") = M1777))</f>
        <v>2</v>
      </c>
      <c r="O1777">
        <v>1</v>
      </c>
      <c r="P1777" t="str">
        <v xml:space="preserve">deal
</v>
      </c>
      <c r="Q1777">
        <v>1</v>
      </c>
    </row>
    <row r="1778" spans="1:18" x14ac:dyDescent="0.2">
      <c r="E1778" s="9" t="s">
        <v>24</v>
      </c>
      <c r="K1778" t="str">
        <v>a</v>
      </c>
      <c r="L1778" s="4" t="str">
        <f t="shared" si="34"/>
        <v>a</v>
      </c>
      <c r="N1778" s="4" cm="1">
        <f t="array" ref="N1778">SUM(--(_xlfn.TEXTSPLIT($J$1387,, " ") = M1778))</f>
        <v>2</v>
      </c>
      <c r="O1778">
        <v>1</v>
      </c>
      <c r="P1778" t="str">
        <v xml:space="preserve">contract
</v>
      </c>
      <c r="Q1778">
        <v>1</v>
      </c>
    </row>
    <row r="1779" spans="1:18" x14ac:dyDescent="0.2">
      <c r="E1779" s="9" t="s">
        <v>24</v>
      </c>
      <c r="K1779" t="str">
        <v>contract</v>
      </c>
      <c r="L1779" s="4" t="str">
        <f t="shared" si="34"/>
        <v>contract</v>
      </c>
      <c r="N1779" s="4" cm="1">
        <f t="array" ref="N1779">SUM(--(_xlfn.TEXTSPLIT($J$1387,, " ") = M1779))</f>
        <v>2</v>
      </c>
      <c r="O1779">
        <v>1</v>
      </c>
      <c r="P1779" t="str">
        <v>contract</v>
      </c>
      <c r="Q1779">
        <v>1</v>
      </c>
    </row>
    <row r="1780" spans="1:18" s="4" customFormat="1" x14ac:dyDescent="0.2">
      <c r="A1780" s="4">
        <v>6</v>
      </c>
      <c r="B1780" s="5">
        <v>45912</v>
      </c>
      <c r="C1780" s="6">
        <v>0.22638888888888889</v>
      </c>
      <c r="D1780" s="7">
        <v>326</v>
      </c>
      <c r="E1780" s="9" t="s">
        <v>26</v>
      </c>
      <c r="F1780" s="4">
        <v>6</v>
      </c>
      <c r="G1780" s="8" t="s">
        <v>15</v>
      </c>
      <c r="H1780" s="9" t="s">
        <v>27</v>
      </c>
      <c r="I1780" s="4">
        <v>1</v>
      </c>
      <c r="J1780" s="4" t="str">
        <f>_xlfn.TEXTJOIN(" ", TRUE, H1780:H1793)</f>
        <v xml:space="preserve"> You-ooh-ooh can have all I've made and all I've ever known
 You-ooh-ooh can have both my lungs if you ask me so
 Cause I-I-I want to be the one after your own heart
 And I-I-I might doubt the process like I doubted the start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Feeling like I'm nothing
 Feeling like I'm run down
 Was afraid of nothing
 Now I'm just ashamed how
 I hide my face from you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Oh, what have I become?
 Dirty and wretched one
 Am I unholy man?
 Have I forced your hand?
 Oh, woah-oh, woah-oh, mercy, yeah
 Oh, woah-oh, woah-oh, mercy, yeah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Downstairs (You can have), I feel better in the cellar (All I've made)
 Down there, need some shelter from the weather (All I've ever known)
 I wear (You can have) all of my heart on my sleeve (Both my lungs)
 I'll take what I believe, and I'm hiding it, yeah (If you ask me so, oh)
 And I'm hiding it, yeah ('Cause I want to be the one)
 And I'm hiding it, yeah (After your own heart)
 And I'm hiding it, yeah, oh (And I might doubt the process like I doubted the start)
 You can have all I've made and all I've ever known
 You can have both my lungs if you ask me so
 Cause I want to be the one after your own heart
 And I might doubt the process like I doubt the start</v>
      </c>
      <c r="K1780" s="4" t="str" cm="1">
        <f t="array" ref="K1780:K2231">_xlfn.TEXTSPLIT(J1780, ," ")</f>
        <v/>
      </c>
      <c r="L1780" s="4" t="str">
        <f>_xlfn.REGEXREPLACE(K1780, "[^A-Za-z ]", " ")</f>
        <v/>
      </c>
      <c r="M1780" s="4" t="str" cm="1">
        <f t="array" ref="M1780:M1899">_xlfn.UNIQUE(_xlfn.TEXTSPLIT(J1780, , " "))</f>
        <v/>
      </c>
      <c r="N1780" s="4" cm="1">
        <f t="array" ref="N1780">SUM(--(_xlfn.TEXTSPLIT($J$1780,, " ") = M1780))</f>
        <v>1</v>
      </c>
      <c r="O1780" s="4" cm="1">
        <f t="array" ref="O1780:O2231">_xlfn._xlws.SORT(N1780:N2231, ,-1)</f>
        <v>31</v>
      </c>
      <c r="P1780" s="4" t="str" cm="1">
        <f t="array" ref="P1780:Q2231">_xlfn.SORTBY(M1780:N2231, N1780:N2231, -1)</f>
        <v>I</v>
      </c>
      <c r="Q1780" s="4">
        <v>31</v>
      </c>
      <c r="R1780" s="4" cm="1">
        <f t="array" ref="R1780">SUM(--(_xlfn.TEXTSPLIT($J$2,, " ") = Q1780))</f>
        <v>0</v>
      </c>
    </row>
    <row r="1781" spans="1:18" x14ac:dyDescent="0.2">
      <c r="E1781" s="9" t="s">
        <v>26</v>
      </c>
      <c r="K1781" t="str">
        <v>You-ooh-ooh</v>
      </c>
      <c r="L1781" s="4" t="str">
        <f t="shared" ref="L1781:L1844" si="35">_xlfn.REGEXREPLACE(K1781, "[^A-Za-z ]", " ")</f>
        <v>You ooh ooh</v>
      </c>
      <c r="M1781" t="str">
        <v>You-ooh-ooh</v>
      </c>
      <c r="N1781" s="4" cm="1">
        <f t="array" ref="N1781">SUM(--(_xlfn.TEXTSPLIT($J$1780,, " ") = M1781))</f>
        <v>2</v>
      </c>
      <c r="O1781">
        <v>22</v>
      </c>
      <c r="P1781" t="str">
        <v>the</v>
      </c>
      <c r="Q1781">
        <v>22</v>
      </c>
    </row>
    <row r="1782" spans="1:18" x14ac:dyDescent="0.2">
      <c r="E1782" s="9" t="s">
        <v>26</v>
      </c>
      <c r="K1782" t="str">
        <v>can</v>
      </c>
      <c r="L1782" s="4" t="str">
        <f t="shared" si="35"/>
        <v>can</v>
      </c>
      <c r="M1782" t="str">
        <v>can</v>
      </c>
      <c r="N1782" s="4" cm="1">
        <f t="array" ref="N1782">SUM(--(_xlfn.TEXTSPLIT($J$1780,, " ") = M1782))</f>
        <v>6</v>
      </c>
      <c r="O1782">
        <v>18</v>
      </c>
      <c r="P1782" t="str">
        <v>my</v>
      </c>
      <c r="Q1782">
        <v>18</v>
      </c>
    </row>
    <row r="1783" spans="1:18" x14ac:dyDescent="0.2">
      <c r="E1783" s="9" t="s">
        <v>26</v>
      </c>
      <c r="K1783" t="str">
        <v>have</v>
      </c>
      <c r="L1783" s="4" t="str">
        <f t="shared" si="35"/>
        <v>have</v>
      </c>
      <c r="M1783" t="str">
        <v>have</v>
      </c>
      <c r="N1783" s="4" cm="1">
        <f t="array" ref="N1783">SUM(--(_xlfn.TEXTSPLIT($J$1780,, " ") = M1783))</f>
        <v>6</v>
      </c>
      <c r="O1783">
        <v>17</v>
      </c>
      <c r="P1783" t="str">
        <v>I'm</v>
      </c>
      <c r="Q1783">
        <v>17</v>
      </c>
    </row>
    <row r="1784" spans="1:18" x14ac:dyDescent="0.2">
      <c r="E1784" s="9" t="s">
        <v>26</v>
      </c>
      <c r="K1784" t="str">
        <v>all</v>
      </c>
      <c r="L1784" s="4" t="str">
        <f t="shared" si="35"/>
        <v>all</v>
      </c>
      <c r="M1784" t="str">
        <v>all</v>
      </c>
      <c r="N1784" s="4" cm="1">
        <f t="array" ref="N1784">SUM(--(_xlfn.TEXTSPLIT($J$1780,, " ") = M1784))</f>
        <v>11</v>
      </c>
      <c r="O1784">
        <v>15</v>
      </c>
      <c r="P1784" t="str">
        <v>and</v>
      </c>
      <c r="Q1784">
        <v>15</v>
      </c>
    </row>
    <row r="1785" spans="1:18" x14ac:dyDescent="0.2">
      <c r="E1785" s="9" t="s">
        <v>26</v>
      </c>
      <c r="K1785" t="str">
        <v>I've</v>
      </c>
      <c r="L1785" s="4" t="str">
        <f t="shared" si="35"/>
        <v>I ve</v>
      </c>
      <c r="M1785" t="str">
        <v>I've</v>
      </c>
      <c r="N1785" s="4" cm="1">
        <f t="array" ref="N1785">SUM(--(_xlfn.TEXTSPLIT($J$1780,, " ") = M1785))</f>
        <v>6</v>
      </c>
      <c r="O1785">
        <v>11</v>
      </c>
      <c r="P1785" t="str">
        <v>all</v>
      </c>
      <c r="Q1785">
        <v>11</v>
      </c>
    </row>
    <row r="1786" spans="1:18" x14ac:dyDescent="0.2">
      <c r="E1786" s="9" t="s">
        <v>26</v>
      </c>
      <c r="K1786" t="str">
        <v>made</v>
      </c>
      <c r="L1786" s="4" t="str">
        <f t="shared" si="35"/>
        <v>made</v>
      </c>
      <c r="M1786" t="str">
        <v>made</v>
      </c>
      <c r="N1786" s="4" cm="1">
        <f t="array" ref="N1786">SUM(--(_xlfn.TEXTSPLIT($J$1780,, " ") = M1786))</f>
        <v>2</v>
      </c>
      <c r="O1786">
        <v>10</v>
      </c>
      <c r="P1786" t="str">
        <v>hiding</v>
      </c>
      <c r="Q1786">
        <v>10</v>
      </c>
    </row>
    <row r="1787" spans="1:18" x14ac:dyDescent="0.2">
      <c r="E1787" s="9" t="s">
        <v>26</v>
      </c>
      <c r="K1787" t="str">
        <v>and</v>
      </c>
      <c r="L1787" s="4" t="str">
        <f t="shared" si="35"/>
        <v>and</v>
      </c>
      <c r="M1787" t="str">
        <v>and</v>
      </c>
      <c r="N1787" s="4" cm="1">
        <f t="array" ref="N1787">SUM(--(_xlfn.TEXTSPLIT($J$1780,, " ") = M1787))</f>
        <v>15</v>
      </c>
      <c r="O1787">
        <v>8</v>
      </c>
      <c r="P1787" t="str">
        <v>oh-oh,</v>
      </c>
      <c r="Q1787">
        <v>8</v>
      </c>
    </row>
    <row r="1788" spans="1:18" x14ac:dyDescent="0.2">
      <c r="E1788" s="9" t="s">
        <v>26</v>
      </c>
      <c r="K1788" t="str">
        <v>all</v>
      </c>
      <c r="L1788" s="4" t="str">
        <f t="shared" si="35"/>
        <v>all</v>
      </c>
      <c r="M1788" t="str">
        <v>ever</v>
      </c>
      <c r="N1788" s="4" cm="1">
        <f t="array" ref="N1788">SUM(--(_xlfn.TEXTSPLIT($J$1780,, " ") = M1788))</f>
        <v>3</v>
      </c>
      <c r="O1788">
        <v>8</v>
      </c>
      <c r="P1788" t="str">
        <v>from</v>
      </c>
      <c r="Q1788">
        <v>8</v>
      </c>
    </row>
    <row r="1789" spans="1:18" x14ac:dyDescent="0.2">
      <c r="E1789" s="9" t="s">
        <v>26</v>
      </c>
      <c r="K1789" t="str">
        <v>I've</v>
      </c>
      <c r="L1789" s="4" t="str">
        <f t="shared" si="35"/>
        <v>I ve</v>
      </c>
      <c r="M1789" t="str">
        <v xml:space="preserve">known
</v>
      </c>
      <c r="N1789" s="4" cm="1">
        <f t="array" ref="N1789">SUM(--(_xlfn.TEXTSPLIT($J$1780,, " ") = M1789))</f>
        <v>2</v>
      </c>
      <c r="O1789">
        <v>8</v>
      </c>
      <c r="P1789" t="str">
        <v>of</v>
      </c>
      <c r="Q1789">
        <v>8</v>
      </c>
    </row>
    <row r="1790" spans="1:18" x14ac:dyDescent="0.2">
      <c r="E1790" s="9" t="s">
        <v>26</v>
      </c>
      <c r="K1790" t="str">
        <v>ever</v>
      </c>
      <c r="L1790" s="4" t="str">
        <f t="shared" si="35"/>
        <v>ever</v>
      </c>
      <c r="M1790" t="str">
        <v>both</v>
      </c>
      <c r="N1790" s="4" cm="1">
        <f t="array" ref="N1790">SUM(--(_xlfn.TEXTSPLIT($J$1780,, " ") = M1790))</f>
        <v>2</v>
      </c>
      <c r="O1790">
        <v>8</v>
      </c>
      <c r="P1790" t="str">
        <v>what</v>
      </c>
      <c r="Q1790">
        <v>8</v>
      </c>
    </row>
    <row r="1791" spans="1:18" x14ac:dyDescent="0.2">
      <c r="E1791" s="9" t="s">
        <v>26</v>
      </c>
      <c r="K1791" t="str">
        <v xml:space="preserve">known
</v>
      </c>
      <c r="L1791" s="4" t="str">
        <f t="shared" si="35"/>
        <v xml:space="preserve">known </v>
      </c>
      <c r="M1791" t="str">
        <v>my</v>
      </c>
      <c r="N1791" s="4" cm="1">
        <f t="array" ref="N1791">SUM(--(_xlfn.TEXTSPLIT($J$1780,, " ") = M1791))</f>
        <v>18</v>
      </c>
      <c r="O1791">
        <v>7</v>
      </c>
      <c r="P1791" t="str">
        <v>oh,</v>
      </c>
      <c r="Q1791">
        <v>7</v>
      </c>
    </row>
    <row r="1792" spans="1:18" x14ac:dyDescent="0.2">
      <c r="E1792" s="9" t="s">
        <v>26</v>
      </c>
      <c r="K1792" t="str">
        <v>You-ooh-ooh</v>
      </c>
      <c r="L1792" s="4" t="str">
        <f t="shared" si="35"/>
        <v>You ooh ooh</v>
      </c>
      <c r="M1792" t="str">
        <v>lungs</v>
      </c>
      <c r="N1792" s="4" cm="1">
        <f t="array" ref="N1792">SUM(--(_xlfn.TEXTSPLIT($J$1780,, " ") = M1792))</f>
        <v>2</v>
      </c>
      <c r="O1792">
        <v>7</v>
      </c>
      <c r="P1792" t="str">
        <v>Down</v>
      </c>
      <c r="Q1792">
        <v>7</v>
      </c>
    </row>
    <row r="1793" spans="5:17" x14ac:dyDescent="0.2">
      <c r="E1793" s="9" t="s">
        <v>26</v>
      </c>
      <c r="K1793" t="str">
        <v>can</v>
      </c>
      <c r="L1793" s="4" t="str">
        <f t="shared" si="35"/>
        <v>can</v>
      </c>
      <c r="M1793" t="str">
        <v>if</v>
      </c>
      <c r="N1793" s="4" cm="1">
        <f t="array" ref="N1793">SUM(--(_xlfn.TEXTSPLIT($J$1780,, " ") = M1793))</f>
        <v>2</v>
      </c>
      <c r="O1793">
        <v>7</v>
      </c>
      <c r="P1793" t="str">
        <v>there,</v>
      </c>
      <c r="Q1793">
        <v>7</v>
      </c>
    </row>
    <row r="1794" spans="5:17" x14ac:dyDescent="0.2">
      <c r="E1794" s="9" t="s">
        <v>26</v>
      </c>
      <c r="K1794" t="str">
        <v>have</v>
      </c>
      <c r="L1794" s="4" t="str">
        <f t="shared" si="35"/>
        <v>have</v>
      </c>
      <c r="M1794" t="str">
        <v>you</v>
      </c>
      <c r="N1794" s="4" cm="1">
        <f t="array" ref="N1794">SUM(--(_xlfn.TEXTSPLIT($J$1780,, " ") = M1794))</f>
        <v>5</v>
      </c>
      <c r="O1794">
        <v>7</v>
      </c>
      <c r="P1794" t="str">
        <v>some</v>
      </c>
      <c r="Q1794">
        <v>7</v>
      </c>
    </row>
    <row r="1795" spans="5:17" x14ac:dyDescent="0.2">
      <c r="E1795" s="9" t="s">
        <v>26</v>
      </c>
      <c r="K1795" t="str">
        <v>both</v>
      </c>
      <c r="L1795" s="4" t="str">
        <f t="shared" si="35"/>
        <v>both</v>
      </c>
      <c r="M1795" t="str">
        <v>ask</v>
      </c>
      <c r="N1795" s="4" cm="1">
        <f t="array" ref="N1795">SUM(--(_xlfn.TEXTSPLIT($J$1780,, " ") = M1795))</f>
        <v>3</v>
      </c>
      <c r="O1795">
        <v>7</v>
      </c>
      <c r="P1795" t="str">
        <v>shelter</v>
      </c>
      <c r="Q1795">
        <v>7</v>
      </c>
    </row>
    <row r="1796" spans="5:17" x14ac:dyDescent="0.2">
      <c r="E1796" s="9" t="s">
        <v>26</v>
      </c>
      <c r="K1796" t="str">
        <v>my</v>
      </c>
      <c r="L1796" s="4" t="str">
        <f t="shared" si="35"/>
        <v>my</v>
      </c>
      <c r="M1796" t="str">
        <v>me</v>
      </c>
      <c r="N1796" s="4" cm="1">
        <f t="array" ref="N1796">SUM(--(_xlfn.TEXTSPLIT($J$1780,, " ") = M1796))</f>
        <v>3</v>
      </c>
      <c r="O1796">
        <v>7</v>
      </c>
      <c r="P1796" t="str">
        <v>wear</v>
      </c>
      <c r="Q1796">
        <v>7</v>
      </c>
    </row>
    <row r="1797" spans="5:17" x14ac:dyDescent="0.2">
      <c r="E1797" s="9" t="s">
        <v>26</v>
      </c>
      <c r="K1797" t="str">
        <v>lungs</v>
      </c>
      <c r="L1797" s="4" t="str">
        <f t="shared" si="35"/>
        <v>lungs</v>
      </c>
      <c r="M1797" t="str">
        <v xml:space="preserve">so
</v>
      </c>
      <c r="N1797" s="4" cm="1">
        <f t="array" ref="N1797">SUM(--(_xlfn.TEXTSPLIT($J$1780,, " ") = M1797))</f>
        <v>2</v>
      </c>
      <c r="O1797">
        <v>7</v>
      </c>
      <c r="P1797" t="str">
        <v>heart</v>
      </c>
      <c r="Q1797">
        <v>7</v>
      </c>
    </row>
    <row r="1798" spans="5:17" x14ac:dyDescent="0.2">
      <c r="E1798" s="9" t="s">
        <v>26</v>
      </c>
      <c r="K1798" t="str">
        <v>if</v>
      </c>
      <c r="L1798" s="4" t="str">
        <f t="shared" si="35"/>
        <v>if</v>
      </c>
      <c r="M1798" t="str">
        <v>Cause</v>
      </c>
      <c r="N1798" s="4" cm="1">
        <f t="array" ref="N1798">SUM(--(_xlfn.TEXTSPLIT($J$1780,, " ") = M1798))</f>
        <v>2</v>
      </c>
      <c r="O1798">
        <v>7</v>
      </c>
      <c r="P1798" t="str">
        <v>on</v>
      </c>
      <c r="Q1798">
        <v>7</v>
      </c>
    </row>
    <row r="1799" spans="5:17" x14ac:dyDescent="0.2">
      <c r="E1799" s="9" t="s">
        <v>26</v>
      </c>
      <c r="K1799" t="str">
        <v>you</v>
      </c>
      <c r="L1799" s="4" t="str">
        <f t="shared" si="35"/>
        <v>you</v>
      </c>
      <c r="M1799" t="str">
        <v>I-I-I</v>
      </c>
      <c r="N1799" s="4" cm="1">
        <f t="array" ref="N1799">SUM(--(_xlfn.TEXTSPLIT($J$1780,, " ") = M1799))</f>
        <v>2</v>
      </c>
      <c r="O1799">
        <v>7</v>
      </c>
      <c r="P1799" t="str">
        <v>I'll</v>
      </c>
      <c r="Q1799">
        <v>7</v>
      </c>
    </row>
    <row r="1800" spans="5:17" x14ac:dyDescent="0.2">
      <c r="E1800" s="9" t="s">
        <v>26</v>
      </c>
      <c r="K1800" t="str">
        <v>ask</v>
      </c>
      <c r="L1800" s="4" t="str">
        <f t="shared" si="35"/>
        <v>ask</v>
      </c>
      <c r="M1800" t="str">
        <v>want</v>
      </c>
      <c r="N1800" s="4" cm="1">
        <f t="array" ref="N1800">SUM(--(_xlfn.TEXTSPLIT($J$1780,, " ") = M1800))</f>
        <v>3</v>
      </c>
      <c r="O1800">
        <v>7</v>
      </c>
      <c r="P1800" t="str">
        <v>take</v>
      </c>
      <c r="Q1800">
        <v>7</v>
      </c>
    </row>
    <row r="1801" spans="5:17" x14ac:dyDescent="0.2">
      <c r="E1801" s="9" t="s">
        <v>26</v>
      </c>
      <c r="K1801" t="str">
        <v>me</v>
      </c>
      <c r="L1801" s="4" t="str">
        <f t="shared" si="35"/>
        <v>me</v>
      </c>
      <c r="M1801" t="str">
        <v>to</v>
      </c>
      <c r="N1801" s="4" cm="1">
        <f t="array" ref="N1801">SUM(--(_xlfn.TEXTSPLIT($J$1780,, " ") = M1801))</f>
        <v>3</v>
      </c>
      <c r="O1801">
        <v>7</v>
      </c>
      <c r="P1801" t="str">
        <v>believe,</v>
      </c>
      <c r="Q1801">
        <v>7</v>
      </c>
    </row>
    <row r="1802" spans="5:17" x14ac:dyDescent="0.2">
      <c r="E1802" s="9" t="s">
        <v>26</v>
      </c>
      <c r="K1802" t="str">
        <v xml:space="preserve">so
</v>
      </c>
      <c r="L1802" s="4" t="str">
        <f t="shared" si="35"/>
        <v xml:space="preserve">so </v>
      </c>
      <c r="M1802" t="str">
        <v>be</v>
      </c>
      <c r="N1802" s="4" cm="1">
        <f t="array" ref="N1802">SUM(--(_xlfn.TEXTSPLIT($J$1780,, " ") = M1802))</f>
        <v>3</v>
      </c>
      <c r="O1802">
        <v>6</v>
      </c>
      <c r="P1802" t="str">
        <v>can</v>
      </c>
      <c r="Q1802">
        <v>6</v>
      </c>
    </row>
    <row r="1803" spans="5:17" x14ac:dyDescent="0.2">
      <c r="E1803" s="9" t="s">
        <v>26</v>
      </c>
      <c r="K1803" t="str">
        <v>Cause</v>
      </c>
      <c r="L1803" s="4" t="str">
        <f t="shared" si="35"/>
        <v>Cause</v>
      </c>
      <c r="M1803" t="str">
        <v>the</v>
      </c>
      <c r="N1803" s="4" cm="1">
        <f t="array" ref="N1803">SUM(--(_xlfn.TEXTSPLIT($J$1780,, " ") = M1803))</f>
        <v>22</v>
      </c>
      <c r="O1803">
        <v>6</v>
      </c>
      <c r="P1803" t="str">
        <v>have</v>
      </c>
      <c r="Q1803">
        <v>6</v>
      </c>
    </row>
    <row r="1804" spans="5:17" x14ac:dyDescent="0.2">
      <c r="E1804" s="9" t="s">
        <v>26</v>
      </c>
      <c r="K1804" t="str">
        <v>I-I-I</v>
      </c>
      <c r="L1804" s="4" t="str">
        <f t="shared" si="35"/>
        <v>I I I</v>
      </c>
      <c r="M1804" t="str">
        <v>one</v>
      </c>
      <c r="N1804" s="4" cm="1">
        <f t="array" ref="N1804">SUM(--(_xlfn.TEXTSPLIT($J$1780,, " ") = M1804))</f>
        <v>2</v>
      </c>
      <c r="O1804">
        <v>6</v>
      </c>
      <c r="P1804" t="str">
        <v>I've</v>
      </c>
      <c r="Q1804">
        <v>6</v>
      </c>
    </row>
    <row r="1805" spans="5:17" x14ac:dyDescent="0.2">
      <c r="E1805" s="9" t="s">
        <v>26</v>
      </c>
      <c r="K1805" t="str">
        <v>want</v>
      </c>
      <c r="L1805" s="4" t="str">
        <f t="shared" si="35"/>
        <v>want</v>
      </c>
      <c r="M1805" t="str">
        <v>after</v>
      </c>
      <c r="N1805" s="4" cm="1">
        <f t="array" ref="N1805">SUM(--(_xlfn.TEXTSPLIT($J$1780,, " ") = M1805))</f>
        <v>2</v>
      </c>
      <c r="O1805">
        <v>6</v>
      </c>
      <c r="P1805" t="str">
        <v>feel</v>
      </c>
      <c r="Q1805">
        <v>6</v>
      </c>
    </row>
    <row r="1806" spans="5:17" x14ac:dyDescent="0.2">
      <c r="E1806" s="9" t="s">
        <v>26</v>
      </c>
      <c r="K1806" t="str">
        <v>to</v>
      </c>
      <c r="L1806" s="4" t="str">
        <f t="shared" si="35"/>
        <v>to</v>
      </c>
      <c r="M1806" t="str">
        <v>your</v>
      </c>
      <c r="N1806" s="4" cm="1">
        <f t="array" ref="N1806">SUM(--(_xlfn.TEXTSPLIT($J$1780,, " ") = M1806))</f>
        <v>4</v>
      </c>
      <c r="O1806">
        <v>6</v>
      </c>
      <c r="P1806" t="str">
        <v>better</v>
      </c>
      <c r="Q1806">
        <v>6</v>
      </c>
    </row>
    <row r="1807" spans="5:17" x14ac:dyDescent="0.2">
      <c r="E1807" s="9" t="s">
        <v>26</v>
      </c>
      <c r="K1807" t="str">
        <v>be</v>
      </c>
      <c r="L1807" s="4" t="str">
        <f t="shared" si="35"/>
        <v>be</v>
      </c>
      <c r="M1807" t="str">
        <v>own</v>
      </c>
      <c r="N1807" s="4" cm="1">
        <f t="array" ref="N1807">SUM(--(_xlfn.TEXTSPLIT($J$1780,, " ") = M1807))</f>
        <v>3</v>
      </c>
      <c r="O1807">
        <v>6</v>
      </c>
      <c r="P1807" t="str">
        <v>in</v>
      </c>
      <c r="Q1807">
        <v>6</v>
      </c>
    </row>
    <row r="1808" spans="5:17" x14ac:dyDescent="0.2">
      <c r="E1808" s="9" t="s">
        <v>26</v>
      </c>
      <c r="K1808" t="str">
        <v>the</v>
      </c>
      <c r="L1808" s="4" t="str">
        <f t="shared" si="35"/>
        <v>the</v>
      </c>
      <c r="M1808" t="str">
        <v xml:space="preserve">heart
</v>
      </c>
      <c r="N1808" s="4" cm="1">
        <f t="array" ref="N1808">SUM(--(_xlfn.TEXTSPLIT($J$1780,, " ") = M1808))</f>
        <v>2</v>
      </c>
      <c r="O1808">
        <v>6</v>
      </c>
      <c r="P1808" t="str">
        <v>it's</v>
      </c>
      <c r="Q1808">
        <v>6</v>
      </c>
    </row>
    <row r="1809" spans="5:17" x14ac:dyDescent="0.2">
      <c r="E1809" s="9" t="s">
        <v>26</v>
      </c>
      <c r="K1809" t="str">
        <v>one</v>
      </c>
      <c r="L1809" s="4" t="str">
        <f t="shared" si="35"/>
        <v>one</v>
      </c>
      <c r="M1809" t="str">
        <v>might</v>
      </c>
      <c r="N1809" s="4" cm="1">
        <f t="array" ref="N1809">SUM(--(_xlfn.TEXTSPLIT($J$1780,, " ") = M1809))</f>
        <v>3</v>
      </c>
      <c r="O1809">
        <v>6</v>
      </c>
      <c r="P1809" t="str">
        <v xml:space="preserve">weather
</v>
      </c>
      <c r="Q1809">
        <v>6</v>
      </c>
    </row>
    <row r="1810" spans="5:17" x14ac:dyDescent="0.2">
      <c r="E1810" s="9" t="s">
        <v>26</v>
      </c>
      <c r="K1810" t="str">
        <v>after</v>
      </c>
      <c r="L1810" s="4" t="str">
        <f t="shared" si="35"/>
        <v>after</v>
      </c>
      <c r="M1810" t="str">
        <v>doubt</v>
      </c>
      <c r="N1810" s="4" cm="1">
        <f t="array" ref="N1810">SUM(--(_xlfn.TEXTSPLIT($J$1780,, " ") = M1810))</f>
        <v>4</v>
      </c>
      <c r="O1810">
        <v>6</v>
      </c>
      <c r="P1810" t="str">
        <v xml:space="preserve">sleeve
</v>
      </c>
      <c r="Q1810">
        <v>6</v>
      </c>
    </row>
    <row r="1811" spans="5:17" x14ac:dyDescent="0.2">
      <c r="E1811" s="9" t="s">
        <v>26</v>
      </c>
      <c r="K1811" t="str">
        <v>your</v>
      </c>
      <c r="L1811" s="4" t="str">
        <f t="shared" si="35"/>
        <v>your</v>
      </c>
      <c r="M1811" t="str">
        <v>process</v>
      </c>
      <c r="N1811" s="4" cm="1">
        <f t="array" ref="N1811">SUM(--(_xlfn.TEXTSPLIT($J$1780,, " ") = M1811))</f>
        <v>3</v>
      </c>
      <c r="O1811">
        <v>5</v>
      </c>
      <c r="P1811" t="str">
        <v>you</v>
      </c>
      <c r="Q1811">
        <v>5</v>
      </c>
    </row>
    <row r="1812" spans="5:17" x14ac:dyDescent="0.2">
      <c r="E1812" s="9" t="s">
        <v>26</v>
      </c>
      <c r="K1812" t="str">
        <v>own</v>
      </c>
      <c r="L1812" s="4" t="str">
        <f t="shared" si="35"/>
        <v>own</v>
      </c>
      <c r="M1812" t="str">
        <v>like</v>
      </c>
      <c r="N1812" s="4" cm="1">
        <f t="array" ref="N1812">SUM(--(_xlfn.TEXTSPLIT($J$1780,, " ") = M1812))</f>
        <v>5</v>
      </c>
      <c r="O1812">
        <v>5</v>
      </c>
      <c r="P1812" t="str">
        <v>like</v>
      </c>
      <c r="Q1812">
        <v>5</v>
      </c>
    </row>
    <row r="1813" spans="5:17" x14ac:dyDescent="0.2">
      <c r="E1813" s="9" t="s">
        <v>26</v>
      </c>
      <c r="K1813" t="str">
        <v xml:space="preserve">heart
</v>
      </c>
      <c r="L1813" s="4" t="str">
        <f t="shared" si="35"/>
        <v xml:space="preserve">heart </v>
      </c>
      <c r="M1813" t="str">
        <v>I</v>
      </c>
      <c r="N1813" s="4" cm="1">
        <f t="array" ref="N1813">SUM(--(_xlfn.TEXTSPLIT($J$1780,, " ") = M1813))</f>
        <v>31</v>
      </c>
      <c r="O1813">
        <v>5</v>
      </c>
      <c r="P1813" t="str">
        <v>Downstairs,</v>
      </c>
      <c r="Q1813">
        <v>5</v>
      </c>
    </row>
    <row r="1814" spans="5:17" x14ac:dyDescent="0.2">
      <c r="E1814" s="9" t="s">
        <v>26</v>
      </c>
      <c r="K1814" t="str">
        <v>And</v>
      </c>
      <c r="L1814" s="4" t="str">
        <f t="shared" si="35"/>
        <v>And</v>
      </c>
      <c r="M1814" t="str">
        <v>doubted</v>
      </c>
      <c r="N1814" s="4" cm="1">
        <f t="array" ref="N1814">SUM(--(_xlfn.TEXTSPLIT($J$1780,, " ") = M1814))</f>
        <v>2</v>
      </c>
      <c r="O1814">
        <v>5</v>
      </c>
      <c r="P1814" t="str">
        <v xml:space="preserve">cellar
</v>
      </c>
      <c r="Q1814">
        <v>5</v>
      </c>
    </row>
    <row r="1815" spans="5:17" x14ac:dyDescent="0.2">
      <c r="E1815" s="9" t="s">
        <v>26</v>
      </c>
      <c r="K1815" t="str">
        <v>I-I-I</v>
      </c>
      <c r="L1815" s="4" t="str">
        <f t="shared" si="35"/>
        <v>I I I</v>
      </c>
      <c r="M1815" t="str">
        <v xml:space="preserve">start
</v>
      </c>
      <c r="N1815" s="4" cm="1">
        <f t="array" ref="N1815">SUM(--(_xlfn.TEXTSPLIT($J$1780,, " ") = M1815))</f>
        <v>1</v>
      </c>
      <c r="O1815">
        <v>4</v>
      </c>
      <c r="P1815" t="str">
        <v>your</v>
      </c>
      <c r="Q1815">
        <v>4</v>
      </c>
    </row>
    <row r="1816" spans="5:17" x14ac:dyDescent="0.2">
      <c r="E1816" s="9" t="s">
        <v>26</v>
      </c>
      <c r="K1816" t="str">
        <v>might</v>
      </c>
      <c r="L1816" s="4" t="str">
        <f t="shared" si="35"/>
        <v>might</v>
      </c>
      <c r="M1816" t="str">
        <v>So</v>
      </c>
      <c r="N1816" s="4" cm="1">
        <f t="array" ref="N1816">SUM(--(_xlfn.TEXTSPLIT($J$1780,, " ") = M1816))</f>
        <v>2</v>
      </c>
      <c r="O1816">
        <v>4</v>
      </c>
      <c r="P1816" t="str">
        <v>doubt</v>
      </c>
      <c r="Q1816">
        <v>4</v>
      </c>
    </row>
    <row r="1817" spans="5:17" x14ac:dyDescent="0.2">
      <c r="E1817" s="9" t="s">
        <v>26</v>
      </c>
      <c r="K1817" t="str">
        <v>doubt</v>
      </c>
      <c r="L1817" s="4" t="str">
        <f t="shared" si="35"/>
        <v>doubt</v>
      </c>
      <c r="M1817" t="str">
        <v>I'm</v>
      </c>
      <c r="N1817" s="4" cm="1">
        <f t="array" ref="N1817">SUM(--(_xlfn.TEXTSPLIT($J$1780,, " ") = M1817))</f>
        <v>17</v>
      </c>
      <c r="O1817">
        <v>4</v>
      </c>
      <c r="P1817" t="str">
        <v>begging</v>
      </c>
      <c r="Q1817">
        <v>4</v>
      </c>
    </row>
    <row r="1818" spans="5:17" x14ac:dyDescent="0.2">
      <c r="E1818" s="9" t="s">
        <v>26</v>
      </c>
      <c r="K1818" t="str">
        <v>the</v>
      </c>
      <c r="L1818" s="4" t="str">
        <f t="shared" si="35"/>
        <v>the</v>
      </c>
      <c r="M1818" t="str">
        <v>begging</v>
      </c>
      <c r="N1818" s="4" cm="1">
        <f t="array" ref="N1818">SUM(--(_xlfn.TEXTSPLIT($J$1780,, " ") = M1818))</f>
        <v>4</v>
      </c>
      <c r="O1818">
        <v>4</v>
      </c>
      <c r="P1818" t="str">
        <v xml:space="preserve">it
</v>
      </c>
      <c r="Q1818">
        <v>4</v>
      </c>
    </row>
    <row r="1819" spans="5:17" x14ac:dyDescent="0.2">
      <c r="E1819" s="9" t="s">
        <v>26</v>
      </c>
      <c r="K1819" t="str">
        <v>process</v>
      </c>
      <c r="L1819" s="4" t="str">
        <f t="shared" si="35"/>
        <v>process</v>
      </c>
      <c r="M1819" t="str">
        <v>oh,</v>
      </c>
      <c r="N1819" s="4" cm="1">
        <f t="array" ref="N1819">SUM(--(_xlfn.TEXTSPLIT($J$1780,, " ") = M1819))</f>
        <v>7</v>
      </c>
      <c r="O1819">
        <v>4</v>
      </c>
      <c r="P1819" t="str">
        <v>woah-oh,</v>
      </c>
      <c r="Q1819">
        <v>4</v>
      </c>
    </row>
    <row r="1820" spans="5:17" x14ac:dyDescent="0.2">
      <c r="E1820" s="9" t="s">
        <v>26</v>
      </c>
      <c r="K1820" t="str">
        <v>like</v>
      </c>
      <c r="L1820" s="4" t="str">
        <f t="shared" si="35"/>
        <v>like</v>
      </c>
      <c r="M1820" t="str">
        <v>oh-oh,</v>
      </c>
      <c r="N1820" s="4" cm="1">
        <f t="array" ref="N1820">SUM(--(_xlfn.TEXTSPLIT($J$1780,, " ") = M1820))</f>
        <v>8</v>
      </c>
      <c r="O1820">
        <v>4</v>
      </c>
      <c r="P1820" t="str">
        <v>it,</v>
      </c>
      <c r="Q1820">
        <v>4</v>
      </c>
    </row>
    <row r="1821" spans="5:17" x14ac:dyDescent="0.2">
      <c r="E1821" s="9" t="s">
        <v>26</v>
      </c>
      <c r="K1821" t="str">
        <v>I</v>
      </c>
      <c r="L1821" s="4" t="str">
        <f t="shared" si="35"/>
        <v>I</v>
      </c>
      <c r="M1821" t="str">
        <v xml:space="preserve">mercy
</v>
      </c>
      <c r="N1821" s="4" cm="1">
        <f t="array" ref="N1821">SUM(--(_xlfn.TEXTSPLIT($J$1780,, " ") = M1821))</f>
        <v>2</v>
      </c>
      <c r="O1821">
        <v>3</v>
      </c>
      <c r="P1821" t="str">
        <v>ever</v>
      </c>
      <c r="Q1821">
        <v>3</v>
      </c>
    </row>
    <row r="1822" spans="5:17" x14ac:dyDescent="0.2">
      <c r="E1822" s="9" t="s">
        <v>26</v>
      </c>
      <c r="K1822" t="str">
        <v>doubted</v>
      </c>
      <c r="L1822" s="4" t="str">
        <f t="shared" si="35"/>
        <v>doubted</v>
      </c>
      <c r="M1822" t="str">
        <v xml:space="preserve">mercy
</v>
      </c>
      <c r="N1822" s="4" cm="1">
        <f t="array" ref="N1822">SUM(--(_xlfn.TEXTSPLIT($J$1780,, " ") = M1822))</f>
        <v>2</v>
      </c>
      <c r="O1822">
        <v>3</v>
      </c>
      <c r="P1822" t="str">
        <v>ask</v>
      </c>
      <c r="Q1822">
        <v>3</v>
      </c>
    </row>
    <row r="1823" spans="5:17" x14ac:dyDescent="0.2">
      <c r="E1823" s="9" t="s">
        <v>26</v>
      </c>
      <c r="K1823" t="str">
        <v>the</v>
      </c>
      <c r="L1823" s="4" t="str">
        <f t="shared" si="35"/>
        <v>the</v>
      </c>
      <c r="M1823" t="str">
        <v>Downstairs,</v>
      </c>
      <c r="N1823" s="4" cm="1">
        <f t="array" ref="N1823">SUM(--(_xlfn.TEXTSPLIT($J$1780,, " ") = M1823))</f>
        <v>5</v>
      </c>
      <c r="O1823">
        <v>3</v>
      </c>
      <c r="P1823" t="str">
        <v>me</v>
      </c>
      <c r="Q1823">
        <v>3</v>
      </c>
    </row>
    <row r="1824" spans="5:17" x14ac:dyDescent="0.2">
      <c r="E1824" s="9" t="s">
        <v>26</v>
      </c>
      <c r="K1824" t="str">
        <v xml:space="preserve">start
</v>
      </c>
      <c r="L1824" s="4" t="str">
        <f t="shared" si="35"/>
        <v xml:space="preserve">start  </v>
      </c>
      <c r="M1824" t="str">
        <v>feel</v>
      </c>
      <c r="N1824" s="4" cm="1">
        <f t="array" ref="N1824">SUM(--(_xlfn.TEXTSPLIT($J$1780,, " ") = M1824))</f>
        <v>6</v>
      </c>
      <c r="O1824">
        <v>3</v>
      </c>
      <c r="P1824" t="str">
        <v>want</v>
      </c>
      <c r="Q1824">
        <v>3</v>
      </c>
    </row>
    <row r="1825" spans="5:17" x14ac:dyDescent="0.2">
      <c r="E1825" s="9" t="s">
        <v>26</v>
      </c>
      <c r="K1825" t="str">
        <v>So</v>
      </c>
      <c r="L1825" s="4" t="str">
        <f t="shared" si="35"/>
        <v>So</v>
      </c>
      <c r="M1825" t="str">
        <v>better</v>
      </c>
      <c r="N1825" s="4" cm="1">
        <f t="array" ref="N1825">SUM(--(_xlfn.TEXTSPLIT($J$1780,, " ") = M1825))</f>
        <v>6</v>
      </c>
      <c r="O1825">
        <v>3</v>
      </c>
      <c r="P1825" t="str">
        <v>to</v>
      </c>
      <c r="Q1825">
        <v>3</v>
      </c>
    </row>
    <row r="1826" spans="5:17" x14ac:dyDescent="0.2">
      <c r="E1826" s="9" t="s">
        <v>26</v>
      </c>
      <c r="K1826" t="str">
        <v>I'm</v>
      </c>
      <c r="L1826" s="4" t="str">
        <f t="shared" si="35"/>
        <v>I m</v>
      </c>
      <c r="M1826" t="str">
        <v>in</v>
      </c>
      <c r="N1826" s="4" cm="1">
        <f t="array" ref="N1826">SUM(--(_xlfn.TEXTSPLIT($J$1780,, " ") = M1826))</f>
        <v>6</v>
      </c>
      <c r="O1826">
        <v>3</v>
      </c>
      <c r="P1826" t="str">
        <v>be</v>
      </c>
      <c r="Q1826">
        <v>3</v>
      </c>
    </row>
    <row r="1827" spans="5:17" x14ac:dyDescent="0.2">
      <c r="E1827" s="9" t="s">
        <v>26</v>
      </c>
      <c r="K1827" t="str">
        <v>begging</v>
      </c>
      <c r="L1827" s="4" t="str">
        <f t="shared" si="35"/>
        <v>begging</v>
      </c>
      <c r="M1827" t="str">
        <v xml:space="preserve">cellar
</v>
      </c>
      <c r="N1827" s="4" cm="1">
        <f t="array" ref="N1827">SUM(--(_xlfn.TEXTSPLIT($J$1780,, " ") = M1827))</f>
        <v>5</v>
      </c>
      <c r="O1827">
        <v>3</v>
      </c>
      <c r="P1827" t="str">
        <v>own</v>
      </c>
      <c r="Q1827">
        <v>3</v>
      </c>
    </row>
    <row r="1828" spans="5:17" x14ac:dyDescent="0.2">
      <c r="E1828" s="9" t="s">
        <v>26</v>
      </c>
      <c r="K1828" t="str">
        <v>oh,</v>
      </c>
      <c r="L1828" s="4" t="str">
        <f t="shared" si="35"/>
        <v xml:space="preserve">oh </v>
      </c>
      <c r="M1828" t="str">
        <v>Down</v>
      </c>
      <c r="N1828" s="4" cm="1">
        <f t="array" ref="N1828">SUM(--(_xlfn.TEXTSPLIT($J$1780,, " ") = M1828))</f>
        <v>7</v>
      </c>
      <c r="O1828">
        <v>3</v>
      </c>
      <c r="P1828" t="str">
        <v>might</v>
      </c>
      <c r="Q1828">
        <v>3</v>
      </c>
    </row>
    <row r="1829" spans="5:17" x14ac:dyDescent="0.2">
      <c r="E1829" s="9" t="s">
        <v>26</v>
      </c>
      <c r="K1829" t="str">
        <v>oh-oh,</v>
      </c>
      <c r="L1829" s="4" t="str">
        <f t="shared" si="35"/>
        <v xml:space="preserve">oh oh </v>
      </c>
      <c r="M1829" t="str">
        <v>there,</v>
      </c>
      <c r="N1829" s="4" cm="1">
        <f t="array" ref="N1829">SUM(--(_xlfn.TEXTSPLIT($J$1780,, " ") = M1829))</f>
        <v>7</v>
      </c>
      <c r="O1829">
        <v>3</v>
      </c>
      <c r="P1829" t="str">
        <v>process</v>
      </c>
      <c r="Q1829">
        <v>3</v>
      </c>
    </row>
    <row r="1830" spans="5:17" x14ac:dyDescent="0.2">
      <c r="E1830" s="9" t="s">
        <v>26</v>
      </c>
      <c r="K1830" t="str">
        <v>oh-oh,</v>
      </c>
      <c r="L1830" s="4" t="str">
        <f t="shared" si="35"/>
        <v xml:space="preserve">oh oh </v>
      </c>
      <c r="M1830" t="str">
        <v>it's</v>
      </c>
      <c r="N1830" s="4" cm="1">
        <f t="array" ref="N1830">SUM(--(_xlfn.TEXTSPLIT($J$1780,, " ") = M1830))</f>
        <v>6</v>
      </c>
      <c r="O1830">
        <v>3</v>
      </c>
      <c r="P1830" t="str">
        <v>yeah</v>
      </c>
      <c r="Q1830">
        <v>3</v>
      </c>
    </row>
    <row r="1831" spans="5:17" x14ac:dyDescent="0.2">
      <c r="E1831" s="9" t="s">
        <v>26</v>
      </c>
      <c r="K1831" t="str">
        <v xml:space="preserve">mercy
</v>
      </c>
      <c r="L1831" s="4" t="str">
        <f t="shared" si="35"/>
        <v xml:space="preserve">mercy </v>
      </c>
      <c r="M1831" t="str">
        <v>some</v>
      </c>
      <c r="N1831" s="4" cm="1">
        <f t="array" ref="N1831">SUM(--(_xlfn.TEXTSPLIT($J$1780,, " ") = M1831))</f>
        <v>7</v>
      </c>
      <c r="O1831">
        <v>2</v>
      </c>
      <c r="P1831" t="str">
        <v>You-ooh-ooh</v>
      </c>
      <c r="Q1831">
        <v>2</v>
      </c>
    </row>
    <row r="1832" spans="5:17" x14ac:dyDescent="0.2">
      <c r="E1832" s="9" t="s">
        <v>26</v>
      </c>
      <c r="K1832" t="str">
        <v>I'm</v>
      </c>
      <c r="L1832" s="4" t="str">
        <f t="shared" si="35"/>
        <v>I m</v>
      </c>
      <c r="M1832" t="str">
        <v>shelter</v>
      </c>
      <c r="N1832" s="4" cm="1">
        <f t="array" ref="N1832">SUM(--(_xlfn.TEXTSPLIT($J$1780,, " ") = M1832))</f>
        <v>7</v>
      </c>
      <c r="O1832">
        <v>2</v>
      </c>
      <c r="P1832" t="str">
        <v>made</v>
      </c>
      <c r="Q1832">
        <v>2</v>
      </c>
    </row>
    <row r="1833" spans="5:17" x14ac:dyDescent="0.2">
      <c r="E1833" s="9" t="s">
        <v>26</v>
      </c>
      <c r="K1833" t="str">
        <v>begging</v>
      </c>
      <c r="L1833" s="4" t="str">
        <f t="shared" si="35"/>
        <v>begging</v>
      </c>
      <c r="M1833" t="str">
        <v>from</v>
      </c>
      <c r="N1833" s="4" cm="1">
        <f t="array" ref="N1833">SUM(--(_xlfn.TEXTSPLIT($J$1780,, " ") = M1833))</f>
        <v>8</v>
      </c>
      <c r="O1833">
        <v>2</v>
      </c>
      <c r="P1833" t="str">
        <v xml:space="preserve">known
</v>
      </c>
      <c r="Q1833">
        <v>2</v>
      </c>
    </row>
    <row r="1834" spans="5:17" x14ac:dyDescent="0.2">
      <c r="E1834" s="9" t="s">
        <v>26</v>
      </c>
      <c r="K1834" t="str">
        <v>oh,</v>
      </c>
      <c r="L1834" s="4" t="str">
        <f t="shared" si="35"/>
        <v xml:space="preserve">oh </v>
      </c>
      <c r="M1834" t="str">
        <v xml:space="preserve">weather
</v>
      </c>
      <c r="N1834" s="4" cm="1">
        <f t="array" ref="N1834">SUM(--(_xlfn.TEXTSPLIT($J$1780,, " ") = M1834))</f>
        <v>6</v>
      </c>
      <c r="O1834">
        <v>2</v>
      </c>
      <c r="P1834" t="str">
        <v>both</v>
      </c>
      <c r="Q1834">
        <v>2</v>
      </c>
    </row>
    <row r="1835" spans="5:17" x14ac:dyDescent="0.2">
      <c r="E1835" s="9" t="s">
        <v>26</v>
      </c>
      <c r="K1835" t="str">
        <v>oh-oh,</v>
      </c>
      <c r="L1835" s="4" t="str">
        <f t="shared" si="35"/>
        <v xml:space="preserve">oh oh </v>
      </c>
      <c r="M1835" t="str">
        <v>wear</v>
      </c>
      <c r="N1835" s="4" cm="1">
        <f t="array" ref="N1835">SUM(--(_xlfn.TEXTSPLIT($J$1780,, " ") = M1835))</f>
        <v>7</v>
      </c>
      <c r="O1835">
        <v>2</v>
      </c>
      <c r="P1835" t="str">
        <v>lungs</v>
      </c>
      <c r="Q1835">
        <v>2</v>
      </c>
    </row>
    <row r="1836" spans="5:17" x14ac:dyDescent="0.2">
      <c r="E1836" s="9" t="s">
        <v>26</v>
      </c>
      <c r="K1836" t="str">
        <v>oh-oh,</v>
      </c>
      <c r="L1836" s="4" t="str">
        <f t="shared" si="35"/>
        <v xml:space="preserve">oh oh </v>
      </c>
      <c r="M1836" t="str">
        <v>of</v>
      </c>
      <c r="N1836" s="4" cm="1">
        <f t="array" ref="N1836">SUM(--(_xlfn.TEXTSPLIT($J$1780,, " ") = M1836))</f>
        <v>8</v>
      </c>
      <c r="O1836">
        <v>2</v>
      </c>
      <c r="P1836" t="str">
        <v>if</v>
      </c>
      <c r="Q1836">
        <v>2</v>
      </c>
    </row>
    <row r="1837" spans="5:17" x14ac:dyDescent="0.2">
      <c r="E1837" s="9" t="s">
        <v>26</v>
      </c>
      <c r="K1837" t="str">
        <v xml:space="preserve">mercy
</v>
      </c>
      <c r="L1837" s="4" t="str">
        <f t="shared" si="35"/>
        <v xml:space="preserve">mercy  </v>
      </c>
      <c r="M1837" t="str">
        <v>heart</v>
      </c>
      <c r="N1837" s="4" cm="1">
        <f t="array" ref="N1837">SUM(--(_xlfn.TEXTSPLIT($J$1780,, " ") = M1837))</f>
        <v>7</v>
      </c>
      <c r="O1837">
        <v>2</v>
      </c>
      <c r="P1837" t="str">
        <v xml:space="preserve">so
</v>
      </c>
      <c r="Q1837">
        <v>2</v>
      </c>
    </row>
    <row r="1838" spans="5:17" x14ac:dyDescent="0.2">
      <c r="E1838" s="9" t="s">
        <v>26</v>
      </c>
      <c r="K1838" t="str">
        <v>Downstairs,</v>
      </c>
      <c r="L1838" s="4" t="str">
        <f t="shared" si="35"/>
        <v xml:space="preserve">Downstairs </v>
      </c>
      <c r="M1838" t="str">
        <v>on</v>
      </c>
      <c r="N1838" s="4" cm="1">
        <f t="array" ref="N1838">SUM(--(_xlfn.TEXTSPLIT($J$1780,, " ") = M1838))</f>
        <v>7</v>
      </c>
      <c r="O1838">
        <v>2</v>
      </c>
      <c r="P1838" t="str">
        <v>Cause</v>
      </c>
      <c r="Q1838">
        <v>2</v>
      </c>
    </row>
    <row r="1839" spans="5:17" x14ac:dyDescent="0.2">
      <c r="E1839" s="9" t="s">
        <v>26</v>
      </c>
      <c r="K1839" t="str">
        <v>I</v>
      </c>
      <c r="L1839" s="4" t="str">
        <f t="shared" si="35"/>
        <v>I</v>
      </c>
      <c r="M1839" t="str">
        <v xml:space="preserve">sleeve
</v>
      </c>
      <c r="N1839" s="4" cm="1">
        <f t="array" ref="N1839">SUM(--(_xlfn.TEXTSPLIT($J$1780,, " ") = M1839))</f>
        <v>6</v>
      </c>
      <c r="O1839">
        <v>2</v>
      </c>
      <c r="P1839" t="str">
        <v>I-I-I</v>
      </c>
      <c r="Q1839">
        <v>2</v>
      </c>
    </row>
    <row r="1840" spans="5:17" x14ac:dyDescent="0.2">
      <c r="E1840" s="9" t="s">
        <v>26</v>
      </c>
      <c r="K1840" t="str">
        <v>feel</v>
      </c>
      <c r="L1840" s="4" t="str">
        <f t="shared" si="35"/>
        <v>feel</v>
      </c>
      <c r="M1840" t="str">
        <v>I'll</v>
      </c>
      <c r="N1840" s="4" cm="1">
        <f t="array" ref="N1840">SUM(--(_xlfn.TEXTSPLIT($J$1780,, " ") = M1840))</f>
        <v>7</v>
      </c>
      <c r="O1840">
        <v>2</v>
      </c>
      <c r="P1840" t="str">
        <v>one</v>
      </c>
      <c r="Q1840">
        <v>2</v>
      </c>
    </row>
    <row r="1841" spans="5:17" x14ac:dyDescent="0.2">
      <c r="E1841" s="9" t="s">
        <v>26</v>
      </c>
      <c r="K1841" t="str">
        <v>better</v>
      </c>
      <c r="L1841" s="4" t="str">
        <f t="shared" si="35"/>
        <v>better</v>
      </c>
      <c r="M1841" t="str">
        <v>take</v>
      </c>
      <c r="N1841" s="4" cm="1">
        <f t="array" ref="N1841">SUM(--(_xlfn.TEXTSPLIT($J$1780,, " ") = M1841))</f>
        <v>7</v>
      </c>
      <c r="O1841">
        <v>2</v>
      </c>
      <c r="P1841" t="str">
        <v>after</v>
      </c>
      <c r="Q1841">
        <v>2</v>
      </c>
    </row>
    <row r="1842" spans="5:17" x14ac:dyDescent="0.2">
      <c r="E1842" s="9" t="s">
        <v>26</v>
      </c>
      <c r="K1842" t="str">
        <v>in</v>
      </c>
      <c r="L1842" s="4" t="str">
        <f t="shared" si="35"/>
        <v>in</v>
      </c>
      <c r="M1842" t="str">
        <v>what</v>
      </c>
      <c r="N1842" s="4" cm="1">
        <f t="array" ref="N1842">SUM(--(_xlfn.TEXTSPLIT($J$1780,, " ") = M1842))</f>
        <v>8</v>
      </c>
      <c r="O1842">
        <v>2</v>
      </c>
      <c r="P1842" t="str">
        <v xml:space="preserve">heart
</v>
      </c>
      <c r="Q1842">
        <v>2</v>
      </c>
    </row>
    <row r="1843" spans="5:17" x14ac:dyDescent="0.2">
      <c r="E1843" s="9" t="s">
        <v>26</v>
      </c>
      <c r="K1843" t="str">
        <v>the</v>
      </c>
      <c r="L1843" s="4" t="str">
        <f t="shared" si="35"/>
        <v>the</v>
      </c>
      <c r="M1843" t="str">
        <v>believe,</v>
      </c>
      <c r="N1843" s="4" cm="1">
        <f t="array" ref="N1843">SUM(--(_xlfn.TEXTSPLIT($J$1780,, " ") = M1843))</f>
        <v>7</v>
      </c>
      <c r="O1843">
        <v>2</v>
      </c>
      <c r="P1843" t="str">
        <v>doubted</v>
      </c>
      <c r="Q1843">
        <v>2</v>
      </c>
    </row>
    <row r="1844" spans="5:17" x14ac:dyDescent="0.2">
      <c r="E1844" s="9" t="s">
        <v>26</v>
      </c>
      <c r="K1844" t="str">
        <v xml:space="preserve">cellar
</v>
      </c>
      <c r="L1844" s="4" t="str">
        <f t="shared" si="35"/>
        <v xml:space="preserve">cellar </v>
      </c>
      <c r="M1844" t="str">
        <v>hiding</v>
      </c>
      <c r="N1844" s="4" cm="1">
        <f t="array" ref="N1844">SUM(--(_xlfn.TEXTSPLIT($J$1780,, " ") = M1844))</f>
        <v>10</v>
      </c>
      <c r="O1844">
        <v>2</v>
      </c>
      <c r="P1844" t="str">
        <v>So</v>
      </c>
      <c r="Q1844">
        <v>2</v>
      </c>
    </row>
    <row r="1845" spans="5:17" x14ac:dyDescent="0.2">
      <c r="E1845" s="9" t="s">
        <v>26</v>
      </c>
      <c r="K1845" t="str">
        <v>Down</v>
      </c>
      <c r="L1845" s="4" t="str">
        <f t="shared" ref="L1845:L1908" si="36">_xlfn.REGEXREPLACE(K1845, "[^A-Za-z ]", " ")</f>
        <v>Down</v>
      </c>
      <c r="M1845" t="str">
        <v xml:space="preserve">it
</v>
      </c>
      <c r="N1845" s="4" cm="1">
        <f t="array" ref="N1845">SUM(--(_xlfn.TEXTSPLIT($J$1780,, " ") = M1845))</f>
        <v>4</v>
      </c>
      <c r="O1845">
        <v>2</v>
      </c>
      <c r="P1845" t="str">
        <v xml:space="preserve">mercy
</v>
      </c>
      <c r="Q1845">
        <v>2</v>
      </c>
    </row>
    <row r="1846" spans="5:17" x14ac:dyDescent="0.2">
      <c r="E1846" s="9" t="s">
        <v>26</v>
      </c>
      <c r="K1846" t="str">
        <v>there,</v>
      </c>
      <c r="L1846" s="4" t="str">
        <f t="shared" si="36"/>
        <v xml:space="preserve">there </v>
      </c>
      <c r="M1846" t="str">
        <v xml:space="preserve">it
</v>
      </c>
      <c r="N1846" s="4" cm="1">
        <f t="array" ref="N1846">SUM(--(_xlfn.TEXTSPLIT($J$1780,, " ") = M1846))</f>
        <v>2</v>
      </c>
      <c r="O1846">
        <v>2</v>
      </c>
      <c r="P1846" t="str">
        <v xml:space="preserve">mercy
</v>
      </c>
      <c r="Q1846">
        <v>2</v>
      </c>
    </row>
    <row r="1847" spans="5:17" x14ac:dyDescent="0.2">
      <c r="E1847" s="9" t="s">
        <v>26</v>
      </c>
      <c r="K1847" t="str">
        <v>it's</v>
      </c>
      <c r="L1847" s="4" t="str">
        <f t="shared" si="36"/>
        <v>it s</v>
      </c>
      <c r="M1847" t="str">
        <v>Feeling</v>
      </c>
      <c r="N1847" s="4" cm="1">
        <f t="array" ref="N1847">SUM(--(_xlfn.TEXTSPLIT($J$1780,, " ") = M1847))</f>
        <v>2</v>
      </c>
      <c r="O1847">
        <v>2</v>
      </c>
      <c r="P1847" t="str">
        <v xml:space="preserve">it
</v>
      </c>
      <c r="Q1847">
        <v>2</v>
      </c>
    </row>
    <row r="1848" spans="5:17" x14ac:dyDescent="0.2">
      <c r="E1848" s="9" t="s">
        <v>26</v>
      </c>
      <c r="K1848" t="str">
        <v>some</v>
      </c>
      <c r="L1848" s="4" t="str">
        <f t="shared" si="36"/>
        <v>some</v>
      </c>
      <c r="M1848" t="str">
        <v xml:space="preserve">nothing
</v>
      </c>
      <c r="N1848" s="4" cm="1">
        <f t="array" ref="N1848">SUM(--(_xlfn.TEXTSPLIT($J$1780,, " ") = M1848))</f>
        <v>2</v>
      </c>
      <c r="O1848">
        <v>2</v>
      </c>
      <c r="P1848" t="str">
        <v>Feeling</v>
      </c>
      <c r="Q1848">
        <v>2</v>
      </c>
    </row>
    <row r="1849" spans="5:17" x14ac:dyDescent="0.2">
      <c r="E1849" s="9" t="s">
        <v>26</v>
      </c>
      <c r="K1849" t="str">
        <v>shelter</v>
      </c>
      <c r="L1849" s="4" t="str">
        <f t="shared" si="36"/>
        <v>shelter</v>
      </c>
      <c r="M1849" t="str">
        <v>run</v>
      </c>
      <c r="N1849" s="4" cm="1">
        <f t="array" ref="N1849">SUM(--(_xlfn.TEXTSPLIT($J$1780,, " ") = M1849))</f>
        <v>1</v>
      </c>
      <c r="O1849">
        <v>2</v>
      </c>
      <c r="P1849" t="str">
        <v xml:space="preserve">nothing
</v>
      </c>
      <c r="Q1849">
        <v>2</v>
      </c>
    </row>
    <row r="1850" spans="5:17" x14ac:dyDescent="0.2">
      <c r="E1850" s="9" t="s">
        <v>26</v>
      </c>
      <c r="K1850" t="str">
        <v>from</v>
      </c>
      <c r="L1850" s="4" t="str">
        <f t="shared" si="36"/>
        <v>from</v>
      </c>
      <c r="M1850" t="str">
        <v xml:space="preserve">down
</v>
      </c>
      <c r="N1850" s="4" cm="1">
        <f t="array" ref="N1850">SUM(--(_xlfn.TEXTSPLIT($J$1780,, " ") = M1850))</f>
        <v>1</v>
      </c>
      <c r="O1850">
        <v>2</v>
      </c>
      <c r="P1850" t="str">
        <v>mercy,</v>
      </c>
      <c r="Q1850">
        <v>2</v>
      </c>
    </row>
    <row r="1851" spans="5:17" x14ac:dyDescent="0.2">
      <c r="E1851" s="9" t="s">
        <v>26</v>
      </c>
      <c r="K1851" t="str">
        <v>the</v>
      </c>
      <c r="L1851" s="4" t="str">
        <f t="shared" si="36"/>
        <v>the</v>
      </c>
      <c r="M1851" t="str">
        <v>Was</v>
      </c>
      <c r="N1851" s="4" cm="1">
        <f t="array" ref="N1851">SUM(--(_xlfn.TEXTSPLIT($J$1780,, " ") = M1851))</f>
        <v>1</v>
      </c>
      <c r="O1851">
        <v>2</v>
      </c>
      <c r="P1851" t="str">
        <v>(You</v>
      </c>
      <c r="Q1851">
        <v>2</v>
      </c>
    </row>
    <row r="1852" spans="5:17" x14ac:dyDescent="0.2">
      <c r="E1852" s="9" t="s">
        <v>26</v>
      </c>
      <c r="K1852" t="str">
        <v xml:space="preserve">weather
</v>
      </c>
      <c r="L1852" s="4" t="str">
        <f t="shared" si="36"/>
        <v xml:space="preserve">weather </v>
      </c>
      <c r="M1852" t="str">
        <v>afraid</v>
      </c>
      <c r="N1852" s="4" cm="1">
        <f t="array" ref="N1852">SUM(--(_xlfn.TEXTSPLIT($J$1780,, " ") = M1852))</f>
        <v>1</v>
      </c>
      <c r="O1852">
        <v>2</v>
      </c>
      <c r="P1852" t="str">
        <v>(All</v>
      </c>
      <c r="Q1852">
        <v>2</v>
      </c>
    </row>
    <row r="1853" spans="5:17" x14ac:dyDescent="0.2">
      <c r="E1853" s="9" t="s">
        <v>26</v>
      </c>
      <c r="K1853" t="str">
        <v>I</v>
      </c>
      <c r="L1853" s="4" t="str">
        <f t="shared" si="36"/>
        <v>I</v>
      </c>
      <c r="M1853" t="str">
        <v>Now</v>
      </c>
      <c r="N1853" s="4" cm="1">
        <f t="array" ref="N1853">SUM(--(_xlfn.TEXTSPLIT($J$1780,, " ") = M1853))</f>
        <v>1</v>
      </c>
      <c r="O1853">
        <v>1</v>
      </c>
      <c r="P1853" t="str">
        <v/>
      </c>
      <c r="Q1853">
        <v>1</v>
      </c>
    </row>
    <row r="1854" spans="5:17" x14ac:dyDescent="0.2">
      <c r="E1854" s="9" t="s">
        <v>26</v>
      </c>
      <c r="K1854" t="str">
        <v>wear</v>
      </c>
      <c r="L1854" s="4" t="str">
        <f t="shared" si="36"/>
        <v>wear</v>
      </c>
      <c r="M1854" t="str">
        <v>just</v>
      </c>
      <c r="N1854" s="4" cm="1">
        <f t="array" ref="N1854">SUM(--(_xlfn.TEXTSPLIT($J$1780,, " ") = M1854))</f>
        <v>1</v>
      </c>
      <c r="O1854">
        <v>1</v>
      </c>
      <c r="P1854" t="str">
        <v xml:space="preserve">start
</v>
      </c>
      <c r="Q1854">
        <v>1</v>
      </c>
    </row>
    <row r="1855" spans="5:17" x14ac:dyDescent="0.2">
      <c r="E1855" s="9" t="s">
        <v>26</v>
      </c>
      <c r="K1855" t="str">
        <v>all</v>
      </c>
      <c r="L1855" s="4" t="str">
        <f t="shared" si="36"/>
        <v>all</v>
      </c>
      <c r="M1855" t="str">
        <v>ashamed</v>
      </c>
      <c r="N1855" s="4" cm="1">
        <f t="array" ref="N1855">SUM(--(_xlfn.TEXTSPLIT($J$1780,, " ") = M1855))</f>
        <v>1</v>
      </c>
      <c r="O1855">
        <v>1</v>
      </c>
      <c r="P1855" t="str">
        <v>run</v>
      </c>
      <c r="Q1855">
        <v>1</v>
      </c>
    </row>
    <row r="1856" spans="5:17" x14ac:dyDescent="0.2">
      <c r="E1856" s="9" t="s">
        <v>26</v>
      </c>
      <c r="K1856" t="str">
        <v>of</v>
      </c>
      <c r="L1856" s="4" t="str">
        <f t="shared" si="36"/>
        <v>of</v>
      </c>
      <c r="M1856" t="str">
        <v xml:space="preserve">how
</v>
      </c>
      <c r="N1856" s="4" cm="1">
        <f t="array" ref="N1856">SUM(--(_xlfn.TEXTSPLIT($J$1780,, " ") = M1856))</f>
        <v>1</v>
      </c>
      <c r="O1856">
        <v>1</v>
      </c>
      <c r="P1856" t="str">
        <v xml:space="preserve">down
</v>
      </c>
      <c r="Q1856">
        <v>1</v>
      </c>
    </row>
    <row r="1857" spans="5:17" x14ac:dyDescent="0.2">
      <c r="E1857" s="9" t="s">
        <v>26</v>
      </c>
      <c r="K1857" t="str">
        <v>my</v>
      </c>
      <c r="L1857" s="4" t="str">
        <f t="shared" si="36"/>
        <v>my</v>
      </c>
      <c r="M1857" t="str">
        <v>hide</v>
      </c>
      <c r="N1857" s="4" cm="1">
        <f t="array" ref="N1857">SUM(--(_xlfn.TEXTSPLIT($J$1780,, " ") = M1857))</f>
        <v>1</v>
      </c>
      <c r="O1857">
        <v>1</v>
      </c>
      <c r="P1857" t="str">
        <v>Was</v>
      </c>
      <c r="Q1857">
        <v>1</v>
      </c>
    </row>
    <row r="1858" spans="5:17" x14ac:dyDescent="0.2">
      <c r="E1858" s="9" t="s">
        <v>26</v>
      </c>
      <c r="K1858" t="str">
        <v>heart</v>
      </c>
      <c r="L1858" s="4" t="str">
        <f t="shared" si="36"/>
        <v>heart</v>
      </c>
      <c r="M1858" t="str">
        <v>face</v>
      </c>
      <c r="N1858" s="4" cm="1">
        <f t="array" ref="N1858">SUM(--(_xlfn.TEXTSPLIT($J$1780,, " ") = M1858))</f>
        <v>1</v>
      </c>
      <c r="O1858">
        <v>1</v>
      </c>
      <c r="P1858" t="str">
        <v>afraid</v>
      </c>
      <c r="Q1858">
        <v>1</v>
      </c>
    </row>
    <row r="1859" spans="5:17" x14ac:dyDescent="0.2">
      <c r="E1859" s="9" t="s">
        <v>26</v>
      </c>
      <c r="K1859" t="str">
        <v>on</v>
      </c>
      <c r="L1859" s="4" t="str">
        <f t="shared" si="36"/>
        <v>on</v>
      </c>
      <c r="M1859" t="str">
        <v xml:space="preserve">you
</v>
      </c>
      <c r="N1859" s="4" cm="1">
        <f t="array" ref="N1859">SUM(--(_xlfn.TEXTSPLIT($J$1780,, " ") = M1859))</f>
        <v>1</v>
      </c>
      <c r="O1859">
        <v>1</v>
      </c>
      <c r="P1859" t="str">
        <v>Now</v>
      </c>
      <c r="Q1859">
        <v>1</v>
      </c>
    </row>
    <row r="1860" spans="5:17" x14ac:dyDescent="0.2">
      <c r="E1860" s="9" t="s">
        <v>26</v>
      </c>
      <c r="K1860" t="str">
        <v>my</v>
      </c>
      <c r="L1860" s="4" t="str">
        <f t="shared" si="36"/>
        <v>my</v>
      </c>
      <c r="M1860" t="str">
        <v xml:space="preserve">become?
</v>
      </c>
      <c r="N1860" s="4" cm="1">
        <f t="array" ref="N1860">SUM(--(_xlfn.TEXTSPLIT($J$1780,, " ") = M1860))</f>
        <v>1</v>
      </c>
      <c r="O1860">
        <v>1</v>
      </c>
      <c r="P1860" t="str">
        <v>just</v>
      </c>
      <c r="Q1860">
        <v>1</v>
      </c>
    </row>
    <row r="1861" spans="5:17" x14ac:dyDescent="0.2">
      <c r="E1861" s="9" t="s">
        <v>26</v>
      </c>
      <c r="K1861" t="str">
        <v xml:space="preserve">sleeve
</v>
      </c>
      <c r="L1861" s="4" t="str">
        <f t="shared" si="36"/>
        <v xml:space="preserve">sleeve </v>
      </c>
      <c r="M1861" t="str">
        <v>Dirty</v>
      </c>
      <c r="N1861" s="4" cm="1">
        <f t="array" ref="N1861">SUM(--(_xlfn.TEXTSPLIT($J$1780,, " ") = M1861))</f>
        <v>1</v>
      </c>
      <c r="O1861">
        <v>1</v>
      </c>
      <c r="P1861" t="str">
        <v>ashamed</v>
      </c>
      <c r="Q1861">
        <v>1</v>
      </c>
    </row>
    <row r="1862" spans="5:17" x14ac:dyDescent="0.2">
      <c r="E1862" s="9" t="s">
        <v>26</v>
      </c>
      <c r="K1862" t="str">
        <v>I'll</v>
      </c>
      <c r="L1862" s="4" t="str">
        <f t="shared" si="36"/>
        <v>I ll</v>
      </c>
      <c r="M1862" t="str">
        <v>wretched</v>
      </c>
      <c r="N1862" s="4" cm="1">
        <f t="array" ref="N1862">SUM(--(_xlfn.TEXTSPLIT($J$1780,, " ") = M1862))</f>
        <v>1</v>
      </c>
      <c r="O1862">
        <v>1</v>
      </c>
      <c r="P1862" t="str">
        <v xml:space="preserve">how
</v>
      </c>
      <c r="Q1862">
        <v>1</v>
      </c>
    </row>
    <row r="1863" spans="5:17" x14ac:dyDescent="0.2">
      <c r="E1863" s="9" t="s">
        <v>26</v>
      </c>
      <c r="K1863" t="str">
        <v>take</v>
      </c>
      <c r="L1863" s="4" t="str">
        <f t="shared" si="36"/>
        <v>take</v>
      </c>
      <c r="M1863" t="str">
        <v xml:space="preserve">one
</v>
      </c>
      <c r="N1863" s="4" cm="1">
        <f t="array" ref="N1863">SUM(--(_xlfn.TEXTSPLIT($J$1780,, " ") = M1863))</f>
        <v>1</v>
      </c>
      <c r="O1863">
        <v>1</v>
      </c>
      <c r="P1863" t="str">
        <v>hide</v>
      </c>
      <c r="Q1863">
        <v>1</v>
      </c>
    </row>
    <row r="1864" spans="5:17" x14ac:dyDescent="0.2">
      <c r="E1864" s="9" t="s">
        <v>26</v>
      </c>
      <c r="K1864" t="str">
        <v>what</v>
      </c>
      <c r="L1864" s="4" t="str">
        <f t="shared" si="36"/>
        <v>what</v>
      </c>
      <c r="M1864" t="str">
        <v>Am</v>
      </c>
      <c r="N1864" s="4" cm="1">
        <f t="array" ref="N1864">SUM(--(_xlfn.TEXTSPLIT($J$1780,, " ") = M1864))</f>
        <v>1</v>
      </c>
      <c r="O1864">
        <v>1</v>
      </c>
      <c r="P1864" t="str">
        <v>face</v>
      </c>
      <c r="Q1864">
        <v>1</v>
      </c>
    </row>
    <row r="1865" spans="5:17" x14ac:dyDescent="0.2">
      <c r="E1865" s="9" t="s">
        <v>26</v>
      </c>
      <c r="K1865" t="str">
        <v>I</v>
      </c>
      <c r="L1865" s="4" t="str">
        <f t="shared" si="36"/>
        <v>I</v>
      </c>
      <c r="M1865" t="str">
        <v>unholy</v>
      </c>
      <c r="N1865" s="4" cm="1">
        <f t="array" ref="N1865">SUM(--(_xlfn.TEXTSPLIT($J$1780,, " ") = M1865))</f>
        <v>1</v>
      </c>
      <c r="O1865">
        <v>1</v>
      </c>
      <c r="P1865" t="str">
        <v xml:space="preserve">you
</v>
      </c>
      <c r="Q1865">
        <v>1</v>
      </c>
    </row>
    <row r="1866" spans="5:17" x14ac:dyDescent="0.2">
      <c r="E1866" s="9" t="s">
        <v>26</v>
      </c>
      <c r="K1866" t="str">
        <v>believe,</v>
      </c>
      <c r="L1866" s="4" t="str">
        <f t="shared" si="36"/>
        <v xml:space="preserve">believe </v>
      </c>
      <c r="M1866" t="str">
        <v xml:space="preserve">man?
</v>
      </c>
      <c r="N1866" s="4" cm="1">
        <f t="array" ref="N1866">SUM(--(_xlfn.TEXTSPLIT($J$1780,, " ") = M1866))</f>
        <v>1</v>
      </c>
      <c r="O1866">
        <v>1</v>
      </c>
      <c r="P1866" t="str">
        <v xml:space="preserve">become?
</v>
      </c>
      <c r="Q1866">
        <v>1</v>
      </c>
    </row>
    <row r="1867" spans="5:17" x14ac:dyDescent="0.2">
      <c r="E1867" s="9" t="s">
        <v>26</v>
      </c>
      <c r="K1867" t="str">
        <v>and</v>
      </c>
      <c r="L1867" s="4" t="str">
        <f t="shared" si="36"/>
        <v>and</v>
      </c>
      <c r="M1867" t="str">
        <v>forced</v>
      </c>
      <c r="N1867" s="4" cm="1">
        <f t="array" ref="N1867">SUM(--(_xlfn.TEXTSPLIT($J$1780,, " ") = M1867))</f>
        <v>1</v>
      </c>
      <c r="O1867">
        <v>1</v>
      </c>
      <c r="P1867" t="str">
        <v>Dirty</v>
      </c>
      <c r="Q1867">
        <v>1</v>
      </c>
    </row>
    <row r="1868" spans="5:17" x14ac:dyDescent="0.2">
      <c r="E1868" s="9" t="s">
        <v>26</v>
      </c>
      <c r="K1868" t="str">
        <v>I'm</v>
      </c>
      <c r="L1868" s="4" t="str">
        <f t="shared" si="36"/>
        <v>I m</v>
      </c>
      <c r="M1868" t="str">
        <v xml:space="preserve">hand?
</v>
      </c>
      <c r="N1868" s="4" cm="1">
        <f t="array" ref="N1868">SUM(--(_xlfn.TEXTSPLIT($J$1780,, " ") = M1868))</f>
        <v>1</v>
      </c>
      <c r="O1868">
        <v>1</v>
      </c>
      <c r="P1868" t="str">
        <v>wretched</v>
      </c>
      <c r="Q1868">
        <v>1</v>
      </c>
    </row>
    <row r="1869" spans="5:17" x14ac:dyDescent="0.2">
      <c r="E1869" s="9" t="s">
        <v>26</v>
      </c>
      <c r="K1869" t="str">
        <v>hiding</v>
      </c>
      <c r="L1869" s="4" t="str">
        <f t="shared" si="36"/>
        <v>hiding</v>
      </c>
      <c r="M1869" t="str">
        <v>woah-oh,</v>
      </c>
      <c r="N1869" s="4" cm="1">
        <f t="array" ref="N1869">SUM(--(_xlfn.TEXTSPLIT($J$1780,, " ") = M1869))</f>
        <v>4</v>
      </c>
      <c r="O1869">
        <v>1</v>
      </c>
      <c r="P1869" t="str">
        <v xml:space="preserve">one
</v>
      </c>
      <c r="Q1869">
        <v>1</v>
      </c>
    </row>
    <row r="1870" spans="5:17" x14ac:dyDescent="0.2">
      <c r="E1870" s="9" t="s">
        <v>26</v>
      </c>
      <c r="K1870" t="str">
        <v xml:space="preserve">it
</v>
      </c>
      <c r="L1870" s="4" t="str">
        <f t="shared" si="36"/>
        <v xml:space="preserve">it </v>
      </c>
      <c r="M1870" t="str">
        <v>mercy,</v>
      </c>
      <c r="N1870" s="4" cm="1">
        <f t="array" ref="N1870">SUM(--(_xlfn.TEXTSPLIT($J$1780,, " ") = M1870))</f>
        <v>2</v>
      </c>
      <c r="O1870">
        <v>1</v>
      </c>
      <c r="P1870" t="str">
        <v>Am</v>
      </c>
      <c r="Q1870">
        <v>1</v>
      </c>
    </row>
    <row r="1871" spans="5:17" x14ac:dyDescent="0.2">
      <c r="E1871" s="9" t="s">
        <v>26</v>
      </c>
      <c r="K1871" t="str">
        <v>Downstairs,</v>
      </c>
      <c r="L1871" s="4" t="str">
        <f t="shared" si="36"/>
        <v xml:space="preserve">Downstairs </v>
      </c>
      <c r="M1871" t="str">
        <v xml:space="preserve">yeah
</v>
      </c>
      <c r="N1871" s="4" cm="1">
        <f t="array" ref="N1871">SUM(--(_xlfn.TEXTSPLIT($J$1780,, " ") = M1871))</f>
        <v>1</v>
      </c>
      <c r="O1871">
        <v>1</v>
      </c>
      <c r="P1871" t="str">
        <v>unholy</v>
      </c>
      <c r="Q1871">
        <v>1</v>
      </c>
    </row>
    <row r="1872" spans="5:17" x14ac:dyDescent="0.2">
      <c r="E1872" s="9" t="s">
        <v>26</v>
      </c>
      <c r="K1872" t="str">
        <v>I</v>
      </c>
      <c r="L1872" s="4" t="str">
        <f t="shared" si="36"/>
        <v>I</v>
      </c>
      <c r="M1872" t="str">
        <v xml:space="preserve">yeah
</v>
      </c>
      <c r="N1872" s="4" cm="1">
        <f t="array" ref="N1872">SUM(--(_xlfn.TEXTSPLIT($J$1780,, " ") = M1872))</f>
        <v>1</v>
      </c>
      <c r="O1872">
        <v>1</v>
      </c>
      <c r="P1872" t="str">
        <v xml:space="preserve">man?
</v>
      </c>
      <c r="Q1872">
        <v>1</v>
      </c>
    </row>
    <row r="1873" spans="5:17" x14ac:dyDescent="0.2">
      <c r="E1873" s="9" t="s">
        <v>26</v>
      </c>
      <c r="K1873" t="str">
        <v>feel</v>
      </c>
      <c r="L1873" s="4" t="str">
        <f t="shared" si="36"/>
        <v>feel</v>
      </c>
      <c r="M1873" t="str">
        <v>Downstairs</v>
      </c>
      <c r="N1873" s="4" cm="1">
        <f t="array" ref="N1873">SUM(--(_xlfn.TEXTSPLIT($J$1780,, " ") = M1873))</f>
        <v>1</v>
      </c>
      <c r="O1873">
        <v>1</v>
      </c>
      <c r="P1873" t="str">
        <v>forced</v>
      </c>
      <c r="Q1873">
        <v>1</v>
      </c>
    </row>
    <row r="1874" spans="5:17" x14ac:dyDescent="0.2">
      <c r="E1874" s="9" t="s">
        <v>26</v>
      </c>
      <c r="K1874" t="str">
        <v>better</v>
      </c>
      <c r="L1874" s="4" t="str">
        <f t="shared" si="36"/>
        <v>better</v>
      </c>
      <c r="M1874" t="str">
        <v>(You</v>
      </c>
      <c r="N1874" s="4" cm="1">
        <f t="array" ref="N1874">SUM(--(_xlfn.TEXTSPLIT($J$1780,, " ") = M1874))</f>
        <v>2</v>
      </c>
      <c r="O1874">
        <v>1</v>
      </c>
      <c r="P1874" t="str">
        <v xml:space="preserve">hand?
</v>
      </c>
      <c r="Q1874">
        <v>1</v>
      </c>
    </row>
    <row r="1875" spans="5:17" x14ac:dyDescent="0.2">
      <c r="E1875" s="9" t="s">
        <v>26</v>
      </c>
      <c r="K1875" t="str">
        <v>in</v>
      </c>
      <c r="L1875" s="4" t="str">
        <f t="shared" si="36"/>
        <v>in</v>
      </c>
      <c r="M1875" t="str">
        <v>have),</v>
      </c>
      <c r="N1875" s="4" cm="1">
        <f t="array" ref="N1875">SUM(--(_xlfn.TEXTSPLIT($J$1780,, " ") = M1875))</f>
        <v>1</v>
      </c>
      <c r="O1875">
        <v>1</v>
      </c>
      <c r="P1875" t="str">
        <v xml:space="preserve">yeah
</v>
      </c>
      <c r="Q1875">
        <v>1</v>
      </c>
    </row>
    <row r="1876" spans="5:17" x14ac:dyDescent="0.2">
      <c r="E1876" s="9" t="s">
        <v>26</v>
      </c>
      <c r="K1876" t="str">
        <v>the</v>
      </c>
      <c r="L1876" s="4" t="str">
        <f t="shared" si="36"/>
        <v>the</v>
      </c>
      <c r="M1876" t="str">
        <v>cellar</v>
      </c>
      <c r="N1876" s="4" cm="1">
        <f t="array" ref="N1876">SUM(--(_xlfn.TEXTSPLIT($J$1780,, " ") = M1876))</f>
        <v>1</v>
      </c>
      <c r="O1876">
        <v>1</v>
      </c>
      <c r="P1876" t="str">
        <v xml:space="preserve">yeah
</v>
      </c>
      <c r="Q1876">
        <v>1</v>
      </c>
    </row>
    <row r="1877" spans="5:17" x14ac:dyDescent="0.2">
      <c r="E1877" s="9" t="s">
        <v>26</v>
      </c>
      <c r="K1877" t="str">
        <v xml:space="preserve">cellar
</v>
      </c>
      <c r="L1877" s="4" t="str">
        <f t="shared" si="36"/>
        <v xml:space="preserve">cellar </v>
      </c>
      <c r="M1877" t="str">
        <v>(All</v>
      </c>
      <c r="N1877" s="4" cm="1">
        <f t="array" ref="N1877">SUM(--(_xlfn.TEXTSPLIT($J$1780,, " ") = M1877))</f>
        <v>2</v>
      </c>
      <c r="O1877">
        <v>1</v>
      </c>
      <c r="P1877" t="str">
        <v>Downstairs</v>
      </c>
      <c r="Q1877">
        <v>1</v>
      </c>
    </row>
    <row r="1878" spans="5:17" x14ac:dyDescent="0.2">
      <c r="E1878" s="9" t="s">
        <v>26</v>
      </c>
      <c r="K1878" t="str">
        <v>Down</v>
      </c>
      <c r="L1878" s="4" t="str">
        <f t="shared" si="36"/>
        <v>Down</v>
      </c>
      <c r="M1878" t="str">
        <v xml:space="preserve">made)
</v>
      </c>
      <c r="N1878" s="4" cm="1">
        <f t="array" ref="N1878">SUM(--(_xlfn.TEXTSPLIT($J$1780,, " ") = M1878))</f>
        <v>1</v>
      </c>
      <c r="O1878">
        <v>1</v>
      </c>
      <c r="P1878" t="str">
        <v>have),</v>
      </c>
      <c r="Q1878">
        <v>1</v>
      </c>
    </row>
    <row r="1879" spans="5:17" x14ac:dyDescent="0.2">
      <c r="E1879" s="9" t="s">
        <v>26</v>
      </c>
      <c r="K1879" t="str">
        <v>there,</v>
      </c>
      <c r="L1879" s="4" t="str">
        <f t="shared" si="36"/>
        <v xml:space="preserve">there </v>
      </c>
      <c r="M1879" t="str">
        <v>need</v>
      </c>
      <c r="N1879" s="4" cm="1">
        <f t="array" ref="N1879">SUM(--(_xlfn.TEXTSPLIT($J$1780,, " ") = M1879))</f>
        <v>1</v>
      </c>
      <c r="O1879">
        <v>1</v>
      </c>
      <c r="P1879" t="str">
        <v>cellar</v>
      </c>
      <c r="Q1879">
        <v>1</v>
      </c>
    </row>
    <row r="1880" spans="5:17" x14ac:dyDescent="0.2">
      <c r="E1880" s="9" t="s">
        <v>26</v>
      </c>
      <c r="K1880" t="str">
        <v>it's</v>
      </c>
      <c r="L1880" s="4" t="str">
        <f t="shared" si="36"/>
        <v>it s</v>
      </c>
      <c r="M1880" t="str">
        <v>weather</v>
      </c>
      <c r="N1880" s="4" cm="1">
        <f t="array" ref="N1880">SUM(--(_xlfn.TEXTSPLIT($J$1780,, " ") = M1880))</f>
        <v>1</v>
      </c>
      <c r="O1880">
        <v>1</v>
      </c>
      <c r="P1880" t="str">
        <v xml:space="preserve">made)
</v>
      </c>
      <c r="Q1880">
        <v>1</v>
      </c>
    </row>
    <row r="1881" spans="5:17" x14ac:dyDescent="0.2">
      <c r="E1881" s="9" t="s">
        <v>26</v>
      </c>
      <c r="K1881" t="str">
        <v>some</v>
      </c>
      <c r="L1881" s="4" t="str">
        <f t="shared" si="36"/>
        <v>some</v>
      </c>
      <c r="M1881" t="str">
        <v xml:space="preserve">known)
</v>
      </c>
      <c r="N1881" s="4" cm="1">
        <f t="array" ref="N1881">SUM(--(_xlfn.TEXTSPLIT($J$1780,, " ") = M1881))</f>
        <v>1</v>
      </c>
      <c r="O1881">
        <v>1</v>
      </c>
      <c r="P1881" t="str">
        <v>need</v>
      </c>
      <c r="Q1881">
        <v>1</v>
      </c>
    </row>
    <row r="1882" spans="5:17" x14ac:dyDescent="0.2">
      <c r="E1882" s="9" t="s">
        <v>26</v>
      </c>
      <c r="K1882" t="str">
        <v>shelter</v>
      </c>
      <c r="L1882" s="4" t="str">
        <f t="shared" si="36"/>
        <v>shelter</v>
      </c>
      <c r="M1882" t="str">
        <v>have)</v>
      </c>
      <c r="N1882" s="4" cm="1">
        <f t="array" ref="N1882">SUM(--(_xlfn.TEXTSPLIT($J$1780,, " ") = M1882))</f>
        <v>1</v>
      </c>
      <c r="O1882">
        <v>1</v>
      </c>
      <c r="P1882" t="str">
        <v>weather</v>
      </c>
      <c r="Q1882">
        <v>1</v>
      </c>
    </row>
    <row r="1883" spans="5:17" x14ac:dyDescent="0.2">
      <c r="E1883" s="9" t="s">
        <v>26</v>
      </c>
      <c r="K1883" t="str">
        <v>from</v>
      </c>
      <c r="L1883" s="4" t="str">
        <f t="shared" si="36"/>
        <v>from</v>
      </c>
      <c r="M1883" t="str">
        <v>sleeve</v>
      </c>
      <c r="N1883" s="4" cm="1">
        <f t="array" ref="N1883">SUM(--(_xlfn.TEXTSPLIT($J$1780,, " ") = M1883))</f>
        <v>1</v>
      </c>
      <c r="O1883">
        <v>1</v>
      </c>
      <c r="P1883" t="str">
        <v xml:space="preserve">known)
</v>
      </c>
      <c r="Q1883">
        <v>1</v>
      </c>
    </row>
    <row r="1884" spans="5:17" x14ac:dyDescent="0.2">
      <c r="E1884" s="9" t="s">
        <v>26</v>
      </c>
      <c r="K1884" t="str">
        <v>the</v>
      </c>
      <c r="L1884" s="4" t="str">
        <f t="shared" si="36"/>
        <v>the</v>
      </c>
      <c r="M1884" t="str">
        <v>(Both</v>
      </c>
      <c r="N1884" s="4" cm="1">
        <f t="array" ref="N1884">SUM(--(_xlfn.TEXTSPLIT($J$1780,, " ") = M1884))</f>
        <v>1</v>
      </c>
      <c r="O1884">
        <v>1</v>
      </c>
      <c r="P1884" t="str">
        <v>have)</v>
      </c>
      <c r="Q1884">
        <v>1</v>
      </c>
    </row>
    <row r="1885" spans="5:17" x14ac:dyDescent="0.2">
      <c r="E1885" s="9" t="s">
        <v>26</v>
      </c>
      <c r="K1885" t="str">
        <v xml:space="preserve">weather
</v>
      </c>
      <c r="L1885" s="4" t="str">
        <f t="shared" si="36"/>
        <v xml:space="preserve">weather </v>
      </c>
      <c r="M1885" t="str">
        <v xml:space="preserve">lungs)
</v>
      </c>
      <c r="N1885" s="4" cm="1">
        <f t="array" ref="N1885">SUM(--(_xlfn.TEXTSPLIT($J$1780,, " ") = M1885))</f>
        <v>1</v>
      </c>
      <c r="O1885">
        <v>1</v>
      </c>
      <c r="P1885" t="str">
        <v>sleeve</v>
      </c>
      <c r="Q1885">
        <v>1</v>
      </c>
    </row>
    <row r="1886" spans="5:17" x14ac:dyDescent="0.2">
      <c r="E1886" s="9" t="s">
        <v>26</v>
      </c>
      <c r="K1886" t="str">
        <v>I</v>
      </c>
      <c r="L1886" s="4" t="str">
        <f t="shared" si="36"/>
        <v>I</v>
      </c>
      <c r="M1886" t="str">
        <v>it,</v>
      </c>
      <c r="N1886" s="4" cm="1">
        <f t="array" ref="N1886">SUM(--(_xlfn.TEXTSPLIT($J$1780,, " ") = M1886))</f>
        <v>4</v>
      </c>
      <c r="O1886">
        <v>1</v>
      </c>
      <c r="P1886" t="str">
        <v>(Both</v>
      </c>
      <c r="Q1886">
        <v>1</v>
      </c>
    </row>
    <row r="1887" spans="5:17" x14ac:dyDescent="0.2">
      <c r="E1887" s="9" t="s">
        <v>26</v>
      </c>
      <c r="K1887" t="str">
        <v>wear</v>
      </c>
      <c r="L1887" s="4" t="str">
        <f t="shared" si="36"/>
        <v>wear</v>
      </c>
      <c r="M1887" t="str">
        <v>yeah</v>
      </c>
      <c r="N1887" s="4" cm="1">
        <f t="array" ref="N1887">SUM(--(_xlfn.TEXTSPLIT($J$1780,, " ") = M1887))</f>
        <v>3</v>
      </c>
      <c r="O1887">
        <v>1</v>
      </c>
      <c r="P1887" t="str">
        <v xml:space="preserve">lungs)
</v>
      </c>
      <c r="Q1887">
        <v>1</v>
      </c>
    </row>
    <row r="1888" spans="5:17" x14ac:dyDescent="0.2">
      <c r="E1888" s="9" t="s">
        <v>26</v>
      </c>
      <c r="K1888" t="str">
        <v>all</v>
      </c>
      <c r="L1888" s="4" t="str">
        <f t="shared" si="36"/>
        <v>all</v>
      </c>
      <c r="M1888" t="str">
        <v>(If</v>
      </c>
      <c r="N1888" s="4" cm="1">
        <f t="array" ref="N1888">SUM(--(_xlfn.TEXTSPLIT($J$1780,, " ") = M1888))</f>
        <v>1</v>
      </c>
      <c r="O1888">
        <v>1</v>
      </c>
      <c r="P1888" t="str">
        <v>(If</v>
      </c>
      <c r="Q1888">
        <v>1</v>
      </c>
    </row>
    <row r="1889" spans="5:17" x14ac:dyDescent="0.2">
      <c r="E1889" s="9" t="s">
        <v>26</v>
      </c>
      <c r="K1889" t="str">
        <v>of</v>
      </c>
      <c r="L1889" s="4" t="str">
        <f t="shared" si="36"/>
        <v>of</v>
      </c>
      <c r="M1889" t="str">
        <v>so,</v>
      </c>
      <c r="N1889" s="4" cm="1">
        <f t="array" ref="N1889">SUM(--(_xlfn.TEXTSPLIT($J$1780,, " ") = M1889))</f>
        <v>1</v>
      </c>
      <c r="O1889">
        <v>1</v>
      </c>
      <c r="P1889" t="str">
        <v>so,</v>
      </c>
      <c r="Q1889">
        <v>1</v>
      </c>
    </row>
    <row r="1890" spans="5:17" x14ac:dyDescent="0.2">
      <c r="E1890" s="9" t="s">
        <v>26</v>
      </c>
      <c r="K1890" t="str">
        <v>my</v>
      </c>
      <c r="L1890" s="4" t="str">
        <f t="shared" si="36"/>
        <v>my</v>
      </c>
      <c r="M1890" t="str">
        <v xml:space="preserve">oh)
</v>
      </c>
      <c r="N1890" s="4" cm="1">
        <f t="array" ref="N1890">SUM(--(_xlfn.TEXTSPLIT($J$1780,, " ") = M1890))</f>
        <v>1</v>
      </c>
      <c r="O1890">
        <v>1</v>
      </c>
      <c r="P1890" t="str">
        <v xml:space="preserve">oh)
</v>
      </c>
      <c r="Q1890">
        <v>1</v>
      </c>
    </row>
    <row r="1891" spans="5:17" x14ac:dyDescent="0.2">
      <c r="E1891" s="9" t="s">
        <v>26</v>
      </c>
      <c r="K1891" t="str">
        <v>heart</v>
      </c>
      <c r="L1891" s="4" t="str">
        <f t="shared" si="36"/>
        <v>heart</v>
      </c>
      <c r="M1891" t="str">
        <v>('Cause</v>
      </c>
      <c r="N1891" s="4" cm="1">
        <f t="array" ref="N1891">SUM(--(_xlfn.TEXTSPLIT($J$1780,, " ") = M1891))</f>
        <v>1</v>
      </c>
      <c r="O1891">
        <v>1</v>
      </c>
      <c r="P1891" t="str">
        <v>('Cause</v>
      </c>
      <c r="Q1891">
        <v>1</v>
      </c>
    </row>
    <row r="1892" spans="5:17" x14ac:dyDescent="0.2">
      <c r="E1892" s="9" t="s">
        <v>26</v>
      </c>
      <c r="K1892" t="str">
        <v>on</v>
      </c>
      <c r="L1892" s="4" t="str">
        <f t="shared" si="36"/>
        <v>on</v>
      </c>
      <c r="M1892" t="str">
        <v xml:space="preserve">one)
</v>
      </c>
      <c r="N1892" s="4" cm="1">
        <f t="array" ref="N1892">SUM(--(_xlfn.TEXTSPLIT($J$1780,, " ") = M1892))</f>
        <v>1</v>
      </c>
      <c r="O1892">
        <v>1</v>
      </c>
      <c r="P1892" t="str">
        <v xml:space="preserve">one)
</v>
      </c>
      <c r="Q1892">
        <v>1</v>
      </c>
    </row>
    <row r="1893" spans="5:17" x14ac:dyDescent="0.2">
      <c r="E1893" s="9" t="s">
        <v>26</v>
      </c>
      <c r="K1893" t="str">
        <v>my</v>
      </c>
      <c r="L1893" s="4" t="str">
        <f t="shared" si="36"/>
        <v>my</v>
      </c>
      <c r="M1893" t="str">
        <v>(After</v>
      </c>
      <c r="N1893" s="4" cm="1">
        <f t="array" ref="N1893">SUM(--(_xlfn.TEXTSPLIT($J$1780,, " ") = M1893))</f>
        <v>1</v>
      </c>
      <c r="O1893">
        <v>1</v>
      </c>
      <c r="P1893" t="str">
        <v>(After</v>
      </c>
      <c r="Q1893">
        <v>1</v>
      </c>
    </row>
    <row r="1894" spans="5:17" x14ac:dyDescent="0.2">
      <c r="E1894" s="9" t="s">
        <v>26</v>
      </c>
      <c r="K1894" t="str">
        <v xml:space="preserve">sleeve
</v>
      </c>
      <c r="L1894" s="4" t="str">
        <f t="shared" si="36"/>
        <v xml:space="preserve">sleeve </v>
      </c>
      <c r="M1894" t="str">
        <v xml:space="preserve">heart)
</v>
      </c>
      <c r="N1894" s="4" cm="1">
        <f t="array" ref="N1894">SUM(--(_xlfn.TEXTSPLIT($J$1780,, " ") = M1894))</f>
        <v>1</v>
      </c>
      <c r="O1894">
        <v>1</v>
      </c>
      <c r="P1894" t="str">
        <v xml:space="preserve">heart)
</v>
      </c>
      <c r="Q1894">
        <v>1</v>
      </c>
    </row>
    <row r="1895" spans="5:17" x14ac:dyDescent="0.2">
      <c r="E1895" s="9" t="s">
        <v>26</v>
      </c>
      <c r="K1895" t="str">
        <v>I'll</v>
      </c>
      <c r="L1895" s="4" t="str">
        <f t="shared" si="36"/>
        <v>I ll</v>
      </c>
      <c r="M1895" t="str">
        <v>yeah,</v>
      </c>
      <c r="N1895" s="4" cm="1">
        <f t="array" ref="N1895">SUM(--(_xlfn.TEXTSPLIT($J$1780,, " ") = M1895))</f>
        <v>1</v>
      </c>
      <c r="O1895">
        <v>1</v>
      </c>
      <c r="P1895" t="str">
        <v>yeah,</v>
      </c>
      <c r="Q1895">
        <v>1</v>
      </c>
    </row>
    <row r="1896" spans="5:17" x14ac:dyDescent="0.2">
      <c r="E1896" s="9" t="s">
        <v>26</v>
      </c>
      <c r="K1896" t="str">
        <v>take</v>
      </c>
      <c r="L1896" s="4" t="str">
        <f t="shared" si="36"/>
        <v>take</v>
      </c>
      <c r="M1896" t="str">
        <v>oh</v>
      </c>
      <c r="N1896" s="4" cm="1">
        <f t="array" ref="N1896">SUM(--(_xlfn.TEXTSPLIT($J$1780,, " ") = M1896))</f>
        <v>1</v>
      </c>
      <c r="O1896">
        <v>1</v>
      </c>
      <c r="P1896" t="str">
        <v>oh</v>
      </c>
      <c r="Q1896">
        <v>1</v>
      </c>
    </row>
    <row r="1897" spans="5:17" x14ac:dyDescent="0.2">
      <c r="E1897" s="9" t="s">
        <v>26</v>
      </c>
      <c r="K1897" t="str">
        <v>what</v>
      </c>
      <c r="L1897" s="4" t="str">
        <f t="shared" si="36"/>
        <v>what</v>
      </c>
      <c r="M1897" t="str">
        <v>(And</v>
      </c>
      <c r="N1897" s="4" cm="1">
        <f t="array" ref="N1897">SUM(--(_xlfn.TEXTSPLIT($J$1780,, " ") = M1897))</f>
        <v>1</v>
      </c>
      <c r="O1897">
        <v>1</v>
      </c>
      <c r="P1897" t="str">
        <v>(And</v>
      </c>
      <c r="Q1897">
        <v>1</v>
      </c>
    </row>
    <row r="1898" spans="5:17" x14ac:dyDescent="0.2">
      <c r="E1898" s="9" t="s">
        <v>26</v>
      </c>
      <c r="K1898" t="str">
        <v>I</v>
      </c>
      <c r="L1898" s="4" t="str">
        <f t="shared" si="36"/>
        <v>I</v>
      </c>
      <c r="M1898" t="str">
        <v xml:space="preserve">start)
</v>
      </c>
      <c r="N1898" s="4" cm="1">
        <f t="array" ref="N1898">SUM(--(_xlfn.TEXTSPLIT($J$1780,, " ") = M1898))</f>
        <v>1</v>
      </c>
      <c r="O1898">
        <v>1</v>
      </c>
      <c r="P1898" t="str">
        <v xml:space="preserve">start)
</v>
      </c>
      <c r="Q1898">
        <v>1</v>
      </c>
    </row>
    <row r="1899" spans="5:17" x14ac:dyDescent="0.2">
      <c r="E1899" s="9" t="s">
        <v>26</v>
      </c>
      <c r="K1899" t="str">
        <v>believe,</v>
      </c>
      <c r="L1899" s="4" t="str">
        <f t="shared" si="36"/>
        <v xml:space="preserve">believe </v>
      </c>
      <c r="M1899" t="str">
        <v>start</v>
      </c>
      <c r="N1899" s="4" cm="1">
        <f t="array" ref="N1899">SUM(--(_xlfn.TEXTSPLIT($J$1780,, " ") = M1899))</f>
        <v>1</v>
      </c>
      <c r="O1899">
        <v>1</v>
      </c>
      <c r="P1899" t="str">
        <v>start</v>
      </c>
      <c r="Q1899">
        <v>1</v>
      </c>
    </row>
    <row r="1900" spans="5:17" x14ac:dyDescent="0.2">
      <c r="E1900" s="9" t="s">
        <v>26</v>
      </c>
      <c r="K1900" t="str">
        <v>and</v>
      </c>
      <c r="L1900" s="4" t="str">
        <f t="shared" si="36"/>
        <v>and</v>
      </c>
      <c r="N1900" s="4" cm="1">
        <f t="array" ref="N1900">SUM(--(_xlfn.TEXTSPLIT($J$1780,, " ") = M1900))</f>
        <v>1</v>
      </c>
      <c r="O1900">
        <v>1</v>
      </c>
      <c r="P1900">
        <v>0</v>
      </c>
      <c r="Q1900">
        <v>1</v>
      </c>
    </row>
    <row r="1901" spans="5:17" x14ac:dyDescent="0.2">
      <c r="E1901" s="9" t="s">
        <v>26</v>
      </c>
      <c r="K1901" t="str">
        <v>I'm</v>
      </c>
      <c r="L1901" s="4" t="str">
        <f t="shared" si="36"/>
        <v>I m</v>
      </c>
      <c r="N1901" s="4" cm="1">
        <f t="array" ref="N1901">SUM(--(_xlfn.TEXTSPLIT($J$1780,, " ") = M1901))</f>
        <v>1</v>
      </c>
      <c r="O1901">
        <v>1</v>
      </c>
      <c r="P1901">
        <v>0</v>
      </c>
      <c r="Q1901">
        <v>1</v>
      </c>
    </row>
    <row r="1902" spans="5:17" x14ac:dyDescent="0.2">
      <c r="E1902" s="9" t="s">
        <v>26</v>
      </c>
      <c r="K1902" t="str">
        <v>hiding</v>
      </c>
      <c r="L1902" s="4" t="str">
        <f t="shared" si="36"/>
        <v>hiding</v>
      </c>
      <c r="N1902" s="4" cm="1">
        <f t="array" ref="N1902">SUM(--(_xlfn.TEXTSPLIT($J$1780,, " ") = M1902))</f>
        <v>1</v>
      </c>
      <c r="O1902">
        <v>1</v>
      </c>
      <c r="P1902">
        <v>0</v>
      </c>
      <c r="Q1902">
        <v>1</v>
      </c>
    </row>
    <row r="1903" spans="5:17" x14ac:dyDescent="0.2">
      <c r="E1903" s="9" t="s">
        <v>26</v>
      </c>
      <c r="K1903" t="str">
        <v xml:space="preserve">it
</v>
      </c>
      <c r="L1903" s="4" t="str">
        <f t="shared" si="36"/>
        <v xml:space="preserve">it  </v>
      </c>
      <c r="N1903" s="4" cm="1">
        <f t="array" ref="N1903">SUM(--(_xlfn.TEXTSPLIT($J$1780,, " ") = M1903))</f>
        <v>1</v>
      </c>
      <c r="O1903">
        <v>1</v>
      </c>
      <c r="P1903">
        <v>0</v>
      </c>
      <c r="Q1903">
        <v>1</v>
      </c>
    </row>
    <row r="1904" spans="5:17" x14ac:dyDescent="0.2">
      <c r="E1904" s="9" t="s">
        <v>26</v>
      </c>
      <c r="K1904" t="str">
        <v>Feeling</v>
      </c>
      <c r="L1904" s="4" t="str">
        <f t="shared" si="36"/>
        <v>Feeling</v>
      </c>
      <c r="N1904" s="4" cm="1">
        <f t="array" ref="N1904">SUM(--(_xlfn.TEXTSPLIT($J$1780,, " ") = M1904))</f>
        <v>1</v>
      </c>
      <c r="O1904">
        <v>1</v>
      </c>
      <c r="P1904">
        <v>0</v>
      </c>
      <c r="Q1904">
        <v>1</v>
      </c>
    </row>
    <row r="1905" spans="5:17" x14ac:dyDescent="0.2">
      <c r="E1905" s="9" t="s">
        <v>26</v>
      </c>
      <c r="K1905" t="str">
        <v>like</v>
      </c>
      <c r="L1905" s="4" t="str">
        <f t="shared" si="36"/>
        <v>like</v>
      </c>
      <c r="N1905" s="4" cm="1">
        <f t="array" ref="N1905">SUM(--(_xlfn.TEXTSPLIT($J$1780,, " ") = M1905))</f>
        <v>1</v>
      </c>
      <c r="O1905">
        <v>1</v>
      </c>
      <c r="P1905">
        <v>0</v>
      </c>
      <c r="Q1905">
        <v>1</v>
      </c>
    </row>
    <row r="1906" spans="5:17" x14ac:dyDescent="0.2">
      <c r="E1906" s="9" t="s">
        <v>26</v>
      </c>
      <c r="K1906" t="str">
        <v>I'm</v>
      </c>
      <c r="L1906" s="4" t="str">
        <f t="shared" si="36"/>
        <v>I m</v>
      </c>
      <c r="N1906" s="4" cm="1">
        <f t="array" ref="N1906">SUM(--(_xlfn.TEXTSPLIT($J$1780,, " ") = M1906))</f>
        <v>1</v>
      </c>
      <c r="O1906">
        <v>1</v>
      </c>
      <c r="P1906">
        <v>0</v>
      </c>
      <c r="Q1906">
        <v>1</v>
      </c>
    </row>
    <row r="1907" spans="5:17" x14ac:dyDescent="0.2">
      <c r="E1907" s="9" t="s">
        <v>26</v>
      </c>
      <c r="K1907" t="str">
        <v xml:space="preserve">nothing
</v>
      </c>
      <c r="L1907" s="4" t="str">
        <f t="shared" si="36"/>
        <v xml:space="preserve">nothing </v>
      </c>
      <c r="N1907" s="4" cm="1">
        <f t="array" ref="N1907">SUM(--(_xlfn.TEXTSPLIT($J$1780,, " ") = M1907))</f>
        <v>1</v>
      </c>
      <c r="O1907">
        <v>1</v>
      </c>
      <c r="P1907">
        <v>0</v>
      </c>
      <c r="Q1907">
        <v>1</v>
      </c>
    </row>
    <row r="1908" spans="5:17" x14ac:dyDescent="0.2">
      <c r="E1908" s="9" t="s">
        <v>26</v>
      </c>
      <c r="K1908" t="str">
        <v>Feeling</v>
      </c>
      <c r="L1908" s="4" t="str">
        <f t="shared" si="36"/>
        <v>Feeling</v>
      </c>
      <c r="N1908" s="4" cm="1">
        <f t="array" ref="N1908">SUM(--(_xlfn.TEXTSPLIT($J$1780,, " ") = M1908))</f>
        <v>1</v>
      </c>
      <c r="O1908">
        <v>1</v>
      </c>
      <c r="P1908">
        <v>0</v>
      </c>
      <c r="Q1908">
        <v>1</v>
      </c>
    </row>
    <row r="1909" spans="5:17" x14ac:dyDescent="0.2">
      <c r="E1909" s="9" t="s">
        <v>26</v>
      </c>
      <c r="K1909" t="str">
        <v>like</v>
      </c>
      <c r="L1909" s="4" t="str">
        <f t="shared" ref="L1909:L1972" si="37">_xlfn.REGEXREPLACE(K1909, "[^A-Za-z ]", " ")</f>
        <v>like</v>
      </c>
      <c r="N1909" s="4" cm="1">
        <f t="array" ref="N1909">SUM(--(_xlfn.TEXTSPLIT($J$1780,, " ") = M1909))</f>
        <v>1</v>
      </c>
      <c r="O1909">
        <v>1</v>
      </c>
      <c r="P1909">
        <v>0</v>
      </c>
      <c r="Q1909">
        <v>1</v>
      </c>
    </row>
    <row r="1910" spans="5:17" x14ac:dyDescent="0.2">
      <c r="E1910" s="9" t="s">
        <v>26</v>
      </c>
      <c r="K1910" t="str">
        <v>I'm</v>
      </c>
      <c r="L1910" s="4" t="str">
        <f t="shared" si="37"/>
        <v>I m</v>
      </c>
      <c r="N1910" s="4" cm="1">
        <f t="array" ref="N1910">SUM(--(_xlfn.TEXTSPLIT($J$1780,, " ") = M1910))</f>
        <v>1</v>
      </c>
      <c r="O1910">
        <v>1</v>
      </c>
      <c r="P1910">
        <v>0</v>
      </c>
      <c r="Q1910">
        <v>1</v>
      </c>
    </row>
    <row r="1911" spans="5:17" x14ac:dyDescent="0.2">
      <c r="E1911" s="9" t="s">
        <v>26</v>
      </c>
      <c r="K1911" t="str">
        <v>run</v>
      </c>
      <c r="L1911" s="4" t="str">
        <f t="shared" si="37"/>
        <v>run</v>
      </c>
      <c r="N1911" s="4" cm="1">
        <f t="array" ref="N1911">SUM(--(_xlfn.TEXTSPLIT($J$1780,, " ") = M1911))</f>
        <v>1</v>
      </c>
      <c r="O1911">
        <v>1</v>
      </c>
      <c r="P1911">
        <v>0</v>
      </c>
      <c r="Q1911">
        <v>1</v>
      </c>
    </row>
    <row r="1912" spans="5:17" x14ac:dyDescent="0.2">
      <c r="E1912" s="9" t="s">
        <v>26</v>
      </c>
      <c r="K1912" t="str">
        <v xml:space="preserve">down
</v>
      </c>
      <c r="L1912" s="4" t="str">
        <f t="shared" si="37"/>
        <v xml:space="preserve">down </v>
      </c>
      <c r="N1912" s="4" cm="1">
        <f t="array" ref="N1912">SUM(--(_xlfn.TEXTSPLIT($J$1780,, " ") = M1912))</f>
        <v>1</v>
      </c>
      <c r="O1912">
        <v>1</v>
      </c>
      <c r="P1912">
        <v>0</v>
      </c>
      <c r="Q1912">
        <v>1</v>
      </c>
    </row>
    <row r="1913" spans="5:17" x14ac:dyDescent="0.2">
      <c r="E1913" s="9" t="s">
        <v>26</v>
      </c>
      <c r="K1913" t="str">
        <v>Was</v>
      </c>
      <c r="L1913" s="4" t="str">
        <f t="shared" si="37"/>
        <v>Was</v>
      </c>
      <c r="N1913" s="4" cm="1">
        <f t="array" ref="N1913">SUM(--(_xlfn.TEXTSPLIT($J$1780,, " ") = M1913))</f>
        <v>1</v>
      </c>
      <c r="O1913">
        <v>1</v>
      </c>
      <c r="P1913">
        <v>0</v>
      </c>
      <c r="Q1913">
        <v>1</v>
      </c>
    </row>
    <row r="1914" spans="5:17" x14ac:dyDescent="0.2">
      <c r="E1914" s="9" t="s">
        <v>26</v>
      </c>
      <c r="K1914" t="str">
        <v>afraid</v>
      </c>
      <c r="L1914" s="4" t="str">
        <f t="shared" si="37"/>
        <v>afraid</v>
      </c>
      <c r="N1914" s="4" cm="1">
        <f t="array" ref="N1914">SUM(--(_xlfn.TEXTSPLIT($J$1780,, " ") = M1914))</f>
        <v>1</v>
      </c>
      <c r="O1914">
        <v>1</v>
      </c>
      <c r="P1914">
        <v>0</v>
      </c>
      <c r="Q1914">
        <v>1</v>
      </c>
    </row>
    <row r="1915" spans="5:17" x14ac:dyDescent="0.2">
      <c r="E1915" s="9" t="s">
        <v>26</v>
      </c>
      <c r="K1915" t="str">
        <v>of</v>
      </c>
      <c r="L1915" s="4" t="str">
        <f t="shared" si="37"/>
        <v>of</v>
      </c>
      <c r="N1915" s="4" cm="1">
        <f t="array" ref="N1915">SUM(--(_xlfn.TEXTSPLIT($J$1780,, " ") = M1915))</f>
        <v>1</v>
      </c>
      <c r="O1915">
        <v>1</v>
      </c>
      <c r="P1915">
        <v>0</v>
      </c>
      <c r="Q1915">
        <v>1</v>
      </c>
    </row>
    <row r="1916" spans="5:17" x14ac:dyDescent="0.2">
      <c r="E1916" s="9" t="s">
        <v>26</v>
      </c>
      <c r="K1916" t="str">
        <v xml:space="preserve">nothing
</v>
      </c>
      <c r="L1916" s="4" t="str">
        <f t="shared" si="37"/>
        <v xml:space="preserve">nothing </v>
      </c>
      <c r="N1916" s="4" cm="1">
        <f t="array" ref="N1916">SUM(--(_xlfn.TEXTSPLIT($J$1780,, " ") = M1916))</f>
        <v>1</v>
      </c>
      <c r="O1916">
        <v>1</v>
      </c>
      <c r="P1916">
        <v>0</v>
      </c>
      <c r="Q1916">
        <v>1</v>
      </c>
    </row>
    <row r="1917" spans="5:17" x14ac:dyDescent="0.2">
      <c r="E1917" s="9" t="s">
        <v>26</v>
      </c>
      <c r="K1917" t="str">
        <v>Now</v>
      </c>
      <c r="L1917" s="4" t="str">
        <f t="shared" si="37"/>
        <v>Now</v>
      </c>
      <c r="N1917" s="4" cm="1">
        <f t="array" ref="N1917">SUM(--(_xlfn.TEXTSPLIT($J$1780,, " ") = M1917))</f>
        <v>1</v>
      </c>
      <c r="O1917">
        <v>1</v>
      </c>
      <c r="P1917">
        <v>0</v>
      </c>
      <c r="Q1917">
        <v>1</v>
      </c>
    </row>
    <row r="1918" spans="5:17" x14ac:dyDescent="0.2">
      <c r="E1918" s="9" t="s">
        <v>26</v>
      </c>
      <c r="K1918" t="str">
        <v>I'm</v>
      </c>
      <c r="L1918" s="4" t="str">
        <f t="shared" si="37"/>
        <v>I m</v>
      </c>
      <c r="N1918" s="4" cm="1">
        <f t="array" ref="N1918">SUM(--(_xlfn.TEXTSPLIT($J$1780,, " ") = M1918))</f>
        <v>1</v>
      </c>
      <c r="O1918">
        <v>1</v>
      </c>
      <c r="P1918">
        <v>0</v>
      </c>
      <c r="Q1918">
        <v>1</v>
      </c>
    </row>
    <row r="1919" spans="5:17" x14ac:dyDescent="0.2">
      <c r="E1919" s="9" t="s">
        <v>26</v>
      </c>
      <c r="K1919" t="str">
        <v>just</v>
      </c>
      <c r="L1919" s="4" t="str">
        <f t="shared" si="37"/>
        <v>just</v>
      </c>
      <c r="N1919" s="4" cm="1">
        <f t="array" ref="N1919">SUM(--(_xlfn.TEXTSPLIT($J$1780,, " ") = M1919))</f>
        <v>1</v>
      </c>
      <c r="O1919">
        <v>1</v>
      </c>
      <c r="P1919">
        <v>0</v>
      </c>
      <c r="Q1919">
        <v>1</v>
      </c>
    </row>
    <row r="1920" spans="5:17" x14ac:dyDescent="0.2">
      <c r="E1920" s="9" t="s">
        <v>26</v>
      </c>
      <c r="K1920" t="str">
        <v>ashamed</v>
      </c>
      <c r="L1920" s="4" t="str">
        <f t="shared" si="37"/>
        <v>ashamed</v>
      </c>
      <c r="N1920" s="4" cm="1">
        <f t="array" ref="N1920">SUM(--(_xlfn.TEXTSPLIT($J$1780,, " ") = M1920))</f>
        <v>1</v>
      </c>
      <c r="O1920">
        <v>1</v>
      </c>
      <c r="P1920">
        <v>0</v>
      </c>
      <c r="Q1920">
        <v>1</v>
      </c>
    </row>
    <row r="1921" spans="5:17" x14ac:dyDescent="0.2">
      <c r="E1921" s="9" t="s">
        <v>26</v>
      </c>
      <c r="K1921" t="str">
        <v xml:space="preserve">how
</v>
      </c>
      <c r="L1921" s="4" t="str">
        <f t="shared" si="37"/>
        <v xml:space="preserve">how </v>
      </c>
      <c r="N1921" s="4" cm="1">
        <f t="array" ref="N1921">SUM(--(_xlfn.TEXTSPLIT($J$1780,, " ") = M1921))</f>
        <v>1</v>
      </c>
      <c r="O1921">
        <v>1</v>
      </c>
      <c r="P1921">
        <v>0</v>
      </c>
      <c r="Q1921">
        <v>1</v>
      </c>
    </row>
    <row r="1922" spans="5:17" x14ac:dyDescent="0.2">
      <c r="E1922" s="9" t="s">
        <v>26</v>
      </c>
      <c r="K1922" t="str">
        <v>I</v>
      </c>
      <c r="L1922" s="4" t="str">
        <f t="shared" si="37"/>
        <v>I</v>
      </c>
      <c r="N1922" s="4" cm="1">
        <f t="array" ref="N1922">SUM(--(_xlfn.TEXTSPLIT($J$1780,, " ") = M1922))</f>
        <v>1</v>
      </c>
      <c r="O1922">
        <v>1</v>
      </c>
      <c r="P1922">
        <v>0</v>
      </c>
      <c r="Q1922">
        <v>1</v>
      </c>
    </row>
    <row r="1923" spans="5:17" x14ac:dyDescent="0.2">
      <c r="E1923" s="9" t="s">
        <v>26</v>
      </c>
      <c r="K1923" t="str">
        <v>hide</v>
      </c>
      <c r="L1923" s="4" t="str">
        <f t="shared" si="37"/>
        <v>hide</v>
      </c>
      <c r="N1923" s="4" cm="1">
        <f t="array" ref="N1923">SUM(--(_xlfn.TEXTSPLIT($J$1780,, " ") = M1923))</f>
        <v>1</v>
      </c>
      <c r="O1923">
        <v>1</v>
      </c>
      <c r="P1923">
        <v>0</v>
      </c>
      <c r="Q1923">
        <v>1</v>
      </c>
    </row>
    <row r="1924" spans="5:17" x14ac:dyDescent="0.2">
      <c r="E1924" s="9" t="s">
        <v>26</v>
      </c>
      <c r="K1924" t="str">
        <v>my</v>
      </c>
      <c r="L1924" s="4" t="str">
        <f t="shared" si="37"/>
        <v>my</v>
      </c>
      <c r="N1924" s="4" cm="1">
        <f t="array" ref="N1924">SUM(--(_xlfn.TEXTSPLIT($J$1780,, " ") = M1924))</f>
        <v>1</v>
      </c>
      <c r="O1924">
        <v>1</v>
      </c>
      <c r="P1924">
        <v>0</v>
      </c>
      <c r="Q1924">
        <v>1</v>
      </c>
    </row>
    <row r="1925" spans="5:17" x14ac:dyDescent="0.2">
      <c r="E1925" s="9" t="s">
        <v>26</v>
      </c>
      <c r="K1925" t="str">
        <v>face</v>
      </c>
      <c r="L1925" s="4" t="str">
        <f t="shared" si="37"/>
        <v>face</v>
      </c>
      <c r="N1925" s="4" cm="1">
        <f t="array" ref="N1925">SUM(--(_xlfn.TEXTSPLIT($J$1780,, " ") = M1925))</f>
        <v>1</v>
      </c>
      <c r="O1925">
        <v>1</v>
      </c>
      <c r="P1925">
        <v>0</v>
      </c>
      <c r="Q1925">
        <v>1</v>
      </c>
    </row>
    <row r="1926" spans="5:17" x14ac:dyDescent="0.2">
      <c r="E1926" s="9" t="s">
        <v>26</v>
      </c>
      <c r="K1926" t="str">
        <v>from</v>
      </c>
      <c r="L1926" s="4" t="str">
        <f t="shared" si="37"/>
        <v>from</v>
      </c>
      <c r="N1926" s="4" cm="1">
        <f t="array" ref="N1926">SUM(--(_xlfn.TEXTSPLIT($J$1780,, " ") = M1926))</f>
        <v>1</v>
      </c>
      <c r="O1926">
        <v>1</v>
      </c>
      <c r="P1926">
        <v>0</v>
      </c>
      <c r="Q1926">
        <v>1</v>
      </c>
    </row>
    <row r="1927" spans="5:17" x14ac:dyDescent="0.2">
      <c r="E1927" s="9" t="s">
        <v>26</v>
      </c>
      <c r="K1927" t="str">
        <v xml:space="preserve">you
</v>
      </c>
      <c r="L1927" s="4" t="str">
        <f t="shared" si="37"/>
        <v xml:space="preserve">you  </v>
      </c>
      <c r="N1927" s="4" cm="1">
        <f t="array" ref="N1927">SUM(--(_xlfn.TEXTSPLIT($J$1780,, " ") = M1927))</f>
        <v>1</v>
      </c>
      <c r="O1927">
        <v>1</v>
      </c>
      <c r="P1927">
        <v>0</v>
      </c>
      <c r="Q1927">
        <v>1</v>
      </c>
    </row>
    <row r="1928" spans="5:17" x14ac:dyDescent="0.2">
      <c r="E1928" s="9" t="s">
        <v>26</v>
      </c>
      <c r="K1928" t="str">
        <v>So</v>
      </c>
      <c r="L1928" s="4" t="str">
        <f t="shared" si="37"/>
        <v>So</v>
      </c>
      <c r="N1928" s="4" cm="1">
        <f t="array" ref="N1928">SUM(--(_xlfn.TEXTSPLIT($J$1780,, " ") = M1928))</f>
        <v>1</v>
      </c>
      <c r="O1928">
        <v>1</v>
      </c>
      <c r="P1928">
        <v>0</v>
      </c>
      <c r="Q1928">
        <v>1</v>
      </c>
    </row>
    <row r="1929" spans="5:17" x14ac:dyDescent="0.2">
      <c r="E1929" s="9" t="s">
        <v>26</v>
      </c>
      <c r="K1929" t="str">
        <v>I'm</v>
      </c>
      <c r="L1929" s="4" t="str">
        <f t="shared" si="37"/>
        <v>I m</v>
      </c>
      <c r="N1929" s="4" cm="1">
        <f t="array" ref="N1929">SUM(--(_xlfn.TEXTSPLIT($J$1780,, " ") = M1929))</f>
        <v>1</v>
      </c>
      <c r="O1929">
        <v>1</v>
      </c>
      <c r="P1929">
        <v>0</v>
      </c>
      <c r="Q1929">
        <v>1</v>
      </c>
    </row>
    <row r="1930" spans="5:17" x14ac:dyDescent="0.2">
      <c r="E1930" s="9" t="s">
        <v>26</v>
      </c>
      <c r="K1930" t="str">
        <v>begging</v>
      </c>
      <c r="L1930" s="4" t="str">
        <f t="shared" si="37"/>
        <v>begging</v>
      </c>
      <c r="N1930" s="4" cm="1">
        <f t="array" ref="N1930">SUM(--(_xlfn.TEXTSPLIT($J$1780,, " ") = M1930))</f>
        <v>1</v>
      </c>
      <c r="O1930">
        <v>1</v>
      </c>
      <c r="P1930">
        <v>0</v>
      </c>
      <c r="Q1930">
        <v>1</v>
      </c>
    </row>
    <row r="1931" spans="5:17" x14ac:dyDescent="0.2">
      <c r="E1931" s="9" t="s">
        <v>26</v>
      </c>
      <c r="K1931" t="str">
        <v>oh,</v>
      </c>
      <c r="L1931" s="4" t="str">
        <f t="shared" si="37"/>
        <v xml:space="preserve">oh </v>
      </c>
      <c r="N1931" s="4" cm="1">
        <f t="array" ref="N1931">SUM(--(_xlfn.TEXTSPLIT($J$1780,, " ") = M1931))</f>
        <v>1</v>
      </c>
      <c r="O1931">
        <v>1</v>
      </c>
      <c r="P1931">
        <v>0</v>
      </c>
      <c r="Q1931">
        <v>1</v>
      </c>
    </row>
    <row r="1932" spans="5:17" x14ac:dyDescent="0.2">
      <c r="E1932" s="9" t="s">
        <v>26</v>
      </c>
      <c r="K1932" t="str">
        <v>oh-oh,</v>
      </c>
      <c r="L1932" s="4" t="str">
        <f t="shared" si="37"/>
        <v xml:space="preserve">oh oh </v>
      </c>
      <c r="N1932" s="4" cm="1">
        <f t="array" ref="N1932">SUM(--(_xlfn.TEXTSPLIT($J$1780,, " ") = M1932))</f>
        <v>1</v>
      </c>
      <c r="O1932">
        <v>1</v>
      </c>
      <c r="P1932">
        <v>0</v>
      </c>
      <c r="Q1932">
        <v>1</v>
      </c>
    </row>
    <row r="1933" spans="5:17" x14ac:dyDescent="0.2">
      <c r="E1933" s="9" t="s">
        <v>26</v>
      </c>
      <c r="K1933" t="str">
        <v>oh-oh,</v>
      </c>
      <c r="L1933" s="4" t="str">
        <f t="shared" si="37"/>
        <v xml:space="preserve">oh oh </v>
      </c>
      <c r="N1933" s="4" cm="1">
        <f t="array" ref="N1933">SUM(--(_xlfn.TEXTSPLIT($J$1780,, " ") = M1933))</f>
        <v>1</v>
      </c>
      <c r="O1933">
        <v>1</v>
      </c>
      <c r="P1933">
        <v>0</v>
      </c>
      <c r="Q1933">
        <v>1</v>
      </c>
    </row>
    <row r="1934" spans="5:17" x14ac:dyDescent="0.2">
      <c r="E1934" s="9" t="s">
        <v>26</v>
      </c>
      <c r="K1934" t="str">
        <v xml:space="preserve">mercy
</v>
      </c>
      <c r="L1934" s="4" t="str">
        <f t="shared" si="37"/>
        <v xml:space="preserve">mercy </v>
      </c>
      <c r="N1934" s="4" cm="1">
        <f t="array" ref="N1934">SUM(--(_xlfn.TEXTSPLIT($J$1780,, " ") = M1934))</f>
        <v>1</v>
      </c>
      <c r="O1934">
        <v>1</v>
      </c>
      <c r="P1934">
        <v>0</v>
      </c>
      <c r="Q1934">
        <v>1</v>
      </c>
    </row>
    <row r="1935" spans="5:17" x14ac:dyDescent="0.2">
      <c r="E1935" s="9" t="s">
        <v>26</v>
      </c>
      <c r="K1935" t="str">
        <v>I'm</v>
      </c>
      <c r="L1935" s="4" t="str">
        <f t="shared" si="37"/>
        <v>I m</v>
      </c>
      <c r="N1935" s="4" cm="1">
        <f t="array" ref="N1935">SUM(--(_xlfn.TEXTSPLIT($J$1780,, " ") = M1935))</f>
        <v>1</v>
      </c>
      <c r="O1935">
        <v>1</v>
      </c>
      <c r="P1935">
        <v>0</v>
      </c>
      <c r="Q1935">
        <v>1</v>
      </c>
    </row>
    <row r="1936" spans="5:17" x14ac:dyDescent="0.2">
      <c r="E1936" s="9" t="s">
        <v>26</v>
      </c>
      <c r="K1936" t="str">
        <v>begging</v>
      </c>
      <c r="L1936" s="4" t="str">
        <f t="shared" si="37"/>
        <v>begging</v>
      </c>
      <c r="N1936" s="4" cm="1">
        <f t="array" ref="N1936">SUM(--(_xlfn.TEXTSPLIT($J$1780,, " ") = M1936))</f>
        <v>1</v>
      </c>
      <c r="O1936">
        <v>1</v>
      </c>
      <c r="P1936">
        <v>0</v>
      </c>
      <c r="Q1936">
        <v>1</v>
      </c>
    </row>
    <row r="1937" spans="5:17" x14ac:dyDescent="0.2">
      <c r="E1937" s="9" t="s">
        <v>26</v>
      </c>
      <c r="K1937" t="str">
        <v>oh,</v>
      </c>
      <c r="L1937" s="4" t="str">
        <f t="shared" si="37"/>
        <v xml:space="preserve">oh </v>
      </c>
      <c r="N1937" s="4" cm="1">
        <f t="array" ref="N1937">SUM(--(_xlfn.TEXTSPLIT($J$1780,, " ") = M1937))</f>
        <v>1</v>
      </c>
      <c r="O1937">
        <v>1</v>
      </c>
      <c r="P1937">
        <v>0</v>
      </c>
      <c r="Q1937">
        <v>1</v>
      </c>
    </row>
    <row r="1938" spans="5:17" x14ac:dyDescent="0.2">
      <c r="E1938" s="9" t="s">
        <v>26</v>
      </c>
      <c r="K1938" t="str">
        <v>oh-oh,</v>
      </c>
      <c r="L1938" s="4" t="str">
        <f t="shared" si="37"/>
        <v xml:space="preserve">oh oh </v>
      </c>
      <c r="N1938" s="4" cm="1">
        <f t="array" ref="N1938">SUM(--(_xlfn.TEXTSPLIT($J$1780,, " ") = M1938))</f>
        <v>1</v>
      </c>
      <c r="O1938">
        <v>1</v>
      </c>
      <c r="P1938">
        <v>0</v>
      </c>
      <c r="Q1938">
        <v>1</v>
      </c>
    </row>
    <row r="1939" spans="5:17" x14ac:dyDescent="0.2">
      <c r="E1939" s="9" t="s">
        <v>26</v>
      </c>
      <c r="K1939" t="str">
        <v>oh-oh,</v>
      </c>
      <c r="L1939" s="4" t="str">
        <f t="shared" si="37"/>
        <v xml:space="preserve">oh oh </v>
      </c>
      <c r="N1939" s="4" cm="1">
        <f t="array" ref="N1939">SUM(--(_xlfn.TEXTSPLIT($J$1780,, " ") = M1939))</f>
        <v>1</v>
      </c>
      <c r="O1939">
        <v>1</v>
      </c>
      <c r="P1939">
        <v>0</v>
      </c>
      <c r="Q1939">
        <v>1</v>
      </c>
    </row>
    <row r="1940" spans="5:17" x14ac:dyDescent="0.2">
      <c r="E1940" s="9" t="s">
        <v>26</v>
      </c>
      <c r="K1940" t="str">
        <v xml:space="preserve">mercy
</v>
      </c>
      <c r="L1940" s="4" t="str">
        <f t="shared" si="37"/>
        <v xml:space="preserve">mercy  </v>
      </c>
      <c r="N1940" s="4" cm="1">
        <f t="array" ref="N1940">SUM(--(_xlfn.TEXTSPLIT($J$1780,, " ") = M1940))</f>
        <v>1</v>
      </c>
      <c r="O1940">
        <v>1</v>
      </c>
      <c r="P1940">
        <v>0</v>
      </c>
      <c r="Q1940">
        <v>1</v>
      </c>
    </row>
    <row r="1941" spans="5:17" x14ac:dyDescent="0.2">
      <c r="E1941" s="9" t="s">
        <v>26</v>
      </c>
      <c r="K1941" t="str">
        <v>Downstairs,</v>
      </c>
      <c r="L1941" s="4" t="str">
        <f t="shared" si="37"/>
        <v xml:space="preserve">Downstairs </v>
      </c>
      <c r="N1941" s="4" cm="1">
        <f t="array" ref="N1941">SUM(--(_xlfn.TEXTSPLIT($J$1780,, " ") = M1941))</f>
        <v>1</v>
      </c>
      <c r="O1941">
        <v>1</v>
      </c>
      <c r="P1941">
        <v>0</v>
      </c>
      <c r="Q1941">
        <v>1</v>
      </c>
    </row>
    <row r="1942" spans="5:17" x14ac:dyDescent="0.2">
      <c r="E1942" s="9" t="s">
        <v>26</v>
      </c>
      <c r="K1942" t="str">
        <v>I</v>
      </c>
      <c r="L1942" s="4" t="str">
        <f t="shared" si="37"/>
        <v>I</v>
      </c>
      <c r="N1942" s="4" cm="1">
        <f t="array" ref="N1942">SUM(--(_xlfn.TEXTSPLIT($J$1780,, " ") = M1942))</f>
        <v>1</v>
      </c>
      <c r="O1942">
        <v>1</v>
      </c>
      <c r="P1942">
        <v>0</v>
      </c>
      <c r="Q1942">
        <v>1</v>
      </c>
    </row>
    <row r="1943" spans="5:17" x14ac:dyDescent="0.2">
      <c r="E1943" s="9" t="s">
        <v>26</v>
      </c>
      <c r="K1943" t="str">
        <v>feel</v>
      </c>
      <c r="L1943" s="4" t="str">
        <f t="shared" si="37"/>
        <v>feel</v>
      </c>
      <c r="N1943" s="4" cm="1">
        <f t="array" ref="N1943">SUM(--(_xlfn.TEXTSPLIT($J$1780,, " ") = M1943))</f>
        <v>1</v>
      </c>
      <c r="O1943">
        <v>1</v>
      </c>
      <c r="P1943">
        <v>0</v>
      </c>
      <c r="Q1943">
        <v>1</v>
      </c>
    </row>
    <row r="1944" spans="5:17" x14ac:dyDescent="0.2">
      <c r="E1944" s="9" t="s">
        <v>26</v>
      </c>
      <c r="K1944" t="str">
        <v>better</v>
      </c>
      <c r="L1944" s="4" t="str">
        <f t="shared" si="37"/>
        <v>better</v>
      </c>
      <c r="N1944" s="4" cm="1">
        <f t="array" ref="N1944">SUM(--(_xlfn.TEXTSPLIT($J$1780,, " ") = M1944))</f>
        <v>1</v>
      </c>
      <c r="O1944">
        <v>1</v>
      </c>
      <c r="P1944">
        <v>0</v>
      </c>
      <c r="Q1944">
        <v>1</v>
      </c>
    </row>
    <row r="1945" spans="5:17" x14ac:dyDescent="0.2">
      <c r="E1945" s="9" t="s">
        <v>26</v>
      </c>
      <c r="K1945" t="str">
        <v>in</v>
      </c>
      <c r="L1945" s="4" t="str">
        <f t="shared" si="37"/>
        <v>in</v>
      </c>
      <c r="N1945" s="4" cm="1">
        <f t="array" ref="N1945">SUM(--(_xlfn.TEXTSPLIT($J$1780,, " ") = M1945))</f>
        <v>1</v>
      </c>
      <c r="O1945">
        <v>1</v>
      </c>
      <c r="P1945">
        <v>0</v>
      </c>
      <c r="Q1945">
        <v>1</v>
      </c>
    </row>
    <row r="1946" spans="5:17" x14ac:dyDescent="0.2">
      <c r="E1946" s="9" t="s">
        <v>26</v>
      </c>
      <c r="K1946" t="str">
        <v>the</v>
      </c>
      <c r="L1946" s="4" t="str">
        <f t="shared" si="37"/>
        <v>the</v>
      </c>
      <c r="N1946" s="4" cm="1">
        <f t="array" ref="N1946">SUM(--(_xlfn.TEXTSPLIT($J$1780,, " ") = M1946))</f>
        <v>1</v>
      </c>
      <c r="O1946">
        <v>1</v>
      </c>
      <c r="P1946">
        <v>0</v>
      </c>
      <c r="Q1946">
        <v>1</v>
      </c>
    </row>
    <row r="1947" spans="5:17" x14ac:dyDescent="0.2">
      <c r="E1947" s="9" t="s">
        <v>26</v>
      </c>
      <c r="K1947" t="str">
        <v xml:space="preserve">cellar
</v>
      </c>
      <c r="L1947" s="4" t="str">
        <f t="shared" si="37"/>
        <v xml:space="preserve">cellar </v>
      </c>
      <c r="N1947" s="4" cm="1">
        <f t="array" ref="N1947">SUM(--(_xlfn.TEXTSPLIT($J$1780,, " ") = M1947))</f>
        <v>1</v>
      </c>
      <c r="O1947">
        <v>1</v>
      </c>
      <c r="P1947">
        <v>0</v>
      </c>
      <c r="Q1947">
        <v>1</v>
      </c>
    </row>
    <row r="1948" spans="5:17" x14ac:dyDescent="0.2">
      <c r="E1948" s="9" t="s">
        <v>26</v>
      </c>
      <c r="K1948" t="str">
        <v>Down</v>
      </c>
      <c r="L1948" s="4" t="str">
        <f t="shared" si="37"/>
        <v>Down</v>
      </c>
      <c r="N1948" s="4" cm="1">
        <f t="array" ref="N1948">SUM(--(_xlfn.TEXTSPLIT($J$1780,, " ") = M1948))</f>
        <v>1</v>
      </c>
      <c r="O1948">
        <v>1</v>
      </c>
      <c r="P1948">
        <v>0</v>
      </c>
      <c r="Q1948">
        <v>1</v>
      </c>
    </row>
    <row r="1949" spans="5:17" x14ac:dyDescent="0.2">
      <c r="E1949" s="9" t="s">
        <v>26</v>
      </c>
      <c r="K1949" t="str">
        <v>there,</v>
      </c>
      <c r="L1949" s="4" t="str">
        <f t="shared" si="37"/>
        <v xml:space="preserve">there </v>
      </c>
      <c r="N1949" s="4" cm="1">
        <f t="array" ref="N1949">SUM(--(_xlfn.TEXTSPLIT($J$1780,, " ") = M1949))</f>
        <v>1</v>
      </c>
      <c r="O1949">
        <v>1</v>
      </c>
      <c r="P1949">
        <v>0</v>
      </c>
      <c r="Q1949">
        <v>1</v>
      </c>
    </row>
    <row r="1950" spans="5:17" x14ac:dyDescent="0.2">
      <c r="E1950" s="9" t="s">
        <v>26</v>
      </c>
      <c r="K1950" t="str">
        <v>it's</v>
      </c>
      <c r="L1950" s="4" t="str">
        <f t="shared" si="37"/>
        <v>it s</v>
      </c>
      <c r="N1950" s="4" cm="1">
        <f t="array" ref="N1950">SUM(--(_xlfn.TEXTSPLIT($J$1780,, " ") = M1950))</f>
        <v>1</v>
      </c>
      <c r="O1950">
        <v>1</v>
      </c>
      <c r="P1950">
        <v>0</v>
      </c>
      <c r="Q1950">
        <v>1</v>
      </c>
    </row>
    <row r="1951" spans="5:17" x14ac:dyDescent="0.2">
      <c r="E1951" s="9" t="s">
        <v>26</v>
      </c>
      <c r="K1951" t="str">
        <v>some</v>
      </c>
      <c r="L1951" s="4" t="str">
        <f t="shared" si="37"/>
        <v>some</v>
      </c>
      <c r="N1951" s="4" cm="1">
        <f t="array" ref="N1951">SUM(--(_xlfn.TEXTSPLIT($J$1780,, " ") = M1951))</f>
        <v>1</v>
      </c>
      <c r="O1951">
        <v>1</v>
      </c>
      <c r="P1951">
        <v>0</v>
      </c>
      <c r="Q1951">
        <v>1</v>
      </c>
    </row>
    <row r="1952" spans="5:17" x14ac:dyDescent="0.2">
      <c r="E1952" s="9" t="s">
        <v>26</v>
      </c>
      <c r="K1952" t="str">
        <v>shelter</v>
      </c>
      <c r="L1952" s="4" t="str">
        <f t="shared" si="37"/>
        <v>shelter</v>
      </c>
      <c r="N1952" s="4" cm="1">
        <f t="array" ref="N1952">SUM(--(_xlfn.TEXTSPLIT($J$1780,, " ") = M1952))</f>
        <v>1</v>
      </c>
      <c r="O1952">
        <v>1</v>
      </c>
      <c r="P1952">
        <v>0</v>
      </c>
      <c r="Q1952">
        <v>1</v>
      </c>
    </row>
    <row r="1953" spans="5:17" x14ac:dyDescent="0.2">
      <c r="E1953" s="9" t="s">
        <v>26</v>
      </c>
      <c r="K1953" t="str">
        <v>from</v>
      </c>
      <c r="L1953" s="4" t="str">
        <f t="shared" si="37"/>
        <v>from</v>
      </c>
      <c r="N1953" s="4" cm="1">
        <f t="array" ref="N1953">SUM(--(_xlfn.TEXTSPLIT($J$1780,, " ") = M1953))</f>
        <v>1</v>
      </c>
      <c r="O1953">
        <v>1</v>
      </c>
      <c r="P1953">
        <v>0</v>
      </c>
      <c r="Q1953">
        <v>1</v>
      </c>
    </row>
    <row r="1954" spans="5:17" x14ac:dyDescent="0.2">
      <c r="E1954" s="9" t="s">
        <v>26</v>
      </c>
      <c r="K1954" t="str">
        <v>the</v>
      </c>
      <c r="L1954" s="4" t="str">
        <f t="shared" si="37"/>
        <v>the</v>
      </c>
      <c r="N1954" s="4" cm="1">
        <f t="array" ref="N1954">SUM(--(_xlfn.TEXTSPLIT($J$1780,, " ") = M1954))</f>
        <v>1</v>
      </c>
      <c r="O1954">
        <v>1</v>
      </c>
      <c r="P1954">
        <v>0</v>
      </c>
      <c r="Q1954">
        <v>1</v>
      </c>
    </row>
    <row r="1955" spans="5:17" x14ac:dyDescent="0.2">
      <c r="E1955" s="9" t="s">
        <v>26</v>
      </c>
      <c r="K1955" t="str">
        <v xml:space="preserve">weather
</v>
      </c>
      <c r="L1955" s="4" t="str">
        <f t="shared" si="37"/>
        <v xml:space="preserve">weather </v>
      </c>
      <c r="N1955" s="4" cm="1">
        <f t="array" ref="N1955">SUM(--(_xlfn.TEXTSPLIT($J$1780,, " ") = M1955))</f>
        <v>1</v>
      </c>
      <c r="O1955">
        <v>1</v>
      </c>
      <c r="P1955">
        <v>0</v>
      </c>
      <c r="Q1955">
        <v>1</v>
      </c>
    </row>
    <row r="1956" spans="5:17" x14ac:dyDescent="0.2">
      <c r="E1956" s="9" t="s">
        <v>26</v>
      </c>
      <c r="K1956" t="str">
        <v>I</v>
      </c>
      <c r="L1956" s="4" t="str">
        <f t="shared" si="37"/>
        <v>I</v>
      </c>
      <c r="N1956" s="4" cm="1">
        <f t="array" ref="N1956">SUM(--(_xlfn.TEXTSPLIT($J$1780,, " ") = M1956))</f>
        <v>1</v>
      </c>
      <c r="O1956">
        <v>1</v>
      </c>
      <c r="P1956">
        <v>0</v>
      </c>
      <c r="Q1956">
        <v>1</v>
      </c>
    </row>
    <row r="1957" spans="5:17" x14ac:dyDescent="0.2">
      <c r="E1957" s="9" t="s">
        <v>26</v>
      </c>
      <c r="K1957" t="str">
        <v>wear</v>
      </c>
      <c r="L1957" s="4" t="str">
        <f t="shared" si="37"/>
        <v>wear</v>
      </c>
      <c r="N1957" s="4" cm="1">
        <f t="array" ref="N1957">SUM(--(_xlfn.TEXTSPLIT($J$1780,, " ") = M1957))</f>
        <v>1</v>
      </c>
      <c r="O1957">
        <v>1</v>
      </c>
      <c r="P1957">
        <v>0</v>
      </c>
      <c r="Q1957">
        <v>1</v>
      </c>
    </row>
    <row r="1958" spans="5:17" x14ac:dyDescent="0.2">
      <c r="E1958" s="9" t="s">
        <v>26</v>
      </c>
      <c r="K1958" t="str">
        <v>all</v>
      </c>
      <c r="L1958" s="4" t="str">
        <f t="shared" si="37"/>
        <v>all</v>
      </c>
      <c r="N1958" s="4" cm="1">
        <f t="array" ref="N1958">SUM(--(_xlfn.TEXTSPLIT($J$1780,, " ") = M1958))</f>
        <v>1</v>
      </c>
      <c r="O1958">
        <v>1</v>
      </c>
      <c r="P1958">
        <v>0</v>
      </c>
      <c r="Q1958">
        <v>1</v>
      </c>
    </row>
    <row r="1959" spans="5:17" x14ac:dyDescent="0.2">
      <c r="E1959" s="9" t="s">
        <v>26</v>
      </c>
      <c r="K1959" t="str">
        <v>of</v>
      </c>
      <c r="L1959" s="4" t="str">
        <f t="shared" si="37"/>
        <v>of</v>
      </c>
      <c r="N1959" s="4" cm="1">
        <f t="array" ref="N1959">SUM(--(_xlfn.TEXTSPLIT($J$1780,, " ") = M1959))</f>
        <v>1</v>
      </c>
      <c r="O1959">
        <v>1</v>
      </c>
      <c r="P1959">
        <v>0</v>
      </c>
      <c r="Q1959">
        <v>1</v>
      </c>
    </row>
    <row r="1960" spans="5:17" x14ac:dyDescent="0.2">
      <c r="E1960" s="9" t="s">
        <v>26</v>
      </c>
      <c r="K1960" t="str">
        <v>my</v>
      </c>
      <c r="L1960" s="4" t="str">
        <f t="shared" si="37"/>
        <v>my</v>
      </c>
      <c r="N1960" s="4" cm="1">
        <f t="array" ref="N1960">SUM(--(_xlfn.TEXTSPLIT($J$1780,, " ") = M1960))</f>
        <v>1</v>
      </c>
      <c r="O1960">
        <v>1</v>
      </c>
      <c r="P1960">
        <v>0</v>
      </c>
      <c r="Q1960">
        <v>1</v>
      </c>
    </row>
    <row r="1961" spans="5:17" x14ac:dyDescent="0.2">
      <c r="E1961" s="9" t="s">
        <v>26</v>
      </c>
      <c r="K1961" t="str">
        <v>heart</v>
      </c>
      <c r="L1961" s="4" t="str">
        <f t="shared" si="37"/>
        <v>heart</v>
      </c>
      <c r="N1961" s="4" cm="1">
        <f t="array" ref="N1961">SUM(--(_xlfn.TEXTSPLIT($J$1780,, " ") = M1961))</f>
        <v>1</v>
      </c>
      <c r="O1961">
        <v>1</v>
      </c>
      <c r="P1961">
        <v>0</v>
      </c>
      <c r="Q1961">
        <v>1</v>
      </c>
    </row>
    <row r="1962" spans="5:17" x14ac:dyDescent="0.2">
      <c r="E1962" s="9" t="s">
        <v>26</v>
      </c>
      <c r="K1962" t="str">
        <v>on</v>
      </c>
      <c r="L1962" s="4" t="str">
        <f t="shared" si="37"/>
        <v>on</v>
      </c>
      <c r="N1962" s="4" cm="1">
        <f t="array" ref="N1962">SUM(--(_xlfn.TEXTSPLIT($J$1780,, " ") = M1962))</f>
        <v>1</v>
      </c>
      <c r="O1962">
        <v>1</v>
      </c>
      <c r="P1962">
        <v>0</v>
      </c>
      <c r="Q1962">
        <v>1</v>
      </c>
    </row>
    <row r="1963" spans="5:17" x14ac:dyDescent="0.2">
      <c r="E1963" s="9" t="s">
        <v>26</v>
      </c>
      <c r="K1963" t="str">
        <v>my</v>
      </c>
      <c r="L1963" s="4" t="str">
        <f t="shared" si="37"/>
        <v>my</v>
      </c>
      <c r="N1963" s="4" cm="1">
        <f t="array" ref="N1963">SUM(--(_xlfn.TEXTSPLIT($J$1780,, " ") = M1963))</f>
        <v>1</v>
      </c>
      <c r="O1963">
        <v>1</v>
      </c>
      <c r="P1963">
        <v>0</v>
      </c>
      <c r="Q1963">
        <v>1</v>
      </c>
    </row>
    <row r="1964" spans="5:17" x14ac:dyDescent="0.2">
      <c r="E1964" s="9" t="s">
        <v>26</v>
      </c>
      <c r="K1964" t="str">
        <v xml:space="preserve">sleeve
</v>
      </c>
      <c r="L1964" s="4" t="str">
        <f t="shared" si="37"/>
        <v xml:space="preserve">sleeve </v>
      </c>
      <c r="N1964" s="4" cm="1">
        <f t="array" ref="N1964">SUM(--(_xlfn.TEXTSPLIT($J$1780,, " ") = M1964))</f>
        <v>1</v>
      </c>
      <c r="O1964">
        <v>1</v>
      </c>
      <c r="P1964">
        <v>0</v>
      </c>
      <c r="Q1964">
        <v>1</v>
      </c>
    </row>
    <row r="1965" spans="5:17" x14ac:dyDescent="0.2">
      <c r="E1965" s="9" t="s">
        <v>26</v>
      </c>
      <c r="K1965" t="str">
        <v>I'll</v>
      </c>
      <c r="L1965" s="4" t="str">
        <f t="shared" si="37"/>
        <v>I ll</v>
      </c>
      <c r="N1965" s="4" cm="1">
        <f t="array" ref="N1965">SUM(--(_xlfn.TEXTSPLIT($J$1780,, " ") = M1965))</f>
        <v>1</v>
      </c>
      <c r="O1965">
        <v>1</v>
      </c>
      <c r="P1965">
        <v>0</v>
      </c>
      <c r="Q1965">
        <v>1</v>
      </c>
    </row>
    <row r="1966" spans="5:17" x14ac:dyDescent="0.2">
      <c r="E1966" s="9" t="s">
        <v>26</v>
      </c>
      <c r="K1966" t="str">
        <v>take</v>
      </c>
      <c r="L1966" s="4" t="str">
        <f t="shared" si="37"/>
        <v>take</v>
      </c>
      <c r="N1966" s="4" cm="1">
        <f t="array" ref="N1966">SUM(--(_xlfn.TEXTSPLIT($J$1780,, " ") = M1966))</f>
        <v>1</v>
      </c>
      <c r="O1966">
        <v>1</v>
      </c>
      <c r="P1966">
        <v>0</v>
      </c>
      <c r="Q1966">
        <v>1</v>
      </c>
    </row>
    <row r="1967" spans="5:17" x14ac:dyDescent="0.2">
      <c r="E1967" s="9" t="s">
        <v>26</v>
      </c>
      <c r="K1967" t="str">
        <v>what</v>
      </c>
      <c r="L1967" s="4" t="str">
        <f t="shared" si="37"/>
        <v>what</v>
      </c>
      <c r="N1967" s="4" cm="1">
        <f t="array" ref="N1967">SUM(--(_xlfn.TEXTSPLIT($J$1780,, " ") = M1967))</f>
        <v>1</v>
      </c>
      <c r="O1967">
        <v>1</v>
      </c>
      <c r="P1967">
        <v>0</v>
      </c>
      <c r="Q1967">
        <v>1</v>
      </c>
    </row>
    <row r="1968" spans="5:17" x14ac:dyDescent="0.2">
      <c r="E1968" s="9" t="s">
        <v>26</v>
      </c>
      <c r="K1968" t="str">
        <v>I</v>
      </c>
      <c r="L1968" s="4" t="str">
        <f t="shared" si="37"/>
        <v>I</v>
      </c>
      <c r="N1968" s="4" cm="1">
        <f t="array" ref="N1968">SUM(--(_xlfn.TEXTSPLIT($J$1780,, " ") = M1968))</f>
        <v>1</v>
      </c>
      <c r="O1968">
        <v>1</v>
      </c>
      <c r="P1968">
        <v>0</v>
      </c>
      <c r="Q1968">
        <v>1</v>
      </c>
    </row>
    <row r="1969" spans="5:17" x14ac:dyDescent="0.2">
      <c r="E1969" s="9" t="s">
        <v>26</v>
      </c>
      <c r="K1969" t="str">
        <v>believe,</v>
      </c>
      <c r="L1969" s="4" t="str">
        <f t="shared" si="37"/>
        <v xml:space="preserve">believe </v>
      </c>
      <c r="N1969" s="4" cm="1">
        <f t="array" ref="N1969">SUM(--(_xlfn.TEXTSPLIT($J$1780,, " ") = M1969))</f>
        <v>1</v>
      </c>
      <c r="O1969">
        <v>1</v>
      </c>
      <c r="P1969">
        <v>0</v>
      </c>
      <c r="Q1969">
        <v>1</v>
      </c>
    </row>
    <row r="1970" spans="5:17" x14ac:dyDescent="0.2">
      <c r="E1970" s="9" t="s">
        <v>26</v>
      </c>
      <c r="K1970" t="str">
        <v>and</v>
      </c>
      <c r="L1970" s="4" t="str">
        <f t="shared" si="37"/>
        <v>and</v>
      </c>
      <c r="N1970" s="4" cm="1">
        <f t="array" ref="N1970">SUM(--(_xlfn.TEXTSPLIT($J$1780,, " ") = M1970))</f>
        <v>1</v>
      </c>
      <c r="O1970">
        <v>1</v>
      </c>
      <c r="P1970">
        <v>0</v>
      </c>
      <c r="Q1970">
        <v>1</v>
      </c>
    </row>
    <row r="1971" spans="5:17" x14ac:dyDescent="0.2">
      <c r="E1971" s="9" t="s">
        <v>26</v>
      </c>
      <c r="K1971" t="str">
        <v>I'm</v>
      </c>
      <c r="L1971" s="4" t="str">
        <f t="shared" si="37"/>
        <v>I m</v>
      </c>
      <c r="N1971" s="4" cm="1">
        <f t="array" ref="N1971">SUM(--(_xlfn.TEXTSPLIT($J$1780,, " ") = M1971))</f>
        <v>1</v>
      </c>
      <c r="O1971">
        <v>1</v>
      </c>
      <c r="P1971">
        <v>0</v>
      </c>
      <c r="Q1971">
        <v>1</v>
      </c>
    </row>
    <row r="1972" spans="5:17" x14ac:dyDescent="0.2">
      <c r="E1972" s="9" t="s">
        <v>26</v>
      </c>
      <c r="K1972" t="str">
        <v>hiding</v>
      </c>
      <c r="L1972" s="4" t="str">
        <f t="shared" si="37"/>
        <v>hiding</v>
      </c>
      <c r="N1972" s="4" cm="1">
        <f t="array" ref="N1972">SUM(--(_xlfn.TEXTSPLIT($J$1780,, " ") = M1972))</f>
        <v>1</v>
      </c>
      <c r="O1972">
        <v>1</v>
      </c>
      <c r="P1972">
        <v>0</v>
      </c>
      <c r="Q1972">
        <v>1</v>
      </c>
    </row>
    <row r="1973" spans="5:17" x14ac:dyDescent="0.2">
      <c r="E1973" s="9" t="s">
        <v>26</v>
      </c>
      <c r="K1973" t="str">
        <v xml:space="preserve">it
</v>
      </c>
      <c r="L1973" s="4" t="str">
        <f t="shared" ref="L1973:L2036" si="38">_xlfn.REGEXREPLACE(K1973, "[^A-Za-z ]", " ")</f>
        <v xml:space="preserve">it </v>
      </c>
      <c r="N1973" s="4" cm="1">
        <f t="array" ref="N1973">SUM(--(_xlfn.TEXTSPLIT($J$1780,, " ") = M1973))</f>
        <v>1</v>
      </c>
      <c r="O1973">
        <v>1</v>
      </c>
      <c r="P1973">
        <v>0</v>
      </c>
      <c r="Q1973">
        <v>1</v>
      </c>
    </row>
    <row r="1974" spans="5:17" x14ac:dyDescent="0.2">
      <c r="E1974" s="9" t="s">
        <v>26</v>
      </c>
      <c r="K1974" t="str">
        <v>Downstairs,</v>
      </c>
      <c r="L1974" s="4" t="str">
        <f t="shared" si="38"/>
        <v xml:space="preserve">Downstairs </v>
      </c>
      <c r="N1974" s="4" cm="1">
        <f t="array" ref="N1974">SUM(--(_xlfn.TEXTSPLIT($J$1780,, " ") = M1974))</f>
        <v>1</v>
      </c>
      <c r="O1974">
        <v>1</v>
      </c>
      <c r="P1974">
        <v>0</v>
      </c>
      <c r="Q1974">
        <v>1</v>
      </c>
    </row>
    <row r="1975" spans="5:17" x14ac:dyDescent="0.2">
      <c r="E1975" s="9" t="s">
        <v>26</v>
      </c>
      <c r="K1975" t="str">
        <v>I</v>
      </c>
      <c r="L1975" s="4" t="str">
        <f t="shared" si="38"/>
        <v>I</v>
      </c>
      <c r="N1975" s="4" cm="1">
        <f t="array" ref="N1975">SUM(--(_xlfn.TEXTSPLIT($J$1780,, " ") = M1975))</f>
        <v>1</v>
      </c>
      <c r="O1975">
        <v>1</v>
      </c>
      <c r="P1975">
        <v>0</v>
      </c>
      <c r="Q1975">
        <v>1</v>
      </c>
    </row>
    <row r="1976" spans="5:17" x14ac:dyDescent="0.2">
      <c r="E1976" s="9" t="s">
        <v>26</v>
      </c>
      <c r="K1976" t="str">
        <v>feel</v>
      </c>
      <c r="L1976" s="4" t="str">
        <f t="shared" si="38"/>
        <v>feel</v>
      </c>
      <c r="N1976" s="4" cm="1">
        <f t="array" ref="N1976">SUM(--(_xlfn.TEXTSPLIT($J$1780,, " ") = M1976))</f>
        <v>1</v>
      </c>
      <c r="O1976">
        <v>1</v>
      </c>
      <c r="P1976">
        <v>0</v>
      </c>
      <c r="Q1976">
        <v>1</v>
      </c>
    </row>
    <row r="1977" spans="5:17" x14ac:dyDescent="0.2">
      <c r="E1977" s="9" t="s">
        <v>26</v>
      </c>
      <c r="K1977" t="str">
        <v>better</v>
      </c>
      <c r="L1977" s="4" t="str">
        <f t="shared" si="38"/>
        <v>better</v>
      </c>
      <c r="N1977" s="4" cm="1">
        <f t="array" ref="N1977">SUM(--(_xlfn.TEXTSPLIT($J$1780,, " ") = M1977))</f>
        <v>1</v>
      </c>
      <c r="O1977">
        <v>1</v>
      </c>
      <c r="P1977">
        <v>0</v>
      </c>
      <c r="Q1977">
        <v>1</v>
      </c>
    </row>
    <row r="1978" spans="5:17" x14ac:dyDescent="0.2">
      <c r="E1978" s="9" t="s">
        <v>26</v>
      </c>
      <c r="K1978" t="str">
        <v>in</v>
      </c>
      <c r="L1978" s="4" t="str">
        <f t="shared" si="38"/>
        <v>in</v>
      </c>
      <c r="N1978" s="4" cm="1">
        <f t="array" ref="N1978">SUM(--(_xlfn.TEXTSPLIT($J$1780,, " ") = M1978))</f>
        <v>1</v>
      </c>
      <c r="O1978">
        <v>1</v>
      </c>
      <c r="P1978">
        <v>0</v>
      </c>
      <c r="Q1978">
        <v>1</v>
      </c>
    </row>
    <row r="1979" spans="5:17" x14ac:dyDescent="0.2">
      <c r="E1979" s="9" t="s">
        <v>26</v>
      </c>
      <c r="K1979" t="str">
        <v>the</v>
      </c>
      <c r="L1979" s="4" t="str">
        <f t="shared" si="38"/>
        <v>the</v>
      </c>
      <c r="N1979" s="4" cm="1">
        <f t="array" ref="N1979">SUM(--(_xlfn.TEXTSPLIT($J$1780,, " ") = M1979))</f>
        <v>1</v>
      </c>
      <c r="O1979">
        <v>1</v>
      </c>
      <c r="P1979">
        <v>0</v>
      </c>
      <c r="Q1979">
        <v>1</v>
      </c>
    </row>
    <row r="1980" spans="5:17" x14ac:dyDescent="0.2">
      <c r="E1980" s="9" t="s">
        <v>26</v>
      </c>
      <c r="K1980" t="str">
        <v xml:space="preserve">cellar
</v>
      </c>
      <c r="L1980" s="4" t="str">
        <f t="shared" si="38"/>
        <v xml:space="preserve">cellar </v>
      </c>
      <c r="N1980" s="4" cm="1">
        <f t="array" ref="N1980">SUM(--(_xlfn.TEXTSPLIT($J$1780,, " ") = M1980))</f>
        <v>1</v>
      </c>
      <c r="O1980">
        <v>1</v>
      </c>
      <c r="P1980">
        <v>0</v>
      </c>
      <c r="Q1980">
        <v>1</v>
      </c>
    </row>
    <row r="1981" spans="5:17" x14ac:dyDescent="0.2">
      <c r="E1981" s="9" t="s">
        <v>26</v>
      </c>
      <c r="K1981" t="str">
        <v>Down</v>
      </c>
      <c r="L1981" s="4" t="str">
        <f t="shared" si="38"/>
        <v>Down</v>
      </c>
      <c r="N1981" s="4" cm="1">
        <f t="array" ref="N1981">SUM(--(_xlfn.TEXTSPLIT($J$1780,, " ") = M1981))</f>
        <v>1</v>
      </c>
      <c r="O1981">
        <v>1</v>
      </c>
      <c r="P1981">
        <v>0</v>
      </c>
      <c r="Q1981">
        <v>1</v>
      </c>
    </row>
    <row r="1982" spans="5:17" x14ac:dyDescent="0.2">
      <c r="E1982" s="9" t="s">
        <v>26</v>
      </c>
      <c r="K1982" t="str">
        <v>there,</v>
      </c>
      <c r="L1982" s="4" t="str">
        <f t="shared" si="38"/>
        <v xml:space="preserve">there </v>
      </c>
      <c r="N1982" s="4" cm="1">
        <f t="array" ref="N1982">SUM(--(_xlfn.TEXTSPLIT($J$1780,, " ") = M1982))</f>
        <v>1</v>
      </c>
      <c r="O1982">
        <v>1</v>
      </c>
      <c r="P1982">
        <v>0</v>
      </c>
      <c r="Q1982">
        <v>1</v>
      </c>
    </row>
    <row r="1983" spans="5:17" x14ac:dyDescent="0.2">
      <c r="E1983" s="9" t="s">
        <v>26</v>
      </c>
      <c r="K1983" t="str">
        <v>it's</v>
      </c>
      <c r="L1983" s="4" t="str">
        <f t="shared" si="38"/>
        <v>it s</v>
      </c>
      <c r="N1983" s="4" cm="1">
        <f t="array" ref="N1983">SUM(--(_xlfn.TEXTSPLIT($J$1780,, " ") = M1983))</f>
        <v>1</v>
      </c>
      <c r="O1983">
        <v>1</v>
      </c>
      <c r="P1983">
        <v>0</v>
      </c>
      <c r="Q1983">
        <v>1</v>
      </c>
    </row>
    <row r="1984" spans="5:17" x14ac:dyDescent="0.2">
      <c r="E1984" s="9" t="s">
        <v>26</v>
      </c>
      <c r="K1984" t="str">
        <v>some</v>
      </c>
      <c r="L1984" s="4" t="str">
        <f t="shared" si="38"/>
        <v>some</v>
      </c>
      <c r="N1984" s="4" cm="1">
        <f t="array" ref="N1984">SUM(--(_xlfn.TEXTSPLIT($J$1780,, " ") = M1984))</f>
        <v>1</v>
      </c>
      <c r="O1984">
        <v>1</v>
      </c>
      <c r="P1984">
        <v>0</v>
      </c>
      <c r="Q1984">
        <v>1</v>
      </c>
    </row>
    <row r="1985" spans="5:17" x14ac:dyDescent="0.2">
      <c r="E1985" s="9" t="s">
        <v>26</v>
      </c>
      <c r="K1985" t="str">
        <v>shelter</v>
      </c>
      <c r="L1985" s="4" t="str">
        <f t="shared" si="38"/>
        <v>shelter</v>
      </c>
      <c r="N1985" s="4" cm="1">
        <f t="array" ref="N1985">SUM(--(_xlfn.TEXTSPLIT($J$1780,, " ") = M1985))</f>
        <v>1</v>
      </c>
      <c r="O1985">
        <v>1</v>
      </c>
      <c r="P1985">
        <v>0</v>
      </c>
      <c r="Q1985">
        <v>1</v>
      </c>
    </row>
    <row r="1986" spans="5:17" x14ac:dyDescent="0.2">
      <c r="E1986" s="9" t="s">
        <v>26</v>
      </c>
      <c r="K1986" t="str">
        <v>from</v>
      </c>
      <c r="L1986" s="4" t="str">
        <f t="shared" si="38"/>
        <v>from</v>
      </c>
      <c r="N1986" s="4" cm="1">
        <f t="array" ref="N1986">SUM(--(_xlfn.TEXTSPLIT($J$1780,, " ") = M1986))</f>
        <v>1</v>
      </c>
      <c r="O1986">
        <v>1</v>
      </c>
      <c r="P1986">
        <v>0</v>
      </c>
      <c r="Q1986">
        <v>1</v>
      </c>
    </row>
    <row r="1987" spans="5:17" x14ac:dyDescent="0.2">
      <c r="E1987" s="9" t="s">
        <v>26</v>
      </c>
      <c r="K1987" t="str">
        <v>the</v>
      </c>
      <c r="L1987" s="4" t="str">
        <f t="shared" si="38"/>
        <v>the</v>
      </c>
      <c r="N1987" s="4" cm="1">
        <f t="array" ref="N1987">SUM(--(_xlfn.TEXTSPLIT($J$1780,, " ") = M1987))</f>
        <v>1</v>
      </c>
      <c r="O1987">
        <v>1</v>
      </c>
      <c r="P1987">
        <v>0</v>
      </c>
      <c r="Q1987">
        <v>1</v>
      </c>
    </row>
    <row r="1988" spans="5:17" x14ac:dyDescent="0.2">
      <c r="E1988" s="9" t="s">
        <v>26</v>
      </c>
      <c r="K1988" t="str">
        <v xml:space="preserve">weather
</v>
      </c>
      <c r="L1988" s="4" t="str">
        <f t="shared" si="38"/>
        <v xml:space="preserve">weather </v>
      </c>
      <c r="N1988" s="4" cm="1">
        <f t="array" ref="N1988">SUM(--(_xlfn.TEXTSPLIT($J$1780,, " ") = M1988))</f>
        <v>1</v>
      </c>
      <c r="O1988">
        <v>1</v>
      </c>
      <c r="P1988">
        <v>0</v>
      </c>
      <c r="Q1988">
        <v>1</v>
      </c>
    </row>
    <row r="1989" spans="5:17" x14ac:dyDescent="0.2">
      <c r="E1989" s="9" t="s">
        <v>26</v>
      </c>
      <c r="K1989" t="str">
        <v>I</v>
      </c>
      <c r="L1989" s="4" t="str">
        <f t="shared" si="38"/>
        <v>I</v>
      </c>
      <c r="N1989" s="4" cm="1">
        <f t="array" ref="N1989">SUM(--(_xlfn.TEXTSPLIT($J$1780,, " ") = M1989))</f>
        <v>1</v>
      </c>
      <c r="O1989">
        <v>1</v>
      </c>
      <c r="P1989">
        <v>0</v>
      </c>
      <c r="Q1989">
        <v>1</v>
      </c>
    </row>
    <row r="1990" spans="5:17" x14ac:dyDescent="0.2">
      <c r="E1990" s="9" t="s">
        <v>26</v>
      </c>
      <c r="K1990" t="str">
        <v>wear</v>
      </c>
      <c r="L1990" s="4" t="str">
        <f t="shared" si="38"/>
        <v>wear</v>
      </c>
      <c r="N1990" s="4" cm="1">
        <f t="array" ref="N1990">SUM(--(_xlfn.TEXTSPLIT($J$1780,, " ") = M1990))</f>
        <v>1</v>
      </c>
      <c r="O1990">
        <v>1</v>
      </c>
      <c r="P1990">
        <v>0</v>
      </c>
      <c r="Q1990">
        <v>1</v>
      </c>
    </row>
    <row r="1991" spans="5:17" x14ac:dyDescent="0.2">
      <c r="E1991" s="9" t="s">
        <v>26</v>
      </c>
      <c r="K1991" t="str">
        <v>all</v>
      </c>
      <c r="L1991" s="4" t="str">
        <f t="shared" si="38"/>
        <v>all</v>
      </c>
      <c r="N1991" s="4" cm="1">
        <f t="array" ref="N1991">SUM(--(_xlfn.TEXTSPLIT($J$1780,, " ") = M1991))</f>
        <v>1</v>
      </c>
      <c r="O1991">
        <v>1</v>
      </c>
      <c r="P1991">
        <v>0</v>
      </c>
      <c r="Q1991">
        <v>1</v>
      </c>
    </row>
    <row r="1992" spans="5:17" x14ac:dyDescent="0.2">
      <c r="E1992" s="9" t="s">
        <v>26</v>
      </c>
      <c r="K1992" t="str">
        <v>of</v>
      </c>
      <c r="L1992" s="4" t="str">
        <f t="shared" si="38"/>
        <v>of</v>
      </c>
      <c r="N1992" s="4" cm="1">
        <f t="array" ref="N1992">SUM(--(_xlfn.TEXTSPLIT($J$1780,, " ") = M1992))</f>
        <v>1</v>
      </c>
      <c r="O1992">
        <v>1</v>
      </c>
      <c r="P1992">
        <v>0</v>
      </c>
      <c r="Q1992">
        <v>1</v>
      </c>
    </row>
    <row r="1993" spans="5:17" x14ac:dyDescent="0.2">
      <c r="E1993" s="9" t="s">
        <v>26</v>
      </c>
      <c r="K1993" t="str">
        <v>my</v>
      </c>
      <c r="L1993" s="4" t="str">
        <f t="shared" si="38"/>
        <v>my</v>
      </c>
      <c r="N1993" s="4" cm="1">
        <f t="array" ref="N1993">SUM(--(_xlfn.TEXTSPLIT($J$1780,, " ") = M1993))</f>
        <v>1</v>
      </c>
      <c r="O1993">
        <v>1</v>
      </c>
      <c r="P1993">
        <v>0</v>
      </c>
      <c r="Q1993">
        <v>1</v>
      </c>
    </row>
    <row r="1994" spans="5:17" x14ac:dyDescent="0.2">
      <c r="E1994" s="9" t="s">
        <v>26</v>
      </c>
      <c r="K1994" t="str">
        <v>heart</v>
      </c>
      <c r="L1994" s="4" t="str">
        <f t="shared" si="38"/>
        <v>heart</v>
      </c>
      <c r="N1994" s="4" cm="1">
        <f t="array" ref="N1994">SUM(--(_xlfn.TEXTSPLIT($J$1780,, " ") = M1994))</f>
        <v>1</v>
      </c>
      <c r="O1994">
        <v>1</v>
      </c>
      <c r="P1994">
        <v>0</v>
      </c>
      <c r="Q1994">
        <v>1</v>
      </c>
    </row>
    <row r="1995" spans="5:17" x14ac:dyDescent="0.2">
      <c r="E1995" s="9" t="s">
        <v>26</v>
      </c>
      <c r="K1995" t="str">
        <v>on</v>
      </c>
      <c r="L1995" s="4" t="str">
        <f t="shared" si="38"/>
        <v>on</v>
      </c>
      <c r="N1995" s="4" cm="1">
        <f t="array" ref="N1995">SUM(--(_xlfn.TEXTSPLIT($J$1780,, " ") = M1995))</f>
        <v>1</v>
      </c>
      <c r="O1995">
        <v>1</v>
      </c>
      <c r="P1995">
        <v>0</v>
      </c>
      <c r="Q1995">
        <v>1</v>
      </c>
    </row>
    <row r="1996" spans="5:17" x14ac:dyDescent="0.2">
      <c r="E1996" s="9" t="s">
        <v>26</v>
      </c>
      <c r="K1996" t="str">
        <v>my</v>
      </c>
      <c r="L1996" s="4" t="str">
        <f t="shared" si="38"/>
        <v>my</v>
      </c>
      <c r="N1996" s="4" cm="1">
        <f t="array" ref="N1996">SUM(--(_xlfn.TEXTSPLIT($J$1780,, " ") = M1996))</f>
        <v>1</v>
      </c>
      <c r="O1996">
        <v>1</v>
      </c>
      <c r="P1996">
        <v>0</v>
      </c>
      <c r="Q1996">
        <v>1</v>
      </c>
    </row>
    <row r="1997" spans="5:17" x14ac:dyDescent="0.2">
      <c r="E1997" s="9" t="s">
        <v>26</v>
      </c>
      <c r="K1997" t="str">
        <v xml:space="preserve">sleeve
</v>
      </c>
      <c r="L1997" s="4" t="str">
        <f t="shared" si="38"/>
        <v xml:space="preserve">sleeve </v>
      </c>
      <c r="N1997" s="4" cm="1">
        <f t="array" ref="N1997">SUM(--(_xlfn.TEXTSPLIT($J$1780,, " ") = M1997))</f>
        <v>1</v>
      </c>
      <c r="O1997">
        <v>1</v>
      </c>
      <c r="P1997">
        <v>0</v>
      </c>
      <c r="Q1997">
        <v>1</v>
      </c>
    </row>
    <row r="1998" spans="5:17" x14ac:dyDescent="0.2">
      <c r="E1998" s="9" t="s">
        <v>26</v>
      </c>
      <c r="K1998" t="str">
        <v>I'll</v>
      </c>
      <c r="L1998" s="4" t="str">
        <f t="shared" si="38"/>
        <v>I ll</v>
      </c>
      <c r="N1998" s="4" cm="1">
        <f t="array" ref="N1998">SUM(--(_xlfn.TEXTSPLIT($J$1780,, " ") = M1998))</f>
        <v>1</v>
      </c>
      <c r="O1998">
        <v>1</v>
      </c>
      <c r="P1998">
        <v>0</v>
      </c>
      <c r="Q1998">
        <v>1</v>
      </c>
    </row>
    <row r="1999" spans="5:17" x14ac:dyDescent="0.2">
      <c r="E1999" s="9" t="s">
        <v>26</v>
      </c>
      <c r="K1999" t="str">
        <v>take</v>
      </c>
      <c r="L1999" s="4" t="str">
        <f t="shared" si="38"/>
        <v>take</v>
      </c>
      <c r="N1999" s="4" cm="1">
        <f t="array" ref="N1999">SUM(--(_xlfn.TEXTSPLIT($J$1780,, " ") = M1999))</f>
        <v>1</v>
      </c>
      <c r="O1999">
        <v>1</v>
      </c>
      <c r="P1999">
        <v>0</v>
      </c>
      <c r="Q1999">
        <v>1</v>
      </c>
    </row>
    <row r="2000" spans="5:17" x14ac:dyDescent="0.2">
      <c r="E2000" s="9" t="s">
        <v>26</v>
      </c>
      <c r="K2000" t="str">
        <v>what</v>
      </c>
      <c r="L2000" s="4" t="str">
        <f t="shared" si="38"/>
        <v>what</v>
      </c>
      <c r="N2000" s="4" cm="1">
        <f t="array" ref="N2000">SUM(--(_xlfn.TEXTSPLIT($J$1780,, " ") = M2000))</f>
        <v>1</v>
      </c>
      <c r="O2000">
        <v>1</v>
      </c>
      <c r="P2000">
        <v>0</v>
      </c>
      <c r="Q2000">
        <v>1</v>
      </c>
    </row>
    <row r="2001" spans="5:17" x14ac:dyDescent="0.2">
      <c r="E2001" s="9" t="s">
        <v>26</v>
      </c>
      <c r="K2001" t="str">
        <v>I</v>
      </c>
      <c r="L2001" s="4" t="str">
        <f t="shared" si="38"/>
        <v>I</v>
      </c>
      <c r="N2001" s="4" cm="1">
        <f t="array" ref="N2001">SUM(--(_xlfn.TEXTSPLIT($J$1780,, " ") = M2001))</f>
        <v>1</v>
      </c>
      <c r="O2001">
        <v>1</v>
      </c>
      <c r="P2001">
        <v>0</v>
      </c>
      <c r="Q2001">
        <v>1</v>
      </c>
    </row>
    <row r="2002" spans="5:17" x14ac:dyDescent="0.2">
      <c r="E2002" s="9" t="s">
        <v>26</v>
      </c>
      <c r="K2002" t="str">
        <v>believe,</v>
      </c>
      <c r="L2002" s="4" t="str">
        <f t="shared" si="38"/>
        <v xml:space="preserve">believe </v>
      </c>
      <c r="N2002" s="4" cm="1">
        <f t="array" ref="N2002">SUM(--(_xlfn.TEXTSPLIT($J$1780,, " ") = M2002))</f>
        <v>1</v>
      </c>
      <c r="O2002">
        <v>1</v>
      </c>
      <c r="P2002">
        <v>0</v>
      </c>
      <c r="Q2002">
        <v>1</v>
      </c>
    </row>
    <row r="2003" spans="5:17" x14ac:dyDescent="0.2">
      <c r="E2003" s="9" t="s">
        <v>26</v>
      </c>
      <c r="K2003" t="str">
        <v>and</v>
      </c>
      <c r="L2003" s="4" t="str">
        <f t="shared" si="38"/>
        <v>and</v>
      </c>
      <c r="N2003" s="4" cm="1">
        <f t="array" ref="N2003">SUM(--(_xlfn.TEXTSPLIT($J$1780,, " ") = M2003))</f>
        <v>1</v>
      </c>
      <c r="O2003">
        <v>1</v>
      </c>
      <c r="P2003">
        <v>0</v>
      </c>
      <c r="Q2003">
        <v>1</v>
      </c>
    </row>
    <row r="2004" spans="5:17" x14ac:dyDescent="0.2">
      <c r="E2004" s="9" t="s">
        <v>26</v>
      </c>
      <c r="K2004" t="str">
        <v>I'm</v>
      </c>
      <c r="L2004" s="4" t="str">
        <f t="shared" si="38"/>
        <v>I m</v>
      </c>
      <c r="N2004" s="4" cm="1">
        <f t="array" ref="N2004">SUM(--(_xlfn.TEXTSPLIT($J$1780,, " ") = M2004))</f>
        <v>1</v>
      </c>
      <c r="O2004">
        <v>1</v>
      </c>
      <c r="P2004">
        <v>0</v>
      </c>
      <c r="Q2004">
        <v>1</v>
      </c>
    </row>
    <row r="2005" spans="5:17" x14ac:dyDescent="0.2">
      <c r="E2005" s="9" t="s">
        <v>26</v>
      </c>
      <c r="K2005" t="str">
        <v>hiding</v>
      </c>
      <c r="L2005" s="4" t="str">
        <f t="shared" si="38"/>
        <v>hiding</v>
      </c>
      <c r="N2005" s="4" cm="1">
        <f t="array" ref="N2005">SUM(--(_xlfn.TEXTSPLIT($J$1780,, " ") = M2005))</f>
        <v>1</v>
      </c>
      <c r="O2005">
        <v>1</v>
      </c>
      <c r="P2005">
        <v>0</v>
      </c>
      <c r="Q2005">
        <v>1</v>
      </c>
    </row>
    <row r="2006" spans="5:17" x14ac:dyDescent="0.2">
      <c r="E2006" s="9" t="s">
        <v>26</v>
      </c>
      <c r="K2006" t="str">
        <v xml:space="preserve">it
</v>
      </c>
      <c r="L2006" s="4" t="str">
        <f t="shared" si="38"/>
        <v xml:space="preserve">it  </v>
      </c>
      <c r="N2006" s="4" cm="1">
        <f t="array" ref="N2006">SUM(--(_xlfn.TEXTSPLIT($J$1780,, " ") = M2006))</f>
        <v>1</v>
      </c>
      <c r="O2006">
        <v>1</v>
      </c>
      <c r="P2006">
        <v>0</v>
      </c>
      <c r="Q2006">
        <v>1</v>
      </c>
    </row>
    <row r="2007" spans="5:17" x14ac:dyDescent="0.2">
      <c r="E2007" s="9" t="s">
        <v>26</v>
      </c>
      <c r="K2007" t="str">
        <v>Oh,</v>
      </c>
      <c r="L2007" s="4" t="str">
        <f t="shared" si="38"/>
        <v xml:space="preserve">Oh </v>
      </c>
      <c r="N2007" s="4" cm="1">
        <f t="array" ref="N2007">SUM(--(_xlfn.TEXTSPLIT($J$1780,, " ") = M2007))</f>
        <v>1</v>
      </c>
      <c r="O2007">
        <v>1</v>
      </c>
      <c r="P2007">
        <v>0</v>
      </c>
      <c r="Q2007">
        <v>1</v>
      </c>
    </row>
    <row r="2008" spans="5:17" x14ac:dyDescent="0.2">
      <c r="E2008" s="9" t="s">
        <v>26</v>
      </c>
      <c r="K2008" t="str">
        <v>what</v>
      </c>
      <c r="L2008" s="4" t="str">
        <f t="shared" si="38"/>
        <v>what</v>
      </c>
      <c r="N2008" s="4" cm="1">
        <f t="array" ref="N2008">SUM(--(_xlfn.TEXTSPLIT($J$1780,, " ") = M2008))</f>
        <v>1</v>
      </c>
      <c r="O2008">
        <v>1</v>
      </c>
      <c r="P2008">
        <v>0</v>
      </c>
      <c r="Q2008">
        <v>1</v>
      </c>
    </row>
    <row r="2009" spans="5:17" x14ac:dyDescent="0.2">
      <c r="E2009" s="9" t="s">
        <v>26</v>
      </c>
      <c r="K2009" t="str">
        <v>have</v>
      </c>
      <c r="L2009" s="4" t="str">
        <f t="shared" si="38"/>
        <v>have</v>
      </c>
      <c r="N2009" s="4" cm="1">
        <f t="array" ref="N2009">SUM(--(_xlfn.TEXTSPLIT($J$1780,, " ") = M2009))</f>
        <v>1</v>
      </c>
      <c r="O2009">
        <v>1</v>
      </c>
      <c r="P2009">
        <v>0</v>
      </c>
      <c r="Q2009">
        <v>1</v>
      </c>
    </row>
    <row r="2010" spans="5:17" x14ac:dyDescent="0.2">
      <c r="E2010" s="9" t="s">
        <v>26</v>
      </c>
      <c r="K2010" t="str">
        <v>I</v>
      </c>
      <c r="L2010" s="4" t="str">
        <f t="shared" si="38"/>
        <v>I</v>
      </c>
      <c r="N2010" s="4" cm="1">
        <f t="array" ref="N2010">SUM(--(_xlfn.TEXTSPLIT($J$1780,, " ") = M2010))</f>
        <v>1</v>
      </c>
      <c r="O2010">
        <v>1</v>
      </c>
      <c r="P2010">
        <v>0</v>
      </c>
      <c r="Q2010">
        <v>1</v>
      </c>
    </row>
    <row r="2011" spans="5:17" x14ac:dyDescent="0.2">
      <c r="E2011" s="9" t="s">
        <v>26</v>
      </c>
      <c r="K2011" t="str">
        <v xml:space="preserve">become?
</v>
      </c>
      <c r="L2011" s="4" t="str">
        <f t="shared" si="38"/>
        <v xml:space="preserve">become  </v>
      </c>
      <c r="N2011" s="4" cm="1">
        <f t="array" ref="N2011">SUM(--(_xlfn.TEXTSPLIT($J$1780,, " ") = M2011))</f>
        <v>1</v>
      </c>
      <c r="O2011">
        <v>1</v>
      </c>
      <c r="P2011">
        <v>0</v>
      </c>
      <c r="Q2011">
        <v>1</v>
      </c>
    </row>
    <row r="2012" spans="5:17" x14ac:dyDescent="0.2">
      <c r="E2012" s="9" t="s">
        <v>26</v>
      </c>
      <c r="K2012" t="str">
        <v>Dirty</v>
      </c>
      <c r="L2012" s="4" t="str">
        <f t="shared" si="38"/>
        <v>Dirty</v>
      </c>
      <c r="N2012" s="4" cm="1">
        <f t="array" ref="N2012">SUM(--(_xlfn.TEXTSPLIT($J$1780,, " ") = M2012))</f>
        <v>1</v>
      </c>
      <c r="O2012">
        <v>1</v>
      </c>
      <c r="P2012">
        <v>0</v>
      </c>
      <c r="Q2012">
        <v>1</v>
      </c>
    </row>
    <row r="2013" spans="5:17" x14ac:dyDescent="0.2">
      <c r="E2013" s="9" t="s">
        <v>26</v>
      </c>
      <c r="K2013" t="str">
        <v>and</v>
      </c>
      <c r="L2013" s="4" t="str">
        <f t="shared" si="38"/>
        <v>and</v>
      </c>
      <c r="N2013" s="4" cm="1">
        <f t="array" ref="N2013">SUM(--(_xlfn.TEXTSPLIT($J$1780,, " ") = M2013))</f>
        <v>1</v>
      </c>
      <c r="O2013">
        <v>1</v>
      </c>
      <c r="P2013">
        <v>0</v>
      </c>
      <c r="Q2013">
        <v>1</v>
      </c>
    </row>
    <row r="2014" spans="5:17" x14ac:dyDescent="0.2">
      <c r="E2014" s="9" t="s">
        <v>26</v>
      </c>
      <c r="K2014" t="str">
        <v>wretched</v>
      </c>
      <c r="L2014" s="4" t="str">
        <f t="shared" si="38"/>
        <v>wretched</v>
      </c>
      <c r="N2014" s="4" cm="1">
        <f t="array" ref="N2014">SUM(--(_xlfn.TEXTSPLIT($J$1780,, " ") = M2014))</f>
        <v>1</v>
      </c>
      <c r="O2014">
        <v>1</v>
      </c>
      <c r="P2014">
        <v>0</v>
      </c>
      <c r="Q2014">
        <v>1</v>
      </c>
    </row>
    <row r="2015" spans="5:17" x14ac:dyDescent="0.2">
      <c r="E2015" s="9" t="s">
        <v>26</v>
      </c>
      <c r="K2015" t="str">
        <v xml:space="preserve">one
</v>
      </c>
      <c r="L2015" s="4" t="str">
        <f t="shared" si="38"/>
        <v xml:space="preserve">one </v>
      </c>
      <c r="N2015" s="4" cm="1">
        <f t="array" ref="N2015">SUM(--(_xlfn.TEXTSPLIT($J$1780,, " ") = M2015))</f>
        <v>1</v>
      </c>
      <c r="O2015">
        <v>1</v>
      </c>
      <c r="P2015">
        <v>0</v>
      </c>
      <c r="Q2015">
        <v>1</v>
      </c>
    </row>
    <row r="2016" spans="5:17" x14ac:dyDescent="0.2">
      <c r="E2016" s="9" t="s">
        <v>26</v>
      </c>
      <c r="K2016" t="str">
        <v>Am</v>
      </c>
      <c r="L2016" s="4" t="str">
        <f t="shared" si="38"/>
        <v>Am</v>
      </c>
      <c r="N2016" s="4" cm="1">
        <f t="array" ref="N2016">SUM(--(_xlfn.TEXTSPLIT($J$1780,, " ") = M2016))</f>
        <v>1</v>
      </c>
      <c r="O2016">
        <v>1</v>
      </c>
      <c r="P2016">
        <v>0</v>
      </c>
      <c r="Q2016">
        <v>1</v>
      </c>
    </row>
    <row r="2017" spans="5:17" x14ac:dyDescent="0.2">
      <c r="E2017" s="9" t="s">
        <v>26</v>
      </c>
      <c r="K2017" t="str">
        <v>I</v>
      </c>
      <c r="L2017" s="4" t="str">
        <f t="shared" si="38"/>
        <v>I</v>
      </c>
      <c r="N2017" s="4" cm="1">
        <f t="array" ref="N2017">SUM(--(_xlfn.TEXTSPLIT($J$1780,, " ") = M2017))</f>
        <v>1</v>
      </c>
      <c r="O2017">
        <v>1</v>
      </c>
      <c r="P2017">
        <v>0</v>
      </c>
      <c r="Q2017">
        <v>1</v>
      </c>
    </row>
    <row r="2018" spans="5:17" x14ac:dyDescent="0.2">
      <c r="E2018" s="9" t="s">
        <v>26</v>
      </c>
      <c r="K2018" t="str">
        <v>unholy</v>
      </c>
      <c r="L2018" s="4" t="str">
        <f t="shared" si="38"/>
        <v>unholy</v>
      </c>
      <c r="N2018" s="4" cm="1">
        <f t="array" ref="N2018">SUM(--(_xlfn.TEXTSPLIT($J$1780,, " ") = M2018))</f>
        <v>1</v>
      </c>
      <c r="O2018">
        <v>1</v>
      </c>
      <c r="P2018">
        <v>0</v>
      </c>
      <c r="Q2018">
        <v>1</v>
      </c>
    </row>
    <row r="2019" spans="5:17" x14ac:dyDescent="0.2">
      <c r="E2019" s="9" t="s">
        <v>26</v>
      </c>
      <c r="K2019" t="str">
        <v xml:space="preserve">man?
</v>
      </c>
      <c r="L2019" s="4" t="str">
        <f t="shared" si="38"/>
        <v xml:space="preserve">man  </v>
      </c>
      <c r="N2019" s="4" cm="1">
        <f t="array" ref="N2019">SUM(--(_xlfn.TEXTSPLIT($J$1780,, " ") = M2019))</f>
        <v>1</v>
      </c>
      <c r="O2019">
        <v>1</v>
      </c>
      <c r="P2019">
        <v>0</v>
      </c>
      <c r="Q2019">
        <v>1</v>
      </c>
    </row>
    <row r="2020" spans="5:17" x14ac:dyDescent="0.2">
      <c r="E2020" s="9" t="s">
        <v>26</v>
      </c>
      <c r="K2020" t="str">
        <v>Have</v>
      </c>
      <c r="L2020" s="4" t="str">
        <f t="shared" si="38"/>
        <v>Have</v>
      </c>
      <c r="N2020" s="4" cm="1">
        <f t="array" ref="N2020">SUM(--(_xlfn.TEXTSPLIT($J$1780,, " ") = M2020))</f>
        <v>1</v>
      </c>
      <c r="O2020">
        <v>1</v>
      </c>
      <c r="P2020">
        <v>0</v>
      </c>
      <c r="Q2020">
        <v>1</v>
      </c>
    </row>
    <row r="2021" spans="5:17" x14ac:dyDescent="0.2">
      <c r="E2021" s="9" t="s">
        <v>26</v>
      </c>
      <c r="K2021" t="str">
        <v>I</v>
      </c>
      <c r="L2021" s="4" t="str">
        <f t="shared" si="38"/>
        <v>I</v>
      </c>
      <c r="N2021" s="4" cm="1">
        <f t="array" ref="N2021">SUM(--(_xlfn.TEXTSPLIT($J$1780,, " ") = M2021))</f>
        <v>1</v>
      </c>
      <c r="O2021">
        <v>1</v>
      </c>
      <c r="P2021">
        <v>0</v>
      </c>
      <c r="Q2021">
        <v>1</v>
      </c>
    </row>
    <row r="2022" spans="5:17" x14ac:dyDescent="0.2">
      <c r="E2022" s="9" t="s">
        <v>26</v>
      </c>
      <c r="K2022" t="str">
        <v>forced</v>
      </c>
      <c r="L2022" s="4" t="str">
        <f t="shared" si="38"/>
        <v>forced</v>
      </c>
      <c r="N2022" s="4" cm="1">
        <f t="array" ref="N2022">SUM(--(_xlfn.TEXTSPLIT($J$1780,, " ") = M2022))</f>
        <v>1</v>
      </c>
      <c r="O2022">
        <v>1</v>
      </c>
      <c r="P2022">
        <v>0</v>
      </c>
      <c r="Q2022">
        <v>1</v>
      </c>
    </row>
    <row r="2023" spans="5:17" x14ac:dyDescent="0.2">
      <c r="E2023" s="9" t="s">
        <v>26</v>
      </c>
      <c r="K2023" t="str">
        <v>your</v>
      </c>
      <c r="L2023" s="4" t="str">
        <f t="shared" si="38"/>
        <v>your</v>
      </c>
      <c r="N2023" s="4" cm="1">
        <f t="array" ref="N2023">SUM(--(_xlfn.TEXTSPLIT($J$1780,, " ") = M2023))</f>
        <v>1</v>
      </c>
      <c r="O2023">
        <v>1</v>
      </c>
      <c r="P2023">
        <v>0</v>
      </c>
      <c r="Q2023">
        <v>1</v>
      </c>
    </row>
    <row r="2024" spans="5:17" x14ac:dyDescent="0.2">
      <c r="E2024" s="9" t="s">
        <v>26</v>
      </c>
      <c r="K2024" t="str">
        <v xml:space="preserve">hand?
</v>
      </c>
      <c r="L2024" s="4" t="str">
        <f t="shared" si="38"/>
        <v xml:space="preserve">hand   </v>
      </c>
      <c r="N2024" s="4" cm="1">
        <f t="array" ref="N2024">SUM(--(_xlfn.TEXTSPLIT($J$1780,, " ") = M2024))</f>
        <v>1</v>
      </c>
      <c r="O2024">
        <v>1</v>
      </c>
      <c r="P2024">
        <v>0</v>
      </c>
      <c r="Q2024">
        <v>1</v>
      </c>
    </row>
    <row r="2025" spans="5:17" x14ac:dyDescent="0.2">
      <c r="E2025" s="9" t="s">
        <v>26</v>
      </c>
      <c r="K2025" t="str">
        <v>Oh,</v>
      </c>
      <c r="L2025" s="4" t="str">
        <f t="shared" si="38"/>
        <v xml:space="preserve">Oh </v>
      </c>
      <c r="N2025" s="4" cm="1">
        <f t="array" ref="N2025">SUM(--(_xlfn.TEXTSPLIT($J$1780,, " ") = M2025))</f>
        <v>1</v>
      </c>
      <c r="O2025">
        <v>1</v>
      </c>
      <c r="P2025">
        <v>0</v>
      </c>
      <c r="Q2025">
        <v>1</v>
      </c>
    </row>
    <row r="2026" spans="5:17" x14ac:dyDescent="0.2">
      <c r="E2026" s="9" t="s">
        <v>26</v>
      </c>
      <c r="K2026" t="str">
        <v>woah-oh,</v>
      </c>
      <c r="L2026" s="4" t="str">
        <f t="shared" si="38"/>
        <v xml:space="preserve">woah oh </v>
      </c>
      <c r="N2026" s="4" cm="1">
        <f t="array" ref="N2026">SUM(--(_xlfn.TEXTSPLIT($J$1780,, " ") = M2026))</f>
        <v>1</v>
      </c>
      <c r="O2026">
        <v>1</v>
      </c>
      <c r="P2026">
        <v>0</v>
      </c>
      <c r="Q2026">
        <v>1</v>
      </c>
    </row>
    <row r="2027" spans="5:17" x14ac:dyDescent="0.2">
      <c r="E2027" s="9" t="s">
        <v>26</v>
      </c>
      <c r="K2027" t="str">
        <v>woah-oh,</v>
      </c>
      <c r="L2027" s="4" t="str">
        <f t="shared" si="38"/>
        <v xml:space="preserve">woah oh </v>
      </c>
      <c r="N2027" s="4" cm="1">
        <f t="array" ref="N2027">SUM(--(_xlfn.TEXTSPLIT($J$1780,, " ") = M2027))</f>
        <v>1</v>
      </c>
      <c r="O2027">
        <v>1</v>
      </c>
      <c r="P2027">
        <v>0</v>
      </c>
      <c r="Q2027">
        <v>1</v>
      </c>
    </row>
    <row r="2028" spans="5:17" x14ac:dyDescent="0.2">
      <c r="E2028" s="9" t="s">
        <v>26</v>
      </c>
      <c r="K2028" t="str">
        <v>mercy,</v>
      </c>
      <c r="L2028" s="4" t="str">
        <f t="shared" si="38"/>
        <v xml:space="preserve">mercy </v>
      </c>
      <c r="N2028" s="4" cm="1">
        <f t="array" ref="N2028">SUM(--(_xlfn.TEXTSPLIT($J$1780,, " ") = M2028))</f>
        <v>1</v>
      </c>
      <c r="O2028">
        <v>1</v>
      </c>
      <c r="P2028">
        <v>0</v>
      </c>
      <c r="Q2028">
        <v>1</v>
      </c>
    </row>
    <row r="2029" spans="5:17" x14ac:dyDescent="0.2">
      <c r="E2029" s="9" t="s">
        <v>26</v>
      </c>
      <c r="K2029" t="str">
        <v xml:space="preserve">yeah
</v>
      </c>
      <c r="L2029" s="4" t="str">
        <f t="shared" si="38"/>
        <v xml:space="preserve">yeah </v>
      </c>
      <c r="N2029" s="4" cm="1">
        <f t="array" ref="N2029">SUM(--(_xlfn.TEXTSPLIT($J$1780,, " ") = M2029))</f>
        <v>1</v>
      </c>
      <c r="O2029">
        <v>1</v>
      </c>
      <c r="P2029">
        <v>0</v>
      </c>
      <c r="Q2029">
        <v>1</v>
      </c>
    </row>
    <row r="2030" spans="5:17" x14ac:dyDescent="0.2">
      <c r="E2030" s="9" t="s">
        <v>26</v>
      </c>
      <c r="K2030" t="str">
        <v>Oh,</v>
      </c>
      <c r="L2030" s="4" t="str">
        <f t="shared" si="38"/>
        <v xml:space="preserve">Oh </v>
      </c>
      <c r="N2030" s="4" cm="1">
        <f t="array" ref="N2030">SUM(--(_xlfn.TEXTSPLIT($J$1780,, " ") = M2030))</f>
        <v>1</v>
      </c>
      <c r="O2030">
        <v>1</v>
      </c>
      <c r="P2030">
        <v>0</v>
      </c>
      <c r="Q2030">
        <v>1</v>
      </c>
    </row>
    <row r="2031" spans="5:17" x14ac:dyDescent="0.2">
      <c r="E2031" s="9" t="s">
        <v>26</v>
      </c>
      <c r="K2031" t="str">
        <v>woah-oh,</v>
      </c>
      <c r="L2031" s="4" t="str">
        <f t="shared" si="38"/>
        <v xml:space="preserve">woah oh </v>
      </c>
      <c r="N2031" s="4" cm="1">
        <f t="array" ref="N2031">SUM(--(_xlfn.TEXTSPLIT($J$1780,, " ") = M2031))</f>
        <v>1</v>
      </c>
      <c r="O2031">
        <v>1</v>
      </c>
      <c r="P2031">
        <v>0</v>
      </c>
      <c r="Q2031">
        <v>1</v>
      </c>
    </row>
    <row r="2032" spans="5:17" x14ac:dyDescent="0.2">
      <c r="E2032" s="9" t="s">
        <v>26</v>
      </c>
      <c r="K2032" t="str">
        <v>woah-oh,</v>
      </c>
      <c r="L2032" s="4" t="str">
        <f t="shared" si="38"/>
        <v xml:space="preserve">woah oh </v>
      </c>
      <c r="N2032" s="4" cm="1">
        <f t="array" ref="N2032">SUM(--(_xlfn.TEXTSPLIT($J$1780,, " ") = M2032))</f>
        <v>1</v>
      </c>
      <c r="O2032">
        <v>1</v>
      </c>
      <c r="P2032">
        <v>0</v>
      </c>
      <c r="Q2032">
        <v>1</v>
      </c>
    </row>
    <row r="2033" spans="5:17" x14ac:dyDescent="0.2">
      <c r="E2033" s="9" t="s">
        <v>26</v>
      </c>
      <c r="K2033" t="str">
        <v>mercy,</v>
      </c>
      <c r="L2033" s="4" t="str">
        <f t="shared" si="38"/>
        <v xml:space="preserve">mercy </v>
      </c>
      <c r="N2033" s="4" cm="1">
        <f t="array" ref="N2033">SUM(--(_xlfn.TEXTSPLIT($J$1780,, " ") = M2033))</f>
        <v>1</v>
      </c>
      <c r="O2033">
        <v>1</v>
      </c>
      <c r="P2033">
        <v>0</v>
      </c>
      <c r="Q2033">
        <v>1</v>
      </c>
    </row>
    <row r="2034" spans="5:17" x14ac:dyDescent="0.2">
      <c r="E2034" s="9" t="s">
        <v>26</v>
      </c>
      <c r="K2034" t="str">
        <v xml:space="preserve">yeah
</v>
      </c>
      <c r="L2034" s="4" t="str">
        <f t="shared" si="38"/>
        <v xml:space="preserve">yeah  </v>
      </c>
      <c r="N2034" s="4" cm="1">
        <f t="array" ref="N2034">SUM(--(_xlfn.TEXTSPLIT($J$1780,, " ") = M2034))</f>
        <v>1</v>
      </c>
      <c r="O2034">
        <v>1</v>
      </c>
      <c r="P2034">
        <v>0</v>
      </c>
      <c r="Q2034">
        <v>1</v>
      </c>
    </row>
    <row r="2035" spans="5:17" x14ac:dyDescent="0.2">
      <c r="E2035" s="9" t="s">
        <v>26</v>
      </c>
      <c r="K2035" t="str">
        <v>Down</v>
      </c>
      <c r="L2035" s="4" t="str">
        <f t="shared" si="38"/>
        <v>Down</v>
      </c>
      <c r="N2035" s="4" cm="1">
        <f t="array" ref="N2035">SUM(--(_xlfn.TEXTSPLIT($J$1780,, " ") = M2035))</f>
        <v>1</v>
      </c>
      <c r="O2035">
        <v>1</v>
      </c>
      <c r="P2035">
        <v>0</v>
      </c>
      <c r="Q2035">
        <v>1</v>
      </c>
    </row>
    <row r="2036" spans="5:17" x14ac:dyDescent="0.2">
      <c r="E2036" s="9" t="s">
        <v>26</v>
      </c>
      <c r="K2036" t="str">
        <v>there,</v>
      </c>
      <c r="L2036" s="4" t="str">
        <f t="shared" si="38"/>
        <v xml:space="preserve">there </v>
      </c>
      <c r="N2036" s="4" cm="1">
        <f t="array" ref="N2036">SUM(--(_xlfn.TEXTSPLIT($J$1780,, " ") = M2036))</f>
        <v>1</v>
      </c>
      <c r="O2036">
        <v>1</v>
      </c>
      <c r="P2036">
        <v>0</v>
      </c>
      <c r="Q2036">
        <v>1</v>
      </c>
    </row>
    <row r="2037" spans="5:17" x14ac:dyDescent="0.2">
      <c r="E2037" s="9" t="s">
        <v>26</v>
      </c>
      <c r="K2037" t="str">
        <v>it's</v>
      </c>
      <c r="L2037" s="4" t="str">
        <f t="shared" ref="L2037:L2100" si="39">_xlfn.REGEXREPLACE(K2037, "[^A-Za-z ]", " ")</f>
        <v>it s</v>
      </c>
      <c r="N2037" s="4" cm="1">
        <f t="array" ref="N2037">SUM(--(_xlfn.TEXTSPLIT($J$1780,, " ") = M2037))</f>
        <v>1</v>
      </c>
      <c r="O2037">
        <v>1</v>
      </c>
      <c r="P2037">
        <v>0</v>
      </c>
      <c r="Q2037">
        <v>1</v>
      </c>
    </row>
    <row r="2038" spans="5:17" x14ac:dyDescent="0.2">
      <c r="E2038" s="9" t="s">
        <v>26</v>
      </c>
      <c r="K2038" t="str">
        <v>some</v>
      </c>
      <c r="L2038" s="4" t="str">
        <f t="shared" si="39"/>
        <v>some</v>
      </c>
      <c r="N2038" s="4" cm="1">
        <f t="array" ref="N2038">SUM(--(_xlfn.TEXTSPLIT($J$1780,, " ") = M2038))</f>
        <v>1</v>
      </c>
      <c r="O2038">
        <v>1</v>
      </c>
      <c r="P2038">
        <v>0</v>
      </c>
      <c r="Q2038">
        <v>1</v>
      </c>
    </row>
    <row r="2039" spans="5:17" x14ac:dyDescent="0.2">
      <c r="E2039" s="9" t="s">
        <v>26</v>
      </c>
      <c r="K2039" t="str">
        <v>shelter</v>
      </c>
      <c r="L2039" s="4" t="str">
        <f t="shared" si="39"/>
        <v>shelter</v>
      </c>
      <c r="N2039" s="4" cm="1">
        <f t="array" ref="N2039">SUM(--(_xlfn.TEXTSPLIT($J$1780,, " ") = M2039))</f>
        <v>1</v>
      </c>
      <c r="O2039">
        <v>1</v>
      </c>
      <c r="P2039">
        <v>0</v>
      </c>
      <c r="Q2039">
        <v>1</v>
      </c>
    </row>
    <row r="2040" spans="5:17" x14ac:dyDescent="0.2">
      <c r="E2040" s="9" t="s">
        <v>26</v>
      </c>
      <c r="K2040" t="str">
        <v>from</v>
      </c>
      <c r="L2040" s="4" t="str">
        <f t="shared" si="39"/>
        <v>from</v>
      </c>
      <c r="N2040" s="4" cm="1">
        <f t="array" ref="N2040">SUM(--(_xlfn.TEXTSPLIT($J$1780,, " ") = M2040))</f>
        <v>1</v>
      </c>
      <c r="O2040">
        <v>1</v>
      </c>
      <c r="P2040">
        <v>0</v>
      </c>
      <c r="Q2040">
        <v>1</v>
      </c>
    </row>
    <row r="2041" spans="5:17" x14ac:dyDescent="0.2">
      <c r="E2041" s="9" t="s">
        <v>26</v>
      </c>
      <c r="K2041" t="str">
        <v>the</v>
      </c>
      <c r="L2041" s="4" t="str">
        <f t="shared" si="39"/>
        <v>the</v>
      </c>
      <c r="N2041" s="4" cm="1">
        <f t="array" ref="N2041">SUM(--(_xlfn.TEXTSPLIT($J$1780,, " ") = M2041))</f>
        <v>1</v>
      </c>
      <c r="O2041">
        <v>1</v>
      </c>
      <c r="P2041">
        <v>0</v>
      </c>
      <c r="Q2041">
        <v>1</v>
      </c>
    </row>
    <row r="2042" spans="5:17" x14ac:dyDescent="0.2">
      <c r="E2042" s="9" t="s">
        <v>26</v>
      </c>
      <c r="K2042" t="str">
        <v xml:space="preserve">weather
</v>
      </c>
      <c r="L2042" s="4" t="str">
        <f t="shared" si="39"/>
        <v xml:space="preserve">weather </v>
      </c>
      <c r="N2042" s="4" cm="1">
        <f t="array" ref="N2042">SUM(--(_xlfn.TEXTSPLIT($J$1780,, " ") = M2042))</f>
        <v>1</v>
      </c>
      <c r="O2042">
        <v>1</v>
      </c>
      <c r="P2042">
        <v>0</v>
      </c>
      <c r="Q2042">
        <v>1</v>
      </c>
    </row>
    <row r="2043" spans="5:17" x14ac:dyDescent="0.2">
      <c r="E2043" s="9" t="s">
        <v>26</v>
      </c>
      <c r="K2043" t="str">
        <v>I</v>
      </c>
      <c r="L2043" s="4" t="str">
        <f t="shared" si="39"/>
        <v>I</v>
      </c>
      <c r="N2043" s="4" cm="1">
        <f t="array" ref="N2043">SUM(--(_xlfn.TEXTSPLIT($J$1780,, " ") = M2043))</f>
        <v>1</v>
      </c>
      <c r="O2043">
        <v>1</v>
      </c>
      <c r="P2043">
        <v>0</v>
      </c>
      <c r="Q2043">
        <v>1</v>
      </c>
    </row>
    <row r="2044" spans="5:17" x14ac:dyDescent="0.2">
      <c r="E2044" s="9" t="s">
        <v>26</v>
      </c>
      <c r="K2044" t="str">
        <v>wear</v>
      </c>
      <c r="L2044" s="4" t="str">
        <f t="shared" si="39"/>
        <v>wear</v>
      </c>
      <c r="N2044" s="4" cm="1">
        <f t="array" ref="N2044">SUM(--(_xlfn.TEXTSPLIT($J$1780,, " ") = M2044))</f>
        <v>1</v>
      </c>
      <c r="O2044">
        <v>1</v>
      </c>
      <c r="P2044">
        <v>0</v>
      </c>
      <c r="Q2044">
        <v>1</v>
      </c>
    </row>
    <row r="2045" spans="5:17" x14ac:dyDescent="0.2">
      <c r="E2045" s="9" t="s">
        <v>26</v>
      </c>
      <c r="K2045" t="str">
        <v>all</v>
      </c>
      <c r="L2045" s="4" t="str">
        <f t="shared" si="39"/>
        <v>all</v>
      </c>
      <c r="N2045" s="4" cm="1">
        <f t="array" ref="N2045">SUM(--(_xlfn.TEXTSPLIT($J$1780,, " ") = M2045))</f>
        <v>1</v>
      </c>
      <c r="O2045">
        <v>1</v>
      </c>
      <c r="P2045">
        <v>0</v>
      </c>
      <c r="Q2045">
        <v>1</v>
      </c>
    </row>
    <row r="2046" spans="5:17" x14ac:dyDescent="0.2">
      <c r="E2046" s="9" t="s">
        <v>26</v>
      </c>
      <c r="K2046" t="str">
        <v>of</v>
      </c>
      <c r="L2046" s="4" t="str">
        <f t="shared" si="39"/>
        <v>of</v>
      </c>
      <c r="N2046" s="4" cm="1">
        <f t="array" ref="N2046">SUM(--(_xlfn.TEXTSPLIT($J$1780,, " ") = M2046))</f>
        <v>1</v>
      </c>
      <c r="O2046">
        <v>1</v>
      </c>
      <c r="P2046">
        <v>0</v>
      </c>
      <c r="Q2046">
        <v>1</v>
      </c>
    </row>
    <row r="2047" spans="5:17" x14ac:dyDescent="0.2">
      <c r="E2047" s="9" t="s">
        <v>26</v>
      </c>
      <c r="K2047" t="str">
        <v>my</v>
      </c>
      <c r="L2047" s="4" t="str">
        <f t="shared" si="39"/>
        <v>my</v>
      </c>
      <c r="N2047" s="4" cm="1">
        <f t="array" ref="N2047">SUM(--(_xlfn.TEXTSPLIT($J$1780,, " ") = M2047))</f>
        <v>1</v>
      </c>
      <c r="O2047">
        <v>1</v>
      </c>
      <c r="P2047">
        <v>0</v>
      </c>
      <c r="Q2047">
        <v>1</v>
      </c>
    </row>
    <row r="2048" spans="5:17" x14ac:dyDescent="0.2">
      <c r="E2048" s="9" t="s">
        <v>26</v>
      </c>
      <c r="K2048" t="str">
        <v>heart</v>
      </c>
      <c r="L2048" s="4" t="str">
        <f t="shared" si="39"/>
        <v>heart</v>
      </c>
      <c r="N2048" s="4" cm="1">
        <f t="array" ref="N2048">SUM(--(_xlfn.TEXTSPLIT($J$1780,, " ") = M2048))</f>
        <v>1</v>
      </c>
      <c r="O2048">
        <v>1</v>
      </c>
      <c r="P2048">
        <v>0</v>
      </c>
      <c r="Q2048">
        <v>1</v>
      </c>
    </row>
    <row r="2049" spans="5:17" x14ac:dyDescent="0.2">
      <c r="E2049" s="9" t="s">
        <v>26</v>
      </c>
      <c r="K2049" t="str">
        <v>on</v>
      </c>
      <c r="L2049" s="4" t="str">
        <f t="shared" si="39"/>
        <v>on</v>
      </c>
      <c r="N2049" s="4" cm="1">
        <f t="array" ref="N2049">SUM(--(_xlfn.TEXTSPLIT($J$1780,, " ") = M2049))</f>
        <v>1</v>
      </c>
      <c r="O2049">
        <v>1</v>
      </c>
      <c r="P2049">
        <v>0</v>
      </c>
      <c r="Q2049">
        <v>1</v>
      </c>
    </row>
    <row r="2050" spans="5:17" x14ac:dyDescent="0.2">
      <c r="E2050" s="9" t="s">
        <v>26</v>
      </c>
      <c r="K2050" t="str">
        <v>my</v>
      </c>
      <c r="L2050" s="4" t="str">
        <f t="shared" si="39"/>
        <v>my</v>
      </c>
      <c r="N2050" s="4" cm="1">
        <f t="array" ref="N2050">SUM(--(_xlfn.TEXTSPLIT($J$1780,, " ") = M2050))</f>
        <v>1</v>
      </c>
      <c r="O2050">
        <v>1</v>
      </c>
      <c r="P2050">
        <v>0</v>
      </c>
      <c r="Q2050">
        <v>1</v>
      </c>
    </row>
    <row r="2051" spans="5:17" x14ac:dyDescent="0.2">
      <c r="E2051" s="9" t="s">
        <v>26</v>
      </c>
      <c r="K2051" t="str">
        <v xml:space="preserve">sleeve
</v>
      </c>
      <c r="L2051" s="4" t="str">
        <f t="shared" si="39"/>
        <v xml:space="preserve">sleeve </v>
      </c>
      <c r="N2051" s="4" cm="1">
        <f t="array" ref="N2051">SUM(--(_xlfn.TEXTSPLIT($J$1780,, " ") = M2051))</f>
        <v>1</v>
      </c>
      <c r="O2051">
        <v>1</v>
      </c>
      <c r="P2051">
        <v>0</v>
      </c>
      <c r="Q2051">
        <v>1</v>
      </c>
    </row>
    <row r="2052" spans="5:17" x14ac:dyDescent="0.2">
      <c r="E2052" s="9" t="s">
        <v>26</v>
      </c>
      <c r="K2052" t="str">
        <v>I'll</v>
      </c>
      <c r="L2052" s="4" t="str">
        <f t="shared" si="39"/>
        <v>I ll</v>
      </c>
      <c r="N2052" s="4" cm="1">
        <f t="array" ref="N2052">SUM(--(_xlfn.TEXTSPLIT($J$1780,, " ") = M2052))</f>
        <v>1</v>
      </c>
      <c r="O2052">
        <v>1</v>
      </c>
      <c r="P2052">
        <v>0</v>
      </c>
      <c r="Q2052">
        <v>1</v>
      </c>
    </row>
    <row r="2053" spans="5:17" x14ac:dyDescent="0.2">
      <c r="E2053" s="9" t="s">
        <v>26</v>
      </c>
      <c r="K2053" t="str">
        <v>take</v>
      </c>
      <c r="L2053" s="4" t="str">
        <f t="shared" si="39"/>
        <v>take</v>
      </c>
      <c r="N2053" s="4" cm="1">
        <f t="array" ref="N2053">SUM(--(_xlfn.TEXTSPLIT($J$1780,, " ") = M2053))</f>
        <v>1</v>
      </c>
      <c r="O2053">
        <v>1</v>
      </c>
      <c r="P2053">
        <v>0</v>
      </c>
      <c r="Q2053">
        <v>1</v>
      </c>
    </row>
    <row r="2054" spans="5:17" x14ac:dyDescent="0.2">
      <c r="E2054" s="9" t="s">
        <v>26</v>
      </c>
      <c r="K2054" t="str">
        <v>what</v>
      </c>
      <c r="L2054" s="4" t="str">
        <f t="shared" si="39"/>
        <v>what</v>
      </c>
      <c r="N2054" s="4" cm="1">
        <f t="array" ref="N2054">SUM(--(_xlfn.TEXTSPLIT($J$1780,, " ") = M2054))</f>
        <v>1</v>
      </c>
      <c r="O2054">
        <v>1</v>
      </c>
      <c r="P2054">
        <v>0</v>
      </c>
      <c r="Q2054">
        <v>1</v>
      </c>
    </row>
    <row r="2055" spans="5:17" x14ac:dyDescent="0.2">
      <c r="E2055" s="9" t="s">
        <v>26</v>
      </c>
      <c r="K2055" t="str">
        <v>I</v>
      </c>
      <c r="L2055" s="4" t="str">
        <f t="shared" si="39"/>
        <v>I</v>
      </c>
      <c r="N2055" s="4" cm="1">
        <f t="array" ref="N2055">SUM(--(_xlfn.TEXTSPLIT($J$1780,, " ") = M2055))</f>
        <v>1</v>
      </c>
      <c r="O2055">
        <v>1</v>
      </c>
      <c r="P2055">
        <v>0</v>
      </c>
      <c r="Q2055">
        <v>1</v>
      </c>
    </row>
    <row r="2056" spans="5:17" x14ac:dyDescent="0.2">
      <c r="E2056" s="9" t="s">
        <v>26</v>
      </c>
      <c r="K2056" t="str">
        <v>believe,</v>
      </c>
      <c r="L2056" s="4" t="str">
        <f t="shared" si="39"/>
        <v xml:space="preserve">believe </v>
      </c>
      <c r="N2056" s="4" cm="1">
        <f t="array" ref="N2056">SUM(--(_xlfn.TEXTSPLIT($J$1780,, " ") = M2056))</f>
        <v>1</v>
      </c>
      <c r="O2056">
        <v>1</v>
      </c>
      <c r="P2056">
        <v>0</v>
      </c>
      <c r="Q2056">
        <v>1</v>
      </c>
    </row>
    <row r="2057" spans="5:17" x14ac:dyDescent="0.2">
      <c r="E2057" s="9" t="s">
        <v>26</v>
      </c>
      <c r="K2057" t="str">
        <v>and</v>
      </c>
      <c r="L2057" s="4" t="str">
        <f t="shared" si="39"/>
        <v>and</v>
      </c>
      <c r="N2057" s="4" cm="1">
        <f t="array" ref="N2057">SUM(--(_xlfn.TEXTSPLIT($J$1780,, " ") = M2057))</f>
        <v>1</v>
      </c>
      <c r="O2057">
        <v>1</v>
      </c>
      <c r="P2057">
        <v>0</v>
      </c>
      <c r="Q2057">
        <v>1</v>
      </c>
    </row>
    <row r="2058" spans="5:17" x14ac:dyDescent="0.2">
      <c r="E2058" s="9" t="s">
        <v>26</v>
      </c>
      <c r="K2058" t="str">
        <v>I'm</v>
      </c>
      <c r="L2058" s="4" t="str">
        <f t="shared" si="39"/>
        <v>I m</v>
      </c>
      <c r="N2058" s="4" cm="1">
        <f t="array" ref="N2058">SUM(--(_xlfn.TEXTSPLIT($J$1780,, " ") = M2058))</f>
        <v>1</v>
      </c>
      <c r="O2058">
        <v>1</v>
      </c>
      <c r="P2058">
        <v>0</v>
      </c>
      <c r="Q2058">
        <v>1</v>
      </c>
    </row>
    <row r="2059" spans="5:17" x14ac:dyDescent="0.2">
      <c r="E2059" s="9" t="s">
        <v>26</v>
      </c>
      <c r="K2059" t="str">
        <v>hiding</v>
      </c>
      <c r="L2059" s="4" t="str">
        <f t="shared" si="39"/>
        <v>hiding</v>
      </c>
      <c r="N2059" s="4" cm="1">
        <f t="array" ref="N2059">SUM(--(_xlfn.TEXTSPLIT($J$1780,, " ") = M2059))</f>
        <v>1</v>
      </c>
      <c r="O2059">
        <v>1</v>
      </c>
      <c r="P2059">
        <v>0</v>
      </c>
      <c r="Q2059">
        <v>1</v>
      </c>
    </row>
    <row r="2060" spans="5:17" x14ac:dyDescent="0.2">
      <c r="E2060" s="9" t="s">
        <v>26</v>
      </c>
      <c r="K2060" t="str">
        <v xml:space="preserve">it
</v>
      </c>
      <c r="L2060" s="4" t="str">
        <f t="shared" si="39"/>
        <v xml:space="preserve">it </v>
      </c>
      <c r="N2060" s="4" cm="1">
        <f t="array" ref="N2060">SUM(--(_xlfn.TEXTSPLIT($J$1780,, " ") = M2060))</f>
        <v>1</v>
      </c>
      <c r="O2060">
        <v>1</v>
      </c>
      <c r="P2060">
        <v>0</v>
      </c>
      <c r="Q2060">
        <v>1</v>
      </c>
    </row>
    <row r="2061" spans="5:17" x14ac:dyDescent="0.2">
      <c r="E2061" s="9" t="s">
        <v>26</v>
      </c>
      <c r="K2061" t="str">
        <v>Downstairs,</v>
      </c>
      <c r="L2061" s="4" t="str">
        <f t="shared" si="39"/>
        <v xml:space="preserve">Downstairs </v>
      </c>
      <c r="N2061" s="4" cm="1">
        <f t="array" ref="N2061">SUM(--(_xlfn.TEXTSPLIT($J$1780,, " ") = M2061))</f>
        <v>1</v>
      </c>
      <c r="O2061">
        <v>1</v>
      </c>
      <c r="P2061">
        <v>0</v>
      </c>
      <c r="Q2061">
        <v>1</v>
      </c>
    </row>
    <row r="2062" spans="5:17" x14ac:dyDescent="0.2">
      <c r="E2062" s="9" t="s">
        <v>26</v>
      </c>
      <c r="K2062" t="str">
        <v>I</v>
      </c>
      <c r="L2062" s="4" t="str">
        <f t="shared" si="39"/>
        <v>I</v>
      </c>
      <c r="N2062" s="4" cm="1">
        <f t="array" ref="N2062">SUM(--(_xlfn.TEXTSPLIT($J$1780,, " ") = M2062))</f>
        <v>1</v>
      </c>
      <c r="O2062">
        <v>1</v>
      </c>
      <c r="P2062">
        <v>0</v>
      </c>
      <c r="Q2062">
        <v>1</v>
      </c>
    </row>
    <row r="2063" spans="5:17" x14ac:dyDescent="0.2">
      <c r="E2063" s="9" t="s">
        <v>26</v>
      </c>
      <c r="K2063" t="str">
        <v>feel</v>
      </c>
      <c r="L2063" s="4" t="str">
        <f t="shared" si="39"/>
        <v>feel</v>
      </c>
      <c r="N2063" s="4" cm="1">
        <f t="array" ref="N2063">SUM(--(_xlfn.TEXTSPLIT($J$1780,, " ") = M2063))</f>
        <v>1</v>
      </c>
      <c r="O2063">
        <v>1</v>
      </c>
      <c r="P2063">
        <v>0</v>
      </c>
      <c r="Q2063">
        <v>1</v>
      </c>
    </row>
    <row r="2064" spans="5:17" x14ac:dyDescent="0.2">
      <c r="E2064" s="9" t="s">
        <v>26</v>
      </c>
      <c r="K2064" t="str">
        <v>better</v>
      </c>
      <c r="L2064" s="4" t="str">
        <f t="shared" si="39"/>
        <v>better</v>
      </c>
      <c r="N2064" s="4" cm="1">
        <f t="array" ref="N2064">SUM(--(_xlfn.TEXTSPLIT($J$1780,, " ") = M2064))</f>
        <v>1</v>
      </c>
      <c r="O2064">
        <v>1</v>
      </c>
      <c r="P2064">
        <v>0</v>
      </c>
      <c r="Q2064">
        <v>1</v>
      </c>
    </row>
    <row r="2065" spans="5:17" x14ac:dyDescent="0.2">
      <c r="E2065" s="9" t="s">
        <v>26</v>
      </c>
      <c r="K2065" t="str">
        <v>in</v>
      </c>
      <c r="L2065" s="4" t="str">
        <f t="shared" si="39"/>
        <v>in</v>
      </c>
      <c r="N2065" s="4" cm="1">
        <f t="array" ref="N2065">SUM(--(_xlfn.TEXTSPLIT($J$1780,, " ") = M2065))</f>
        <v>1</v>
      </c>
      <c r="O2065">
        <v>1</v>
      </c>
      <c r="P2065">
        <v>0</v>
      </c>
      <c r="Q2065">
        <v>1</v>
      </c>
    </row>
    <row r="2066" spans="5:17" x14ac:dyDescent="0.2">
      <c r="E2066" s="9" t="s">
        <v>26</v>
      </c>
      <c r="K2066" t="str">
        <v>the</v>
      </c>
      <c r="L2066" s="4" t="str">
        <f t="shared" si="39"/>
        <v>the</v>
      </c>
      <c r="N2066" s="4" cm="1">
        <f t="array" ref="N2066">SUM(--(_xlfn.TEXTSPLIT($J$1780,, " ") = M2066))</f>
        <v>1</v>
      </c>
      <c r="O2066">
        <v>1</v>
      </c>
      <c r="P2066">
        <v>0</v>
      </c>
      <c r="Q2066">
        <v>1</v>
      </c>
    </row>
    <row r="2067" spans="5:17" x14ac:dyDescent="0.2">
      <c r="E2067" s="9" t="s">
        <v>26</v>
      </c>
      <c r="K2067" t="str">
        <v xml:space="preserve">cellar
</v>
      </c>
      <c r="L2067" s="4" t="str">
        <f t="shared" si="39"/>
        <v xml:space="preserve">cellar </v>
      </c>
      <c r="N2067" s="4" cm="1">
        <f t="array" ref="N2067">SUM(--(_xlfn.TEXTSPLIT($J$1780,, " ") = M2067))</f>
        <v>1</v>
      </c>
      <c r="O2067">
        <v>1</v>
      </c>
      <c r="P2067">
        <v>0</v>
      </c>
      <c r="Q2067">
        <v>1</v>
      </c>
    </row>
    <row r="2068" spans="5:17" x14ac:dyDescent="0.2">
      <c r="E2068" s="9" t="s">
        <v>26</v>
      </c>
      <c r="K2068" t="str">
        <v>Down</v>
      </c>
      <c r="L2068" s="4" t="str">
        <f t="shared" si="39"/>
        <v>Down</v>
      </c>
      <c r="N2068" s="4" cm="1">
        <f t="array" ref="N2068">SUM(--(_xlfn.TEXTSPLIT($J$1780,, " ") = M2068))</f>
        <v>1</v>
      </c>
      <c r="O2068">
        <v>1</v>
      </c>
      <c r="P2068">
        <v>0</v>
      </c>
      <c r="Q2068">
        <v>1</v>
      </c>
    </row>
    <row r="2069" spans="5:17" x14ac:dyDescent="0.2">
      <c r="E2069" s="9" t="s">
        <v>26</v>
      </c>
      <c r="K2069" t="str">
        <v>there,</v>
      </c>
      <c r="L2069" s="4" t="str">
        <f t="shared" si="39"/>
        <v xml:space="preserve">there </v>
      </c>
      <c r="N2069" s="4" cm="1">
        <f t="array" ref="N2069">SUM(--(_xlfn.TEXTSPLIT($J$1780,, " ") = M2069))</f>
        <v>1</v>
      </c>
      <c r="O2069">
        <v>1</v>
      </c>
      <c r="P2069">
        <v>0</v>
      </c>
      <c r="Q2069">
        <v>1</v>
      </c>
    </row>
    <row r="2070" spans="5:17" x14ac:dyDescent="0.2">
      <c r="E2070" s="9" t="s">
        <v>26</v>
      </c>
      <c r="K2070" t="str">
        <v>it's</v>
      </c>
      <c r="L2070" s="4" t="str">
        <f t="shared" si="39"/>
        <v>it s</v>
      </c>
      <c r="N2070" s="4" cm="1">
        <f t="array" ref="N2070">SUM(--(_xlfn.TEXTSPLIT($J$1780,, " ") = M2070))</f>
        <v>1</v>
      </c>
      <c r="O2070">
        <v>1</v>
      </c>
      <c r="P2070">
        <v>0</v>
      </c>
      <c r="Q2070">
        <v>1</v>
      </c>
    </row>
    <row r="2071" spans="5:17" x14ac:dyDescent="0.2">
      <c r="E2071" s="9" t="s">
        <v>26</v>
      </c>
      <c r="K2071" t="str">
        <v>some</v>
      </c>
      <c r="L2071" s="4" t="str">
        <f t="shared" si="39"/>
        <v>some</v>
      </c>
      <c r="N2071" s="4" cm="1">
        <f t="array" ref="N2071">SUM(--(_xlfn.TEXTSPLIT($J$1780,, " ") = M2071))</f>
        <v>1</v>
      </c>
      <c r="O2071">
        <v>1</v>
      </c>
      <c r="P2071">
        <v>0</v>
      </c>
      <c r="Q2071">
        <v>1</v>
      </c>
    </row>
    <row r="2072" spans="5:17" x14ac:dyDescent="0.2">
      <c r="E2072" s="9" t="s">
        <v>26</v>
      </c>
      <c r="K2072" t="str">
        <v>shelter</v>
      </c>
      <c r="L2072" s="4" t="str">
        <f t="shared" si="39"/>
        <v>shelter</v>
      </c>
      <c r="N2072" s="4" cm="1">
        <f t="array" ref="N2072">SUM(--(_xlfn.TEXTSPLIT($J$1780,, " ") = M2072))</f>
        <v>1</v>
      </c>
      <c r="O2072">
        <v>1</v>
      </c>
      <c r="P2072">
        <v>0</v>
      </c>
      <c r="Q2072">
        <v>1</v>
      </c>
    </row>
    <row r="2073" spans="5:17" x14ac:dyDescent="0.2">
      <c r="E2073" s="9" t="s">
        <v>26</v>
      </c>
      <c r="K2073" t="str">
        <v>from</v>
      </c>
      <c r="L2073" s="4" t="str">
        <f t="shared" si="39"/>
        <v>from</v>
      </c>
      <c r="N2073" s="4" cm="1">
        <f t="array" ref="N2073">SUM(--(_xlfn.TEXTSPLIT($J$1780,, " ") = M2073))</f>
        <v>1</v>
      </c>
      <c r="O2073">
        <v>1</v>
      </c>
      <c r="P2073">
        <v>0</v>
      </c>
      <c r="Q2073">
        <v>1</v>
      </c>
    </row>
    <row r="2074" spans="5:17" x14ac:dyDescent="0.2">
      <c r="E2074" s="9" t="s">
        <v>26</v>
      </c>
      <c r="K2074" t="str">
        <v>the</v>
      </c>
      <c r="L2074" s="4" t="str">
        <f t="shared" si="39"/>
        <v>the</v>
      </c>
      <c r="N2074" s="4" cm="1">
        <f t="array" ref="N2074">SUM(--(_xlfn.TEXTSPLIT($J$1780,, " ") = M2074))</f>
        <v>1</v>
      </c>
      <c r="O2074">
        <v>1</v>
      </c>
      <c r="P2074">
        <v>0</v>
      </c>
      <c r="Q2074">
        <v>1</v>
      </c>
    </row>
    <row r="2075" spans="5:17" x14ac:dyDescent="0.2">
      <c r="E2075" s="9" t="s">
        <v>26</v>
      </c>
      <c r="K2075" t="str">
        <v xml:space="preserve">weather
</v>
      </c>
      <c r="L2075" s="4" t="str">
        <f t="shared" si="39"/>
        <v xml:space="preserve">weather </v>
      </c>
      <c r="N2075" s="4" cm="1">
        <f t="array" ref="N2075">SUM(--(_xlfn.TEXTSPLIT($J$1780,, " ") = M2075))</f>
        <v>1</v>
      </c>
      <c r="O2075">
        <v>1</v>
      </c>
      <c r="P2075">
        <v>0</v>
      </c>
      <c r="Q2075">
        <v>1</v>
      </c>
    </row>
    <row r="2076" spans="5:17" x14ac:dyDescent="0.2">
      <c r="E2076" s="9" t="s">
        <v>26</v>
      </c>
      <c r="K2076" t="str">
        <v>I</v>
      </c>
      <c r="L2076" s="4" t="str">
        <f t="shared" si="39"/>
        <v>I</v>
      </c>
      <c r="N2076" s="4" cm="1">
        <f t="array" ref="N2076">SUM(--(_xlfn.TEXTSPLIT($J$1780,, " ") = M2076))</f>
        <v>1</v>
      </c>
      <c r="O2076">
        <v>1</v>
      </c>
      <c r="P2076">
        <v>0</v>
      </c>
      <c r="Q2076">
        <v>1</v>
      </c>
    </row>
    <row r="2077" spans="5:17" x14ac:dyDescent="0.2">
      <c r="E2077" s="9" t="s">
        <v>26</v>
      </c>
      <c r="K2077" t="str">
        <v>wear</v>
      </c>
      <c r="L2077" s="4" t="str">
        <f t="shared" si="39"/>
        <v>wear</v>
      </c>
      <c r="N2077" s="4" cm="1">
        <f t="array" ref="N2077">SUM(--(_xlfn.TEXTSPLIT($J$1780,, " ") = M2077))</f>
        <v>1</v>
      </c>
      <c r="O2077">
        <v>1</v>
      </c>
      <c r="P2077">
        <v>0</v>
      </c>
      <c r="Q2077">
        <v>1</v>
      </c>
    </row>
    <row r="2078" spans="5:17" x14ac:dyDescent="0.2">
      <c r="E2078" s="9" t="s">
        <v>26</v>
      </c>
      <c r="K2078" t="str">
        <v>all</v>
      </c>
      <c r="L2078" s="4" t="str">
        <f t="shared" si="39"/>
        <v>all</v>
      </c>
      <c r="N2078" s="4" cm="1">
        <f t="array" ref="N2078">SUM(--(_xlfn.TEXTSPLIT($J$1780,, " ") = M2078))</f>
        <v>1</v>
      </c>
      <c r="O2078">
        <v>1</v>
      </c>
      <c r="P2078">
        <v>0</v>
      </c>
      <c r="Q2078">
        <v>1</v>
      </c>
    </row>
    <row r="2079" spans="5:17" x14ac:dyDescent="0.2">
      <c r="E2079" s="9" t="s">
        <v>26</v>
      </c>
      <c r="K2079" t="str">
        <v>of</v>
      </c>
      <c r="L2079" s="4" t="str">
        <f t="shared" si="39"/>
        <v>of</v>
      </c>
      <c r="N2079" s="4" cm="1">
        <f t="array" ref="N2079">SUM(--(_xlfn.TEXTSPLIT($J$1780,, " ") = M2079))</f>
        <v>1</v>
      </c>
      <c r="O2079">
        <v>1</v>
      </c>
      <c r="P2079">
        <v>0</v>
      </c>
      <c r="Q2079">
        <v>1</v>
      </c>
    </row>
    <row r="2080" spans="5:17" x14ac:dyDescent="0.2">
      <c r="E2080" s="9" t="s">
        <v>26</v>
      </c>
      <c r="K2080" t="str">
        <v>my</v>
      </c>
      <c r="L2080" s="4" t="str">
        <f t="shared" si="39"/>
        <v>my</v>
      </c>
      <c r="N2080" s="4" cm="1">
        <f t="array" ref="N2080">SUM(--(_xlfn.TEXTSPLIT($J$1780,, " ") = M2080))</f>
        <v>1</v>
      </c>
      <c r="O2080">
        <v>1</v>
      </c>
      <c r="P2080">
        <v>0</v>
      </c>
      <c r="Q2080">
        <v>1</v>
      </c>
    </row>
    <row r="2081" spans="5:17" x14ac:dyDescent="0.2">
      <c r="E2081" s="9" t="s">
        <v>26</v>
      </c>
      <c r="K2081" t="str">
        <v>heart</v>
      </c>
      <c r="L2081" s="4" t="str">
        <f t="shared" si="39"/>
        <v>heart</v>
      </c>
      <c r="N2081" s="4" cm="1">
        <f t="array" ref="N2081">SUM(--(_xlfn.TEXTSPLIT($J$1780,, " ") = M2081))</f>
        <v>1</v>
      </c>
      <c r="O2081">
        <v>1</v>
      </c>
      <c r="P2081">
        <v>0</v>
      </c>
      <c r="Q2081">
        <v>1</v>
      </c>
    </row>
    <row r="2082" spans="5:17" x14ac:dyDescent="0.2">
      <c r="E2082" s="9" t="s">
        <v>26</v>
      </c>
      <c r="K2082" t="str">
        <v>on</v>
      </c>
      <c r="L2082" s="4" t="str">
        <f t="shared" si="39"/>
        <v>on</v>
      </c>
      <c r="N2082" s="4" cm="1">
        <f t="array" ref="N2082">SUM(--(_xlfn.TEXTSPLIT($J$1780,, " ") = M2082))</f>
        <v>1</v>
      </c>
      <c r="O2082">
        <v>1</v>
      </c>
      <c r="P2082">
        <v>0</v>
      </c>
      <c r="Q2082">
        <v>1</v>
      </c>
    </row>
    <row r="2083" spans="5:17" x14ac:dyDescent="0.2">
      <c r="E2083" s="9" t="s">
        <v>26</v>
      </c>
      <c r="K2083" t="str">
        <v>my</v>
      </c>
      <c r="L2083" s="4" t="str">
        <f t="shared" si="39"/>
        <v>my</v>
      </c>
      <c r="N2083" s="4" cm="1">
        <f t="array" ref="N2083">SUM(--(_xlfn.TEXTSPLIT($J$1780,, " ") = M2083))</f>
        <v>1</v>
      </c>
      <c r="O2083">
        <v>1</v>
      </c>
      <c r="P2083">
        <v>0</v>
      </c>
      <c r="Q2083">
        <v>1</v>
      </c>
    </row>
    <row r="2084" spans="5:17" x14ac:dyDescent="0.2">
      <c r="E2084" s="9" t="s">
        <v>26</v>
      </c>
      <c r="K2084" t="str">
        <v xml:space="preserve">sleeve
</v>
      </c>
      <c r="L2084" s="4" t="str">
        <f t="shared" si="39"/>
        <v xml:space="preserve">sleeve </v>
      </c>
      <c r="N2084" s="4" cm="1">
        <f t="array" ref="N2084">SUM(--(_xlfn.TEXTSPLIT($J$1780,, " ") = M2084))</f>
        <v>1</v>
      </c>
      <c r="O2084">
        <v>1</v>
      </c>
      <c r="P2084">
        <v>0</v>
      </c>
      <c r="Q2084">
        <v>1</v>
      </c>
    </row>
    <row r="2085" spans="5:17" x14ac:dyDescent="0.2">
      <c r="E2085" s="9" t="s">
        <v>26</v>
      </c>
      <c r="K2085" t="str">
        <v>I'll</v>
      </c>
      <c r="L2085" s="4" t="str">
        <f t="shared" si="39"/>
        <v>I ll</v>
      </c>
      <c r="N2085" s="4" cm="1">
        <f t="array" ref="N2085">SUM(--(_xlfn.TEXTSPLIT($J$1780,, " ") = M2085))</f>
        <v>1</v>
      </c>
      <c r="O2085">
        <v>1</v>
      </c>
      <c r="P2085">
        <v>0</v>
      </c>
      <c r="Q2085">
        <v>1</v>
      </c>
    </row>
    <row r="2086" spans="5:17" x14ac:dyDescent="0.2">
      <c r="E2086" s="9" t="s">
        <v>26</v>
      </c>
      <c r="K2086" t="str">
        <v>take</v>
      </c>
      <c r="L2086" s="4" t="str">
        <f t="shared" si="39"/>
        <v>take</v>
      </c>
      <c r="N2086" s="4" cm="1">
        <f t="array" ref="N2086">SUM(--(_xlfn.TEXTSPLIT($J$1780,, " ") = M2086))</f>
        <v>1</v>
      </c>
      <c r="O2086">
        <v>1</v>
      </c>
      <c r="P2086">
        <v>0</v>
      </c>
      <c r="Q2086">
        <v>1</v>
      </c>
    </row>
    <row r="2087" spans="5:17" x14ac:dyDescent="0.2">
      <c r="E2087" s="9" t="s">
        <v>26</v>
      </c>
      <c r="K2087" t="str">
        <v>what</v>
      </c>
      <c r="L2087" s="4" t="str">
        <f t="shared" si="39"/>
        <v>what</v>
      </c>
      <c r="N2087" s="4" cm="1">
        <f t="array" ref="N2087">SUM(--(_xlfn.TEXTSPLIT($J$1780,, " ") = M2087))</f>
        <v>1</v>
      </c>
      <c r="O2087">
        <v>1</v>
      </c>
      <c r="P2087">
        <v>0</v>
      </c>
      <c r="Q2087">
        <v>1</v>
      </c>
    </row>
    <row r="2088" spans="5:17" x14ac:dyDescent="0.2">
      <c r="E2088" s="9" t="s">
        <v>26</v>
      </c>
      <c r="K2088" t="str">
        <v>I</v>
      </c>
      <c r="L2088" s="4" t="str">
        <f t="shared" si="39"/>
        <v>I</v>
      </c>
      <c r="N2088" s="4" cm="1">
        <f t="array" ref="N2088">SUM(--(_xlfn.TEXTSPLIT($J$1780,, " ") = M2088))</f>
        <v>1</v>
      </c>
      <c r="O2088">
        <v>1</v>
      </c>
      <c r="P2088">
        <v>0</v>
      </c>
      <c r="Q2088">
        <v>1</v>
      </c>
    </row>
    <row r="2089" spans="5:17" x14ac:dyDescent="0.2">
      <c r="E2089" s="9" t="s">
        <v>26</v>
      </c>
      <c r="K2089" t="str">
        <v>believe,</v>
      </c>
      <c r="L2089" s="4" t="str">
        <f t="shared" si="39"/>
        <v xml:space="preserve">believe </v>
      </c>
      <c r="N2089" s="4" cm="1">
        <f t="array" ref="N2089">SUM(--(_xlfn.TEXTSPLIT($J$1780,, " ") = M2089))</f>
        <v>1</v>
      </c>
      <c r="O2089">
        <v>1</v>
      </c>
      <c r="P2089">
        <v>0</v>
      </c>
      <c r="Q2089">
        <v>1</v>
      </c>
    </row>
    <row r="2090" spans="5:17" x14ac:dyDescent="0.2">
      <c r="E2090" s="9" t="s">
        <v>26</v>
      </c>
      <c r="K2090" t="str">
        <v>and</v>
      </c>
      <c r="L2090" s="4" t="str">
        <f t="shared" si="39"/>
        <v>and</v>
      </c>
      <c r="N2090" s="4" cm="1">
        <f t="array" ref="N2090">SUM(--(_xlfn.TEXTSPLIT($J$1780,, " ") = M2090))</f>
        <v>1</v>
      </c>
      <c r="O2090">
        <v>1</v>
      </c>
      <c r="P2090">
        <v>0</v>
      </c>
      <c r="Q2090">
        <v>1</v>
      </c>
    </row>
    <row r="2091" spans="5:17" x14ac:dyDescent="0.2">
      <c r="E2091" s="9" t="s">
        <v>26</v>
      </c>
      <c r="K2091" t="str">
        <v>I'm</v>
      </c>
      <c r="L2091" s="4" t="str">
        <f t="shared" si="39"/>
        <v>I m</v>
      </c>
      <c r="N2091" s="4" cm="1">
        <f t="array" ref="N2091">SUM(--(_xlfn.TEXTSPLIT($J$1780,, " ") = M2091))</f>
        <v>1</v>
      </c>
      <c r="O2091">
        <v>1</v>
      </c>
      <c r="P2091">
        <v>0</v>
      </c>
      <c r="Q2091">
        <v>1</v>
      </c>
    </row>
    <row r="2092" spans="5:17" x14ac:dyDescent="0.2">
      <c r="E2092" s="9" t="s">
        <v>26</v>
      </c>
      <c r="K2092" t="str">
        <v>hiding</v>
      </c>
      <c r="L2092" s="4" t="str">
        <f t="shared" si="39"/>
        <v>hiding</v>
      </c>
      <c r="N2092" s="4" cm="1">
        <f t="array" ref="N2092">SUM(--(_xlfn.TEXTSPLIT($J$1780,, " ") = M2092))</f>
        <v>1</v>
      </c>
      <c r="O2092">
        <v>1</v>
      </c>
      <c r="P2092">
        <v>0</v>
      </c>
      <c r="Q2092">
        <v>1</v>
      </c>
    </row>
    <row r="2093" spans="5:17" x14ac:dyDescent="0.2">
      <c r="E2093" s="9" t="s">
        <v>26</v>
      </c>
      <c r="K2093" t="str">
        <v xml:space="preserve">it
</v>
      </c>
      <c r="L2093" s="4" t="str">
        <f t="shared" si="39"/>
        <v xml:space="preserve">it </v>
      </c>
      <c r="N2093" s="4" cm="1">
        <f t="array" ref="N2093">SUM(--(_xlfn.TEXTSPLIT($J$1780,, " ") = M2093))</f>
        <v>1</v>
      </c>
      <c r="O2093">
        <v>1</v>
      </c>
      <c r="P2093">
        <v>0</v>
      </c>
      <c r="Q2093">
        <v>1</v>
      </c>
    </row>
    <row r="2094" spans="5:17" x14ac:dyDescent="0.2">
      <c r="E2094" s="9" t="s">
        <v>26</v>
      </c>
      <c r="K2094" t="str">
        <v>Downstairs</v>
      </c>
      <c r="L2094" s="4" t="str">
        <f t="shared" si="39"/>
        <v>Downstairs</v>
      </c>
      <c r="N2094" s="4" cm="1">
        <f t="array" ref="N2094">SUM(--(_xlfn.TEXTSPLIT($J$1780,, " ") = M2094))</f>
        <v>1</v>
      </c>
      <c r="O2094">
        <v>1</v>
      </c>
      <c r="P2094">
        <v>0</v>
      </c>
      <c r="Q2094">
        <v>1</v>
      </c>
    </row>
    <row r="2095" spans="5:17" x14ac:dyDescent="0.2">
      <c r="E2095" s="9" t="s">
        <v>26</v>
      </c>
      <c r="K2095" t="str">
        <v>(You</v>
      </c>
      <c r="L2095" s="4" t="str">
        <f t="shared" si="39"/>
        <v xml:space="preserve"> You</v>
      </c>
      <c r="N2095" s="4" cm="1">
        <f t="array" ref="N2095">SUM(--(_xlfn.TEXTSPLIT($J$1780,, " ") = M2095))</f>
        <v>1</v>
      </c>
      <c r="O2095">
        <v>1</v>
      </c>
      <c r="P2095">
        <v>0</v>
      </c>
      <c r="Q2095">
        <v>1</v>
      </c>
    </row>
    <row r="2096" spans="5:17" x14ac:dyDescent="0.2">
      <c r="E2096" s="9" t="s">
        <v>26</v>
      </c>
      <c r="K2096" t="str">
        <v>can</v>
      </c>
      <c r="L2096" s="4" t="str">
        <f t="shared" si="39"/>
        <v>can</v>
      </c>
      <c r="N2096" s="4" cm="1">
        <f t="array" ref="N2096">SUM(--(_xlfn.TEXTSPLIT($J$1780,, " ") = M2096))</f>
        <v>1</v>
      </c>
      <c r="O2096">
        <v>1</v>
      </c>
      <c r="P2096">
        <v>0</v>
      </c>
      <c r="Q2096">
        <v>1</v>
      </c>
    </row>
    <row r="2097" spans="5:17" x14ac:dyDescent="0.2">
      <c r="E2097" s="9" t="s">
        <v>26</v>
      </c>
      <c r="K2097" t="str">
        <v>have),</v>
      </c>
      <c r="L2097" s="4" t="str">
        <f t="shared" si="39"/>
        <v xml:space="preserve">have  </v>
      </c>
      <c r="N2097" s="4" cm="1">
        <f t="array" ref="N2097">SUM(--(_xlfn.TEXTSPLIT($J$1780,, " ") = M2097))</f>
        <v>1</v>
      </c>
      <c r="O2097">
        <v>1</v>
      </c>
      <c r="P2097">
        <v>0</v>
      </c>
      <c r="Q2097">
        <v>1</v>
      </c>
    </row>
    <row r="2098" spans="5:17" x14ac:dyDescent="0.2">
      <c r="E2098" s="9" t="s">
        <v>26</v>
      </c>
      <c r="K2098" t="str">
        <v>I</v>
      </c>
      <c r="L2098" s="4" t="str">
        <f t="shared" si="39"/>
        <v>I</v>
      </c>
      <c r="N2098" s="4" cm="1">
        <f t="array" ref="N2098">SUM(--(_xlfn.TEXTSPLIT($J$1780,, " ") = M2098))</f>
        <v>1</v>
      </c>
      <c r="O2098">
        <v>1</v>
      </c>
      <c r="P2098">
        <v>0</v>
      </c>
      <c r="Q2098">
        <v>1</v>
      </c>
    </row>
    <row r="2099" spans="5:17" x14ac:dyDescent="0.2">
      <c r="E2099" s="9" t="s">
        <v>26</v>
      </c>
      <c r="K2099" t="str">
        <v>feel</v>
      </c>
      <c r="L2099" s="4" t="str">
        <f t="shared" si="39"/>
        <v>feel</v>
      </c>
      <c r="N2099" s="4" cm="1">
        <f t="array" ref="N2099">SUM(--(_xlfn.TEXTSPLIT($J$1780,, " ") = M2099))</f>
        <v>1</v>
      </c>
      <c r="O2099">
        <v>1</v>
      </c>
      <c r="P2099">
        <v>0</v>
      </c>
      <c r="Q2099">
        <v>1</v>
      </c>
    </row>
    <row r="2100" spans="5:17" x14ac:dyDescent="0.2">
      <c r="E2100" s="9" t="s">
        <v>26</v>
      </c>
      <c r="K2100" t="str">
        <v>better</v>
      </c>
      <c r="L2100" s="4" t="str">
        <f t="shared" si="39"/>
        <v>better</v>
      </c>
      <c r="N2100" s="4" cm="1">
        <f t="array" ref="N2100">SUM(--(_xlfn.TEXTSPLIT($J$1780,, " ") = M2100))</f>
        <v>1</v>
      </c>
      <c r="O2100">
        <v>1</v>
      </c>
      <c r="P2100">
        <v>0</v>
      </c>
      <c r="Q2100">
        <v>1</v>
      </c>
    </row>
    <row r="2101" spans="5:17" x14ac:dyDescent="0.2">
      <c r="E2101" s="9" t="s">
        <v>26</v>
      </c>
      <c r="K2101" t="str">
        <v>in</v>
      </c>
      <c r="L2101" s="4" t="str">
        <f t="shared" ref="L2101:L2164" si="40">_xlfn.REGEXREPLACE(K2101, "[^A-Za-z ]", " ")</f>
        <v>in</v>
      </c>
      <c r="N2101" s="4" cm="1">
        <f t="array" ref="N2101">SUM(--(_xlfn.TEXTSPLIT($J$1780,, " ") = M2101))</f>
        <v>1</v>
      </c>
      <c r="O2101">
        <v>1</v>
      </c>
      <c r="P2101">
        <v>0</v>
      </c>
      <c r="Q2101">
        <v>1</v>
      </c>
    </row>
    <row r="2102" spans="5:17" x14ac:dyDescent="0.2">
      <c r="E2102" s="9" t="s">
        <v>26</v>
      </c>
      <c r="K2102" t="str">
        <v>the</v>
      </c>
      <c r="L2102" s="4" t="str">
        <f t="shared" si="40"/>
        <v>the</v>
      </c>
      <c r="N2102" s="4" cm="1">
        <f t="array" ref="N2102">SUM(--(_xlfn.TEXTSPLIT($J$1780,, " ") = M2102))</f>
        <v>1</v>
      </c>
      <c r="O2102">
        <v>1</v>
      </c>
      <c r="P2102">
        <v>0</v>
      </c>
      <c r="Q2102">
        <v>1</v>
      </c>
    </row>
    <row r="2103" spans="5:17" x14ac:dyDescent="0.2">
      <c r="E2103" s="9" t="s">
        <v>26</v>
      </c>
      <c r="K2103" t="str">
        <v>cellar</v>
      </c>
      <c r="L2103" s="4" t="str">
        <f t="shared" si="40"/>
        <v>cellar</v>
      </c>
      <c r="N2103" s="4" cm="1">
        <f t="array" ref="N2103">SUM(--(_xlfn.TEXTSPLIT($J$1780,, " ") = M2103))</f>
        <v>1</v>
      </c>
      <c r="O2103">
        <v>1</v>
      </c>
      <c r="P2103">
        <v>0</v>
      </c>
      <c r="Q2103">
        <v>1</v>
      </c>
    </row>
    <row r="2104" spans="5:17" x14ac:dyDescent="0.2">
      <c r="E2104" s="9" t="s">
        <v>26</v>
      </c>
      <c r="K2104" t="str">
        <v>(All</v>
      </c>
      <c r="L2104" s="4" t="str">
        <f t="shared" si="40"/>
        <v xml:space="preserve"> All</v>
      </c>
      <c r="N2104" s="4" cm="1">
        <f t="array" ref="N2104">SUM(--(_xlfn.TEXTSPLIT($J$1780,, " ") = M2104))</f>
        <v>1</v>
      </c>
      <c r="O2104">
        <v>1</v>
      </c>
      <c r="P2104">
        <v>0</v>
      </c>
      <c r="Q2104">
        <v>1</v>
      </c>
    </row>
    <row r="2105" spans="5:17" x14ac:dyDescent="0.2">
      <c r="E2105" s="9" t="s">
        <v>26</v>
      </c>
      <c r="K2105" t="str">
        <v>I've</v>
      </c>
      <c r="L2105" s="4" t="str">
        <f t="shared" si="40"/>
        <v>I ve</v>
      </c>
      <c r="N2105" s="4" cm="1">
        <f t="array" ref="N2105">SUM(--(_xlfn.TEXTSPLIT($J$1780,, " ") = M2105))</f>
        <v>1</v>
      </c>
      <c r="O2105">
        <v>1</v>
      </c>
      <c r="P2105">
        <v>0</v>
      </c>
      <c r="Q2105">
        <v>1</v>
      </c>
    </row>
    <row r="2106" spans="5:17" x14ac:dyDescent="0.2">
      <c r="E2106" s="9" t="s">
        <v>26</v>
      </c>
      <c r="K2106" t="str">
        <v xml:space="preserve">made)
</v>
      </c>
      <c r="L2106" s="4" t="str">
        <f t="shared" si="40"/>
        <v xml:space="preserve">made  </v>
      </c>
      <c r="N2106" s="4" cm="1">
        <f t="array" ref="N2106">SUM(--(_xlfn.TEXTSPLIT($J$1780,, " ") = M2106))</f>
        <v>1</v>
      </c>
      <c r="O2106">
        <v>1</v>
      </c>
      <c r="P2106">
        <v>0</v>
      </c>
      <c r="Q2106">
        <v>1</v>
      </c>
    </row>
    <row r="2107" spans="5:17" x14ac:dyDescent="0.2">
      <c r="E2107" s="9" t="s">
        <v>26</v>
      </c>
      <c r="K2107" t="str">
        <v>Down</v>
      </c>
      <c r="L2107" s="4" t="str">
        <f t="shared" si="40"/>
        <v>Down</v>
      </c>
      <c r="N2107" s="4" cm="1">
        <f t="array" ref="N2107">SUM(--(_xlfn.TEXTSPLIT($J$1780,, " ") = M2107))</f>
        <v>1</v>
      </c>
      <c r="O2107">
        <v>1</v>
      </c>
      <c r="P2107">
        <v>0</v>
      </c>
      <c r="Q2107">
        <v>1</v>
      </c>
    </row>
    <row r="2108" spans="5:17" x14ac:dyDescent="0.2">
      <c r="E2108" s="9" t="s">
        <v>26</v>
      </c>
      <c r="K2108" t="str">
        <v>there,</v>
      </c>
      <c r="L2108" s="4" t="str">
        <f t="shared" si="40"/>
        <v xml:space="preserve">there </v>
      </c>
      <c r="N2108" s="4" cm="1">
        <f t="array" ref="N2108">SUM(--(_xlfn.TEXTSPLIT($J$1780,, " ") = M2108))</f>
        <v>1</v>
      </c>
      <c r="O2108">
        <v>1</v>
      </c>
      <c r="P2108">
        <v>0</v>
      </c>
      <c r="Q2108">
        <v>1</v>
      </c>
    </row>
    <row r="2109" spans="5:17" x14ac:dyDescent="0.2">
      <c r="E2109" s="9" t="s">
        <v>26</v>
      </c>
      <c r="K2109" t="str">
        <v>need</v>
      </c>
      <c r="L2109" s="4" t="str">
        <f t="shared" si="40"/>
        <v>need</v>
      </c>
      <c r="N2109" s="4" cm="1">
        <f t="array" ref="N2109">SUM(--(_xlfn.TEXTSPLIT($J$1780,, " ") = M2109))</f>
        <v>1</v>
      </c>
      <c r="O2109">
        <v>1</v>
      </c>
      <c r="P2109">
        <v>0</v>
      </c>
      <c r="Q2109">
        <v>1</v>
      </c>
    </row>
    <row r="2110" spans="5:17" x14ac:dyDescent="0.2">
      <c r="E2110" s="9" t="s">
        <v>26</v>
      </c>
      <c r="K2110" t="str">
        <v>some</v>
      </c>
      <c r="L2110" s="4" t="str">
        <f t="shared" si="40"/>
        <v>some</v>
      </c>
      <c r="N2110" s="4" cm="1">
        <f t="array" ref="N2110">SUM(--(_xlfn.TEXTSPLIT($J$1780,, " ") = M2110))</f>
        <v>1</v>
      </c>
      <c r="O2110">
        <v>1</v>
      </c>
      <c r="P2110">
        <v>0</v>
      </c>
      <c r="Q2110">
        <v>1</v>
      </c>
    </row>
    <row r="2111" spans="5:17" x14ac:dyDescent="0.2">
      <c r="E2111" s="9" t="s">
        <v>26</v>
      </c>
      <c r="K2111" t="str">
        <v>shelter</v>
      </c>
      <c r="L2111" s="4" t="str">
        <f t="shared" si="40"/>
        <v>shelter</v>
      </c>
      <c r="N2111" s="4" cm="1">
        <f t="array" ref="N2111">SUM(--(_xlfn.TEXTSPLIT($J$1780,, " ") = M2111))</f>
        <v>1</v>
      </c>
      <c r="O2111">
        <v>1</v>
      </c>
      <c r="P2111">
        <v>0</v>
      </c>
      <c r="Q2111">
        <v>1</v>
      </c>
    </row>
    <row r="2112" spans="5:17" x14ac:dyDescent="0.2">
      <c r="E2112" s="9" t="s">
        <v>26</v>
      </c>
      <c r="K2112" t="str">
        <v>from</v>
      </c>
      <c r="L2112" s="4" t="str">
        <f t="shared" si="40"/>
        <v>from</v>
      </c>
      <c r="N2112" s="4" cm="1">
        <f t="array" ref="N2112">SUM(--(_xlfn.TEXTSPLIT($J$1780,, " ") = M2112))</f>
        <v>1</v>
      </c>
      <c r="O2112">
        <v>1</v>
      </c>
      <c r="P2112">
        <v>0</v>
      </c>
      <c r="Q2112">
        <v>1</v>
      </c>
    </row>
    <row r="2113" spans="5:17" x14ac:dyDescent="0.2">
      <c r="E2113" s="9" t="s">
        <v>26</v>
      </c>
      <c r="K2113" t="str">
        <v>the</v>
      </c>
      <c r="L2113" s="4" t="str">
        <f t="shared" si="40"/>
        <v>the</v>
      </c>
      <c r="N2113" s="4" cm="1">
        <f t="array" ref="N2113">SUM(--(_xlfn.TEXTSPLIT($J$1780,, " ") = M2113))</f>
        <v>1</v>
      </c>
      <c r="O2113">
        <v>1</v>
      </c>
      <c r="P2113">
        <v>0</v>
      </c>
      <c r="Q2113">
        <v>1</v>
      </c>
    </row>
    <row r="2114" spans="5:17" x14ac:dyDescent="0.2">
      <c r="E2114" s="9" t="s">
        <v>26</v>
      </c>
      <c r="K2114" t="str">
        <v>weather</v>
      </c>
      <c r="L2114" s="4" t="str">
        <f t="shared" si="40"/>
        <v>weather</v>
      </c>
      <c r="N2114" s="4" cm="1">
        <f t="array" ref="N2114">SUM(--(_xlfn.TEXTSPLIT($J$1780,, " ") = M2114))</f>
        <v>1</v>
      </c>
      <c r="O2114">
        <v>1</v>
      </c>
      <c r="P2114">
        <v>0</v>
      </c>
      <c r="Q2114">
        <v>1</v>
      </c>
    </row>
    <row r="2115" spans="5:17" x14ac:dyDescent="0.2">
      <c r="E2115" s="9" t="s">
        <v>26</v>
      </c>
      <c r="K2115" t="str">
        <v>(All</v>
      </c>
      <c r="L2115" s="4" t="str">
        <f t="shared" si="40"/>
        <v xml:space="preserve"> All</v>
      </c>
      <c r="N2115" s="4" cm="1">
        <f t="array" ref="N2115">SUM(--(_xlfn.TEXTSPLIT($J$1780,, " ") = M2115))</f>
        <v>1</v>
      </c>
      <c r="O2115">
        <v>1</v>
      </c>
      <c r="P2115">
        <v>0</v>
      </c>
      <c r="Q2115">
        <v>1</v>
      </c>
    </row>
    <row r="2116" spans="5:17" x14ac:dyDescent="0.2">
      <c r="E2116" s="9" t="s">
        <v>26</v>
      </c>
      <c r="K2116" t="str">
        <v>I've</v>
      </c>
      <c r="L2116" s="4" t="str">
        <f t="shared" si="40"/>
        <v>I ve</v>
      </c>
      <c r="N2116" s="4" cm="1">
        <f t="array" ref="N2116">SUM(--(_xlfn.TEXTSPLIT($J$1780,, " ") = M2116))</f>
        <v>1</v>
      </c>
      <c r="O2116">
        <v>1</v>
      </c>
      <c r="P2116">
        <v>0</v>
      </c>
      <c r="Q2116">
        <v>1</v>
      </c>
    </row>
    <row r="2117" spans="5:17" x14ac:dyDescent="0.2">
      <c r="E2117" s="9" t="s">
        <v>26</v>
      </c>
      <c r="K2117" t="str">
        <v>ever</v>
      </c>
      <c r="L2117" s="4" t="str">
        <f t="shared" si="40"/>
        <v>ever</v>
      </c>
      <c r="N2117" s="4" cm="1">
        <f t="array" ref="N2117">SUM(--(_xlfn.TEXTSPLIT($J$1780,, " ") = M2117))</f>
        <v>1</v>
      </c>
      <c r="O2117">
        <v>1</v>
      </c>
      <c r="P2117">
        <v>0</v>
      </c>
      <c r="Q2117">
        <v>1</v>
      </c>
    </row>
    <row r="2118" spans="5:17" x14ac:dyDescent="0.2">
      <c r="E2118" s="9" t="s">
        <v>26</v>
      </c>
      <c r="K2118" t="str">
        <v xml:space="preserve">known)
</v>
      </c>
      <c r="L2118" s="4" t="str">
        <f t="shared" si="40"/>
        <v xml:space="preserve">known  </v>
      </c>
      <c r="N2118" s="4" cm="1">
        <f t="array" ref="N2118">SUM(--(_xlfn.TEXTSPLIT($J$1780,, " ") = M2118))</f>
        <v>1</v>
      </c>
      <c r="O2118">
        <v>1</v>
      </c>
      <c r="P2118">
        <v>0</v>
      </c>
      <c r="Q2118">
        <v>1</v>
      </c>
    </row>
    <row r="2119" spans="5:17" x14ac:dyDescent="0.2">
      <c r="E2119" s="9" t="s">
        <v>26</v>
      </c>
      <c r="K2119" t="str">
        <v>I</v>
      </c>
      <c r="L2119" s="4" t="str">
        <f t="shared" si="40"/>
        <v>I</v>
      </c>
      <c r="N2119" s="4" cm="1">
        <f t="array" ref="N2119">SUM(--(_xlfn.TEXTSPLIT($J$1780,, " ") = M2119))</f>
        <v>1</v>
      </c>
      <c r="O2119">
        <v>1</v>
      </c>
      <c r="P2119">
        <v>0</v>
      </c>
      <c r="Q2119">
        <v>1</v>
      </c>
    </row>
    <row r="2120" spans="5:17" x14ac:dyDescent="0.2">
      <c r="E2120" s="9" t="s">
        <v>26</v>
      </c>
      <c r="K2120" t="str">
        <v>wear</v>
      </c>
      <c r="L2120" s="4" t="str">
        <f t="shared" si="40"/>
        <v>wear</v>
      </c>
      <c r="N2120" s="4" cm="1">
        <f t="array" ref="N2120">SUM(--(_xlfn.TEXTSPLIT($J$1780,, " ") = M2120))</f>
        <v>1</v>
      </c>
      <c r="O2120">
        <v>1</v>
      </c>
      <c r="P2120">
        <v>0</v>
      </c>
      <c r="Q2120">
        <v>1</v>
      </c>
    </row>
    <row r="2121" spans="5:17" x14ac:dyDescent="0.2">
      <c r="E2121" s="9" t="s">
        <v>26</v>
      </c>
      <c r="K2121" t="str">
        <v>(You</v>
      </c>
      <c r="L2121" s="4" t="str">
        <f t="shared" si="40"/>
        <v xml:space="preserve"> You</v>
      </c>
      <c r="N2121" s="4" cm="1">
        <f t="array" ref="N2121">SUM(--(_xlfn.TEXTSPLIT($J$1780,, " ") = M2121))</f>
        <v>1</v>
      </c>
      <c r="O2121">
        <v>1</v>
      </c>
      <c r="P2121">
        <v>0</v>
      </c>
      <c r="Q2121">
        <v>1</v>
      </c>
    </row>
    <row r="2122" spans="5:17" x14ac:dyDescent="0.2">
      <c r="E2122" s="9" t="s">
        <v>26</v>
      </c>
      <c r="K2122" t="str">
        <v>can</v>
      </c>
      <c r="L2122" s="4" t="str">
        <f t="shared" si="40"/>
        <v>can</v>
      </c>
      <c r="N2122" s="4" cm="1">
        <f t="array" ref="N2122">SUM(--(_xlfn.TEXTSPLIT($J$1780,, " ") = M2122))</f>
        <v>1</v>
      </c>
      <c r="O2122">
        <v>1</v>
      </c>
      <c r="P2122">
        <v>0</v>
      </c>
      <c r="Q2122">
        <v>1</v>
      </c>
    </row>
    <row r="2123" spans="5:17" x14ac:dyDescent="0.2">
      <c r="E2123" s="9" t="s">
        <v>26</v>
      </c>
      <c r="K2123" t="str">
        <v>have)</v>
      </c>
      <c r="L2123" s="4" t="str">
        <f t="shared" si="40"/>
        <v xml:space="preserve">have </v>
      </c>
      <c r="N2123" s="4" cm="1">
        <f t="array" ref="N2123">SUM(--(_xlfn.TEXTSPLIT($J$1780,, " ") = M2123))</f>
        <v>1</v>
      </c>
      <c r="O2123">
        <v>1</v>
      </c>
      <c r="P2123">
        <v>0</v>
      </c>
      <c r="Q2123">
        <v>1</v>
      </c>
    </row>
    <row r="2124" spans="5:17" x14ac:dyDescent="0.2">
      <c r="E2124" s="9" t="s">
        <v>26</v>
      </c>
      <c r="K2124" t="str">
        <v>all</v>
      </c>
      <c r="L2124" s="4" t="str">
        <f t="shared" si="40"/>
        <v>all</v>
      </c>
      <c r="N2124" s="4" cm="1">
        <f t="array" ref="N2124">SUM(--(_xlfn.TEXTSPLIT($J$1780,, " ") = M2124))</f>
        <v>1</v>
      </c>
      <c r="O2124">
        <v>1</v>
      </c>
      <c r="P2124">
        <v>0</v>
      </c>
      <c r="Q2124">
        <v>1</v>
      </c>
    </row>
    <row r="2125" spans="5:17" x14ac:dyDescent="0.2">
      <c r="E2125" s="9" t="s">
        <v>26</v>
      </c>
      <c r="K2125" t="str">
        <v>of</v>
      </c>
      <c r="L2125" s="4" t="str">
        <f t="shared" si="40"/>
        <v>of</v>
      </c>
      <c r="N2125" s="4" cm="1">
        <f t="array" ref="N2125">SUM(--(_xlfn.TEXTSPLIT($J$1780,, " ") = M2125))</f>
        <v>1</v>
      </c>
      <c r="O2125">
        <v>1</v>
      </c>
      <c r="P2125">
        <v>0</v>
      </c>
      <c r="Q2125">
        <v>1</v>
      </c>
    </row>
    <row r="2126" spans="5:17" x14ac:dyDescent="0.2">
      <c r="E2126" s="9" t="s">
        <v>26</v>
      </c>
      <c r="K2126" t="str">
        <v>my</v>
      </c>
      <c r="L2126" s="4" t="str">
        <f t="shared" si="40"/>
        <v>my</v>
      </c>
      <c r="N2126" s="4" cm="1">
        <f t="array" ref="N2126">SUM(--(_xlfn.TEXTSPLIT($J$1780,, " ") = M2126))</f>
        <v>1</v>
      </c>
      <c r="O2126">
        <v>1</v>
      </c>
      <c r="P2126">
        <v>0</v>
      </c>
      <c r="Q2126">
        <v>1</v>
      </c>
    </row>
    <row r="2127" spans="5:17" x14ac:dyDescent="0.2">
      <c r="E2127" s="9" t="s">
        <v>26</v>
      </c>
      <c r="K2127" t="str">
        <v>heart</v>
      </c>
      <c r="L2127" s="4" t="str">
        <f t="shared" si="40"/>
        <v>heart</v>
      </c>
      <c r="N2127" s="4" cm="1">
        <f t="array" ref="N2127">SUM(--(_xlfn.TEXTSPLIT($J$1780,, " ") = M2127))</f>
        <v>1</v>
      </c>
      <c r="O2127">
        <v>1</v>
      </c>
      <c r="P2127">
        <v>0</v>
      </c>
      <c r="Q2127">
        <v>1</v>
      </c>
    </row>
    <row r="2128" spans="5:17" x14ac:dyDescent="0.2">
      <c r="E2128" s="9" t="s">
        <v>26</v>
      </c>
      <c r="K2128" t="str">
        <v>on</v>
      </c>
      <c r="L2128" s="4" t="str">
        <f t="shared" si="40"/>
        <v>on</v>
      </c>
      <c r="N2128" s="4" cm="1">
        <f t="array" ref="N2128">SUM(--(_xlfn.TEXTSPLIT($J$1780,, " ") = M2128))</f>
        <v>1</v>
      </c>
      <c r="O2128">
        <v>1</v>
      </c>
      <c r="P2128">
        <v>0</v>
      </c>
      <c r="Q2128">
        <v>1</v>
      </c>
    </row>
    <row r="2129" spans="5:17" x14ac:dyDescent="0.2">
      <c r="E2129" s="9" t="s">
        <v>26</v>
      </c>
      <c r="K2129" t="str">
        <v>my</v>
      </c>
      <c r="L2129" s="4" t="str">
        <f t="shared" si="40"/>
        <v>my</v>
      </c>
      <c r="N2129" s="4" cm="1">
        <f t="array" ref="N2129">SUM(--(_xlfn.TEXTSPLIT($J$1780,, " ") = M2129))</f>
        <v>1</v>
      </c>
      <c r="O2129">
        <v>1</v>
      </c>
      <c r="P2129">
        <v>0</v>
      </c>
      <c r="Q2129">
        <v>1</v>
      </c>
    </row>
    <row r="2130" spans="5:17" x14ac:dyDescent="0.2">
      <c r="E2130" s="9" t="s">
        <v>26</v>
      </c>
      <c r="K2130" t="str">
        <v>sleeve</v>
      </c>
      <c r="L2130" s="4" t="str">
        <f t="shared" si="40"/>
        <v>sleeve</v>
      </c>
      <c r="N2130" s="4" cm="1">
        <f t="array" ref="N2130">SUM(--(_xlfn.TEXTSPLIT($J$1780,, " ") = M2130))</f>
        <v>1</v>
      </c>
      <c r="O2130">
        <v>1</v>
      </c>
      <c r="P2130">
        <v>0</v>
      </c>
      <c r="Q2130">
        <v>1</v>
      </c>
    </row>
    <row r="2131" spans="5:17" x14ac:dyDescent="0.2">
      <c r="E2131" s="9" t="s">
        <v>26</v>
      </c>
      <c r="K2131" t="str">
        <v>(Both</v>
      </c>
      <c r="L2131" s="4" t="str">
        <f t="shared" si="40"/>
        <v xml:space="preserve"> Both</v>
      </c>
      <c r="N2131" s="4" cm="1">
        <f t="array" ref="N2131">SUM(--(_xlfn.TEXTSPLIT($J$1780,, " ") = M2131))</f>
        <v>1</v>
      </c>
      <c r="O2131">
        <v>1</v>
      </c>
      <c r="P2131">
        <v>0</v>
      </c>
      <c r="Q2131">
        <v>1</v>
      </c>
    </row>
    <row r="2132" spans="5:17" x14ac:dyDescent="0.2">
      <c r="E2132" s="9" t="s">
        <v>26</v>
      </c>
      <c r="K2132" t="str">
        <v>my</v>
      </c>
      <c r="L2132" s="4" t="str">
        <f t="shared" si="40"/>
        <v>my</v>
      </c>
      <c r="N2132" s="4" cm="1">
        <f t="array" ref="N2132">SUM(--(_xlfn.TEXTSPLIT($J$1780,, " ") = M2132))</f>
        <v>1</v>
      </c>
      <c r="O2132">
        <v>1</v>
      </c>
      <c r="P2132">
        <v>0</v>
      </c>
      <c r="Q2132">
        <v>1</v>
      </c>
    </row>
    <row r="2133" spans="5:17" x14ac:dyDescent="0.2">
      <c r="E2133" s="9" t="s">
        <v>26</v>
      </c>
      <c r="K2133" t="str">
        <v xml:space="preserve">lungs)
</v>
      </c>
      <c r="L2133" s="4" t="str">
        <f t="shared" si="40"/>
        <v xml:space="preserve">lungs  </v>
      </c>
      <c r="N2133" s="4" cm="1">
        <f t="array" ref="N2133">SUM(--(_xlfn.TEXTSPLIT($J$1780,, " ") = M2133))</f>
        <v>1</v>
      </c>
      <c r="O2133">
        <v>1</v>
      </c>
      <c r="P2133">
        <v>0</v>
      </c>
      <c r="Q2133">
        <v>1</v>
      </c>
    </row>
    <row r="2134" spans="5:17" x14ac:dyDescent="0.2">
      <c r="E2134" s="9" t="s">
        <v>26</v>
      </c>
      <c r="K2134" t="str">
        <v>I'll</v>
      </c>
      <c r="L2134" s="4" t="str">
        <f t="shared" si="40"/>
        <v>I ll</v>
      </c>
      <c r="N2134" s="4" cm="1">
        <f t="array" ref="N2134">SUM(--(_xlfn.TEXTSPLIT($J$1780,, " ") = M2134))</f>
        <v>1</v>
      </c>
      <c r="O2134">
        <v>1</v>
      </c>
      <c r="P2134">
        <v>0</v>
      </c>
      <c r="Q2134">
        <v>1</v>
      </c>
    </row>
    <row r="2135" spans="5:17" x14ac:dyDescent="0.2">
      <c r="E2135" s="9" t="s">
        <v>26</v>
      </c>
      <c r="K2135" t="str">
        <v>take</v>
      </c>
      <c r="L2135" s="4" t="str">
        <f t="shared" si="40"/>
        <v>take</v>
      </c>
      <c r="N2135" s="4" cm="1">
        <f t="array" ref="N2135">SUM(--(_xlfn.TEXTSPLIT($J$1780,, " ") = M2135))</f>
        <v>1</v>
      </c>
      <c r="O2135">
        <v>1</v>
      </c>
      <c r="P2135">
        <v>0</v>
      </c>
      <c r="Q2135">
        <v>1</v>
      </c>
    </row>
    <row r="2136" spans="5:17" x14ac:dyDescent="0.2">
      <c r="E2136" s="9" t="s">
        <v>26</v>
      </c>
      <c r="K2136" t="str">
        <v>what</v>
      </c>
      <c r="L2136" s="4" t="str">
        <f t="shared" si="40"/>
        <v>what</v>
      </c>
      <c r="N2136" s="4" cm="1">
        <f t="array" ref="N2136">SUM(--(_xlfn.TEXTSPLIT($J$1780,, " ") = M2136))</f>
        <v>1</v>
      </c>
      <c r="O2136">
        <v>1</v>
      </c>
      <c r="P2136">
        <v>0</v>
      </c>
      <c r="Q2136">
        <v>1</v>
      </c>
    </row>
    <row r="2137" spans="5:17" x14ac:dyDescent="0.2">
      <c r="E2137" s="9" t="s">
        <v>26</v>
      </c>
      <c r="K2137" t="str">
        <v>I</v>
      </c>
      <c r="L2137" s="4" t="str">
        <f t="shared" si="40"/>
        <v>I</v>
      </c>
      <c r="N2137" s="4" cm="1">
        <f t="array" ref="N2137">SUM(--(_xlfn.TEXTSPLIT($J$1780,, " ") = M2137))</f>
        <v>1</v>
      </c>
      <c r="O2137">
        <v>1</v>
      </c>
      <c r="P2137">
        <v>0</v>
      </c>
      <c r="Q2137">
        <v>1</v>
      </c>
    </row>
    <row r="2138" spans="5:17" x14ac:dyDescent="0.2">
      <c r="E2138" s="9" t="s">
        <v>26</v>
      </c>
      <c r="K2138" t="str">
        <v>believe,</v>
      </c>
      <c r="L2138" s="4" t="str">
        <f t="shared" si="40"/>
        <v xml:space="preserve">believe </v>
      </c>
      <c r="N2138" s="4" cm="1">
        <f t="array" ref="N2138">SUM(--(_xlfn.TEXTSPLIT($J$1780,, " ") = M2138))</f>
        <v>1</v>
      </c>
      <c r="O2138">
        <v>1</v>
      </c>
      <c r="P2138">
        <v>0</v>
      </c>
      <c r="Q2138">
        <v>1</v>
      </c>
    </row>
    <row r="2139" spans="5:17" x14ac:dyDescent="0.2">
      <c r="E2139" s="9" t="s">
        <v>26</v>
      </c>
      <c r="K2139" t="str">
        <v>and</v>
      </c>
      <c r="L2139" s="4" t="str">
        <f t="shared" si="40"/>
        <v>and</v>
      </c>
      <c r="N2139" s="4" cm="1">
        <f t="array" ref="N2139">SUM(--(_xlfn.TEXTSPLIT($J$1780,, " ") = M2139))</f>
        <v>1</v>
      </c>
      <c r="O2139">
        <v>1</v>
      </c>
      <c r="P2139">
        <v>0</v>
      </c>
      <c r="Q2139">
        <v>1</v>
      </c>
    </row>
    <row r="2140" spans="5:17" x14ac:dyDescent="0.2">
      <c r="E2140" s="9" t="s">
        <v>26</v>
      </c>
      <c r="K2140" t="str">
        <v>I'm</v>
      </c>
      <c r="L2140" s="4" t="str">
        <f t="shared" si="40"/>
        <v>I m</v>
      </c>
      <c r="N2140" s="4" cm="1">
        <f t="array" ref="N2140">SUM(--(_xlfn.TEXTSPLIT($J$1780,, " ") = M2140))</f>
        <v>1</v>
      </c>
      <c r="O2140">
        <v>1</v>
      </c>
      <c r="P2140">
        <v>0</v>
      </c>
      <c r="Q2140">
        <v>1</v>
      </c>
    </row>
    <row r="2141" spans="5:17" x14ac:dyDescent="0.2">
      <c r="E2141" s="9" t="s">
        <v>26</v>
      </c>
      <c r="K2141" t="str">
        <v>hiding</v>
      </c>
      <c r="L2141" s="4" t="str">
        <f t="shared" si="40"/>
        <v>hiding</v>
      </c>
      <c r="N2141" s="4" cm="1">
        <f t="array" ref="N2141">SUM(--(_xlfn.TEXTSPLIT($J$1780,, " ") = M2141))</f>
        <v>1</v>
      </c>
      <c r="O2141">
        <v>1</v>
      </c>
      <c r="P2141">
        <v>0</v>
      </c>
      <c r="Q2141">
        <v>1</v>
      </c>
    </row>
    <row r="2142" spans="5:17" x14ac:dyDescent="0.2">
      <c r="E2142" s="9" t="s">
        <v>26</v>
      </c>
      <c r="K2142" t="str">
        <v>it,</v>
      </c>
      <c r="L2142" s="4" t="str">
        <f t="shared" si="40"/>
        <v xml:space="preserve">it </v>
      </c>
      <c r="N2142" s="4" cm="1">
        <f t="array" ref="N2142">SUM(--(_xlfn.TEXTSPLIT($J$1780,, " ") = M2142))</f>
        <v>1</v>
      </c>
      <c r="O2142">
        <v>1</v>
      </c>
      <c r="P2142">
        <v>0</v>
      </c>
      <c r="Q2142">
        <v>1</v>
      </c>
    </row>
    <row r="2143" spans="5:17" x14ac:dyDescent="0.2">
      <c r="E2143" s="9" t="s">
        <v>26</v>
      </c>
      <c r="K2143" t="str">
        <v>yeah</v>
      </c>
      <c r="L2143" s="4" t="str">
        <f t="shared" si="40"/>
        <v>yeah</v>
      </c>
      <c r="N2143" s="4" cm="1">
        <f t="array" ref="N2143">SUM(--(_xlfn.TEXTSPLIT($J$1780,, " ") = M2143))</f>
        <v>1</v>
      </c>
      <c r="O2143">
        <v>1</v>
      </c>
      <c r="P2143">
        <v>0</v>
      </c>
      <c r="Q2143">
        <v>1</v>
      </c>
    </row>
    <row r="2144" spans="5:17" x14ac:dyDescent="0.2">
      <c r="E2144" s="9" t="s">
        <v>26</v>
      </c>
      <c r="K2144" t="str">
        <v>(If</v>
      </c>
      <c r="L2144" s="4" t="str">
        <f t="shared" si="40"/>
        <v xml:space="preserve"> If</v>
      </c>
      <c r="N2144" s="4" cm="1">
        <f t="array" ref="N2144">SUM(--(_xlfn.TEXTSPLIT($J$1780,, " ") = M2144))</f>
        <v>1</v>
      </c>
      <c r="O2144">
        <v>1</v>
      </c>
      <c r="P2144">
        <v>0</v>
      </c>
      <c r="Q2144">
        <v>1</v>
      </c>
    </row>
    <row r="2145" spans="5:17" x14ac:dyDescent="0.2">
      <c r="E2145" s="9" t="s">
        <v>26</v>
      </c>
      <c r="K2145" t="str">
        <v>you</v>
      </c>
      <c r="L2145" s="4" t="str">
        <f t="shared" si="40"/>
        <v>you</v>
      </c>
      <c r="N2145" s="4" cm="1">
        <f t="array" ref="N2145">SUM(--(_xlfn.TEXTSPLIT($J$1780,, " ") = M2145))</f>
        <v>1</v>
      </c>
      <c r="O2145">
        <v>1</v>
      </c>
      <c r="P2145">
        <v>0</v>
      </c>
      <c r="Q2145">
        <v>1</v>
      </c>
    </row>
    <row r="2146" spans="5:17" x14ac:dyDescent="0.2">
      <c r="E2146" s="9" t="s">
        <v>26</v>
      </c>
      <c r="K2146" t="str">
        <v>ask</v>
      </c>
      <c r="L2146" s="4" t="str">
        <f t="shared" si="40"/>
        <v>ask</v>
      </c>
      <c r="N2146" s="4" cm="1">
        <f t="array" ref="N2146">SUM(--(_xlfn.TEXTSPLIT($J$1780,, " ") = M2146))</f>
        <v>1</v>
      </c>
      <c r="O2146">
        <v>1</v>
      </c>
      <c r="P2146">
        <v>0</v>
      </c>
      <c r="Q2146">
        <v>1</v>
      </c>
    </row>
    <row r="2147" spans="5:17" x14ac:dyDescent="0.2">
      <c r="E2147" s="9" t="s">
        <v>26</v>
      </c>
      <c r="K2147" t="str">
        <v>me</v>
      </c>
      <c r="L2147" s="4" t="str">
        <f t="shared" si="40"/>
        <v>me</v>
      </c>
      <c r="N2147" s="4" cm="1">
        <f t="array" ref="N2147">SUM(--(_xlfn.TEXTSPLIT($J$1780,, " ") = M2147))</f>
        <v>1</v>
      </c>
      <c r="O2147">
        <v>1</v>
      </c>
      <c r="P2147">
        <v>0</v>
      </c>
      <c r="Q2147">
        <v>1</v>
      </c>
    </row>
    <row r="2148" spans="5:17" x14ac:dyDescent="0.2">
      <c r="E2148" s="9" t="s">
        <v>26</v>
      </c>
      <c r="K2148" t="str">
        <v>so,</v>
      </c>
      <c r="L2148" s="4" t="str">
        <f t="shared" si="40"/>
        <v xml:space="preserve">so </v>
      </c>
      <c r="N2148" s="4" cm="1">
        <f t="array" ref="N2148">SUM(--(_xlfn.TEXTSPLIT($J$1780,, " ") = M2148))</f>
        <v>1</v>
      </c>
      <c r="O2148">
        <v>1</v>
      </c>
      <c r="P2148">
        <v>0</v>
      </c>
      <c r="Q2148">
        <v>1</v>
      </c>
    </row>
    <row r="2149" spans="5:17" x14ac:dyDescent="0.2">
      <c r="E2149" s="9" t="s">
        <v>26</v>
      </c>
      <c r="K2149" t="str">
        <v xml:space="preserve">oh)
</v>
      </c>
      <c r="L2149" s="4" t="str">
        <f t="shared" si="40"/>
        <v xml:space="preserve">oh  </v>
      </c>
      <c r="N2149" s="4" cm="1">
        <f t="array" ref="N2149">SUM(--(_xlfn.TEXTSPLIT($J$1780,, " ") = M2149))</f>
        <v>1</v>
      </c>
      <c r="O2149">
        <v>1</v>
      </c>
      <c r="P2149">
        <v>0</v>
      </c>
      <c r="Q2149">
        <v>1</v>
      </c>
    </row>
    <row r="2150" spans="5:17" x14ac:dyDescent="0.2">
      <c r="E2150" s="9" t="s">
        <v>26</v>
      </c>
      <c r="K2150" t="str">
        <v>And</v>
      </c>
      <c r="L2150" s="4" t="str">
        <f t="shared" si="40"/>
        <v>And</v>
      </c>
      <c r="N2150" s="4" cm="1">
        <f t="array" ref="N2150">SUM(--(_xlfn.TEXTSPLIT($J$1780,, " ") = M2150))</f>
        <v>1</v>
      </c>
      <c r="O2150">
        <v>1</v>
      </c>
      <c r="P2150">
        <v>0</v>
      </c>
      <c r="Q2150">
        <v>1</v>
      </c>
    </row>
    <row r="2151" spans="5:17" x14ac:dyDescent="0.2">
      <c r="E2151" s="9" t="s">
        <v>26</v>
      </c>
      <c r="K2151" t="str">
        <v>I'm</v>
      </c>
      <c r="L2151" s="4" t="str">
        <f t="shared" si="40"/>
        <v>I m</v>
      </c>
      <c r="N2151" s="4" cm="1">
        <f t="array" ref="N2151">SUM(--(_xlfn.TEXTSPLIT($J$1780,, " ") = M2151))</f>
        <v>1</v>
      </c>
      <c r="O2151">
        <v>1</v>
      </c>
      <c r="P2151">
        <v>0</v>
      </c>
      <c r="Q2151">
        <v>1</v>
      </c>
    </row>
    <row r="2152" spans="5:17" x14ac:dyDescent="0.2">
      <c r="E2152" s="9" t="s">
        <v>26</v>
      </c>
      <c r="K2152" t="str">
        <v>hiding</v>
      </c>
      <c r="L2152" s="4" t="str">
        <f t="shared" si="40"/>
        <v>hiding</v>
      </c>
      <c r="N2152" s="4" cm="1">
        <f t="array" ref="N2152">SUM(--(_xlfn.TEXTSPLIT($J$1780,, " ") = M2152))</f>
        <v>1</v>
      </c>
      <c r="O2152">
        <v>1</v>
      </c>
      <c r="P2152">
        <v>0</v>
      </c>
      <c r="Q2152">
        <v>1</v>
      </c>
    </row>
    <row r="2153" spans="5:17" x14ac:dyDescent="0.2">
      <c r="E2153" s="9" t="s">
        <v>26</v>
      </c>
      <c r="K2153" t="str">
        <v>it,</v>
      </c>
      <c r="L2153" s="4" t="str">
        <f t="shared" si="40"/>
        <v xml:space="preserve">it </v>
      </c>
      <c r="N2153" s="4" cm="1">
        <f t="array" ref="N2153">SUM(--(_xlfn.TEXTSPLIT($J$1780,, " ") = M2153))</f>
        <v>1</v>
      </c>
      <c r="O2153">
        <v>1</v>
      </c>
      <c r="P2153">
        <v>0</v>
      </c>
      <c r="Q2153">
        <v>1</v>
      </c>
    </row>
    <row r="2154" spans="5:17" x14ac:dyDescent="0.2">
      <c r="E2154" s="9" t="s">
        <v>26</v>
      </c>
      <c r="K2154" t="str">
        <v>yeah</v>
      </c>
      <c r="L2154" s="4" t="str">
        <f t="shared" si="40"/>
        <v>yeah</v>
      </c>
      <c r="N2154" s="4" cm="1">
        <f t="array" ref="N2154">SUM(--(_xlfn.TEXTSPLIT($J$1780,, " ") = M2154))</f>
        <v>1</v>
      </c>
      <c r="O2154">
        <v>1</v>
      </c>
      <c r="P2154">
        <v>0</v>
      </c>
      <c r="Q2154">
        <v>1</v>
      </c>
    </row>
    <row r="2155" spans="5:17" x14ac:dyDescent="0.2">
      <c r="E2155" s="9" t="s">
        <v>26</v>
      </c>
      <c r="K2155" t="str">
        <v>('Cause</v>
      </c>
      <c r="L2155" s="4" t="str">
        <f t="shared" si="40"/>
        <v xml:space="preserve">  Cause</v>
      </c>
      <c r="N2155" s="4" cm="1">
        <f t="array" ref="N2155">SUM(--(_xlfn.TEXTSPLIT($J$1780,, " ") = M2155))</f>
        <v>1</v>
      </c>
      <c r="O2155">
        <v>1</v>
      </c>
      <c r="P2155">
        <v>0</v>
      </c>
      <c r="Q2155">
        <v>1</v>
      </c>
    </row>
    <row r="2156" spans="5:17" x14ac:dyDescent="0.2">
      <c r="E2156" s="9" t="s">
        <v>26</v>
      </c>
      <c r="K2156" t="str">
        <v>I</v>
      </c>
      <c r="L2156" s="4" t="str">
        <f t="shared" si="40"/>
        <v>I</v>
      </c>
      <c r="N2156" s="4" cm="1">
        <f t="array" ref="N2156">SUM(--(_xlfn.TEXTSPLIT($J$1780,, " ") = M2156))</f>
        <v>1</v>
      </c>
      <c r="O2156">
        <v>1</v>
      </c>
      <c r="P2156">
        <v>0</v>
      </c>
      <c r="Q2156">
        <v>1</v>
      </c>
    </row>
    <row r="2157" spans="5:17" x14ac:dyDescent="0.2">
      <c r="E2157" s="9" t="s">
        <v>26</v>
      </c>
      <c r="K2157" t="str">
        <v>want</v>
      </c>
      <c r="L2157" s="4" t="str">
        <f t="shared" si="40"/>
        <v>want</v>
      </c>
      <c r="N2157" s="4" cm="1">
        <f t="array" ref="N2157">SUM(--(_xlfn.TEXTSPLIT($J$1780,, " ") = M2157))</f>
        <v>1</v>
      </c>
      <c r="O2157">
        <v>1</v>
      </c>
      <c r="P2157">
        <v>0</v>
      </c>
      <c r="Q2157">
        <v>1</v>
      </c>
    </row>
    <row r="2158" spans="5:17" x14ac:dyDescent="0.2">
      <c r="E2158" s="9" t="s">
        <v>26</v>
      </c>
      <c r="K2158" t="str">
        <v>to</v>
      </c>
      <c r="L2158" s="4" t="str">
        <f t="shared" si="40"/>
        <v>to</v>
      </c>
      <c r="N2158" s="4" cm="1">
        <f t="array" ref="N2158">SUM(--(_xlfn.TEXTSPLIT($J$1780,, " ") = M2158))</f>
        <v>1</v>
      </c>
      <c r="O2158">
        <v>1</v>
      </c>
      <c r="P2158">
        <v>0</v>
      </c>
      <c r="Q2158">
        <v>1</v>
      </c>
    </row>
    <row r="2159" spans="5:17" x14ac:dyDescent="0.2">
      <c r="E2159" s="9" t="s">
        <v>26</v>
      </c>
      <c r="K2159" t="str">
        <v>be</v>
      </c>
      <c r="L2159" s="4" t="str">
        <f t="shared" si="40"/>
        <v>be</v>
      </c>
      <c r="N2159" s="4" cm="1">
        <f t="array" ref="N2159">SUM(--(_xlfn.TEXTSPLIT($J$1780,, " ") = M2159))</f>
        <v>1</v>
      </c>
      <c r="O2159">
        <v>1</v>
      </c>
      <c r="P2159">
        <v>0</v>
      </c>
      <c r="Q2159">
        <v>1</v>
      </c>
    </row>
    <row r="2160" spans="5:17" x14ac:dyDescent="0.2">
      <c r="E2160" s="9" t="s">
        <v>26</v>
      </c>
      <c r="K2160" t="str">
        <v>the</v>
      </c>
      <c r="L2160" s="4" t="str">
        <f t="shared" si="40"/>
        <v>the</v>
      </c>
      <c r="N2160" s="4" cm="1">
        <f t="array" ref="N2160">SUM(--(_xlfn.TEXTSPLIT($J$1780,, " ") = M2160))</f>
        <v>1</v>
      </c>
      <c r="O2160">
        <v>1</v>
      </c>
      <c r="P2160">
        <v>0</v>
      </c>
      <c r="Q2160">
        <v>1</v>
      </c>
    </row>
    <row r="2161" spans="5:17" x14ac:dyDescent="0.2">
      <c r="E2161" s="9" t="s">
        <v>26</v>
      </c>
      <c r="K2161" t="str">
        <v xml:space="preserve">one)
</v>
      </c>
      <c r="L2161" s="4" t="str">
        <f t="shared" si="40"/>
        <v xml:space="preserve">one  </v>
      </c>
      <c r="N2161" s="4" cm="1">
        <f t="array" ref="N2161">SUM(--(_xlfn.TEXTSPLIT($J$1780,, " ") = M2161))</f>
        <v>1</v>
      </c>
      <c r="O2161">
        <v>1</v>
      </c>
      <c r="P2161">
        <v>0</v>
      </c>
      <c r="Q2161">
        <v>1</v>
      </c>
    </row>
    <row r="2162" spans="5:17" x14ac:dyDescent="0.2">
      <c r="E2162" s="9" t="s">
        <v>26</v>
      </c>
      <c r="K2162" t="str">
        <v>And</v>
      </c>
      <c r="L2162" s="4" t="str">
        <f t="shared" si="40"/>
        <v>And</v>
      </c>
      <c r="N2162" s="4" cm="1">
        <f t="array" ref="N2162">SUM(--(_xlfn.TEXTSPLIT($J$1780,, " ") = M2162))</f>
        <v>1</v>
      </c>
      <c r="O2162">
        <v>1</v>
      </c>
      <c r="P2162">
        <v>0</v>
      </c>
      <c r="Q2162">
        <v>1</v>
      </c>
    </row>
    <row r="2163" spans="5:17" x14ac:dyDescent="0.2">
      <c r="E2163" s="9" t="s">
        <v>26</v>
      </c>
      <c r="K2163" t="str">
        <v>I'm</v>
      </c>
      <c r="L2163" s="4" t="str">
        <f t="shared" si="40"/>
        <v>I m</v>
      </c>
      <c r="N2163" s="4" cm="1">
        <f t="array" ref="N2163">SUM(--(_xlfn.TEXTSPLIT($J$1780,, " ") = M2163))</f>
        <v>1</v>
      </c>
      <c r="O2163">
        <v>1</v>
      </c>
      <c r="P2163">
        <v>0</v>
      </c>
      <c r="Q2163">
        <v>1</v>
      </c>
    </row>
    <row r="2164" spans="5:17" x14ac:dyDescent="0.2">
      <c r="E2164" s="9" t="s">
        <v>26</v>
      </c>
      <c r="K2164" t="str">
        <v>hiding</v>
      </c>
      <c r="L2164" s="4" t="str">
        <f t="shared" si="40"/>
        <v>hiding</v>
      </c>
      <c r="N2164" s="4" cm="1">
        <f t="array" ref="N2164">SUM(--(_xlfn.TEXTSPLIT($J$1780,, " ") = M2164))</f>
        <v>1</v>
      </c>
      <c r="O2164">
        <v>1</v>
      </c>
      <c r="P2164">
        <v>0</v>
      </c>
      <c r="Q2164">
        <v>1</v>
      </c>
    </row>
    <row r="2165" spans="5:17" x14ac:dyDescent="0.2">
      <c r="E2165" s="9" t="s">
        <v>26</v>
      </c>
      <c r="K2165" t="str">
        <v>it,</v>
      </c>
      <c r="L2165" s="4" t="str">
        <f t="shared" ref="L2165:L2228" si="41">_xlfn.REGEXREPLACE(K2165, "[^A-Za-z ]", " ")</f>
        <v xml:space="preserve">it </v>
      </c>
      <c r="N2165" s="4" cm="1">
        <f t="array" ref="N2165">SUM(--(_xlfn.TEXTSPLIT($J$1780,, " ") = M2165))</f>
        <v>1</v>
      </c>
      <c r="O2165">
        <v>1</v>
      </c>
      <c r="P2165">
        <v>0</v>
      </c>
      <c r="Q2165">
        <v>1</v>
      </c>
    </row>
    <row r="2166" spans="5:17" x14ac:dyDescent="0.2">
      <c r="E2166" s="9" t="s">
        <v>26</v>
      </c>
      <c r="K2166" t="str">
        <v>yeah</v>
      </c>
      <c r="L2166" s="4" t="str">
        <f t="shared" si="41"/>
        <v>yeah</v>
      </c>
      <c r="N2166" s="4" cm="1">
        <f t="array" ref="N2166">SUM(--(_xlfn.TEXTSPLIT($J$1780,, " ") = M2166))</f>
        <v>1</v>
      </c>
      <c r="O2166">
        <v>1</v>
      </c>
      <c r="P2166">
        <v>0</v>
      </c>
      <c r="Q2166">
        <v>1</v>
      </c>
    </row>
    <row r="2167" spans="5:17" x14ac:dyDescent="0.2">
      <c r="E2167" s="9" t="s">
        <v>26</v>
      </c>
      <c r="K2167" t="str">
        <v>(After</v>
      </c>
      <c r="L2167" s="4" t="str">
        <f t="shared" si="41"/>
        <v xml:space="preserve"> After</v>
      </c>
      <c r="N2167" s="4" cm="1">
        <f t="array" ref="N2167">SUM(--(_xlfn.TEXTSPLIT($J$1780,, " ") = M2167))</f>
        <v>1</v>
      </c>
      <c r="O2167">
        <v>1</v>
      </c>
      <c r="P2167">
        <v>0</v>
      </c>
      <c r="Q2167">
        <v>1</v>
      </c>
    </row>
    <row r="2168" spans="5:17" x14ac:dyDescent="0.2">
      <c r="E2168" s="9" t="s">
        <v>26</v>
      </c>
      <c r="K2168" t="str">
        <v>your</v>
      </c>
      <c r="L2168" s="4" t="str">
        <f t="shared" si="41"/>
        <v>your</v>
      </c>
      <c r="N2168" s="4" cm="1">
        <f t="array" ref="N2168">SUM(--(_xlfn.TEXTSPLIT($J$1780,, " ") = M2168))</f>
        <v>1</v>
      </c>
      <c r="O2168">
        <v>1</v>
      </c>
      <c r="P2168">
        <v>0</v>
      </c>
      <c r="Q2168">
        <v>1</v>
      </c>
    </row>
    <row r="2169" spans="5:17" x14ac:dyDescent="0.2">
      <c r="E2169" s="9" t="s">
        <v>26</v>
      </c>
      <c r="K2169" t="str">
        <v>own</v>
      </c>
      <c r="L2169" s="4" t="str">
        <f t="shared" si="41"/>
        <v>own</v>
      </c>
      <c r="N2169" s="4" cm="1">
        <f t="array" ref="N2169">SUM(--(_xlfn.TEXTSPLIT($J$1780,, " ") = M2169))</f>
        <v>1</v>
      </c>
      <c r="O2169">
        <v>1</v>
      </c>
      <c r="P2169">
        <v>0</v>
      </c>
      <c r="Q2169">
        <v>1</v>
      </c>
    </row>
    <row r="2170" spans="5:17" x14ac:dyDescent="0.2">
      <c r="E2170" s="9" t="s">
        <v>26</v>
      </c>
      <c r="K2170" t="str">
        <v xml:space="preserve">heart)
</v>
      </c>
      <c r="L2170" s="4" t="str">
        <f t="shared" si="41"/>
        <v xml:space="preserve">heart  </v>
      </c>
      <c r="N2170" s="4" cm="1">
        <f t="array" ref="N2170">SUM(--(_xlfn.TEXTSPLIT($J$1780,, " ") = M2170))</f>
        <v>1</v>
      </c>
      <c r="O2170">
        <v>1</v>
      </c>
      <c r="P2170">
        <v>0</v>
      </c>
      <c r="Q2170">
        <v>1</v>
      </c>
    </row>
    <row r="2171" spans="5:17" x14ac:dyDescent="0.2">
      <c r="E2171" s="9" t="s">
        <v>26</v>
      </c>
      <c r="K2171" t="str">
        <v>And</v>
      </c>
      <c r="L2171" s="4" t="str">
        <f t="shared" si="41"/>
        <v>And</v>
      </c>
      <c r="N2171" s="4" cm="1">
        <f t="array" ref="N2171">SUM(--(_xlfn.TEXTSPLIT($J$1780,, " ") = M2171))</f>
        <v>1</v>
      </c>
      <c r="O2171">
        <v>1</v>
      </c>
      <c r="P2171">
        <v>0</v>
      </c>
      <c r="Q2171">
        <v>1</v>
      </c>
    </row>
    <row r="2172" spans="5:17" x14ac:dyDescent="0.2">
      <c r="E2172" s="9" t="s">
        <v>26</v>
      </c>
      <c r="K2172" t="str">
        <v>I'm</v>
      </c>
      <c r="L2172" s="4" t="str">
        <f t="shared" si="41"/>
        <v>I m</v>
      </c>
      <c r="N2172" s="4" cm="1">
        <f t="array" ref="N2172">SUM(--(_xlfn.TEXTSPLIT($J$1780,, " ") = M2172))</f>
        <v>1</v>
      </c>
      <c r="O2172">
        <v>1</v>
      </c>
      <c r="P2172">
        <v>0</v>
      </c>
      <c r="Q2172">
        <v>1</v>
      </c>
    </row>
    <row r="2173" spans="5:17" x14ac:dyDescent="0.2">
      <c r="E2173" s="9" t="s">
        <v>26</v>
      </c>
      <c r="K2173" t="str">
        <v>hiding</v>
      </c>
      <c r="L2173" s="4" t="str">
        <f t="shared" si="41"/>
        <v>hiding</v>
      </c>
      <c r="N2173" s="4" cm="1">
        <f t="array" ref="N2173">SUM(--(_xlfn.TEXTSPLIT($J$1780,, " ") = M2173))</f>
        <v>1</v>
      </c>
      <c r="O2173">
        <v>1</v>
      </c>
      <c r="P2173">
        <v>0</v>
      </c>
      <c r="Q2173">
        <v>1</v>
      </c>
    </row>
    <row r="2174" spans="5:17" x14ac:dyDescent="0.2">
      <c r="E2174" s="9" t="s">
        <v>26</v>
      </c>
      <c r="K2174" t="str">
        <v>it,</v>
      </c>
      <c r="L2174" s="4" t="str">
        <f t="shared" si="41"/>
        <v xml:space="preserve">it </v>
      </c>
      <c r="N2174" s="4" cm="1">
        <f t="array" ref="N2174">SUM(--(_xlfn.TEXTSPLIT($J$1780,, " ") = M2174))</f>
        <v>1</v>
      </c>
      <c r="O2174">
        <v>1</v>
      </c>
      <c r="P2174">
        <v>0</v>
      </c>
      <c r="Q2174">
        <v>1</v>
      </c>
    </row>
    <row r="2175" spans="5:17" x14ac:dyDescent="0.2">
      <c r="E2175" s="9" t="s">
        <v>26</v>
      </c>
      <c r="K2175" t="str">
        <v>yeah,</v>
      </c>
      <c r="L2175" s="4" t="str">
        <f t="shared" si="41"/>
        <v xml:space="preserve">yeah </v>
      </c>
      <c r="N2175" s="4" cm="1">
        <f t="array" ref="N2175">SUM(--(_xlfn.TEXTSPLIT($J$1780,, " ") = M2175))</f>
        <v>1</v>
      </c>
      <c r="O2175">
        <v>1</v>
      </c>
      <c r="P2175">
        <v>0</v>
      </c>
      <c r="Q2175">
        <v>1</v>
      </c>
    </row>
    <row r="2176" spans="5:17" x14ac:dyDescent="0.2">
      <c r="E2176" s="9" t="s">
        <v>26</v>
      </c>
      <c r="K2176" t="str">
        <v>oh</v>
      </c>
      <c r="L2176" s="4" t="str">
        <f t="shared" si="41"/>
        <v>oh</v>
      </c>
      <c r="N2176" s="4" cm="1">
        <f t="array" ref="N2176">SUM(--(_xlfn.TEXTSPLIT($J$1780,, " ") = M2176))</f>
        <v>1</v>
      </c>
      <c r="O2176">
        <v>1</v>
      </c>
      <c r="P2176">
        <v>0</v>
      </c>
      <c r="Q2176">
        <v>1</v>
      </c>
    </row>
    <row r="2177" spans="5:17" x14ac:dyDescent="0.2">
      <c r="E2177" s="9" t="s">
        <v>26</v>
      </c>
      <c r="K2177" t="str">
        <v>(And</v>
      </c>
      <c r="L2177" s="4" t="str">
        <f t="shared" si="41"/>
        <v xml:space="preserve"> And</v>
      </c>
      <c r="N2177" s="4" cm="1">
        <f t="array" ref="N2177">SUM(--(_xlfn.TEXTSPLIT($J$1780,, " ") = M2177))</f>
        <v>1</v>
      </c>
      <c r="O2177">
        <v>1</v>
      </c>
      <c r="P2177">
        <v>0</v>
      </c>
      <c r="Q2177">
        <v>1</v>
      </c>
    </row>
    <row r="2178" spans="5:17" x14ac:dyDescent="0.2">
      <c r="E2178" s="9" t="s">
        <v>26</v>
      </c>
      <c r="K2178" t="str">
        <v>I</v>
      </c>
      <c r="L2178" s="4" t="str">
        <f t="shared" si="41"/>
        <v>I</v>
      </c>
      <c r="N2178" s="4" cm="1">
        <f t="array" ref="N2178">SUM(--(_xlfn.TEXTSPLIT($J$1780,, " ") = M2178))</f>
        <v>1</v>
      </c>
      <c r="O2178">
        <v>1</v>
      </c>
      <c r="P2178">
        <v>0</v>
      </c>
      <c r="Q2178">
        <v>1</v>
      </c>
    </row>
    <row r="2179" spans="5:17" x14ac:dyDescent="0.2">
      <c r="E2179" s="9" t="s">
        <v>26</v>
      </c>
      <c r="K2179" t="str">
        <v>might</v>
      </c>
      <c r="L2179" s="4" t="str">
        <f t="shared" si="41"/>
        <v>might</v>
      </c>
      <c r="N2179" s="4" cm="1">
        <f t="array" ref="N2179">SUM(--(_xlfn.TEXTSPLIT($J$1780,, " ") = M2179))</f>
        <v>1</v>
      </c>
      <c r="O2179">
        <v>1</v>
      </c>
      <c r="P2179">
        <v>0</v>
      </c>
      <c r="Q2179">
        <v>1</v>
      </c>
    </row>
    <row r="2180" spans="5:17" x14ac:dyDescent="0.2">
      <c r="E2180" s="9" t="s">
        <v>26</v>
      </c>
      <c r="K2180" t="str">
        <v>doubt</v>
      </c>
      <c r="L2180" s="4" t="str">
        <f t="shared" si="41"/>
        <v>doubt</v>
      </c>
      <c r="N2180" s="4" cm="1">
        <f t="array" ref="N2180">SUM(--(_xlfn.TEXTSPLIT($J$1780,, " ") = M2180))</f>
        <v>1</v>
      </c>
      <c r="O2180">
        <v>1</v>
      </c>
      <c r="P2180">
        <v>0</v>
      </c>
      <c r="Q2180">
        <v>1</v>
      </c>
    </row>
    <row r="2181" spans="5:17" x14ac:dyDescent="0.2">
      <c r="E2181" s="9" t="s">
        <v>26</v>
      </c>
      <c r="K2181" t="str">
        <v>the</v>
      </c>
      <c r="L2181" s="4" t="str">
        <f t="shared" si="41"/>
        <v>the</v>
      </c>
      <c r="N2181" s="4" cm="1">
        <f t="array" ref="N2181">SUM(--(_xlfn.TEXTSPLIT($J$1780,, " ") = M2181))</f>
        <v>1</v>
      </c>
      <c r="O2181">
        <v>1</v>
      </c>
      <c r="P2181">
        <v>0</v>
      </c>
      <c r="Q2181">
        <v>1</v>
      </c>
    </row>
    <row r="2182" spans="5:17" x14ac:dyDescent="0.2">
      <c r="E2182" s="9" t="s">
        <v>26</v>
      </c>
      <c r="K2182" t="str">
        <v>process</v>
      </c>
      <c r="L2182" s="4" t="str">
        <f t="shared" si="41"/>
        <v>process</v>
      </c>
      <c r="N2182" s="4" cm="1">
        <f t="array" ref="N2182">SUM(--(_xlfn.TEXTSPLIT($J$1780,, " ") = M2182))</f>
        <v>1</v>
      </c>
      <c r="O2182">
        <v>1</v>
      </c>
      <c r="P2182">
        <v>0</v>
      </c>
      <c r="Q2182">
        <v>1</v>
      </c>
    </row>
    <row r="2183" spans="5:17" x14ac:dyDescent="0.2">
      <c r="E2183" s="9" t="s">
        <v>26</v>
      </c>
      <c r="K2183" t="str">
        <v>like</v>
      </c>
      <c r="L2183" s="4" t="str">
        <f t="shared" si="41"/>
        <v>like</v>
      </c>
      <c r="N2183" s="4" cm="1">
        <f t="array" ref="N2183">SUM(--(_xlfn.TEXTSPLIT($J$1780,, " ") = M2183))</f>
        <v>1</v>
      </c>
      <c r="O2183">
        <v>1</v>
      </c>
      <c r="P2183">
        <v>0</v>
      </c>
      <c r="Q2183">
        <v>1</v>
      </c>
    </row>
    <row r="2184" spans="5:17" x14ac:dyDescent="0.2">
      <c r="E2184" s="9" t="s">
        <v>26</v>
      </c>
      <c r="K2184" t="str">
        <v>I</v>
      </c>
      <c r="L2184" s="4" t="str">
        <f t="shared" si="41"/>
        <v>I</v>
      </c>
      <c r="N2184" s="4" cm="1">
        <f t="array" ref="N2184">SUM(--(_xlfn.TEXTSPLIT($J$1780,, " ") = M2184))</f>
        <v>1</v>
      </c>
      <c r="O2184">
        <v>1</v>
      </c>
      <c r="P2184">
        <v>0</v>
      </c>
      <c r="Q2184">
        <v>1</v>
      </c>
    </row>
    <row r="2185" spans="5:17" x14ac:dyDescent="0.2">
      <c r="E2185" s="9" t="s">
        <v>26</v>
      </c>
      <c r="K2185" t="str">
        <v>doubted</v>
      </c>
      <c r="L2185" s="4" t="str">
        <f t="shared" si="41"/>
        <v>doubted</v>
      </c>
      <c r="N2185" s="4" cm="1">
        <f t="array" ref="N2185">SUM(--(_xlfn.TEXTSPLIT($J$1780,, " ") = M2185))</f>
        <v>1</v>
      </c>
      <c r="O2185">
        <v>1</v>
      </c>
      <c r="P2185">
        <v>0</v>
      </c>
      <c r="Q2185">
        <v>1</v>
      </c>
    </row>
    <row r="2186" spans="5:17" x14ac:dyDescent="0.2">
      <c r="E2186" s="9" t="s">
        <v>26</v>
      </c>
      <c r="K2186" t="str">
        <v>the</v>
      </c>
      <c r="L2186" s="4" t="str">
        <f t="shared" si="41"/>
        <v>the</v>
      </c>
      <c r="N2186" s="4" cm="1">
        <f t="array" ref="N2186">SUM(--(_xlfn.TEXTSPLIT($J$1780,, " ") = M2186))</f>
        <v>1</v>
      </c>
      <c r="O2186">
        <v>1</v>
      </c>
      <c r="P2186">
        <v>0</v>
      </c>
      <c r="Q2186">
        <v>1</v>
      </c>
    </row>
    <row r="2187" spans="5:17" x14ac:dyDescent="0.2">
      <c r="E2187" s="9" t="s">
        <v>26</v>
      </c>
      <c r="K2187" t="str">
        <v xml:space="preserve">start)
</v>
      </c>
      <c r="L2187" s="4" t="str">
        <f t="shared" si="41"/>
        <v xml:space="preserve">start   </v>
      </c>
      <c r="N2187" s="4" cm="1">
        <f t="array" ref="N2187">SUM(--(_xlfn.TEXTSPLIT($J$1780,, " ") = M2187))</f>
        <v>1</v>
      </c>
      <c r="O2187">
        <v>1</v>
      </c>
      <c r="P2187">
        <v>0</v>
      </c>
      <c r="Q2187">
        <v>1</v>
      </c>
    </row>
    <row r="2188" spans="5:17" x14ac:dyDescent="0.2">
      <c r="E2188" s="9" t="s">
        <v>26</v>
      </c>
      <c r="K2188" t="str">
        <v>You</v>
      </c>
      <c r="L2188" s="4" t="str">
        <f t="shared" si="41"/>
        <v>You</v>
      </c>
      <c r="N2188" s="4" cm="1">
        <f t="array" ref="N2188">SUM(--(_xlfn.TEXTSPLIT($J$1780,, " ") = M2188))</f>
        <v>1</v>
      </c>
      <c r="O2188">
        <v>1</v>
      </c>
      <c r="P2188">
        <v>0</v>
      </c>
      <c r="Q2188">
        <v>1</v>
      </c>
    </row>
    <row r="2189" spans="5:17" x14ac:dyDescent="0.2">
      <c r="E2189" s="9" t="s">
        <v>26</v>
      </c>
      <c r="K2189" t="str">
        <v>can</v>
      </c>
      <c r="L2189" s="4" t="str">
        <f t="shared" si="41"/>
        <v>can</v>
      </c>
      <c r="N2189" s="4" cm="1">
        <f t="array" ref="N2189">SUM(--(_xlfn.TEXTSPLIT($J$1780,, " ") = M2189))</f>
        <v>1</v>
      </c>
      <c r="O2189">
        <v>1</v>
      </c>
      <c r="P2189">
        <v>0</v>
      </c>
      <c r="Q2189">
        <v>1</v>
      </c>
    </row>
    <row r="2190" spans="5:17" x14ac:dyDescent="0.2">
      <c r="E2190" s="9" t="s">
        <v>26</v>
      </c>
      <c r="K2190" t="str">
        <v>have</v>
      </c>
      <c r="L2190" s="4" t="str">
        <f t="shared" si="41"/>
        <v>have</v>
      </c>
      <c r="N2190" s="4" cm="1">
        <f t="array" ref="N2190">SUM(--(_xlfn.TEXTSPLIT($J$1780,, " ") = M2190))</f>
        <v>1</v>
      </c>
      <c r="O2190">
        <v>1</v>
      </c>
      <c r="P2190">
        <v>0</v>
      </c>
      <c r="Q2190">
        <v>1</v>
      </c>
    </row>
    <row r="2191" spans="5:17" x14ac:dyDescent="0.2">
      <c r="E2191" s="9" t="s">
        <v>26</v>
      </c>
      <c r="K2191" t="str">
        <v>all</v>
      </c>
      <c r="L2191" s="4" t="str">
        <f t="shared" si="41"/>
        <v>all</v>
      </c>
      <c r="N2191" s="4" cm="1">
        <f t="array" ref="N2191">SUM(--(_xlfn.TEXTSPLIT($J$1780,, " ") = M2191))</f>
        <v>1</v>
      </c>
      <c r="O2191">
        <v>1</v>
      </c>
      <c r="P2191">
        <v>0</v>
      </c>
      <c r="Q2191">
        <v>1</v>
      </c>
    </row>
    <row r="2192" spans="5:17" x14ac:dyDescent="0.2">
      <c r="E2192" s="9" t="s">
        <v>26</v>
      </c>
      <c r="K2192" t="str">
        <v>I've</v>
      </c>
      <c r="L2192" s="4" t="str">
        <f t="shared" si="41"/>
        <v>I ve</v>
      </c>
      <c r="N2192" s="4" cm="1">
        <f t="array" ref="N2192">SUM(--(_xlfn.TEXTSPLIT($J$1780,, " ") = M2192))</f>
        <v>1</v>
      </c>
      <c r="O2192">
        <v>1</v>
      </c>
      <c r="P2192">
        <v>0</v>
      </c>
      <c r="Q2192">
        <v>1</v>
      </c>
    </row>
    <row r="2193" spans="5:17" x14ac:dyDescent="0.2">
      <c r="E2193" s="9" t="s">
        <v>26</v>
      </c>
      <c r="K2193" t="str">
        <v>made</v>
      </c>
      <c r="L2193" s="4" t="str">
        <f t="shared" si="41"/>
        <v>made</v>
      </c>
      <c r="N2193" s="4" cm="1">
        <f t="array" ref="N2193">SUM(--(_xlfn.TEXTSPLIT($J$1780,, " ") = M2193))</f>
        <v>1</v>
      </c>
      <c r="O2193">
        <v>1</v>
      </c>
      <c r="P2193">
        <v>0</v>
      </c>
      <c r="Q2193">
        <v>1</v>
      </c>
    </row>
    <row r="2194" spans="5:17" x14ac:dyDescent="0.2">
      <c r="E2194" s="9" t="s">
        <v>26</v>
      </c>
      <c r="K2194" t="str">
        <v>and</v>
      </c>
      <c r="L2194" s="4" t="str">
        <f t="shared" si="41"/>
        <v>and</v>
      </c>
      <c r="N2194" s="4" cm="1">
        <f t="array" ref="N2194">SUM(--(_xlfn.TEXTSPLIT($J$1780,, " ") = M2194))</f>
        <v>1</v>
      </c>
      <c r="O2194">
        <v>1</v>
      </c>
      <c r="P2194">
        <v>0</v>
      </c>
      <c r="Q2194">
        <v>1</v>
      </c>
    </row>
    <row r="2195" spans="5:17" x14ac:dyDescent="0.2">
      <c r="E2195" s="9" t="s">
        <v>26</v>
      </c>
      <c r="K2195" t="str">
        <v>all</v>
      </c>
      <c r="L2195" s="4" t="str">
        <f t="shared" si="41"/>
        <v>all</v>
      </c>
      <c r="N2195" s="4" cm="1">
        <f t="array" ref="N2195">SUM(--(_xlfn.TEXTSPLIT($J$1780,, " ") = M2195))</f>
        <v>1</v>
      </c>
      <c r="O2195">
        <v>1</v>
      </c>
      <c r="P2195">
        <v>0</v>
      </c>
      <c r="Q2195">
        <v>1</v>
      </c>
    </row>
    <row r="2196" spans="5:17" x14ac:dyDescent="0.2">
      <c r="E2196" s="9" t="s">
        <v>26</v>
      </c>
      <c r="K2196" t="str">
        <v>I've</v>
      </c>
      <c r="L2196" s="4" t="str">
        <f t="shared" si="41"/>
        <v>I ve</v>
      </c>
      <c r="N2196" s="4" cm="1">
        <f t="array" ref="N2196">SUM(--(_xlfn.TEXTSPLIT($J$1780,, " ") = M2196))</f>
        <v>1</v>
      </c>
      <c r="O2196">
        <v>1</v>
      </c>
      <c r="P2196">
        <v>0</v>
      </c>
      <c r="Q2196">
        <v>1</v>
      </c>
    </row>
    <row r="2197" spans="5:17" x14ac:dyDescent="0.2">
      <c r="E2197" s="9" t="s">
        <v>26</v>
      </c>
      <c r="K2197" t="str">
        <v>ever</v>
      </c>
      <c r="L2197" s="4" t="str">
        <f t="shared" si="41"/>
        <v>ever</v>
      </c>
      <c r="N2197" s="4" cm="1">
        <f t="array" ref="N2197">SUM(--(_xlfn.TEXTSPLIT($J$1780,, " ") = M2197))</f>
        <v>1</v>
      </c>
      <c r="O2197">
        <v>1</v>
      </c>
      <c r="P2197">
        <v>0</v>
      </c>
      <c r="Q2197">
        <v>1</v>
      </c>
    </row>
    <row r="2198" spans="5:17" x14ac:dyDescent="0.2">
      <c r="E2198" s="9" t="s">
        <v>26</v>
      </c>
      <c r="K2198" t="str">
        <v xml:space="preserve">known
</v>
      </c>
      <c r="L2198" s="4" t="str">
        <f t="shared" si="41"/>
        <v xml:space="preserve">known </v>
      </c>
      <c r="N2198" s="4" cm="1">
        <f t="array" ref="N2198">SUM(--(_xlfn.TEXTSPLIT($J$1780,, " ") = M2198))</f>
        <v>1</v>
      </c>
      <c r="O2198">
        <v>1</v>
      </c>
      <c r="P2198">
        <v>0</v>
      </c>
      <c r="Q2198">
        <v>1</v>
      </c>
    </row>
    <row r="2199" spans="5:17" x14ac:dyDescent="0.2">
      <c r="E2199" s="9" t="s">
        <v>26</v>
      </c>
      <c r="K2199" t="str">
        <v>You</v>
      </c>
      <c r="L2199" s="4" t="str">
        <f t="shared" si="41"/>
        <v>You</v>
      </c>
      <c r="N2199" s="4" cm="1">
        <f t="array" ref="N2199">SUM(--(_xlfn.TEXTSPLIT($J$1780,, " ") = M2199))</f>
        <v>1</v>
      </c>
      <c r="O2199">
        <v>1</v>
      </c>
      <c r="P2199">
        <v>0</v>
      </c>
      <c r="Q2199">
        <v>1</v>
      </c>
    </row>
    <row r="2200" spans="5:17" x14ac:dyDescent="0.2">
      <c r="E2200" s="9" t="s">
        <v>26</v>
      </c>
      <c r="K2200" t="str">
        <v>can</v>
      </c>
      <c r="L2200" s="4" t="str">
        <f t="shared" si="41"/>
        <v>can</v>
      </c>
      <c r="N2200" s="4" cm="1">
        <f t="array" ref="N2200">SUM(--(_xlfn.TEXTSPLIT($J$1780,, " ") = M2200))</f>
        <v>1</v>
      </c>
      <c r="O2200">
        <v>1</v>
      </c>
      <c r="P2200">
        <v>0</v>
      </c>
      <c r="Q2200">
        <v>1</v>
      </c>
    </row>
    <row r="2201" spans="5:17" x14ac:dyDescent="0.2">
      <c r="E2201" s="9" t="s">
        <v>26</v>
      </c>
      <c r="K2201" t="str">
        <v>have</v>
      </c>
      <c r="L2201" s="4" t="str">
        <f t="shared" si="41"/>
        <v>have</v>
      </c>
      <c r="N2201" s="4" cm="1">
        <f t="array" ref="N2201">SUM(--(_xlfn.TEXTSPLIT($J$1780,, " ") = M2201))</f>
        <v>1</v>
      </c>
      <c r="O2201">
        <v>1</v>
      </c>
      <c r="P2201">
        <v>0</v>
      </c>
      <c r="Q2201">
        <v>1</v>
      </c>
    </row>
    <row r="2202" spans="5:17" x14ac:dyDescent="0.2">
      <c r="E2202" s="9" t="s">
        <v>26</v>
      </c>
      <c r="K2202" t="str">
        <v>both</v>
      </c>
      <c r="L2202" s="4" t="str">
        <f t="shared" si="41"/>
        <v>both</v>
      </c>
      <c r="N2202" s="4" cm="1">
        <f t="array" ref="N2202">SUM(--(_xlfn.TEXTSPLIT($J$1780,, " ") = M2202))</f>
        <v>1</v>
      </c>
      <c r="O2202">
        <v>1</v>
      </c>
      <c r="P2202">
        <v>0</v>
      </c>
      <c r="Q2202">
        <v>1</v>
      </c>
    </row>
    <row r="2203" spans="5:17" x14ac:dyDescent="0.2">
      <c r="E2203" s="9" t="s">
        <v>26</v>
      </c>
      <c r="K2203" t="str">
        <v>my</v>
      </c>
      <c r="L2203" s="4" t="str">
        <f t="shared" si="41"/>
        <v>my</v>
      </c>
      <c r="N2203" s="4" cm="1">
        <f t="array" ref="N2203">SUM(--(_xlfn.TEXTSPLIT($J$1780,, " ") = M2203))</f>
        <v>1</v>
      </c>
      <c r="O2203">
        <v>1</v>
      </c>
      <c r="P2203">
        <v>0</v>
      </c>
      <c r="Q2203">
        <v>1</v>
      </c>
    </row>
    <row r="2204" spans="5:17" x14ac:dyDescent="0.2">
      <c r="E2204" s="9" t="s">
        <v>26</v>
      </c>
      <c r="K2204" t="str">
        <v>lungs</v>
      </c>
      <c r="L2204" s="4" t="str">
        <f t="shared" si="41"/>
        <v>lungs</v>
      </c>
      <c r="N2204" s="4" cm="1">
        <f t="array" ref="N2204">SUM(--(_xlfn.TEXTSPLIT($J$1780,, " ") = M2204))</f>
        <v>1</v>
      </c>
      <c r="O2204">
        <v>1</v>
      </c>
      <c r="P2204">
        <v>0</v>
      </c>
      <c r="Q2204">
        <v>1</v>
      </c>
    </row>
    <row r="2205" spans="5:17" x14ac:dyDescent="0.2">
      <c r="E2205" s="9" t="s">
        <v>26</v>
      </c>
      <c r="K2205" t="str">
        <v>if</v>
      </c>
      <c r="L2205" s="4" t="str">
        <f t="shared" si="41"/>
        <v>if</v>
      </c>
      <c r="N2205" s="4" cm="1">
        <f t="array" ref="N2205">SUM(--(_xlfn.TEXTSPLIT($J$1780,, " ") = M2205))</f>
        <v>1</v>
      </c>
      <c r="O2205">
        <v>1</v>
      </c>
      <c r="P2205">
        <v>0</v>
      </c>
      <c r="Q2205">
        <v>1</v>
      </c>
    </row>
    <row r="2206" spans="5:17" x14ac:dyDescent="0.2">
      <c r="E2206" s="9" t="s">
        <v>26</v>
      </c>
      <c r="K2206" t="str">
        <v>you</v>
      </c>
      <c r="L2206" s="4" t="str">
        <f t="shared" si="41"/>
        <v>you</v>
      </c>
      <c r="N2206" s="4" cm="1">
        <f t="array" ref="N2206">SUM(--(_xlfn.TEXTSPLIT($J$1780,, " ") = M2206))</f>
        <v>1</v>
      </c>
      <c r="O2206">
        <v>1</v>
      </c>
      <c r="P2206">
        <v>0</v>
      </c>
      <c r="Q2206">
        <v>1</v>
      </c>
    </row>
    <row r="2207" spans="5:17" x14ac:dyDescent="0.2">
      <c r="E2207" s="9" t="s">
        <v>26</v>
      </c>
      <c r="K2207" t="str">
        <v>ask</v>
      </c>
      <c r="L2207" s="4" t="str">
        <f t="shared" si="41"/>
        <v>ask</v>
      </c>
      <c r="N2207" s="4" cm="1">
        <f t="array" ref="N2207">SUM(--(_xlfn.TEXTSPLIT($J$1780,, " ") = M2207))</f>
        <v>1</v>
      </c>
      <c r="O2207">
        <v>1</v>
      </c>
      <c r="P2207">
        <v>0</v>
      </c>
      <c r="Q2207">
        <v>1</v>
      </c>
    </row>
    <row r="2208" spans="5:17" x14ac:dyDescent="0.2">
      <c r="E2208" s="9" t="s">
        <v>26</v>
      </c>
      <c r="K2208" t="str">
        <v>me</v>
      </c>
      <c r="L2208" s="4" t="str">
        <f t="shared" si="41"/>
        <v>me</v>
      </c>
      <c r="N2208" s="4" cm="1">
        <f t="array" ref="N2208">SUM(--(_xlfn.TEXTSPLIT($J$1780,, " ") = M2208))</f>
        <v>1</v>
      </c>
      <c r="O2208">
        <v>1</v>
      </c>
      <c r="P2208">
        <v>0</v>
      </c>
      <c r="Q2208">
        <v>1</v>
      </c>
    </row>
    <row r="2209" spans="5:17" x14ac:dyDescent="0.2">
      <c r="E2209" s="9" t="s">
        <v>26</v>
      </c>
      <c r="K2209" t="str">
        <v xml:space="preserve">so
</v>
      </c>
      <c r="L2209" s="4" t="str">
        <f t="shared" si="41"/>
        <v xml:space="preserve">so </v>
      </c>
      <c r="N2209" s="4" cm="1">
        <f t="array" ref="N2209">SUM(--(_xlfn.TEXTSPLIT($J$1780,, " ") = M2209))</f>
        <v>1</v>
      </c>
      <c r="O2209">
        <v>1</v>
      </c>
      <c r="P2209">
        <v>0</v>
      </c>
      <c r="Q2209">
        <v>1</v>
      </c>
    </row>
    <row r="2210" spans="5:17" x14ac:dyDescent="0.2">
      <c r="E2210" s="9" t="s">
        <v>26</v>
      </c>
      <c r="K2210" t="str">
        <v>Cause</v>
      </c>
      <c r="L2210" s="4" t="str">
        <f t="shared" si="41"/>
        <v>Cause</v>
      </c>
      <c r="N2210" s="4" cm="1">
        <f t="array" ref="N2210">SUM(--(_xlfn.TEXTSPLIT($J$1780,, " ") = M2210))</f>
        <v>1</v>
      </c>
      <c r="O2210">
        <v>1</v>
      </c>
      <c r="P2210">
        <v>0</v>
      </c>
      <c r="Q2210">
        <v>1</v>
      </c>
    </row>
    <row r="2211" spans="5:17" x14ac:dyDescent="0.2">
      <c r="E2211" s="9" t="s">
        <v>26</v>
      </c>
      <c r="K2211" t="str">
        <v>I</v>
      </c>
      <c r="L2211" s="4" t="str">
        <f t="shared" si="41"/>
        <v>I</v>
      </c>
      <c r="N2211" s="4" cm="1">
        <f t="array" ref="N2211">SUM(--(_xlfn.TEXTSPLIT($J$1780,, " ") = M2211))</f>
        <v>1</v>
      </c>
      <c r="O2211">
        <v>1</v>
      </c>
      <c r="P2211">
        <v>0</v>
      </c>
      <c r="Q2211">
        <v>1</v>
      </c>
    </row>
    <row r="2212" spans="5:17" x14ac:dyDescent="0.2">
      <c r="E2212" s="9" t="s">
        <v>26</v>
      </c>
      <c r="K2212" t="str">
        <v>want</v>
      </c>
      <c r="L2212" s="4" t="str">
        <f t="shared" si="41"/>
        <v>want</v>
      </c>
      <c r="N2212" s="4" cm="1">
        <f t="array" ref="N2212">SUM(--(_xlfn.TEXTSPLIT($J$1780,, " ") = M2212))</f>
        <v>1</v>
      </c>
      <c r="O2212">
        <v>1</v>
      </c>
      <c r="P2212">
        <v>0</v>
      </c>
      <c r="Q2212">
        <v>1</v>
      </c>
    </row>
    <row r="2213" spans="5:17" x14ac:dyDescent="0.2">
      <c r="E2213" s="9" t="s">
        <v>26</v>
      </c>
      <c r="K2213" t="str">
        <v>to</v>
      </c>
      <c r="L2213" s="4" t="str">
        <f t="shared" si="41"/>
        <v>to</v>
      </c>
      <c r="N2213" s="4" cm="1">
        <f t="array" ref="N2213">SUM(--(_xlfn.TEXTSPLIT($J$1780,, " ") = M2213))</f>
        <v>1</v>
      </c>
      <c r="O2213">
        <v>1</v>
      </c>
      <c r="P2213">
        <v>0</v>
      </c>
      <c r="Q2213">
        <v>1</v>
      </c>
    </row>
    <row r="2214" spans="5:17" x14ac:dyDescent="0.2">
      <c r="E2214" s="9" t="s">
        <v>26</v>
      </c>
      <c r="K2214" t="str">
        <v>be</v>
      </c>
      <c r="L2214" s="4" t="str">
        <f t="shared" si="41"/>
        <v>be</v>
      </c>
      <c r="N2214" s="4" cm="1">
        <f t="array" ref="N2214">SUM(--(_xlfn.TEXTSPLIT($J$1780,, " ") = M2214))</f>
        <v>1</v>
      </c>
      <c r="O2214">
        <v>1</v>
      </c>
      <c r="P2214">
        <v>0</v>
      </c>
      <c r="Q2214">
        <v>1</v>
      </c>
    </row>
    <row r="2215" spans="5:17" x14ac:dyDescent="0.2">
      <c r="E2215" s="9" t="s">
        <v>26</v>
      </c>
      <c r="K2215" t="str">
        <v>the</v>
      </c>
      <c r="L2215" s="4" t="str">
        <f t="shared" si="41"/>
        <v>the</v>
      </c>
      <c r="N2215" s="4" cm="1">
        <f t="array" ref="N2215">SUM(--(_xlfn.TEXTSPLIT($J$1780,, " ") = M2215))</f>
        <v>1</v>
      </c>
      <c r="O2215">
        <v>1</v>
      </c>
      <c r="P2215">
        <v>0</v>
      </c>
      <c r="Q2215">
        <v>1</v>
      </c>
    </row>
    <row r="2216" spans="5:17" x14ac:dyDescent="0.2">
      <c r="E2216" s="9" t="s">
        <v>26</v>
      </c>
      <c r="K2216" t="str">
        <v>one</v>
      </c>
      <c r="L2216" s="4" t="str">
        <f t="shared" si="41"/>
        <v>one</v>
      </c>
      <c r="N2216" s="4" cm="1">
        <f t="array" ref="N2216">SUM(--(_xlfn.TEXTSPLIT($J$1780,, " ") = M2216))</f>
        <v>1</v>
      </c>
      <c r="O2216">
        <v>1</v>
      </c>
      <c r="P2216">
        <v>0</v>
      </c>
      <c r="Q2216">
        <v>1</v>
      </c>
    </row>
    <row r="2217" spans="5:17" x14ac:dyDescent="0.2">
      <c r="E2217" s="9" t="s">
        <v>26</v>
      </c>
      <c r="K2217" t="str">
        <v>after</v>
      </c>
      <c r="L2217" s="4" t="str">
        <f t="shared" si="41"/>
        <v>after</v>
      </c>
      <c r="N2217" s="4" cm="1">
        <f t="array" ref="N2217">SUM(--(_xlfn.TEXTSPLIT($J$1780,, " ") = M2217))</f>
        <v>1</v>
      </c>
      <c r="O2217">
        <v>1</v>
      </c>
      <c r="P2217">
        <v>0</v>
      </c>
      <c r="Q2217">
        <v>1</v>
      </c>
    </row>
    <row r="2218" spans="5:17" x14ac:dyDescent="0.2">
      <c r="E2218" s="9" t="s">
        <v>26</v>
      </c>
      <c r="K2218" t="str">
        <v>your</v>
      </c>
      <c r="L2218" s="4" t="str">
        <f t="shared" si="41"/>
        <v>your</v>
      </c>
      <c r="N2218" s="4" cm="1">
        <f t="array" ref="N2218">SUM(--(_xlfn.TEXTSPLIT($J$1780,, " ") = M2218))</f>
        <v>1</v>
      </c>
      <c r="O2218">
        <v>1</v>
      </c>
      <c r="P2218">
        <v>0</v>
      </c>
      <c r="Q2218">
        <v>1</v>
      </c>
    </row>
    <row r="2219" spans="5:17" x14ac:dyDescent="0.2">
      <c r="E2219" s="9" t="s">
        <v>26</v>
      </c>
      <c r="K2219" t="str">
        <v>own</v>
      </c>
      <c r="L2219" s="4" t="str">
        <f t="shared" si="41"/>
        <v>own</v>
      </c>
      <c r="N2219" s="4" cm="1">
        <f t="array" ref="N2219">SUM(--(_xlfn.TEXTSPLIT($J$1780,, " ") = M2219))</f>
        <v>1</v>
      </c>
      <c r="O2219">
        <v>1</v>
      </c>
      <c r="P2219">
        <v>0</v>
      </c>
      <c r="Q2219">
        <v>1</v>
      </c>
    </row>
    <row r="2220" spans="5:17" x14ac:dyDescent="0.2">
      <c r="E2220" s="9" t="s">
        <v>26</v>
      </c>
      <c r="K2220" t="str">
        <v xml:space="preserve">heart
</v>
      </c>
      <c r="L2220" s="4" t="str">
        <f t="shared" si="41"/>
        <v xml:space="preserve">heart </v>
      </c>
      <c r="N2220" s="4" cm="1">
        <f t="array" ref="N2220">SUM(--(_xlfn.TEXTSPLIT($J$1780,, " ") = M2220))</f>
        <v>1</v>
      </c>
      <c r="O2220">
        <v>1</v>
      </c>
      <c r="P2220">
        <v>0</v>
      </c>
      <c r="Q2220">
        <v>1</v>
      </c>
    </row>
    <row r="2221" spans="5:17" x14ac:dyDescent="0.2">
      <c r="E2221" s="9" t="s">
        <v>26</v>
      </c>
      <c r="K2221" t="str">
        <v>And</v>
      </c>
      <c r="L2221" s="4" t="str">
        <f t="shared" si="41"/>
        <v>And</v>
      </c>
      <c r="N2221" s="4" cm="1">
        <f t="array" ref="N2221">SUM(--(_xlfn.TEXTSPLIT($J$1780,, " ") = M2221))</f>
        <v>1</v>
      </c>
      <c r="O2221">
        <v>1</v>
      </c>
      <c r="P2221">
        <v>0</v>
      </c>
      <c r="Q2221">
        <v>1</v>
      </c>
    </row>
    <row r="2222" spans="5:17" x14ac:dyDescent="0.2">
      <c r="E2222" s="9" t="s">
        <v>26</v>
      </c>
      <c r="K2222" t="str">
        <v>I</v>
      </c>
      <c r="L2222" s="4" t="str">
        <f t="shared" si="41"/>
        <v>I</v>
      </c>
      <c r="N2222" s="4" cm="1">
        <f t="array" ref="N2222">SUM(--(_xlfn.TEXTSPLIT($J$1780,, " ") = M2222))</f>
        <v>1</v>
      </c>
      <c r="O2222">
        <v>1</v>
      </c>
      <c r="P2222">
        <v>0</v>
      </c>
      <c r="Q2222">
        <v>1</v>
      </c>
    </row>
    <row r="2223" spans="5:17" x14ac:dyDescent="0.2">
      <c r="E2223" s="9" t="s">
        <v>26</v>
      </c>
      <c r="K2223" t="str">
        <v>might</v>
      </c>
      <c r="L2223" s="4" t="str">
        <f t="shared" si="41"/>
        <v>might</v>
      </c>
      <c r="N2223" s="4" cm="1">
        <f t="array" ref="N2223">SUM(--(_xlfn.TEXTSPLIT($J$1780,, " ") = M2223))</f>
        <v>1</v>
      </c>
      <c r="O2223">
        <v>1</v>
      </c>
      <c r="P2223">
        <v>0</v>
      </c>
      <c r="Q2223">
        <v>1</v>
      </c>
    </row>
    <row r="2224" spans="5:17" x14ac:dyDescent="0.2">
      <c r="E2224" s="9" t="s">
        <v>26</v>
      </c>
      <c r="K2224" t="str">
        <v>doubt</v>
      </c>
      <c r="L2224" s="4" t="str">
        <f t="shared" si="41"/>
        <v>doubt</v>
      </c>
      <c r="N2224" s="4" cm="1">
        <f t="array" ref="N2224">SUM(--(_xlfn.TEXTSPLIT($J$1780,, " ") = M2224))</f>
        <v>1</v>
      </c>
      <c r="O2224">
        <v>1</v>
      </c>
      <c r="P2224">
        <v>0</v>
      </c>
      <c r="Q2224">
        <v>1</v>
      </c>
    </row>
    <row r="2225" spans="1:18" x14ac:dyDescent="0.2">
      <c r="E2225" s="9" t="s">
        <v>26</v>
      </c>
      <c r="K2225" t="str">
        <v>the</v>
      </c>
      <c r="L2225" s="4" t="str">
        <f t="shared" si="41"/>
        <v>the</v>
      </c>
      <c r="N2225" s="4" cm="1">
        <f t="array" ref="N2225">SUM(--(_xlfn.TEXTSPLIT($J$1780,, " ") = M2225))</f>
        <v>1</v>
      </c>
      <c r="O2225">
        <v>1</v>
      </c>
      <c r="P2225">
        <v>0</v>
      </c>
      <c r="Q2225">
        <v>1</v>
      </c>
    </row>
    <row r="2226" spans="1:18" x14ac:dyDescent="0.2">
      <c r="E2226" s="9" t="s">
        <v>26</v>
      </c>
      <c r="K2226" t="str">
        <v>process</v>
      </c>
      <c r="L2226" s="4" t="str">
        <f t="shared" si="41"/>
        <v>process</v>
      </c>
      <c r="N2226" s="4" cm="1">
        <f t="array" ref="N2226">SUM(--(_xlfn.TEXTSPLIT($J$1780,, " ") = M2226))</f>
        <v>1</v>
      </c>
      <c r="O2226">
        <v>1</v>
      </c>
      <c r="P2226">
        <v>0</v>
      </c>
      <c r="Q2226">
        <v>1</v>
      </c>
    </row>
    <row r="2227" spans="1:18" x14ac:dyDescent="0.2">
      <c r="E2227" s="9" t="s">
        <v>26</v>
      </c>
      <c r="K2227" t="str">
        <v>like</v>
      </c>
      <c r="L2227" s="4" t="str">
        <f t="shared" si="41"/>
        <v>like</v>
      </c>
      <c r="N2227" s="4" cm="1">
        <f t="array" ref="N2227">SUM(--(_xlfn.TEXTSPLIT($J$1780,, " ") = M2227))</f>
        <v>1</v>
      </c>
      <c r="O2227">
        <v>1</v>
      </c>
      <c r="P2227">
        <v>0</v>
      </c>
      <c r="Q2227">
        <v>1</v>
      </c>
    </row>
    <row r="2228" spans="1:18" x14ac:dyDescent="0.2">
      <c r="E2228" s="9" t="s">
        <v>26</v>
      </c>
      <c r="K2228" t="str">
        <v>I</v>
      </c>
      <c r="L2228" s="4" t="str">
        <f t="shared" si="41"/>
        <v>I</v>
      </c>
      <c r="N2228" s="4" cm="1">
        <f t="array" ref="N2228">SUM(--(_xlfn.TEXTSPLIT($J$1780,, " ") = M2228))</f>
        <v>1</v>
      </c>
      <c r="O2228">
        <v>1</v>
      </c>
      <c r="P2228">
        <v>0</v>
      </c>
      <c r="Q2228">
        <v>1</v>
      </c>
    </row>
    <row r="2229" spans="1:18" x14ac:dyDescent="0.2">
      <c r="E2229" s="9" t="s">
        <v>26</v>
      </c>
      <c r="K2229" t="str">
        <v>doubt</v>
      </c>
      <c r="L2229" s="4" t="str">
        <f t="shared" ref="L2229:L2231" si="42">_xlfn.REGEXREPLACE(K2229, "[^A-Za-z ]", " ")</f>
        <v>doubt</v>
      </c>
      <c r="N2229" s="4" cm="1">
        <f t="array" ref="N2229">SUM(--(_xlfn.TEXTSPLIT($J$1780,, " ") = M2229))</f>
        <v>1</v>
      </c>
      <c r="O2229">
        <v>1</v>
      </c>
      <c r="P2229">
        <v>0</v>
      </c>
      <c r="Q2229">
        <v>1</v>
      </c>
    </row>
    <row r="2230" spans="1:18" x14ac:dyDescent="0.2">
      <c r="E2230" s="9" t="s">
        <v>26</v>
      </c>
      <c r="K2230" t="str">
        <v>the</v>
      </c>
      <c r="L2230" s="4" t="str">
        <f t="shared" si="42"/>
        <v>the</v>
      </c>
      <c r="N2230" s="4" cm="1">
        <f t="array" ref="N2230">SUM(--(_xlfn.TEXTSPLIT($J$1780,, " ") = M2230))</f>
        <v>1</v>
      </c>
      <c r="O2230">
        <v>1</v>
      </c>
      <c r="P2230">
        <v>0</v>
      </c>
      <c r="Q2230">
        <v>1</v>
      </c>
    </row>
    <row r="2231" spans="1:18" x14ac:dyDescent="0.2">
      <c r="E2231" s="9" t="s">
        <v>26</v>
      </c>
      <c r="K2231" t="str">
        <v>start</v>
      </c>
      <c r="L2231" s="4" t="str">
        <f t="shared" si="42"/>
        <v>start</v>
      </c>
      <c r="N2231" s="4" cm="1">
        <f t="array" ref="N2231">SUM(--(_xlfn.TEXTSPLIT($J$1780,, " ") = M2231))</f>
        <v>1</v>
      </c>
      <c r="O2231">
        <v>1</v>
      </c>
      <c r="P2231">
        <v>0</v>
      </c>
      <c r="Q2231">
        <v>1</v>
      </c>
    </row>
    <row r="2232" spans="1:18" s="4" customFormat="1" x14ac:dyDescent="0.2">
      <c r="A2232" s="4">
        <v>7</v>
      </c>
      <c r="B2232" s="5">
        <v>45912</v>
      </c>
      <c r="C2232" s="6">
        <v>0.16458333333333333</v>
      </c>
      <c r="D2232" s="7">
        <v>237</v>
      </c>
      <c r="E2232" s="9" t="s">
        <v>28</v>
      </c>
      <c r="F2232" s="4">
        <v>7</v>
      </c>
      <c r="G2232" s="8" t="s">
        <v>15</v>
      </c>
      <c r="H2232" s="9" t="s">
        <v>29</v>
      </c>
      <c r="I2232" s="4">
        <v>1</v>
      </c>
      <c r="J2232" s="4" t="str">
        <f>_xlfn.TEXTJOIN(" ", TRUE, H2232:H2245)</f>
        <v>They keep me company
 The robots and machines in my room
 An understanding
 The beeps and tones they make
 The only advice I take, the inside jokes are landing
 Now I'm waitin'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The half-drawn blinds casting lines on the floor as my metal friend flashes in time
 The daisy-chained power strips generating
 A newfound loneliness, I'm waiting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I wasn't lookin' for love this year
 But my robot told me that I shouldn't fear
 When I met you, I found you safe and warm
 Then the robot voices would reassure me</v>
      </c>
      <c r="K2232" s="4" t="str" cm="1">
        <f t="array" ref="K2232:K2447">_xlfn.TEXTSPLIT(J2232, ," ")</f>
        <v>They</v>
      </c>
      <c r="L2232" s="4" t="str">
        <f>_xlfn.REGEXREPLACE(K2232, "[^A-Za-z ]", " ")</f>
        <v>They</v>
      </c>
      <c r="M2232" s="4" t="str" cm="1">
        <f t="array" ref="M2232:M2320">_xlfn.UNIQUE(_xlfn.TEXTSPLIT(J2232, , " "))</f>
        <v>They</v>
      </c>
      <c r="N2232" s="4" cm="1">
        <f t="array" ref="N2232">SUM(--(_xlfn.TEXTSPLIT($J$2232,, " ") = M2232))</f>
        <v>2</v>
      </c>
      <c r="O2232" s="4" cm="1">
        <f t="array" ref="O2232:O2447">_xlfn._xlws.SORT(N2232:N2447, ,-1)</f>
        <v>16</v>
      </c>
      <c r="P2232" s="4" t="str" cm="1">
        <f t="array" ref="P2232:Q2447">_xlfn.SORTBY(M2232:N2447, N2232:N2447, -1)</f>
        <v>The</v>
      </c>
      <c r="Q2232" s="4">
        <v>16</v>
      </c>
      <c r="R2232" s="4" cm="1">
        <f t="array" ref="R2232">SUM(--(_xlfn.TEXTSPLIT($J$2,, " ") = Q2232))</f>
        <v>0</v>
      </c>
    </row>
    <row r="2233" spans="1:18" x14ac:dyDescent="0.2">
      <c r="E2233" s="9" t="s">
        <v>28</v>
      </c>
      <c r="K2233" t="str">
        <v>keep</v>
      </c>
      <c r="L2233" s="4" t="str">
        <f t="shared" ref="L2233:L2296" si="43">_xlfn.REGEXREPLACE(K2233, "[^A-Za-z ]", " ")</f>
        <v>keep</v>
      </c>
      <c r="M2233" t="str">
        <v>keep</v>
      </c>
      <c r="N2233" s="4" cm="1">
        <f t="array" ref="N2233">SUM(--(_xlfn.TEXTSPLIT($J$2232,, " ") = M2233))</f>
        <v>1</v>
      </c>
      <c r="O2233">
        <v>15</v>
      </c>
      <c r="P2233" t="str">
        <v>I</v>
      </c>
      <c r="Q2233">
        <v>15</v>
      </c>
    </row>
    <row r="2234" spans="1:18" x14ac:dyDescent="0.2">
      <c r="E2234" s="9" t="s">
        <v>28</v>
      </c>
      <c r="K2234" t="str">
        <v>me</v>
      </c>
      <c r="L2234" s="4" t="str">
        <f t="shared" si="43"/>
        <v>me</v>
      </c>
      <c r="M2234" t="str">
        <v>me</v>
      </c>
      <c r="N2234" s="4" cm="1">
        <f t="array" ref="N2234">SUM(--(_xlfn.TEXTSPLIT($J$2232,, " ") = M2234))</f>
        <v>5</v>
      </c>
      <c r="O2234">
        <v>11</v>
      </c>
      <c r="P2234" t="str">
        <v>and</v>
      </c>
      <c r="Q2234">
        <v>11</v>
      </c>
    </row>
    <row r="2235" spans="1:18" x14ac:dyDescent="0.2">
      <c r="E2235" s="9" t="s">
        <v>28</v>
      </c>
      <c r="K2235" t="str">
        <v xml:space="preserve">company
</v>
      </c>
      <c r="L2235" s="4" t="str">
        <f t="shared" si="43"/>
        <v xml:space="preserve">company </v>
      </c>
      <c r="M2235" t="str">
        <v xml:space="preserve">company
</v>
      </c>
      <c r="N2235" s="4" cm="1">
        <f t="array" ref="N2235">SUM(--(_xlfn.TEXTSPLIT($J$2232,, " ") = M2235))</f>
        <v>1</v>
      </c>
      <c r="O2235">
        <v>6</v>
      </c>
      <c r="P2235" t="str">
        <v>robot</v>
      </c>
      <c r="Q2235">
        <v>6</v>
      </c>
    </row>
    <row r="2236" spans="1:18" x14ac:dyDescent="0.2">
      <c r="E2236" s="9" t="s">
        <v>28</v>
      </c>
      <c r="K2236" t="str">
        <v>The</v>
      </c>
      <c r="L2236" s="4" t="str">
        <f t="shared" si="43"/>
        <v>The</v>
      </c>
      <c r="M2236" t="str">
        <v>The</v>
      </c>
      <c r="N2236" s="4" cm="1">
        <f t="array" ref="N2236">SUM(--(_xlfn.TEXTSPLIT($J$2232,, " ") = M2236))</f>
        <v>16</v>
      </c>
      <c r="O2236">
        <v>5</v>
      </c>
      <c r="P2236" t="str">
        <v>me</v>
      </c>
      <c r="Q2236">
        <v>5</v>
      </c>
    </row>
    <row r="2237" spans="1:18" x14ac:dyDescent="0.2">
      <c r="E2237" s="9" t="s">
        <v>28</v>
      </c>
      <c r="K2237" t="str">
        <v>robots</v>
      </c>
      <c r="L2237" s="4" t="str">
        <f t="shared" si="43"/>
        <v>robots</v>
      </c>
      <c r="M2237" t="str">
        <v>robots</v>
      </c>
      <c r="N2237" s="4" cm="1">
        <f t="array" ref="N2237">SUM(--(_xlfn.TEXTSPLIT($J$2232,, " ") = M2237))</f>
        <v>1</v>
      </c>
      <c r="O2237">
        <v>5</v>
      </c>
      <c r="P2237" t="str">
        <v>my</v>
      </c>
      <c r="Q2237">
        <v>5</v>
      </c>
    </row>
    <row r="2238" spans="1:18" x14ac:dyDescent="0.2">
      <c r="E2238" s="9" t="s">
        <v>28</v>
      </c>
      <c r="K2238" t="str">
        <v>and</v>
      </c>
      <c r="L2238" s="4" t="str">
        <f t="shared" si="43"/>
        <v>and</v>
      </c>
      <c r="M2238" t="str">
        <v>and</v>
      </c>
      <c r="N2238" s="4" cm="1">
        <f t="array" ref="N2238">SUM(--(_xlfn.TEXTSPLIT($J$2232,, " ") = M2238))</f>
        <v>11</v>
      </c>
      <c r="O2238">
        <v>5</v>
      </c>
      <c r="P2238" t="str">
        <v>for</v>
      </c>
      <c r="Q2238">
        <v>5</v>
      </c>
    </row>
    <row r="2239" spans="1:18" x14ac:dyDescent="0.2">
      <c r="E2239" s="9" t="s">
        <v>28</v>
      </c>
      <c r="K2239" t="str">
        <v>machines</v>
      </c>
      <c r="L2239" s="4" t="str">
        <f t="shared" si="43"/>
        <v>machines</v>
      </c>
      <c r="M2239" t="str">
        <v>machines</v>
      </c>
      <c r="N2239" s="4" cm="1">
        <f t="array" ref="N2239">SUM(--(_xlfn.TEXTSPLIT($J$2232,, " ") = M2239))</f>
        <v>1</v>
      </c>
      <c r="O2239">
        <v>5</v>
      </c>
      <c r="P2239" t="str">
        <v>you</v>
      </c>
      <c r="Q2239">
        <v>5</v>
      </c>
    </row>
    <row r="2240" spans="1:18" x14ac:dyDescent="0.2">
      <c r="E2240" s="9" t="s">
        <v>28</v>
      </c>
      <c r="K2240" t="str">
        <v>in</v>
      </c>
      <c r="L2240" s="4" t="str">
        <f t="shared" si="43"/>
        <v>in</v>
      </c>
      <c r="M2240" t="str">
        <v>in</v>
      </c>
      <c r="N2240" s="4" cm="1">
        <f t="array" ref="N2240">SUM(--(_xlfn.TEXTSPLIT($J$2232,, " ") = M2240))</f>
        <v>2</v>
      </c>
      <c r="O2240">
        <v>3</v>
      </c>
      <c r="P2240" t="str">
        <v>a</v>
      </c>
      <c r="Q2240">
        <v>3</v>
      </c>
    </row>
    <row r="2241" spans="5:17" x14ac:dyDescent="0.2">
      <c r="E2241" s="9" t="s">
        <v>28</v>
      </c>
      <c r="K2241" t="str">
        <v>my</v>
      </c>
      <c r="L2241" s="4" t="str">
        <f t="shared" si="43"/>
        <v>my</v>
      </c>
      <c r="M2241" t="str">
        <v>my</v>
      </c>
      <c r="N2241" s="4" cm="1">
        <f t="array" ref="N2241">SUM(--(_xlfn.TEXTSPLIT($J$2232,, " ") = M2241))</f>
        <v>5</v>
      </c>
      <c r="O2241">
        <v>3</v>
      </c>
      <c r="P2241" t="str">
        <v>lines</v>
      </c>
      <c r="Q2241">
        <v>3</v>
      </c>
    </row>
    <row r="2242" spans="5:17" x14ac:dyDescent="0.2">
      <c r="E2242" s="9" t="s">
        <v>28</v>
      </c>
      <c r="K2242" t="str">
        <v xml:space="preserve">room
</v>
      </c>
      <c r="L2242" s="4" t="str">
        <f t="shared" si="43"/>
        <v xml:space="preserve">room </v>
      </c>
      <c r="M2242" t="str">
        <v xml:space="preserve">room
</v>
      </c>
      <c r="N2242" s="4" cm="1">
        <f t="array" ref="N2242">SUM(--(_xlfn.TEXTSPLIT($J$2232,, " ") = M2242))</f>
        <v>1</v>
      </c>
      <c r="O2242">
        <v>3</v>
      </c>
      <c r="P2242" t="str">
        <v>on</v>
      </c>
      <c r="Q2242">
        <v>3</v>
      </c>
    </row>
    <row r="2243" spans="5:17" x14ac:dyDescent="0.2">
      <c r="E2243" s="9" t="s">
        <v>28</v>
      </c>
      <c r="K2243" t="str">
        <v>An</v>
      </c>
      <c r="L2243" s="4" t="str">
        <f t="shared" si="43"/>
        <v>An</v>
      </c>
      <c r="M2243" t="str">
        <v>An</v>
      </c>
      <c r="N2243" s="4" cm="1">
        <f t="array" ref="N2243">SUM(--(_xlfn.TEXTSPLIT($J$2232,, " ") = M2243))</f>
        <v>1</v>
      </c>
      <c r="O2243">
        <v>3</v>
      </c>
      <c r="P2243" t="str">
        <v>wasn't</v>
      </c>
      <c r="Q2243">
        <v>3</v>
      </c>
    </row>
    <row r="2244" spans="5:17" x14ac:dyDescent="0.2">
      <c r="E2244" s="9" t="s">
        <v>28</v>
      </c>
      <c r="K2244" t="str">
        <v xml:space="preserve">understanding
</v>
      </c>
      <c r="L2244" s="4" t="str">
        <f t="shared" si="43"/>
        <v xml:space="preserve">understanding </v>
      </c>
      <c r="M2244" t="str">
        <v xml:space="preserve">understanding
</v>
      </c>
      <c r="N2244" s="4" cm="1">
        <f t="array" ref="N2244">SUM(--(_xlfn.TEXTSPLIT($J$2232,, " ") = M2244))</f>
        <v>1</v>
      </c>
      <c r="O2244">
        <v>3</v>
      </c>
      <c r="P2244" t="str">
        <v>lookin'</v>
      </c>
      <c r="Q2244">
        <v>3</v>
      </c>
    </row>
    <row r="2245" spans="5:17" x14ac:dyDescent="0.2">
      <c r="E2245" s="9" t="s">
        <v>28</v>
      </c>
      <c r="K2245" t="str">
        <v>The</v>
      </c>
      <c r="L2245" s="4" t="str">
        <f t="shared" si="43"/>
        <v>The</v>
      </c>
      <c r="M2245" t="str">
        <v>beeps</v>
      </c>
      <c r="N2245" s="4" cm="1">
        <f t="array" ref="N2245">SUM(--(_xlfn.TEXTSPLIT($J$2232,, " ") = M2245))</f>
        <v>1</v>
      </c>
      <c r="O2245">
        <v>3</v>
      </c>
      <c r="P2245" t="str">
        <v>love</v>
      </c>
      <c r="Q2245">
        <v>3</v>
      </c>
    </row>
    <row r="2246" spans="5:17" x14ac:dyDescent="0.2">
      <c r="E2246" s="9" t="s">
        <v>28</v>
      </c>
      <c r="K2246" t="str">
        <v>beeps</v>
      </c>
      <c r="L2246" s="4" t="str">
        <f t="shared" si="43"/>
        <v>beeps</v>
      </c>
      <c r="M2246" t="str">
        <v>tones</v>
      </c>
      <c r="N2246" s="4" cm="1">
        <f t="array" ref="N2246">SUM(--(_xlfn.TEXTSPLIT($J$2232,, " ") = M2246))</f>
        <v>1</v>
      </c>
      <c r="O2246">
        <v>3</v>
      </c>
      <c r="P2246" t="str">
        <v>this</v>
      </c>
      <c r="Q2246">
        <v>3</v>
      </c>
    </row>
    <row r="2247" spans="5:17" x14ac:dyDescent="0.2">
      <c r="E2247" s="9" t="s">
        <v>28</v>
      </c>
      <c r="K2247" t="str">
        <v>and</v>
      </c>
      <c r="L2247" s="4" t="str">
        <f t="shared" si="43"/>
        <v>and</v>
      </c>
      <c r="M2247" t="str">
        <v xml:space="preserve">make
</v>
      </c>
      <c r="N2247" s="4" cm="1">
        <f t="array" ref="N2247">SUM(--(_xlfn.TEXTSPLIT($J$2232,, " ") = M2247))</f>
        <v>1</v>
      </c>
      <c r="O2247">
        <v>3</v>
      </c>
      <c r="P2247" t="str">
        <v xml:space="preserve">year
</v>
      </c>
      <c r="Q2247">
        <v>3</v>
      </c>
    </row>
    <row r="2248" spans="5:17" x14ac:dyDescent="0.2">
      <c r="E2248" s="9" t="s">
        <v>28</v>
      </c>
      <c r="K2248" t="str">
        <v>tones</v>
      </c>
      <c r="L2248" s="4" t="str">
        <f t="shared" si="43"/>
        <v>tones</v>
      </c>
      <c r="M2248" t="str">
        <v>only</v>
      </c>
      <c r="N2248" s="4" cm="1">
        <f t="array" ref="N2248">SUM(--(_xlfn.TEXTSPLIT($J$2232,, " ") = M2248))</f>
        <v>1</v>
      </c>
      <c r="O2248">
        <v>3</v>
      </c>
      <c r="P2248" t="str">
        <v>But</v>
      </c>
      <c r="Q2248">
        <v>3</v>
      </c>
    </row>
    <row r="2249" spans="5:17" x14ac:dyDescent="0.2">
      <c r="E2249" s="9" t="s">
        <v>28</v>
      </c>
      <c r="K2249" t="str">
        <v>they</v>
      </c>
      <c r="L2249" s="4" t="str">
        <f t="shared" si="43"/>
        <v>they</v>
      </c>
      <c r="M2249" t="str">
        <v>advice</v>
      </c>
      <c r="N2249" s="4" cm="1">
        <f t="array" ref="N2249">SUM(--(_xlfn.TEXTSPLIT($J$2232,, " ") = M2249))</f>
        <v>1</v>
      </c>
      <c r="O2249">
        <v>3</v>
      </c>
      <c r="P2249" t="str">
        <v>told</v>
      </c>
      <c r="Q2249">
        <v>3</v>
      </c>
    </row>
    <row r="2250" spans="5:17" x14ac:dyDescent="0.2">
      <c r="E2250" s="9" t="s">
        <v>28</v>
      </c>
      <c r="K2250" t="str">
        <v xml:space="preserve">make
</v>
      </c>
      <c r="L2250" s="4" t="str">
        <f t="shared" si="43"/>
        <v xml:space="preserve">make </v>
      </c>
      <c r="M2250" t="str">
        <v>I</v>
      </c>
      <c r="N2250" s="4" cm="1">
        <f t="array" ref="N2250">SUM(--(_xlfn.TEXTSPLIT($J$2232,, " ") = M2250))</f>
        <v>15</v>
      </c>
      <c r="O2250">
        <v>3</v>
      </c>
      <c r="P2250" t="str">
        <v>that</v>
      </c>
      <c r="Q2250">
        <v>3</v>
      </c>
    </row>
    <row r="2251" spans="5:17" x14ac:dyDescent="0.2">
      <c r="E2251" s="9" t="s">
        <v>28</v>
      </c>
      <c r="K2251" t="str">
        <v>The</v>
      </c>
      <c r="L2251" s="4" t="str">
        <f t="shared" si="43"/>
        <v>The</v>
      </c>
      <c r="M2251" t="str">
        <v>take,</v>
      </c>
      <c r="N2251" s="4" cm="1">
        <f t="array" ref="N2251">SUM(--(_xlfn.TEXTSPLIT($J$2232,, " ") = M2251))</f>
        <v>1</v>
      </c>
      <c r="O2251">
        <v>3</v>
      </c>
      <c r="P2251" t="str">
        <v>shouldn't</v>
      </c>
      <c r="Q2251">
        <v>3</v>
      </c>
    </row>
    <row r="2252" spans="5:17" x14ac:dyDescent="0.2">
      <c r="E2252" s="9" t="s">
        <v>28</v>
      </c>
      <c r="K2252" t="str">
        <v>only</v>
      </c>
      <c r="L2252" s="4" t="str">
        <f t="shared" si="43"/>
        <v>only</v>
      </c>
      <c r="M2252" t="str">
        <v>inside</v>
      </c>
      <c r="N2252" s="4" cm="1">
        <f t="array" ref="N2252">SUM(--(_xlfn.TEXTSPLIT($J$2232,, " ") = M2252))</f>
        <v>1</v>
      </c>
      <c r="O2252">
        <v>3</v>
      </c>
      <c r="P2252" t="str">
        <v xml:space="preserve">fear
</v>
      </c>
      <c r="Q2252">
        <v>3</v>
      </c>
    </row>
    <row r="2253" spans="5:17" x14ac:dyDescent="0.2">
      <c r="E2253" s="9" t="s">
        <v>28</v>
      </c>
      <c r="K2253" t="str">
        <v>advice</v>
      </c>
      <c r="L2253" s="4" t="str">
        <f t="shared" si="43"/>
        <v>advice</v>
      </c>
      <c r="M2253" t="str">
        <v>jokes</v>
      </c>
      <c r="N2253" s="4" cm="1">
        <f t="array" ref="N2253">SUM(--(_xlfn.TEXTSPLIT($J$2232,, " ") = M2253))</f>
        <v>1</v>
      </c>
      <c r="O2253">
        <v>3</v>
      </c>
      <c r="P2253" t="str">
        <v>When</v>
      </c>
      <c r="Q2253">
        <v>3</v>
      </c>
    </row>
    <row r="2254" spans="5:17" x14ac:dyDescent="0.2">
      <c r="E2254" s="9" t="s">
        <v>28</v>
      </c>
      <c r="K2254" t="str">
        <v>I</v>
      </c>
      <c r="L2254" s="4" t="str">
        <f t="shared" si="43"/>
        <v>I</v>
      </c>
      <c r="M2254" t="str">
        <v>are</v>
      </c>
      <c r="N2254" s="4" cm="1">
        <f t="array" ref="N2254">SUM(--(_xlfn.TEXTSPLIT($J$2232,, " ") = M2254))</f>
        <v>1</v>
      </c>
      <c r="O2254">
        <v>3</v>
      </c>
      <c r="P2254" t="str">
        <v>met</v>
      </c>
      <c r="Q2254">
        <v>3</v>
      </c>
    </row>
    <row r="2255" spans="5:17" x14ac:dyDescent="0.2">
      <c r="E2255" s="9" t="s">
        <v>28</v>
      </c>
      <c r="K2255" t="str">
        <v>take,</v>
      </c>
      <c r="L2255" s="4" t="str">
        <f t="shared" si="43"/>
        <v xml:space="preserve">take </v>
      </c>
      <c r="M2255" t="str">
        <v xml:space="preserve">landing
</v>
      </c>
      <c r="N2255" s="4" cm="1">
        <f t="array" ref="N2255">SUM(--(_xlfn.TEXTSPLIT($J$2232,, " ") = M2255))</f>
        <v>1</v>
      </c>
      <c r="O2255">
        <v>3</v>
      </c>
      <c r="P2255" t="str">
        <v>you,</v>
      </c>
      <c r="Q2255">
        <v>3</v>
      </c>
    </row>
    <row r="2256" spans="5:17" x14ac:dyDescent="0.2">
      <c r="E2256" s="9" t="s">
        <v>28</v>
      </c>
      <c r="K2256" t="str">
        <v>the</v>
      </c>
      <c r="L2256" s="4" t="str">
        <f t="shared" si="43"/>
        <v>the</v>
      </c>
      <c r="M2256" t="str">
        <v>Now</v>
      </c>
      <c r="N2256" s="4" cm="1">
        <f t="array" ref="N2256">SUM(--(_xlfn.TEXTSPLIT($J$2232,, " ") = M2256))</f>
        <v>1</v>
      </c>
      <c r="O2256">
        <v>3</v>
      </c>
      <c r="P2256" t="str">
        <v>found</v>
      </c>
      <c r="Q2256">
        <v>3</v>
      </c>
    </row>
    <row r="2257" spans="5:17" x14ac:dyDescent="0.2">
      <c r="E2257" s="9" t="s">
        <v>28</v>
      </c>
      <c r="K2257" t="str">
        <v>inside</v>
      </c>
      <c r="L2257" s="4" t="str">
        <f t="shared" si="43"/>
        <v>inside</v>
      </c>
      <c r="M2257" t="str">
        <v>I'm</v>
      </c>
      <c r="N2257" s="4" cm="1">
        <f t="array" ref="N2257">SUM(--(_xlfn.TEXTSPLIT($J$2232,, " ") = M2257))</f>
        <v>2</v>
      </c>
      <c r="O2257">
        <v>3</v>
      </c>
      <c r="P2257" t="str">
        <v>safe</v>
      </c>
      <c r="Q2257">
        <v>3</v>
      </c>
    </row>
    <row r="2258" spans="5:17" x14ac:dyDescent="0.2">
      <c r="E2258" s="9" t="s">
        <v>28</v>
      </c>
      <c r="K2258" t="str">
        <v>jokes</v>
      </c>
      <c r="L2258" s="4" t="str">
        <f t="shared" si="43"/>
        <v>jokes</v>
      </c>
      <c r="M2258" t="str">
        <v>waitin'</v>
      </c>
      <c r="N2258" s="4" cm="1">
        <f t="array" ref="N2258">SUM(--(_xlfn.TEXTSPLIT($J$2232,, " ") = M2258))</f>
        <v>1</v>
      </c>
      <c r="O2258">
        <v>3</v>
      </c>
      <c r="P2258" t="str">
        <v xml:space="preserve">warm
</v>
      </c>
      <c r="Q2258">
        <v>3</v>
      </c>
    </row>
    <row r="2259" spans="5:17" x14ac:dyDescent="0.2">
      <c r="E2259" s="9" t="s">
        <v>28</v>
      </c>
      <c r="K2259" t="str">
        <v>are</v>
      </c>
      <c r="L2259" s="4" t="str">
        <f t="shared" si="43"/>
        <v>are</v>
      </c>
      <c r="M2259" t="str">
        <v>for</v>
      </c>
      <c r="N2259" s="4" cm="1">
        <f t="array" ref="N2259">SUM(--(_xlfn.TEXTSPLIT($J$2232,, " ") = M2259))</f>
        <v>5</v>
      </c>
      <c r="O2259">
        <v>3</v>
      </c>
      <c r="P2259" t="str">
        <v>Then</v>
      </c>
      <c r="Q2259">
        <v>3</v>
      </c>
    </row>
    <row r="2260" spans="5:17" x14ac:dyDescent="0.2">
      <c r="E2260" s="9" t="s">
        <v>28</v>
      </c>
      <c r="K2260" t="str">
        <v xml:space="preserve">landing
</v>
      </c>
      <c r="L2260" s="4" t="str">
        <f t="shared" si="43"/>
        <v xml:space="preserve">landing </v>
      </c>
      <c r="M2260" t="str">
        <v>changes,</v>
      </c>
      <c r="N2260" s="4" cm="1">
        <f t="array" ref="N2260">SUM(--(_xlfn.TEXTSPLIT($J$2232,, " ") = M2260))</f>
        <v>2</v>
      </c>
      <c r="O2260">
        <v>3</v>
      </c>
      <c r="P2260" t="str">
        <v>voices</v>
      </c>
      <c r="Q2260">
        <v>3</v>
      </c>
    </row>
    <row r="2261" spans="5:17" x14ac:dyDescent="0.2">
      <c r="E2261" s="9" t="s">
        <v>28</v>
      </c>
      <c r="K2261" t="str">
        <v>Now</v>
      </c>
      <c r="L2261" s="4" t="str">
        <f t="shared" si="43"/>
        <v>Now</v>
      </c>
      <c r="M2261" t="str">
        <v>everyone</v>
      </c>
      <c r="N2261" s="4" cm="1">
        <f t="array" ref="N2261">SUM(--(_xlfn.TEXTSPLIT($J$2232,, " ") = M2261))</f>
        <v>2</v>
      </c>
      <c r="O2261">
        <v>3</v>
      </c>
      <c r="P2261" t="str">
        <v>would</v>
      </c>
      <c r="Q2261">
        <v>3</v>
      </c>
    </row>
    <row r="2262" spans="5:17" x14ac:dyDescent="0.2">
      <c r="E2262" s="9" t="s">
        <v>28</v>
      </c>
      <c r="K2262" t="str">
        <v>I'm</v>
      </c>
      <c r="L2262" s="4" t="str">
        <f t="shared" si="43"/>
        <v>I m</v>
      </c>
      <c r="M2262" t="str">
        <v xml:space="preserve">sees
</v>
      </c>
      <c r="N2262" s="4" cm="1">
        <f t="array" ref="N2262">SUM(--(_xlfn.TEXTSPLIT($J$2232,, " ") = M2262))</f>
        <v>2</v>
      </c>
      <c r="O2262">
        <v>3</v>
      </c>
      <c r="P2262" t="str">
        <v>reassure</v>
      </c>
      <c r="Q2262">
        <v>3</v>
      </c>
    </row>
    <row r="2263" spans="5:17" x14ac:dyDescent="0.2">
      <c r="E2263" s="9" t="s">
        <v>28</v>
      </c>
      <c r="K2263" t="str">
        <v>waitin'</v>
      </c>
      <c r="L2263" s="4" t="str">
        <f t="shared" si="43"/>
        <v xml:space="preserve">waitin </v>
      </c>
      <c r="M2263" t="str">
        <v>Feeling</v>
      </c>
      <c r="N2263" s="4" cm="1">
        <f t="array" ref="N2263">SUM(--(_xlfn.TEXTSPLIT($J$2232,, " ") = M2263))</f>
        <v>2</v>
      </c>
      <c r="O2263">
        <v>2</v>
      </c>
      <c r="P2263" t="str">
        <v>They</v>
      </c>
      <c r="Q2263">
        <v>2</v>
      </c>
    </row>
    <row r="2264" spans="5:17" x14ac:dyDescent="0.2">
      <c r="E2264" s="9" t="s">
        <v>28</v>
      </c>
      <c r="K2264" t="str">
        <v>for</v>
      </c>
      <c r="L2264" s="4" t="str">
        <f t="shared" si="43"/>
        <v>for</v>
      </c>
      <c r="M2264" t="str">
        <v>so</v>
      </c>
      <c r="N2264" s="4" cm="1">
        <f t="array" ref="N2264">SUM(--(_xlfn.TEXTSPLIT($J$2232,, " ") = M2264))</f>
        <v>2</v>
      </c>
      <c r="O2264">
        <v>2</v>
      </c>
      <c r="P2264" t="str">
        <v>in</v>
      </c>
      <c r="Q2264">
        <v>2</v>
      </c>
    </row>
    <row r="2265" spans="5:17" x14ac:dyDescent="0.2">
      <c r="E2265" s="9" t="s">
        <v>28</v>
      </c>
      <c r="K2265" t="str">
        <v>the</v>
      </c>
      <c r="L2265" s="4" t="str">
        <f t="shared" si="43"/>
        <v>the</v>
      </c>
      <c r="M2265" t="str">
        <v xml:space="preserve">fancy
</v>
      </c>
      <c r="N2265" s="4" cm="1">
        <f t="array" ref="N2265">SUM(--(_xlfn.TEXTSPLIT($J$2232,, " ") = M2265))</f>
        <v>2</v>
      </c>
      <c r="O2265">
        <v>2</v>
      </c>
      <c r="P2265" t="str">
        <v>I'm</v>
      </c>
      <c r="Q2265">
        <v>2</v>
      </c>
    </row>
    <row r="2266" spans="5:17" x14ac:dyDescent="0.2">
      <c r="E2266" s="9" t="s">
        <v>28</v>
      </c>
      <c r="K2266" t="str">
        <v>changes,</v>
      </c>
      <c r="L2266" s="4" t="str">
        <f t="shared" si="43"/>
        <v xml:space="preserve">changes </v>
      </c>
      <c r="M2266" t="str">
        <v>just</v>
      </c>
      <c r="N2266" s="4" cm="1">
        <f t="array" ref="N2266">SUM(--(_xlfn.TEXTSPLIT($J$2232,, " ") = M2266))</f>
        <v>2</v>
      </c>
      <c r="O2266">
        <v>2</v>
      </c>
      <c r="P2266" t="str">
        <v>changes,</v>
      </c>
      <c r="Q2266">
        <v>2</v>
      </c>
    </row>
    <row r="2267" spans="5:17" x14ac:dyDescent="0.2">
      <c r="E2267" s="9" t="s">
        <v>28</v>
      </c>
      <c r="K2267" t="str">
        <v>everyone</v>
      </c>
      <c r="L2267" s="4" t="str">
        <f t="shared" si="43"/>
        <v>everyone</v>
      </c>
      <c r="M2267" t="str">
        <v>wanna</v>
      </c>
      <c r="N2267" s="4" cm="1">
        <f t="array" ref="N2267">SUM(--(_xlfn.TEXTSPLIT($J$2232,, " ") = M2267))</f>
        <v>2</v>
      </c>
      <c r="O2267">
        <v>2</v>
      </c>
      <c r="P2267" t="str">
        <v>everyone</v>
      </c>
      <c r="Q2267">
        <v>2</v>
      </c>
    </row>
    <row r="2268" spans="5:17" x14ac:dyDescent="0.2">
      <c r="E2268" s="9" t="s">
        <v>28</v>
      </c>
      <c r="K2268" t="str">
        <v xml:space="preserve">sees
</v>
      </c>
      <c r="L2268" s="4" t="str">
        <f t="shared" si="43"/>
        <v xml:space="preserve">sees </v>
      </c>
      <c r="M2268" t="str">
        <v>dance</v>
      </c>
      <c r="N2268" s="4" cm="1">
        <f t="array" ref="N2268">SUM(--(_xlfn.TEXTSPLIT($J$2232,, " ") = M2268))</f>
        <v>2</v>
      </c>
      <c r="O2268">
        <v>2</v>
      </c>
      <c r="P2268" t="str">
        <v xml:space="preserve">sees
</v>
      </c>
      <c r="Q2268">
        <v>2</v>
      </c>
    </row>
    <row r="2269" spans="5:17" x14ac:dyDescent="0.2">
      <c r="E2269" s="9" t="s">
        <v>28</v>
      </c>
      <c r="K2269" t="str">
        <v>Feeling</v>
      </c>
      <c r="L2269" s="4" t="str">
        <f t="shared" si="43"/>
        <v>Feeling</v>
      </c>
      <c r="M2269" t="str">
        <v>style</v>
      </c>
      <c r="N2269" s="4" cm="1">
        <f t="array" ref="N2269">SUM(--(_xlfn.TEXTSPLIT($J$2232,, " ") = M2269))</f>
        <v>2</v>
      </c>
      <c r="O2269">
        <v>2</v>
      </c>
      <c r="P2269" t="str">
        <v>Feeling</v>
      </c>
      <c r="Q2269">
        <v>2</v>
      </c>
    </row>
    <row r="2270" spans="5:17" x14ac:dyDescent="0.2">
      <c r="E2270" s="9" t="s">
        <v>28</v>
      </c>
      <c r="K2270" t="str">
        <v>so</v>
      </c>
      <c r="L2270" s="4" t="str">
        <f t="shared" si="43"/>
        <v>so</v>
      </c>
      <c r="M2270" t="str">
        <v>stay</v>
      </c>
      <c r="N2270" s="4" cm="1">
        <f t="array" ref="N2270">SUM(--(_xlfn.TEXTSPLIT($J$2232,, " ") = M2270))</f>
        <v>2</v>
      </c>
      <c r="O2270">
        <v>2</v>
      </c>
      <c r="P2270" t="str">
        <v>so</v>
      </c>
      <c r="Q2270">
        <v>2</v>
      </c>
    </row>
    <row r="2271" spans="5:17" x14ac:dyDescent="0.2">
      <c r="E2271" s="9" t="s">
        <v>28</v>
      </c>
      <c r="K2271" t="str">
        <v xml:space="preserve">fancy
</v>
      </c>
      <c r="L2271" s="4" t="str">
        <f t="shared" si="43"/>
        <v xml:space="preserve">fancy  </v>
      </c>
      <c r="M2271" t="str">
        <v>a</v>
      </c>
      <c r="N2271" s="4" cm="1">
        <f t="array" ref="N2271">SUM(--(_xlfn.TEXTSPLIT($J$2232,, " ") = M2271))</f>
        <v>3</v>
      </c>
      <c r="O2271">
        <v>2</v>
      </c>
      <c r="P2271" t="str">
        <v xml:space="preserve">fancy
</v>
      </c>
      <c r="Q2271">
        <v>2</v>
      </c>
    </row>
    <row r="2272" spans="5:17" x14ac:dyDescent="0.2">
      <c r="E2272" s="9" t="s">
        <v>28</v>
      </c>
      <c r="K2272" t="str">
        <v>And</v>
      </c>
      <c r="L2272" s="4" t="str">
        <f t="shared" si="43"/>
        <v>And</v>
      </c>
      <c r="M2272" t="str">
        <v xml:space="preserve">while
</v>
      </c>
      <c r="N2272" s="4" cm="1">
        <f t="array" ref="N2272">SUM(--(_xlfn.TEXTSPLIT($J$2232,, " ") = M2272))</f>
        <v>2</v>
      </c>
      <c r="O2272">
        <v>2</v>
      </c>
      <c r="P2272" t="str">
        <v>just</v>
      </c>
      <c r="Q2272">
        <v>2</v>
      </c>
    </row>
    <row r="2273" spans="5:17" x14ac:dyDescent="0.2">
      <c r="E2273" s="9" t="s">
        <v>28</v>
      </c>
      <c r="K2273" t="str">
        <v>I</v>
      </c>
      <c r="L2273" s="4" t="str">
        <f t="shared" si="43"/>
        <v>I</v>
      </c>
      <c r="M2273" t="str">
        <v>lines</v>
      </c>
      <c r="N2273" s="4" cm="1">
        <f t="array" ref="N2273">SUM(--(_xlfn.TEXTSPLIT($J$2232,, " ") = M2273))</f>
        <v>3</v>
      </c>
      <c r="O2273">
        <v>2</v>
      </c>
      <c r="P2273" t="str">
        <v>wanna</v>
      </c>
      <c r="Q2273">
        <v>2</v>
      </c>
    </row>
    <row r="2274" spans="5:17" x14ac:dyDescent="0.2">
      <c r="E2274" s="9" t="s">
        <v>28</v>
      </c>
      <c r="K2274" t="str">
        <v>just</v>
      </c>
      <c r="L2274" s="4" t="str">
        <f t="shared" si="43"/>
        <v>just</v>
      </c>
      <c r="M2274" t="str">
        <v>on</v>
      </c>
      <c r="N2274" s="4" cm="1">
        <f t="array" ref="N2274">SUM(--(_xlfn.TEXTSPLIT($J$2232,, " ") = M2274))</f>
        <v>3</v>
      </c>
      <c r="O2274">
        <v>2</v>
      </c>
      <c r="P2274" t="str">
        <v>dance</v>
      </c>
      <c r="Q2274">
        <v>2</v>
      </c>
    </row>
    <row r="2275" spans="5:17" x14ac:dyDescent="0.2">
      <c r="E2275" s="9" t="s">
        <v>28</v>
      </c>
      <c r="K2275" t="str">
        <v>wanna</v>
      </c>
      <c r="L2275" s="4" t="str">
        <f t="shared" si="43"/>
        <v>wanna</v>
      </c>
      <c r="M2275" t="str">
        <v>floor,</v>
      </c>
      <c r="N2275" s="4" cm="1">
        <f t="array" ref="N2275">SUM(--(_xlfn.TEXTSPLIT($J$2232,, " ") = M2275))</f>
        <v>2</v>
      </c>
      <c r="O2275">
        <v>2</v>
      </c>
      <c r="P2275" t="str">
        <v>style</v>
      </c>
      <c r="Q2275">
        <v>2</v>
      </c>
    </row>
    <row r="2276" spans="5:17" x14ac:dyDescent="0.2">
      <c r="E2276" s="9" t="s">
        <v>28</v>
      </c>
      <c r="K2276" t="str">
        <v>dance</v>
      </c>
      <c r="L2276" s="4" t="str">
        <f t="shared" si="43"/>
        <v>dance</v>
      </c>
      <c r="M2276" t="str">
        <v>how</v>
      </c>
      <c r="N2276" s="4" cm="1">
        <f t="array" ref="N2276">SUM(--(_xlfn.TEXTSPLIT($J$2232,, " ") = M2276))</f>
        <v>2</v>
      </c>
      <c r="O2276">
        <v>2</v>
      </c>
      <c r="P2276" t="str">
        <v>stay</v>
      </c>
      <c r="Q2276">
        <v>2</v>
      </c>
    </row>
    <row r="2277" spans="5:17" x14ac:dyDescent="0.2">
      <c r="E2277" s="9" t="s">
        <v>28</v>
      </c>
      <c r="K2277" t="str">
        <v>and</v>
      </c>
      <c r="L2277" s="4" t="str">
        <f t="shared" si="43"/>
        <v>and</v>
      </c>
      <c r="M2277" t="str">
        <v>did</v>
      </c>
      <c r="N2277" s="4" cm="1">
        <f t="array" ref="N2277">SUM(--(_xlfn.TEXTSPLIT($J$2232,, " ") = M2277))</f>
        <v>2</v>
      </c>
      <c r="O2277">
        <v>2</v>
      </c>
      <c r="P2277" t="str">
        <v xml:space="preserve">while
</v>
      </c>
      <c r="Q2277">
        <v>2</v>
      </c>
    </row>
    <row r="2278" spans="5:17" x14ac:dyDescent="0.2">
      <c r="E2278" s="9" t="s">
        <v>28</v>
      </c>
      <c r="K2278" t="str">
        <v>style</v>
      </c>
      <c r="L2278" s="4" t="str">
        <f t="shared" si="43"/>
        <v>style</v>
      </c>
      <c r="M2278" t="str">
        <v>you</v>
      </c>
      <c r="N2278" s="4" cm="1">
        <f t="array" ref="N2278">SUM(--(_xlfn.TEXTSPLIT($J$2232,, " ") = M2278))</f>
        <v>5</v>
      </c>
      <c r="O2278">
        <v>2</v>
      </c>
      <c r="P2278" t="str">
        <v>floor,</v>
      </c>
      <c r="Q2278">
        <v>2</v>
      </c>
    </row>
    <row r="2279" spans="5:17" x14ac:dyDescent="0.2">
      <c r="E2279" s="9" t="s">
        <v>28</v>
      </c>
      <c r="K2279" t="str">
        <v>and</v>
      </c>
      <c r="L2279" s="4" t="str">
        <f t="shared" si="43"/>
        <v>and</v>
      </c>
      <c r="M2279" t="str">
        <v>find</v>
      </c>
      <c r="N2279" s="4" cm="1">
        <f t="array" ref="N2279">SUM(--(_xlfn.TEXTSPLIT($J$2232,, " ") = M2279))</f>
        <v>2</v>
      </c>
      <c r="O2279">
        <v>2</v>
      </c>
      <c r="P2279" t="str">
        <v>how</v>
      </c>
      <c r="Q2279">
        <v>2</v>
      </c>
    </row>
    <row r="2280" spans="5:17" x14ac:dyDescent="0.2">
      <c r="E2280" s="9" t="s">
        <v>28</v>
      </c>
      <c r="K2280" t="str">
        <v>stay</v>
      </c>
      <c r="L2280" s="4" t="str">
        <f t="shared" si="43"/>
        <v>stay</v>
      </c>
      <c r="M2280" t="str">
        <v xml:space="preserve">me?
</v>
      </c>
      <c r="N2280" s="4" cm="1">
        <f t="array" ref="N2280">SUM(--(_xlfn.TEXTSPLIT($J$2232,, " ") = M2280))</f>
        <v>2</v>
      </c>
      <c r="O2280">
        <v>2</v>
      </c>
      <c r="P2280" t="str">
        <v>did</v>
      </c>
      <c r="Q2280">
        <v>2</v>
      </c>
    </row>
    <row r="2281" spans="5:17" x14ac:dyDescent="0.2">
      <c r="E2281" s="9" t="s">
        <v>28</v>
      </c>
      <c r="K2281" t="str">
        <v>a</v>
      </c>
      <c r="L2281" s="4" t="str">
        <f t="shared" si="43"/>
        <v>a</v>
      </c>
      <c r="M2281" t="str">
        <v xml:space="preserve">Woo
</v>
      </c>
      <c r="N2281" s="4" cm="1">
        <f t="array" ref="N2281">SUM(--(_xlfn.TEXTSPLIT($J$2232,, " ") = M2281))</f>
        <v>2</v>
      </c>
      <c r="O2281">
        <v>2</v>
      </c>
      <c r="P2281" t="str">
        <v>find</v>
      </c>
      <c r="Q2281">
        <v>2</v>
      </c>
    </row>
    <row r="2282" spans="5:17" x14ac:dyDescent="0.2">
      <c r="E2282" s="9" t="s">
        <v>28</v>
      </c>
      <c r="K2282" t="str">
        <v xml:space="preserve">while
</v>
      </c>
      <c r="L2282" s="4" t="str">
        <f t="shared" si="43"/>
        <v xml:space="preserve">while </v>
      </c>
      <c r="M2282" t="str">
        <v>wasn't</v>
      </c>
      <c r="N2282" s="4" cm="1">
        <f t="array" ref="N2282">SUM(--(_xlfn.TEXTSPLIT($J$2232,, " ") = M2282))</f>
        <v>3</v>
      </c>
      <c r="O2282">
        <v>2</v>
      </c>
      <c r="P2282" t="str">
        <v xml:space="preserve">me?
</v>
      </c>
      <c r="Q2282">
        <v>2</v>
      </c>
    </row>
    <row r="2283" spans="5:17" x14ac:dyDescent="0.2">
      <c r="E2283" s="9" t="s">
        <v>28</v>
      </c>
      <c r="K2283" t="str">
        <v>The</v>
      </c>
      <c r="L2283" s="4" t="str">
        <f t="shared" si="43"/>
        <v>The</v>
      </c>
      <c r="M2283" t="str">
        <v>lookin'</v>
      </c>
      <c r="N2283" s="4" cm="1">
        <f t="array" ref="N2283">SUM(--(_xlfn.TEXTSPLIT($J$2232,, " ") = M2283))</f>
        <v>3</v>
      </c>
      <c r="O2283">
        <v>2</v>
      </c>
      <c r="P2283" t="str">
        <v xml:space="preserve">Woo
</v>
      </c>
      <c r="Q2283">
        <v>2</v>
      </c>
    </row>
    <row r="2284" spans="5:17" x14ac:dyDescent="0.2">
      <c r="E2284" s="9" t="s">
        <v>28</v>
      </c>
      <c r="K2284" t="str">
        <v>lines</v>
      </c>
      <c r="L2284" s="4" t="str">
        <f t="shared" si="43"/>
        <v>lines</v>
      </c>
      <c r="M2284" t="str">
        <v>love</v>
      </c>
      <c r="N2284" s="4" cm="1">
        <f t="array" ref="N2284">SUM(--(_xlfn.TEXTSPLIT($J$2232,, " ") = M2284))</f>
        <v>3</v>
      </c>
      <c r="O2284">
        <v>1</v>
      </c>
      <c r="P2284" t="str">
        <v>keep</v>
      </c>
      <c r="Q2284">
        <v>1</v>
      </c>
    </row>
    <row r="2285" spans="5:17" x14ac:dyDescent="0.2">
      <c r="E2285" s="9" t="s">
        <v>28</v>
      </c>
      <c r="K2285" t="str">
        <v>on</v>
      </c>
      <c r="L2285" s="4" t="str">
        <f t="shared" si="43"/>
        <v>on</v>
      </c>
      <c r="M2285" t="str">
        <v>this</v>
      </c>
      <c r="N2285" s="4" cm="1">
        <f t="array" ref="N2285">SUM(--(_xlfn.TEXTSPLIT($J$2232,, " ") = M2285))</f>
        <v>3</v>
      </c>
      <c r="O2285">
        <v>1</v>
      </c>
      <c r="P2285" t="str">
        <v xml:space="preserve">company
</v>
      </c>
      <c r="Q2285">
        <v>1</v>
      </c>
    </row>
    <row r="2286" spans="5:17" x14ac:dyDescent="0.2">
      <c r="E2286" s="9" t="s">
        <v>28</v>
      </c>
      <c r="K2286" t="str">
        <v>the</v>
      </c>
      <c r="L2286" s="4" t="str">
        <f t="shared" si="43"/>
        <v>the</v>
      </c>
      <c r="M2286" t="str">
        <v xml:space="preserve">year
</v>
      </c>
      <c r="N2286" s="4" cm="1">
        <f t="array" ref="N2286">SUM(--(_xlfn.TEXTSPLIT($J$2232,, " ") = M2286))</f>
        <v>3</v>
      </c>
      <c r="O2286">
        <v>1</v>
      </c>
      <c r="P2286" t="str">
        <v>robots</v>
      </c>
      <c r="Q2286">
        <v>1</v>
      </c>
    </row>
    <row r="2287" spans="5:17" x14ac:dyDescent="0.2">
      <c r="E2287" s="9" t="s">
        <v>28</v>
      </c>
      <c r="K2287" t="str">
        <v>floor,</v>
      </c>
      <c r="L2287" s="4" t="str">
        <f t="shared" si="43"/>
        <v xml:space="preserve">floor </v>
      </c>
      <c r="M2287" t="str">
        <v>But</v>
      </c>
      <c r="N2287" s="4" cm="1">
        <f t="array" ref="N2287">SUM(--(_xlfn.TEXTSPLIT($J$2232,, " ") = M2287))</f>
        <v>3</v>
      </c>
      <c r="O2287">
        <v>1</v>
      </c>
      <c r="P2287" t="str">
        <v>machines</v>
      </c>
      <c r="Q2287">
        <v>1</v>
      </c>
    </row>
    <row r="2288" spans="5:17" x14ac:dyDescent="0.2">
      <c r="E2288" s="9" t="s">
        <v>28</v>
      </c>
      <c r="K2288" t="str">
        <v>how</v>
      </c>
      <c r="L2288" s="4" t="str">
        <f t="shared" si="43"/>
        <v>how</v>
      </c>
      <c r="M2288" t="str">
        <v>robot</v>
      </c>
      <c r="N2288" s="4" cm="1">
        <f t="array" ref="N2288">SUM(--(_xlfn.TEXTSPLIT($J$2232,, " ") = M2288))</f>
        <v>6</v>
      </c>
      <c r="O2288">
        <v>1</v>
      </c>
      <c r="P2288" t="str">
        <v xml:space="preserve">room
</v>
      </c>
      <c r="Q2288">
        <v>1</v>
      </c>
    </row>
    <row r="2289" spans="5:17" x14ac:dyDescent="0.2">
      <c r="E2289" s="9" t="s">
        <v>28</v>
      </c>
      <c r="K2289" t="str">
        <v>did</v>
      </c>
      <c r="L2289" s="4" t="str">
        <f t="shared" si="43"/>
        <v>did</v>
      </c>
      <c r="M2289" t="str">
        <v>told</v>
      </c>
      <c r="N2289" s="4" cm="1">
        <f t="array" ref="N2289">SUM(--(_xlfn.TEXTSPLIT($J$2232,, " ") = M2289))</f>
        <v>3</v>
      </c>
      <c r="O2289">
        <v>1</v>
      </c>
      <c r="P2289" t="str">
        <v>An</v>
      </c>
      <c r="Q2289">
        <v>1</v>
      </c>
    </row>
    <row r="2290" spans="5:17" x14ac:dyDescent="0.2">
      <c r="E2290" s="9" t="s">
        <v>28</v>
      </c>
      <c r="K2290" t="str">
        <v>you</v>
      </c>
      <c r="L2290" s="4" t="str">
        <f t="shared" si="43"/>
        <v>you</v>
      </c>
      <c r="M2290" t="str">
        <v>that</v>
      </c>
      <c r="N2290" s="4" cm="1">
        <f t="array" ref="N2290">SUM(--(_xlfn.TEXTSPLIT($J$2232,, " ") = M2290))</f>
        <v>3</v>
      </c>
      <c r="O2290">
        <v>1</v>
      </c>
      <c r="P2290" t="str">
        <v xml:space="preserve">understanding
</v>
      </c>
      <c r="Q2290">
        <v>1</v>
      </c>
    </row>
    <row r="2291" spans="5:17" x14ac:dyDescent="0.2">
      <c r="E2291" s="9" t="s">
        <v>28</v>
      </c>
      <c r="K2291" t="str">
        <v>find</v>
      </c>
      <c r="L2291" s="4" t="str">
        <f t="shared" si="43"/>
        <v>find</v>
      </c>
      <c r="M2291" t="str">
        <v>shouldn't</v>
      </c>
      <c r="N2291" s="4" cm="1">
        <f t="array" ref="N2291">SUM(--(_xlfn.TEXTSPLIT($J$2232,, " ") = M2291))</f>
        <v>3</v>
      </c>
      <c r="O2291">
        <v>1</v>
      </c>
      <c r="P2291" t="str">
        <v>beeps</v>
      </c>
      <c r="Q2291">
        <v>1</v>
      </c>
    </row>
    <row r="2292" spans="5:17" x14ac:dyDescent="0.2">
      <c r="E2292" s="9" t="s">
        <v>28</v>
      </c>
      <c r="K2292" t="str">
        <v xml:space="preserve">me?
</v>
      </c>
      <c r="L2292" s="4" t="str">
        <f t="shared" si="43"/>
        <v xml:space="preserve">me   </v>
      </c>
      <c r="M2292" t="str">
        <v xml:space="preserve">fear
</v>
      </c>
      <c r="N2292" s="4" cm="1">
        <f t="array" ref="N2292">SUM(--(_xlfn.TEXTSPLIT($J$2232,, " ") = M2292))</f>
        <v>3</v>
      </c>
      <c r="O2292">
        <v>1</v>
      </c>
      <c r="P2292" t="str">
        <v>tones</v>
      </c>
      <c r="Q2292">
        <v>1</v>
      </c>
    </row>
    <row r="2293" spans="5:17" x14ac:dyDescent="0.2">
      <c r="E2293" s="9" t="s">
        <v>28</v>
      </c>
      <c r="K2293" t="str">
        <v xml:space="preserve">Woo
</v>
      </c>
      <c r="L2293" s="4" t="str">
        <f t="shared" si="43"/>
        <v xml:space="preserve">Woo </v>
      </c>
      <c r="M2293" t="str">
        <v>When</v>
      </c>
      <c r="N2293" s="4" cm="1">
        <f t="array" ref="N2293">SUM(--(_xlfn.TEXTSPLIT($J$2232,, " ") = M2293))</f>
        <v>3</v>
      </c>
      <c r="O2293">
        <v>1</v>
      </c>
      <c r="P2293" t="str">
        <v xml:space="preserve">make
</v>
      </c>
      <c r="Q2293">
        <v>1</v>
      </c>
    </row>
    <row r="2294" spans="5:17" x14ac:dyDescent="0.2">
      <c r="E2294" s="9" t="s">
        <v>28</v>
      </c>
      <c r="K2294" t="str">
        <v>I</v>
      </c>
      <c r="L2294" s="4" t="str">
        <f t="shared" si="43"/>
        <v>I</v>
      </c>
      <c r="M2294" t="str">
        <v>met</v>
      </c>
      <c r="N2294" s="4" cm="1">
        <f t="array" ref="N2294">SUM(--(_xlfn.TEXTSPLIT($J$2232,, " ") = M2294))</f>
        <v>3</v>
      </c>
      <c r="O2294">
        <v>1</v>
      </c>
      <c r="P2294" t="str">
        <v>only</v>
      </c>
      <c r="Q2294">
        <v>1</v>
      </c>
    </row>
    <row r="2295" spans="5:17" x14ac:dyDescent="0.2">
      <c r="E2295" s="9" t="s">
        <v>28</v>
      </c>
      <c r="K2295" t="str">
        <v>wasn't</v>
      </c>
      <c r="L2295" s="4" t="str">
        <f t="shared" si="43"/>
        <v>wasn t</v>
      </c>
      <c r="M2295" t="str">
        <v>you,</v>
      </c>
      <c r="N2295" s="4" cm="1">
        <f t="array" ref="N2295">SUM(--(_xlfn.TEXTSPLIT($J$2232,, " ") = M2295))</f>
        <v>3</v>
      </c>
      <c r="O2295">
        <v>1</v>
      </c>
      <c r="P2295" t="str">
        <v>advice</v>
      </c>
      <c r="Q2295">
        <v>1</v>
      </c>
    </row>
    <row r="2296" spans="5:17" x14ac:dyDescent="0.2">
      <c r="E2296" s="9" t="s">
        <v>28</v>
      </c>
      <c r="K2296" t="str">
        <v>lookin'</v>
      </c>
      <c r="L2296" s="4" t="str">
        <f t="shared" si="43"/>
        <v xml:space="preserve">lookin </v>
      </c>
      <c r="M2296" t="str">
        <v>found</v>
      </c>
      <c r="N2296" s="4" cm="1">
        <f t="array" ref="N2296">SUM(--(_xlfn.TEXTSPLIT($J$2232,, " ") = M2296))</f>
        <v>3</v>
      </c>
      <c r="O2296">
        <v>1</v>
      </c>
      <c r="P2296" t="str">
        <v>take,</v>
      </c>
      <c r="Q2296">
        <v>1</v>
      </c>
    </row>
    <row r="2297" spans="5:17" x14ac:dyDescent="0.2">
      <c r="E2297" s="9" t="s">
        <v>28</v>
      </c>
      <c r="K2297" t="str">
        <v>for</v>
      </c>
      <c r="L2297" s="4" t="str">
        <f t="shared" ref="L2297:L2360" si="44">_xlfn.REGEXREPLACE(K2297, "[^A-Za-z ]", " ")</f>
        <v>for</v>
      </c>
      <c r="M2297" t="str">
        <v>safe</v>
      </c>
      <c r="N2297" s="4" cm="1">
        <f t="array" ref="N2297">SUM(--(_xlfn.TEXTSPLIT($J$2232,, " ") = M2297))</f>
        <v>3</v>
      </c>
      <c r="O2297">
        <v>1</v>
      </c>
      <c r="P2297" t="str">
        <v>inside</v>
      </c>
      <c r="Q2297">
        <v>1</v>
      </c>
    </row>
    <row r="2298" spans="5:17" x14ac:dyDescent="0.2">
      <c r="E2298" s="9" t="s">
        <v>28</v>
      </c>
      <c r="K2298" t="str">
        <v>love</v>
      </c>
      <c r="L2298" s="4" t="str">
        <f t="shared" si="44"/>
        <v>love</v>
      </c>
      <c r="M2298" t="str">
        <v xml:space="preserve">warm
</v>
      </c>
      <c r="N2298" s="4" cm="1">
        <f t="array" ref="N2298">SUM(--(_xlfn.TEXTSPLIT($J$2232,, " ") = M2298))</f>
        <v>3</v>
      </c>
      <c r="O2298">
        <v>1</v>
      </c>
      <c r="P2298" t="str">
        <v>jokes</v>
      </c>
      <c r="Q2298">
        <v>1</v>
      </c>
    </row>
    <row r="2299" spans="5:17" x14ac:dyDescent="0.2">
      <c r="E2299" s="9" t="s">
        <v>28</v>
      </c>
      <c r="K2299" t="str">
        <v>this</v>
      </c>
      <c r="L2299" s="4" t="str">
        <f t="shared" si="44"/>
        <v>this</v>
      </c>
      <c r="M2299" t="str">
        <v>Then</v>
      </c>
      <c r="N2299" s="4" cm="1">
        <f t="array" ref="N2299">SUM(--(_xlfn.TEXTSPLIT($J$2232,, " ") = M2299))</f>
        <v>3</v>
      </c>
      <c r="O2299">
        <v>1</v>
      </c>
      <c r="P2299" t="str">
        <v>are</v>
      </c>
      <c r="Q2299">
        <v>1</v>
      </c>
    </row>
    <row r="2300" spans="5:17" x14ac:dyDescent="0.2">
      <c r="E2300" s="9" t="s">
        <v>28</v>
      </c>
      <c r="K2300" t="str">
        <v xml:space="preserve">year
</v>
      </c>
      <c r="L2300" s="4" t="str">
        <f t="shared" si="44"/>
        <v xml:space="preserve">year </v>
      </c>
      <c r="M2300" t="str">
        <v>voices</v>
      </c>
      <c r="N2300" s="4" cm="1">
        <f t="array" ref="N2300">SUM(--(_xlfn.TEXTSPLIT($J$2232,, " ") = M2300))</f>
        <v>3</v>
      </c>
      <c r="O2300">
        <v>1</v>
      </c>
      <c r="P2300" t="str">
        <v xml:space="preserve">landing
</v>
      </c>
      <c r="Q2300">
        <v>1</v>
      </c>
    </row>
    <row r="2301" spans="5:17" x14ac:dyDescent="0.2">
      <c r="E2301" s="9" t="s">
        <v>28</v>
      </c>
      <c r="K2301" t="str">
        <v>But</v>
      </c>
      <c r="L2301" s="4" t="str">
        <f t="shared" si="44"/>
        <v>But</v>
      </c>
      <c r="M2301" t="str">
        <v>would</v>
      </c>
      <c r="N2301" s="4" cm="1">
        <f t="array" ref="N2301">SUM(--(_xlfn.TEXTSPLIT($J$2232,, " ") = M2301))</f>
        <v>3</v>
      </c>
      <c r="O2301">
        <v>1</v>
      </c>
      <c r="P2301" t="str">
        <v>Now</v>
      </c>
      <c r="Q2301">
        <v>1</v>
      </c>
    </row>
    <row r="2302" spans="5:17" x14ac:dyDescent="0.2">
      <c r="E2302" s="9" t="s">
        <v>28</v>
      </c>
      <c r="K2302" t="str">
        <v>my</v>
      </c>
      <c r="L2302" s="4" t="str">
        <f t="shared" si="44"/>
        <v>my</v>
      </c>
      <c r="M2302" t="str">
        <v>reassure</v>
      </c>
      <c r="N2302" s="4" cm="1">
        <f t="array" ref="N2302">SUM(--(_xlfn.TEXTSPLIT($J$2232,, " ") = M2302))</f>
        <v>3</v>
      </c>
      <c r="O2302">
        <v>1</v>
      </c>
      <c r="P2302" t="str">
        <v>waitin'</v>
      </c>
      <c r="Q2302">
        <v>1</v>
      </c>
    </row>
    <row r="2303" spans="5:17" x14ac:dyDescent="0.2">
      <c r="E2303" s="9" t="s">
        <v>28</v>
      </c>
      <c r="K2303" t="str">
        <v>robot</v>
      </c>
      <c r="L2303" s="4" t="str">
        <f t="shared" si="44"/>
        <v>robot</v>
      </c>
      <c r="M2303" t="str">
        <v xml:space="preserve">me
</v>
      </c>
      <c r="N2303" s="4" cm="1">
        <f t="array" ref="N2303">SUM(--(_xlfn.TEXTSPLIT($J$2232,, " ") = M2303))</f>
        <v>1</v>
      </c>
      <c r="O2303">
        <v>1</v>
      </c>
      <c r="P2303" t="str">
        <v xml:space="preserve">me
</v>
      </c>
      <c r="Q2303">
        <v>1</v>
      </c>
    </row>
    <row r="2304" spans="5:17" x14ac:dyDescent="0.2">
      <c r="E2304" s="9" t="s">
        <v>28</v>
      </c>
      <c r="K2304" t="str">
        <v>told</v>
      </c>
      <c r="L2304" s="4" t="str">
        <f t="shared" si="44"/>
        <v>told</v>
      </c>
      <c r="M2304" t="str">
        <v>half-drawn</v>
      </c>
      <c r="N2304" s="4" cm="1">
        <f t="array" ref="N2304">SUM(--(_xlfn.TEXTSPLIT($J$2232,, " ") = M2304))</f>
        <v>1</v>
      </c>
      <c r="O2304">
        <v>1</v>
      </c>
      <c r="P2304" t="str">
        <v>half-drawn</v>
      </c>
      <c r="Q2304">
        <v>1</v>
      </c>
    </row>
    <row r="2305" spans="5:17" x14ac:dyDescent="0.2">
      <c r="E2305" s="9" t="s">
        <v>28</v>
      </c>
      <c r="K2305" t="str">
        <v>me</v>
      </c>
      <c r="L2305" s="4" t="str">
        <f t="shared" si="44"/>
        <v>me</v>
      </c>
      <c r="M2305" t="str">
        <v>blinds</v>
      </c>
      <c r="N2305" s="4" cm="1">
        <f t="array" ref="N2305">SUM(--(_xlfn.TEXTSPLIT($J$2232,, " ") = M2305))</f>
        <v>1</v>
      </c>
      <c r="O2305">
        <v>1</v>
      </c>
      <c r="P2305" t="str">
        <v>blinds</v>
      </c>
      <c r="Q2305">
        <v>1</v>
      </c>
    </row>
    <row r="2306" spans="5:17" x14ac:dyDescent="0.2">
      <c r="E2306" s="9" t="s">
        <v>28</v>
      </c>
      <c r="K2306" t="str">
        <v>that</v>
      </c>
      <c r="L2306" s="4" t="str">
        <f t="shared" si="44"/>
        <v>that</v>
      </c>
      <c r="M2306" t="str">
        <v>casting</v>
      </c>
      <c r="N2306" s="4" cm="1">
        <f t="array" ref="N2306">SUM(--(_xlfn.TEXTSPLIT($J$2232,, " ") = M2306))</f>
        <v>1</v>
      </c>
      <c r="O2306">
        <v>1</v>
      </c>
      <c r="P2306" t="str">
        <v>casting</v>
      </c>
      <c r="Q2306">
        <v>1</v>
      </c>
    </row>
    <row r="2307" spans="5:17" x14ac:dyDescent="0.2">
      <c r="E2307" s="9" t="s">
        <v>28</v>
      </c>
      <c r="K2307" t="str">
        <v>I</v>
      </c>
      <c r="L2307" s="4" t="str">
        <f t="shared" si="44"/>
        <v>I</v>
      </c>
      <c r="M2307" t="str">
        <v>floor</v>
      </c>
      <c r="N2307" s="4" cm="1">
        <f t="array" ref="N2307">SUM(--(_xlfn.TEXTSPLIT($J$2232,, " ") = M2307))</f>
        <v>1</v>
      </c>
      <c r="O2307">
        <v>1</v>
      </c>
      <c r="P2307" t="str">
        <v>floor</v>
      </c>
      <c r="Q2307">
        <v>1</v>
      </c>
    </row>
    <row r="2308" spans="5:17" x14ac:dyDescent="0.2">
      <c r="E2308" s="9" t="s">
        <v>28</v>
      </c>
      <c r="K2308" t="str">
        <v>shouldn't</v>
      </c>
      <c r="L2308" s="4" t="str">
        <f t="shared" si="44"/>
        <v>shouldn t</v>
      </c>
      <c r="M2308" t="str">
        <v>as</v>
      </c>
      <c r="N2308" s="4" cm="1">
        <f t="array" ref="N2308">SUM(--(_xlfn.TEXTSPLIT($J$2232,, " ") = M2308))</f>
        <v>1</v>
      </c>
      <c r="O2308">
        <v>1</v>
      </c>
      <c r="P2308" t="str">
        <v>as</v>
      </c>
      <c r="Q2308">
        <v>1</v>
      </c>
    </row>
    <row r="2309" spans="5:17" x14ac:dyDescent="0.2">
      <c r="E2309" s="9" t="s">
        <v>28</v>
      </c>
      <c r="K2309" t="str">
        <v xml:space="preserve">fear
</v>
      </c>
      <c r="L2309" s="4" t="str">
        <f t="shared" si="44"/>
        <v xml:space="preserve">fear </v>
      </c>
      <c r="M2309" t="str">
        <v>metal</v>
      </c>
      <c r="N2309" s="4" cm="1">
        <f t="array" ref="N2309">SUM(--(_xlfn.TEXTSPLIT($J$2232,, " ") = M2309))</f>
        <v>1</v>
      </c>
      <c r="O2309">
        <v>1</v>
      </c>
      <c r="P2309" t="str">
        <v>metal</v>
      </c>
      <c r="Q2309">
        <v>1</v>
      </c>
    </row>
    <row r="2310" spans="5:17" x14ac:dyDescent="0.2">
      <c r="E2310" s="9" t="s">
        <v>28</v>
      </c>
      <c r="K2310" t="str">
        <v>When</v>
      </c>
      <c r="L2310" s="4" t="str">
        <f t="shared" si="44"/>
        <v>When</v>
      </c>
      <c r="M2310" t="str">
        <v>friend</v>
      </c>
      <c r="N2310" s="4" cm="1">
        <f t="array" ref="N2310">SUM(--(_xlfn.TEXTSPLIT($J$2232,, " ") = M2310))</f>
        <v>1</v>
      </c>
      <c r="O2310">
        <v>1</v>
      </c>
      <c r="P2310" t="str">
        <v>friend</v>
      </c>
      <c r="Q2310">
        <v>1</v>
      </c>
    </row>
    <row r="2311" spans="5:17" x14ac:dyDescent="0.2">
      <c r="E2311" s="9" t="s">
        <v>28</v>
      </c>
      <c r="K2311" t="str">
        <v>I</v>
      </c>
      <c r="L2311" s="4" t="str">
        <f t="shared" si="44"/>
        <v>I</v>
      </c>
      <c r="M2311" t="str">
        <v>flashes</v>
      </c>
      <c r="N2311" s="4" cm="1">
        <f t="array" ref="N2311">SUM(--(_xlfn.TEXTSPLIT($J$2232,, " ") = M2311))</f>
        <v>1</v>
      </c>
      <c r="O2311">
        <v>1</v>
      </c>
      <c r="P2311" t="str">
        <v>flashes</v>
      </c>
      <c r="Q2311">
        <v>1</v>
      </c>
    </row>
    <row r="2312" spans="5:17" x14ac:dyDescent="0.2">
      <c r="E2312" s="9" t="s">
        <v>28</v>
      </c>
      <c r="K2312" t="str">
        <v>met</v>
      </c>
      <c r="L2312" s="4" t="str">
        <f t="shared" si="44"/>
        <v>met</v>
      </c>
      <c r="M2312" t="str">
        <v xml:space="preserve">time
</v>
      </c>
      <c r="N2312" s="4" cm="1">
        <f t="array" ref="N2312">SUM(--(_xlfn.TEXTSPLIT($J$2232,, " ") = M2312))</f>
        <v>1</v>
      </c>
      <c r="O2312">
        <v>1</v>
      </c>
      <c r="P2312" t="str">
        <v xml:space="preserve">time
</v>
      </c>
      <c r="Q2312">
        <v>1</v>
      </c>
    </row>
    <row r="2313" spans="5:17" x14ac:dyDescent="0.2">
      <c r="E2313" s="9" t="s">
        <v>28</v>
      </c>
      <c r="K2313" t="str">
        <v>you,</v>
      </c>
      <c r="L2313" s="4" t="str">
        <f t="shared" si="44"/>
        <v xml:space="preserve">you </v>
      </c>
      <c r="M2313" t="str">
        <v>daisy-chained</v>
      </c>
      <c r="N2313" s="4" cm="1">
        <f t="array" ref="N2313">SUM(--(_xlfn.TEXTSPLIT($J$2232,, " ") = M2313))</f>
        <v>1</v>
      </c>
      <c r="O2313">
        <v>1</v>
      </c>
      <c r="P2313" t="str">
        <v>daisy-chained</v>
      </c>
      <c r="Q2313">
        <v>1</v>
      </c>
    </row>
    <row r="2314" spans="5:17" x14ac:dyDescent="0.2">
      <c r="E2314" s="9" t="s">
        <v>28</v>
      </c>
      <c r="K2314" t="str">
        <v>I</v>
      </c>
      <c r="L2314" s="4" t="str">
        <f t="shared" si="44"/>
        <v>I</v>
      </c>
      <c r="M2314" t="str">
        <v>power</v>
      </c>
      <c r="N2314" s="4" cm="1">
        <f t="array" ref="N2314">SUM(--(_xlfn.TEXTSPLIT($J$2232,, " ") = M2314))</f>
        <v>1</v>
      </c>
      <c r="O2314">
        <v>1</v>
      </c>
      <c r="P2314" t="str">
        <v>power</v>
      </c>
      <c r="Q2314">
        <v>1</v>
      </c>
    </row>
    <row r="2315" spans="5:17" x14ac:dyDescent="0.2">
      <c r="E2315" s="9" t="s">
        <v>28</v>
      </c>
      <c r="K2315" t="str">
        <v>found</v>
      </c>
      <c r="L2315" s="4" t="str">
        <f t="shared" si="44"/>
        <v>found</v>
      </c>
      <c r="M2315" t="str">
        <v>strips</v>
      </c>
      <c r="N2315" s="4" cm="1">
        <f t="array" ref="N2315">SUM(--(_xlfn.TEXTSPLIT($J$2232,, " ") = M2315))</f>
        <v>1</v>
      </c>
      <c r="O2315">
        <v>1</v>
      </c>
      <c r="P2315" t="str">
        <v>strips</v>
      </c>
      <c r="Q2315">
        <v>1</v>
      </c>
    </row>
    <row r="2316" spans="5:17" x14ac:dyDescent="0.2">
      <c r="E2316" s="9" t="s">
        <v>28</v>
      </c>
      <c r="K2316" t="str">
        <v>you</v>
      </c>
      <c r="L2316" s="4" t="str">
        <f t="shared" si="44"/>
        <v>you</v>
      </c>
      <c r="M2316" t="str">
        <v xml:space="preserve">generating
</v>
      </c>
      <c r="N2316" s="4" cm="1">
        <f t="array" ref="N2316">SUM(--(_xlfn.TEXTSPLIT($J$2232,, " ") = M2316))</f>
        <v>1</v>
      </c>
      <c r="O2316">
        <v>1</v>
      </c>
      <c r="P2316" t="str">
        <v xml:space="preserve">generating
</v>
      </c>
      <c r="Q2316">
        <v>1</v>
      </c>
    </row>
    <row r="2317" spans="5:17" x14ac:dyDescent="0.2">
      <c r="E2317" s="9" t="s">
        <v>28</v>
      </c>
      <c r="K2317" t="str">
        <v>safe</v>
      </c>
      <c r="L2317" s="4" t="str">
        <f t="shared" si="44"/>
        <v>safe</v>
      </c>
      <c r="M2317" t="str">
        <v>newfound</v>
      </c>
      <c r="N2317" s="4" cm="1">
        <f t="array" ref="N2317">SUM(--(_xlfn.TEXTSPLIT($J$2232,, " ") = M2317))</f>
        <v>1</v>
      </c>
      <c r="O2317">
        <v>1</v>
      </c>
      <c r="P2317" t="str">
        <v>newfound</v>
      </c>
      <c r="Q2317">
        <v>1</v>
      </c>
    </row>
    <row r="2318" spans="5:17" x14ac:dyDescent="0.2">
      <c r="E2318" s="9" t="s">
        <v>28</v>
      </c>
      <c r="K2318" t="str">
        <v>and</v>
      </c>
      <c r="L2318" s="4" t="str">
        <f t="shared" si="44"/>
        <v>and</v>
      </c>
      <c r="M2318" t="str">
        <v>loneliness,</v>
      </c>
      <c r="N2318" s="4" cm="1">
        <f t="array" ref="N2318">SUM(--(_xlfn.TEXTSPLIT($J$2232,, " ") = M2318))</f>
        <v>1</v>
      </c>
      <c r="O2318">
        <v>1</v>
      </c>
      <c r="P2318" t="str">
        <v>loneliness,</v>
      </c>
      <c r="Q2318">
        <v>1</v>
      </c>
    </row>
    <row r="2319" spans="5:17" x14ac:dyDescent="0.2">
      <c r="E2319" s="9" t="s">
        <v>28</v>
      </c>
      <c r="K2319" t="str">
        <v xml:space="preserve">warm
</v>
      </c>
      <c r="L2319" s="4" t="str">
        <f t="shared" si="44"/>
        <v xml:space="preserve">warm </v>
      </c>
      <c r="M2319" t="str">
        <v>waiting</v>
      </c>
      <c r="N2319" s="4" cm="1">
        <f t="array" ref="N2319">SUM(--(_xlfn.TEXTSPLIT($J$2232,, " ") = M2319))</f>
        <v>1</v>
      </c>
      <c r="O2319">
        <v>1</v>
      </c>
      <c r="P2319" t="str">
        <v>waiting</v>
      </c>
      <c r="Q2319">
        <v>1</v>
      </c>
    </row>
    <row r="2320" spans="5:17" x14ac:dyDescent="0.2">
      <c r="E2320" s="9" t="s">
        <v>28</v>
      </c>
      <c r="K2320" t="str">
        <v>Then</v>
      </c>
      <c r="L2320" s="4" t="str">
        <f t="shared" si="44"/>
        <v>Then</v>
      </c>
      <c r="M2320" t="str">
        <v xml:space="preserve">me
</v>
      </c>
      <c r="N2320" s="4" cm="1">
        <f t="array" ref="N2320">SUM(--(_xlfn.TEXTSPLIT($J$2232,, " ") = M2320))</f>
        <v>1</v>
      </c>
      <c r="O2320">
        <v>1</v>
      </c>
      <c r="P2320" t="str">
        <v xml:space="preserve">me
</v>
      </c>
      <c r="Q2320">
        <v>1</v>
      </c>
    </row>
    <row r="2321" spans="5:17" x14ac:dyDescent="0.2">
      <c r="E2321" s="9" t="s">
        <v>28</v>
      </c>
      <c r="K2321" t="str">
        <v>the</v>
      </c>
      <c r="L2321" s="4" t="str">
        <f t="shared" si="44"/>
        <v>the</v>
      </c>
      <c r="N2321" s="4" cm="1">
        <f t="array" ref="N2321">SUM(--(_xlfn.TEXTSPLIT($J$2232,, " ") = M2321))</f>
        <v>0</v>
      </c>
      <c r="O2321">
        <v>0</v>
      </c>
      <c r="P2321">
        <v>0</v>
      </c>
      <c r="Q2321">
        <v>0</v>
      </c>
    </row>
    <row r="2322" spans="5:17" x14ac:dyDescent="0.2">
      <c r="E2322" s="9" t="s">
        <v>28</v>
      </c>
      <c r="K2322" t="str">
        <v>robot</v>
      </c>
      <c r="L2322" s="4" t="str">
        <f t="shared" si="44"/>
        <v>robot</v>
      </c>
      <c r="N2322" s="4" cm="1">
        <f t="array" ref="N2322">SUM(--(_xlfn.TEXTSPLIT($J$2232,, " ") = M2322))</f>
        <v>0</v>
      </c>
      <c r="O2322">
        <v>0</v>
      </c>
      <c r="P2322">
        <v>0</v>
      </c>
      <c r="Q2322">
        <v>0</v>
      </c>
    </row>
    <row r="2323" spans="5:17" x14ac:dyDescent="0.2">
      <c r="E2323" s="9" t="s">
        <v>28</v>
      </c>
      <c r="K2323" t="str">
        <v>voices</v>
      </c>
      <c r="L2323" s="4" t="str">
        <f t="shared" si="44"/>
        <v>voices</v>
      </c>
      <c r="N2323" s="4" cm="1">
        <f t="array" ref="N2323">SUM(--(_xlfn.TEXTSPLIT($J$2232,, " ") = M2323))</f>
        <v>0</v>
      </c>
      <c r="O2323">
        <v>0</v>
      </c>
      <c r="P2323">
        <v>0</v>
      </c>
      <c r="Q2323">
        <v>0</v>
      </c>
    </row>
    <row r="2324" spans="5:17" x14ac:dyDescent="0.2">
      <c r="E2324" s="9" t="s">
        <v>28</v>
      </c>
      <c r="K2324" t="str">
        <v>would</v>
      </c>
      <c r="L2324" s="4" t="str">
        <f t="shared" si="44"/>
        <v>would</v>
      </c>
      <c r="N2324" s="4" cm="1">
        <f t="array" ref="N2324">SUM(--(_xlfn.TEXTSPLIT($J$2232,, " ") = M2324))</f>
        <v>0</v>
      </c>
      <c r="O2324">
        <v>0</v>
      </c>
      <c r="P2324">
        <v>0</v>
      </c>
      <c r="Q2324">
        <v>0</v>
      </c>
    </row>
    <row r="2325" spans="5:17" x14ac:dyDescent="0.2">
      <c r="E2325" s="9" t="s">
        <v>28</v>
      </c>
      <c r="K2325" t="str">
        <v>reassure</v>
      </c>
      <c r="L2325" s="4" t="str">
        <f t="shared" si="44"/>
        <v>reassure</v>
      </c>
      <c r="N2325" s="4" cm="1">
        <f t="array" ref="N2325">SUM(--(_xlfn.TEXTSPLIT($J$2232,, " ") = M2325))</f>
        <v>0</v>
      </c>
      <c r="O2325">
        <v>0</v>
      </c>
      <c r="P2325">
        <v>0</v>
      </c>
      <c r="Q2325">
        <v>0</v>
      </c>
    </row>
    <row r="2326" spans="5:17" x14ac:dyDescent="0.2">
      <c r="E2326" s="9" t="s">
        <v>28</v>
      </c>
      <c r="K2326" t="str">
        <v xml:space="preserve">me
</v>
      </c>
      <c r="L2326" s="4" t="str">
        <f t="shared" si="44"/>
        <v xml:space="preserve">me  </v>
      </c>
      <c r="N2326" s="4" cm="1">
        <f t="array" ref="N2326">SUM(--(_xlfn.TEXTSPLIT($J$2232,, " ") = M2326))</f>
        <v>0</v>
      </c>
      <c r="O2326">
        <v>0</v>
      </c>
      <c r="P2326">
        <v>0</v>
      </c>
      <c r="Q2326">
        <v>0</v>
      </c>
    </row>
    <row r="2327" spans="5:17" x14ac:dyDescent="0.2">
      <c r="E2327" s="9" t="s">
        <v>28</v>
      </c>
      <c r="K2327" t="str">
        <v>The</v>
      </c>
      <c r="L2327" s="4" t="str">
        <f t="shared" si="44"/>
        <v>The</v>
      </c>
      <c r="N2327" s="4" cm="1">
        <f t="array" ref="N2327">SUM(--(_xlfn.TEXTSPLIT($J$2232,, " ") = M2327))</f>
        <v>0</v>
      </c>
      <c r="O2327">
        <v>0</v>
      </c>
      <c r="P2327">
        <v>0</v>
      </c>
      <c r="Q2327">
        <v>0</v>
      </c>
    </row>
    <row r="2328" spans="5:17" x14ac:dyDescent="0.2">
      <c r="E2328" s="9" t="s">
        <v>28</v>
      </c>
      <c r="K2328" t="str">
        <v>half-drawn</v>
      </c>
      <c r="L2328" s="4" t="str">
        <f t="shared" si="44"/>
        <v>half drawn</v>
      </c>
      <c r="N2328" s="4" cm="1">
        <f t="array" ref="N2328">SUM(--(_xlfn.TEXTSPLIT($J$2232,, " ") = M2328))</f>
        <v>0</v>
      </c>
      <c r="O2328">
        <v>0</v>
      </c>
      <c r="P2328">
        <v>0</v>
      </c>
      <c r="Q2328">
        <v>0</v>
      </c>
    </row>
    <row r="2329" spans="5:17" x14ac:dyDescent="0.2">
      <c r="E2329" s="9" t="s">
        <v>28</v>
      </c>
      <c r="K2329" t="str">
        <v>blinds</v>
      </c>
      <c r="L2329" s="4" t="str">
        <f t="shared" si="44"/>
        <v>blinds</v>
      </c>
      <c r="N2329" s="4" cm="1">
        <f t="array" ref="N2329">SUM(--(_xlfn.TEXTSPLIT($J$2232,, " ") = M2329))</f>
        <v>0</v>
      </c>
      <c r="O2329">
        <v>0</v>
      </c>
      <c r="P2329">
        <v>0</v>
      </c>
      <c r="Q2329">
        <v>0</v>
      </c>
    </row>
    <row r="2330" spans="5:17" x14ac:dyDescent="0.2">
      <c r="E2330" s="9" t="s">
        <v>28</v>
      </c>
      <c r="K2330" t="str">
        <v>casting</v>
      </c>
      <c r="L2330" s="4" t="str">
        <f t="shared" si="44"/>
        <v>casting</v>
      </c>
      <c r="N2330" s="4" cm="1">
        <f t="array" ref="N2330">SUM(--(_xlfn.TEXTSPLIT($J$2232,, " ") = M2330))</f>
        <v>0</v>
      </c>
      <c r="O2330">
        <v>0</v>
      </c>
      <c r="P2330">
        <v>0</v>
      </c>
      <c r="Q2330">
        <v>0</v>
      </c>
    </row>
    <row r="2331" spans="5:17" x14ac:dyDescent="0.2">
      <c r="E2331" s="9" t="s">
        <v>28</v>
      </c>
      <c r="K2331" t="str">
        <v>lines</v>
      </c>
      <c r="L2331" s="4" t="str">
        <f t="shared" si="44"/>
        <v>lines</v>
      </c>
      <c r="N2331" s="4" cm="1">
        <f t="array" ref="N2331">SUM(--(_xlfn.TEXTSPLIT($J$2232,, " ") = M2331))</f>
        <v>0</v>
      </c>
      <c r="O2331">
        <v>0</v>
      </c>
      <c r="P2331">
        <v>0</v>
      </c>
      <c r="Q2331">
        <v>0</v>
      </c>
    </row>
    <row r="2332" spans="5:17" x14ac:dyDescent="0.2">
      <c r="E2332" s="9" t="s">
        <v>28</v>
      </c>
      <c r="K2332" t="str">
        <v>on</v>
      </c>
      <c r="L2332" s="4" t="str">
        <f t="shared" si="44"/>
        <v>on</v>
      </c>
      <c r="N2332" s="4" cm="1">
        <f t="array" ref="N2332">SUM(--(_xlfn.TEXTSPLIT($J$2232,, " ") = M2332))</f>
        <v>0</v>
      </c>
      <c r="O2332">
        <v>0</v>
      </c>
      <c r="P2332">
        <v>0</v>
      </c>
      <c r="Q2332">
        <v>0</v>
      </c>
    </row>
    <row r="2333" spans="5:17" x14ac:dyDescent="0.2">
      <c r="E2333" s="9" t="s">
        <v>28</v>
      </c>
      <c r="K2333" t="str">
        <v>the</v>
      </c>
      <c r="L2333" s="4" t="str">
        <f t="shared" si="44"/>
        <v>the</v>
      </c>
      <c r="N2333" s="4" cm="1">
        <f t="array" ref="N2333">SUM(--(_xlfn.TEXTSPLIT($J$2232,, " ") = M2333))</f>
        <v>0</v>
      </c>
      <c r="O2333">
        <v>0</v>
      </c>
      <c r="P2333">
        <v>0</v>
      </c>
      <c r="Q2333">
        <v>0</v>
      </c>
    </row>
    <row r="2334" spans="5:17" x14ac:dyDescent="0.2">
      <c r="E2334" s="9" t="s">
        <v>28</v>
      </c>
      <c r="K2334" t="str">
        <v>floor</v>
      </c>
      <c r="L2334" s="4" t="str">
        <f t="shared" si="44"/>
        <v>floor</v>
      </c>
      <c r="N2334" s="4" cm="1">
        <f t="array" ref="N2334">SUM(--(_xlfn.TEXTSPLIT($J$2232,, " ") = M2334))</f>
        <v>0</v>
      </c>
      <c r="O2334">
        <v>0</v>
      </c>
      <c r="P2334">
        <v>0</v>
      </c>
      <c r="Q2334">
        <v>0</v>
      </c>
    </row>
    <row r="2335" spans="5:17" x14ac:dyDescent="0.2">
      <c r="E2335" s="9" t="s">
        <v>28</v>
      </c>
      <c r="K2335" t="str">
        <v>as</v>
      </c>
      <c r="L2335" s="4" t="str">
        <f t="shared" si="44"/>
        <v>as</v>
      </c>
      <c r="N2335" s="4" cm="1">
        <f t="array" ref="N2335">SUM(--(_xlfn.TEXTSPLIT($J$2232,, " ") = M2335))</f>
        <v>0</v>
      </c>
      <c r="O2335">
        <v>0</v>
      </c>
      <c r="P2335">
        <v>0</v>
      </c>
      <c r="Q2335">
        <v>0</v>
      </c>
    </row>
    <row r="2336" spans="5:17" x14ac:dyDescent="0.2">
      <c r="E2336" s="9" t="s">
        <v>28</v>
      </c>
      <c r="K2336" t="str">
        <v>my</v>
      </c>
      <c r="L2336" s="4" t="str">
        <f t="shared" si="44"/>
        <v>my</v>
      </c>
      <c r="N2336" s="4" cm="1">
        <f t="array" ref="N2336">SUM(--(_xlfn.TEXTSPLIT($J$2232,, " ") = M2336))</f>
        <v>0</v>
      </c>
      <c r="O2336">
        <v>0</v>
      </c>
      <c r="P2336">
        <v>0</v>
      </c>
      <c r="Q2336">
        <v>0</v>
      </c>
    </row>
    <row r="2337" spans="5:17" x14ac:dyDescent="0.2">
      <c r="E2337" s="9" t="s">
        <v>28</v>
      </c>
      <c r="K2337" t="str">
        <v>metal</v>
      </c>
      <c r="L2337" s="4" t="str">
        <f t="shared" si="44"/>
        <v>metal</v>
      </c>
      <c r="N2337" s="4" cm="1">
        <f t="array" ref="N2337">SUM(--(_xlfn.TEXTSPLIT($J$2232,, " ") = M2337))</f>
        <v>0</v>
      </c>
      <c r="O2337">
        <v>0</v>
      </c>
      <c r="P2337">
        <v>0</v>
      </c>
      <c r="Q2337">
        <v>0</v>
      </c>
    </row>
    <row r="2338" spans="5:17" x14ac:dyDescent="0.2">
      <c r="E2338" s="9" t="s">
        <v>28</v>
      </c>
      <c r="K2338" t="str">
        <v>friend</v>
      </c>
      <c r="L2338" s="4" t="str">
        <f t="shared" si="44"/>
        <v>friend</v>
      </c>
      <c r="N2338" s="4" cm="1">
        <f t="array" ref="N2338">SUM(--(_xlfn.TEXTSPLIT($J$2232,, " ") = M2338))</f>
        <v>0</v>
      </c>
      <c r="O2338">
        <v>0</v>
      </c>
      <c r="P2338">
        <v>0</v>
      </c>
      <c r="Q2338">
        <v>0</v>
      </c>
    </row>
    <row r="2339" spans="5:17" x14ac:dyDescent="0.2">
      <c r="E2339" s="9" t="s">
        <v>28</v>
      </c>
      <c r="K2339" t="str">
        <v>flashes</v>
      </c>
      <c r="L2339" s="4" t="str">
        <f t="shared" si="44"/>
        <v>flashes</v>
      </c>
      <c r="N2339" s="4" cm="1">
        <f t="array" ref="N2339">SUM(--(_xlfn.TEXTSPLIT($J$2232,, " ") = M2339))</f>
        <v>0</v>
      </c>
      <c r="O2339">
        <v>0</v>
      </c>
      <c r="P2339">
        <v>0</v>
      </c>
      <c r="Q2339">
        <v>0</v>
      </c>
    </row>
    <row r="2340" spans="5:17" x14ac:dyDescent="0.2">
      <c r="E2340" s="9" t="s">
        <v>28</v>
      </c>
      <c r="K2340" t="str">
        <v>in</v>
      </c>
      <c r="L2340" s="4" t="str">
        <f t="shared" si="44"/>
        <v>in</v>
      </c>
      <c r="N2340" s="4" cm="1">
        <f t="array" ref="N2340">SUM(--(_xlfn.TEXTSPLIT($J$2232,, " ") = M2340))</f>
        <v>0</v>
      </c>
      <c r="O2340">
        <v>0</v>
      </c>
      <c r="P2340">
        <v>0</v>
      </c>
      <c r="Q2340">
        <v>0</v>
      </c>
    </row>
    <row r="2341" spans="5:17" x14ac:dyDescent="0.2">
      <c r="E2341" s="9" t="s">
        <v>28</v>
      </c>
      <c r="K2341" t="str">
        <v xml:space="preserve">time
</v>
      </c>
      <c r="L2341" s="4" t="str">
        <f t="shared" si="44"/>
        <v xml:space="preserve">time </v>
      </c>
      <c r="N2341" s="4" cm="1">
        <f t="array" ref="N2341">SUM(--(_xlfn.TEXTSPLIT($J$2232,, " ") = M2341))</f>
        <v>0</v>
      </c>
      <c r="O2341">
        <v>0</v>
      </c>
      <c r="P2341">
        <v>0</v>
      </c>
      <c r="Q2341">
        <v>0</v>
      </c>
    </row>
    <row r="2342" spans="5:17" x14ac:dyDescent="0.2">
      <c r="E2342" s="9" t="s">
        <v>28</v>
      </c>
      <c r="K2342" t="str">
        <v>The</v>
      </c>
      <c r="L2342" s="4" t="str">
        <f t="shared" si="44"/>
        <v>The</v>
      </c>
      <c r="N2342" s="4" cm="1">
        <f t="array" ref="N2342">SUM(--(_xlfn.TEXTSPLIT($J$2232,, " ") = M2342))</f>
        <v>0</v>
      </c>
      <c r="O2342">
        <v>0</v>
      </c>
      <c r="P2342">
        <v>0</v>
      </c>
      <c r="Q2342">
        <v>0</v>
      </c>
    </row>
    <row r="2343" spans="5:17" x14ac:dyDescent="0.2">
      <c r="E2343" s="9" t="s">
        <v>28</v>
      </c>
      <c r="K2343" t="str">
        <v>daisy-chained</v>
      </c>
      <c r="L2343" s="4" t="str">
        <f t="shared" si="44"/>
        <v>daisy chained</v>
      </c>
      <c r="N2343" s="4" cm="1">
        <f t="array" ref="N2343">SUM(--(_xlfn.TEXTSPLIT($J$2232,, " ") = M2343))</f>
        <v>0</v>
      </c>
      <c r="O2343">
        <v>0</v>
      </c>
      <c r="P2343">
        <v>0</v>
      </c>
      <c r="Q2343">
        <v>0</v>
      </c>
    </row>
    <row r="2344" spans="5:17" x14ac:dyDescent="0.2">
      <c r="E2344" s="9" t="s">
        <v>28</v>
      </c>
      <c r="K2344" t="str">
        <v>power</v>
      </c>
      <c r="L2344" s="4" t="str">
        <f t="shared" si="44"/>
        <v>power</v>
      </c>
      <c r="N2344" s="4" cm="1">
        <f t="array" ref="N2344">SUM(--(_xlfn.TEXTSPLIT($J$2232,, " ") = M2344))</f>
        <v>0</v>
      </c>
      <c r="O2344">
        <v>0</v>
      </c>
      <c r="P2344">
        <v>0</v>
      </c>
      <c r="Q2344">
        <v>0</v>
      </c>
    </row>
    <row r="2345" spans="5:17" x14ac:dyDescent="0.2">
      <c r="E2345" s="9" t="s">
        <v>28</v>
      </c>
      <c r="K2345" t="str">
        <v>strips</v>
      </c>
      <c r="L2345" s="4" t="str">
        <f t="shared" si="44"/>
        <v>strips</v>
      </c>
      <c r="N2345" s="4" cm="1">
        <f t="array" ref="N2345">SUM(--(_xlfn.TEXTSPLIT($J$2232,, " ") = M2345))</f>
        <v>0</v>
      </c>
      <c r="O2345">
        <v>0</v>
      </c>
      <c r="P2345">
        <v>0</v>
      </c>
      <c r="Q2345">
        <v>0</v>
      </c>
    </row>
    <row r="2346" spans="5:17" x14ac:dyDescent="0.2">
      <c r="E2346" s="9" t="s">
        <v>28</v>
      </c>
      <c r="K2346" t="str">
        <v xml:space="preserve">generating
</v>
      </c>
      <c r="L2346" s="4" t="str">
        <f t="shared" si="44"/>
        <v xml:space="preserve">generating </v>
      </c>
      <c r="N2346" s="4" cm="1">
        <f t="array" ref="N2346">SUM(--(_xlfn.TEXTSPLIT($J$2232,, " ") = M2346))</f>
        <v>0</v>
      </c>
      <c r="O2346">
        <v>0</v>
      </c>
      <c r="P2346">
        <v>0</v>
      </c>
      <c r="Q2346">
        <v>0</v>
      </c>
    </row>
    <row r="2347" spans="5:17" x14ac:dyDescent="0.2">
      <c r="E2347" s="9" t="s">
        <v>28</v>
      </c>
      <c r="K2347" t="str">
        <v>A</v>
      </c>
      <c r="L2347" s="4" t="str">
        <f t="shared" si="44"/>
        <v>A</v>
      </c>
      <c r="N2347" s="4" cm="1">
        <f t="array" ref="N2347">SUM(--(_xlfn.TEXTSPLIT($J$2232,, " ") = M2347))</f>
        <v>0</v>
      </c>
      <c r="O2347">
        <v>0</v>
      </c>
      <c r="P2347">
        <v>0</v>
      </c>
      <c r="Q2347">
        <v>0</v>
      </c>
    </row>
    <row r="2348" spans="5:17" x14ac:dyDescent="0.2">
      <c r="E2348" s="9" t="s">
        <v>28</v>
      </c>
      <c r="K2348" t="str">
        <v>newfound</v>
      </c>
      <c r="L2348" s="4" t="str">
        <f t="shared" si="44"/>
        <v>newfound</v>
      </c>
      <c r="N2348" s="4" cm="1">
        <f t="array" ref="N2348">SUM(--(_xlfn.TEXTSPLIT($J$2232,, " ") = M2348))</f>
        <v>0</v>
      </c>
      <c r="O2348">
        <v>0</v>
      </c>
      <c r="P2348">
        <v>0</v>
      </c>
      <c r="Q2348">
        <v>0</v>
      </c>
    </row>
    <row r="2349" spans="5:17" x14ac:dyDescent="0.2">
      <c r="E2349" s="9" t="s">
        <v>28</v>
      </c>
      <c r="K2349" t="str">
        <v>loneliness,</v>
      </c>
      <c r="L2349" s="4" t="str">
        <f t="shared" si="44"/>
        <v xml:space="preserve">loneliness </v>
      </c>
      <c r="N2349" s="4" cm="1">
        <f t="array" ref="N2349">SUM(--(_xlfn.TEXTSPLIT($J$2232,, " ") = M2349))</f>
        <v>0</v>
      </c>
      <c r="O2349">
        <v>0</v>
      </c>
      <c r="P2349">
        <v>0</v>
      </c>
      <c r="Q2349">
        <v>0</v>
      </c>
    </row>
    <row r="2350" spans="5:17" x14ac:dyDescent="0.2">
      <c r="E2350" s="9" t="s">
        <v>28</v>
      </c>
      <c r="K2350" t="str">
        <v>I'm</v>
      </c>
      <c r="L2350" s="4" t="str">
        <f t="shared" si="44"/>
        <v>I m</v>
      </c>
      <c r="N2350" s="4" cm="1">
        <f t="array" ref="N2350">SUM(--(_xlfn.TEXTSPLIT($J$2232,, " ") = M2350))</f>
        <v>0</v>
      </c>
      <c r="O2350">
        <v>0</v>
      </c>
      <c r="P2350">
        <v>0</v>
      </c>
      <c r="Q2350">
        <v>0</v>
      </c>
    </row>
    <row r="2351" spans="5:17" x14ac:dyDescent="0.2">
      <c r="E2351" s="9" t="s">
        <v>28</v>
      </c>
      <c r="K2351" t="str">
        <v>waiting</v>
      </c>
      <c r="L2351" s="4" t="str">
        <f t="shared" si="44"/>
        <v>waiting</v>
      </c>
      <c r="N2351" s="4" cm="1">
        <f t="array" ref="N2351">SUM(--(_xlfn.TEXTSPLIT($J$2232,, " ") = M2351))</f>
        <v>0</v>
      </c>
      <c r="O2351">
        <v>0</v>
      </c>
      <c r="P2351">
        <v>0</v>
      </c>
      <c r="Q2351">
        <v>0</v>
      </c>
    </row>
    <row r="2352" spans="5:17" x14ac:dyDescent="0.2">
      <c r="E2352" s="9" t="s">
        <v>28</v>
      </c>
      <c r="K2352" t="str">
        <v>for</v>
      </c>
      <c r="L2352" s="4" t="str">
        <f t="shared" si="44"/>
        <v>for</v>
      </c>
      <c r="N2352" s="4" cm="1">
        <f t="array" ref="N2352">SUM(--(_xlfn.TEXTSPLIT($J$2232,, " ") = M2352))</f>
        <v>0</v>
      </c>
      <c r="O2352">
        <v>0</v>
      </c>
      <c r="P2352">
        <v>0</v>
      </c>
      <c r="Q2352">
        <v>0</v>
      </c>
    </row>
    <row r="2353" spans="5:17" x14ac:dyDescent="0.2">
      <c r="E2353" s="9" t="s">
        <v>28</v>
      </c>
      <c r="K2353" t="str">
        <v>the</v>
      </c>
      <c r="L2353" s="4" t="str">
        <f t="shared" si="44"/>
        <v>the</v>
      </c>
      <c r="N2353" s="4" cm="1">
        <f t="array" ref="N2353">SUM(--(_xlfn.TEXTSPLIT($J$2232,, " ") = M2353))</f>
        <v>0</v>
      </c>
      <c r="O2353">
        <v>0</v>
      </c>
      <c r="P2353">
        <v>0</v>
      </c>
      <c r="Q2353">
        <v>0</v>
      </c>
    </row>
    <row r="2354" spans="5:17" x14ac:dyDescent="0.2">
      <c r="E2354" s="9" t="s">
        <v>28</v>
      </c>
      <c r="K2354" t="str">
        <v>changes,</v>
      </c>
      <c r="L2354" s="4" t="str">
        <f t="shared" si="44"/>
        <v xml:space="preserve">changes </v>
      </c>
      <c r="N2354" s="4" cm="1">
        <f t="array" ref="N2354">SUM(--(_xlfn.TEXTSPLIT($J$2232,, " ") = M2354))</f>
        <v>0</v>
      </c>
      <c r="O2354">
        <v>0</v>
      </c>
      <c r="P2354">
        <v>0</v>
      </c>
      <c r="Q2354">
        <v>0</v>
      </c>
    </row>
    <row r="2355" spans="5:17" x14ac:dyDescent="0.2">
      <c r="E2355" s="9" t="s">
        <v>28</v>
      </c>
      <c r="K2355" t="str">
        <v>everyone</v>
      </c>
      <c r="L2355" s="4" t="str">
        <f t="shared" si="44"/>
        <v>everyone</v>
      </c>
      <c r="N2355" s="4" cm="1">
        <f t="array" ref="N2355">SUM(--(_xlfn.TEXTSPLIT($J$2232,, " ") = M2355))</f>
        <v>0</v>
      </c>
      <c r="O2355">
        <v>0</v>
      </c>
      <c r="P2355">
        <v>0</v>
      </c>
      <c r="Q2355">
        <v>0</v>
      </c>
    </row>
    <row r="2356" spans="5:17" x14ac:dyDescent="0.2">
      <c r="E2356" s="9" t="s">
        <v>28</v>
      </c>
      <c r="K2356" t="str">
        <v xml:space="preserve">sees
</v>
      </c>
      <c r="L2356" s="4" t="str">
        <f t="shared" si="44"/>
        <v xml:space="preserve">sees </v>
      </c>
      <c r="N2356" s="4" cm="1">
        <f t="array" ref="N2356">SUM(--(_xlfn.TEXTSPLIT($J$2232,, " ") = M2356))</f>
        <v>0</v>
      </c>
      <c r="O2356">
        <v>0</v>
      </c>
      <c r="P2356">
        <v>0</v>
      </c>
      <c r="Q2356">
        <v>0</v>
      </c>
    </row>
    <row r="2357" spans="5:17" x14ac:dyDescent="0.2">
      <c r="E2357" s="9" t="s">
        <v>28</v>
      </c>
      <c r="K2357" t="str">
        <v>Feeling</v>
      </c>
      <c r="L2357" s="4" t="str">
        <f t="shared" si="44"/>
        <v>Feeling</v>
      </c>
      <c r="N2357" s="4" cm="1">
        <f t="array" ref="N2357">SUM(--(_xlfn.TEXTSPLIT($J$2232,, " ") = M2357))</f>
        <v>0</v>
      </c>
      <c r="O2357">
        <v>0</v>
      </c>
      <c r="P2357">
        <v>0</v>
      </c>
      <c r="Q2357">
        <v>0</v>
      </c>
    </row>
    <row r="2358" spans="5:17" x14ac:dyDescent="0.2">
      <c r="E2358" s="9" t="s">
        <v>28</v>
      </c>
      <c r="K2358" t="str">
        <v>so</v>
      </c>
      <c r="L2358" s="4" t="str">
        <f t="shared" si="44"/>
        <v>so</v>
      </c>
      <c r="N2358" s="4" cm="1">
        <f t="array" ref="N2358">SUM(--(_xlfn.TEXTSPLIT($J$2232,, " ") = M2358))</f>
        <v>0</v>
      </c>
      <c r="O2358">
        <v>0</v>
      </c>
      <c r="P2358">
        <v>0</v>
      </c>
      <c r="Q2358">
        <v>0</v>
      </c>
    </row>
    <row r="2359" spans="5:17" x14ac:dyDescent="0.2">
      <c r="E2359" s="9" t="s">
        <v>28</v>
      </c>
      <c r="K2359" t="str">
        <v xml:space="preserve">fancy
</v>
      </c>
      <c r="L2359" s="4" t="str">
        <f t="shared" si="44"/>
        <v xml:space="preserve">fancy  </v>
      </c>
      <c r="N2359" s="4" cm="1">
        <f t="array" ref="N2359">SUM(--(_xlfn.TEXTSPLIT($J$2232,, " ") = M2359))</f>
        <v>0</v>
      </c>
      <c r="O2359">
        <v>0</v>
      </c>
      <c r="P2359">
        <v>0</v>
      </c>
      <c r="Q2359">
        <v>0</v>
      </c>
    </row>
    <row r="2360" spans="5:17" x14ac:dyDescent="0.2">
      <c r="E2360" s="9" t="s">
        <v>28</v>
      </c>
      <c r="K2360" t="str">
        <v>And</v>
      </c>
      <c r="L2360" s="4" t="str">
        <f t="shared" si="44"/>
        <v>And</v>
      </c>
      <c r="N2360" s="4" cm="1">
        <f t="array" ref="N2360">SUM(--(_xlfn.TEXTSPLIT($J$2232,, " ") = M2360))</f>
        <v>0</v>
      </c>
      <c r="O2360">
        <v>0</v>
      </c>
      <c r="P2360">
        <v>0</v>
      </c>
      <c r="Q2360">
        <v>0</v>
      </c>
    </row>
    <row r="2361" spans="5:17" x14ac:dyDescent="0.2">
      <c r="E2361" s="9" t="s">
        <v>28</v>
      </c>
      <c r="K2361" t="str">
        <v>I</v>
      </c>
      <c r="L2361" s="4" t="str">
        <f t="shared" ref="L2361:L2424" si="45">_xlfn.REGEXREPLACE(K2361, "[^A-Za-z ]", " ")</f>
        <v>I</v>
      </c>
      <c r="N2361" s="4" cm="1">
        <f t="array" ref="N2361">SUM(--(_xlfn.TEXTSPLIT($J$2232,, " ") = M2361))</f>
        <v>0</v>
      </c>
      <c r="O2361">
        <v>0</v>
      </c>
      <c r="P2361">
        <v>0</v>
      </c>
      <c r="Q2361">
        <v>0</v>
      </c>
    </row>
    <row r="2362" spans="5:17" x14ac:dyDescent="0.2">
      <c r="E2362" s="9" t="s">
        <v>28</v>
      </c>
      <c r="K2362" t="str">
        <v>just</v>
      </c>
      <c r="L2362" s="4" t="str">
        <f t="shared" si="45"/>
        <v>just</v>
      </c>
      <c r="N2362" s="4" cm="1">
        <f t="array" ref="N2362">SUM(--(_xlfn.TEXTSPLIT($J$2232,, " ") = M2362))</f>
        <v>0</v>
      </c>
      <c r="O2362">
        <v>0</v>
      </c>
      <c r="P2362">
        <v>0</v>
      </c>
      <c r="Q2362">
        <v>0</v>
      </c>
    </row>
    <row r="2363" spans="5:17" x14ac:dyDescent="0.2">
      <c r="E2363" s="9" t="s">
        <v>28</v>
      </c>
      <c r="K2363" t="str">
        <v>wanna</v>
      </c>
      <c r="L2363" s="4" t="str">
        <f t="shared" si="45"/>
        <v>wanna</v>
      </c>
      <c r="N2363" s="4" cm="1">
        <f t="array" ref="N2363">SUM(--(_xlfn.TEXTSPLIT($J$2232,, " ") = M2363))</f>
        <v>0</v>
      </c>
      <c r="O2363">
        <v>0</v>
      </c>
      <c r="P2363">
        <v>0</v>
      </c>
      <c r="Q2363">
        <v>0</v>
      </c>
    </row>
    <row r="2364" spans="5:17" x14ac:dyDescent="0.2">
      <c r="E2364" s="9" t="s">
        <v>28</v>
      </c>
      <c r="K2364" t="str">
        <v>dance</v>
      </c>
      <c r="L2364" s="4" t="str">
        <f t="shared" si="45"/>
        <v>dance</v>
      </c>
      <c r="N2364" s="4" cm="1">
        <f t="array" ref="N2364">SUM(--(_xlfn.TEXTSPLIT($J$2232,, " ") = M2364))</f>
        <v>0</v>
      </c>
      <c r="O2364">
        <v>0</v>
      </c>
      <c r="P2364">
        <v>0</v>
      </c>
      <c r="Q2364">
        <v>0</v>
      </c>
    </row>
    <row r="2365" spans="5:17" x14ac:dyDescent="0.2">
      <c r="E2365" s="9" t="s">
        <v>28</v>
      </c>
      <c r="K2365" t="str">
        <v>and</v>
      </c>
      <c r="L2365" s="4" t="str">
        <f t="shared" si="45"/>
        <v>and</v>
      </c>
      <c r="N2365" s="4" cm="1">
        <f t="array" ref="N2365">SUM(--(_xlfn.TEXTSPLIT($J$2232,, " ") = M2365))</f>
        <v>0</v>
      </c>
      <c r="O2365">
        <v>0</v>
      </c>
      <c r="P2365">
        <v>0</v>
      </c>
      <c r="Q2365">
        <v>0</v>
      </c>
    </row>
    <row r="2366" spans="5:17" x14ac:dyDescent="0.2">
      <c r="E2366" s="9" t="s">
        <v>28</v>
      </c>
      <c r="K2366" t="str">
        <v>style</v>
      </c>
      <c r="L2366" s="4" t="str">
        <f t="shared" si="45"/>
        <v>style</v>
      </c>
      <c r="N2366" s="4" cm="1">
        <f t="array" ref="N2366">SUM(--(_xlfn.TEXTSPLIT($J$2232,, " ") = M2366))</f>
        <v>0</v>
      </c>
      <c r="O2366">
        <v>0</v>
      </c>
      <c r="P2366">
        <v>0</v>
      </c>
      <c r="Q2366">
        <v>0</v>
      </c>
    </row>
    <row r="2367" spans="5:17" x14ac:dyDescent="0.2">
      <c r="E2367" s="9" t="s">
        <v>28</v>
      </c>
      <c r="K2367" t="str">
        <v>and</v>
      </c>
      <c r="L2367" s="4" t="str">
        <f t="shared" si="45"/>
        <v>and</v>
      </c>
      <c r="N2367" s="4" cm="1">
        <f t="array" ref="N2367">SUM(--(_xlfn.TEXTSPLIT($J$2232,, " ") = M2367))</f>
        <v>0</v>
      </c>
      <c r="O2367">
        <v>0</v>
      </c>
      <c r="P2367">
        <v>0</v>
      </c>
      <c r="Q2367">
        <v>0</v>
      </c>
    </row>
    <row r="2368" spans="5:17" x14ac:dyDescent="0.2">
      <c r="E2368" s="9" t="s">
        <v>28</v>
      </c>
      <c r="K2368" t="str">
        <v>stay</v>
      </c>
      <c r="L2368" s="4" t="str">
        <f t="shared" si="45"/>
        <v>stay</v>
      </c>
      <c r="N2368" s="4" cm="1">
        <f t="array" ref="N2368">SUM(--(_xlfn.TEXTSPLIT($J$2232,, " ") = M2368))</f>
        <v>0</v>
      </c>
      <c r="O2368">
        <v>0</v>
      </c>
      <c r="P2368">
        <v>0</v>
      </c>
      <c r="Q2368">
        <v>0</v>
      </c>
    </row>
    <row r="2369" spans="5:17" x14ac:dyDescent="0.2">
      <c r="E2369" s="9" t="s">
        <v>28</v>
      </c>
      <c r="K2369" t="str">
        <v>a</v>
      </c>
      <c r="L2369" s="4" t="str">
        <f t="shared" si="45"/>
        <v>a</v>
      </c>
      <c r="N2369" s="4" cm="1">
        <f t="array" ref="N2369">SUM(--(_xlfn.TEXTSPLIT($J$2232,, " ") = M2369))</f>
        <v>0</v>
      </c>
      <c r="O2369">
        <v>0</v>
      </c>
      <c r="P2369">
        <v>0</v>
      </c>
      <c r="Q2369">
        <v>0</v>
      </c>
    </row>
    <row r="2370" spans="5:17" x14ac:dyDescent="0.2">
      <c r="E2370" s="9" t="s">
        <v>28</v>
      </c>
      <c r="K2370" t="str">
        <v xml:space="preserve">while
</v>
      </c>
      <c r="L2370" s="4" t="str">
        <f t="shared" si="45"/>
        <v xml:space="preserve">while </v>
      </c>
      <c r="N2370" s="4" cm="1">
        <f t="array" ref="N2370">SUM(--(_xlfn.TEXTSPLIT($J$2232,, " ") = M2370))</f>
        <v>0</v>
      </c>
      <c r="O2370">
        <v>0</v>
      </c>
      <c r="P2370">
        <v>0</v>
      </c>
      <c r="Q2370">
        <v>0</v>
      </c>
    </row>
    <row r="2371" spans="5:17" x14ac:dyDescent="0.2">
      <c r="E2371" s="9" t="s">
        <v>28</v>
      </c>
      <c r="K2371" t="str">
        <v>The</v>
      </c>
      <c r="L2371" s="4" t="str">
        <f t="shared" si="45"/>
        <v>The</v>
      </c>
      <c r="N2371" s="4" cm="1">
        <f t="array" ref="N2371">SUM(--(_xlfn.TEXTSPLIT($J$2232,, " ") = M2371))</f>
        <v>0</v>
      </c>
      <c r="O2371">
        <v>0</v>
      </c>
      <c r="P2371">
        <v>0</v>
      </c>
      <c r="Q2371">
        <v>0</v>
      </c>
    </row>
    <row r="2372" spans="5:17" x14ac:dyDescent="0.2">
      <c r="E2372" s="9" t="s">
        <v>28</v>
      </c>
      <c r="K2372" t="str">
        <v>lines</v>
      </c>
      <c r="L2372" s="4" t="str">
        <f t="shared" si="45"/>
        <v>lines</v>
      </c>
      <c r="N2372" s="4" cm="1">
        <f t="array" ref="N2372">SUM(--(_xlfn.TEXTSPLIT($J$2232,, " ") = M2372))</f>
        <v>0</v>
      </c>
      <c r="O2372">
        <v>0</v>
      </c>
      <c r="P2372">
        <v>0</v>
      </c>
      <c r="Q2372">
        <v>0</v>
      </c>
    </row>
    <row r="2373" spans="5:17" x14ac:dyDescent="0.2">
      <c r="E2373" s="9" t="s">
        <v>28</v>
      </c>
      <c r="K2373" t="str">
        <v>on</v>
      </c>
      <c r="L2373" s="4" t="str">
        <f t="shared" si="45"/>
        <v>on</v>
      </c>
      <c r="N2373" s="4" cm="1">
        <f t="array" ref="N2373">SUM(--(_xlfn.TEXTSPLIT($J$2232,, " ") = M2373))</f>
        <v>0</v>
      </c>
      <c r="O2373">
        <v>0</v>
      </c>
      <c r="P2373">
        <v>0</v>
      </c>
      <c r="Q2373">
        <v>0</v>
      </c>
    </row>
    <row r="2374" spans="5:17" x14ac:dyDescent="0.2">
      <c r="E2374" s="9" t="s">
        <v>28</v>
      </c>
      <c r="K2374" t="str">
        <v>the</v>
      </c>
      <c r="L2374" s="4" t="str">
        <f t="shared" si="45"/>
        <v>the</v>
      </c>
      <c r="N2374" s="4" cm="1">
        <f t="array" ref="N2374">SUM(--(_xlfn.TEXTSPLIT($J$2232,, " ") = M2374))</f>
        <v>0</v>
      </c>
      <c r="O2374">
        <v>0</v>
      </c>
      <c r="P2374">
        <v>0</v>
      </c>
      <c r="Q2374">
        <v>0</v>
      </c>
    </row>
    <row r="2375" spans="5:17" x14ac:dyDescent="0.2">
      <c r="E2375" s="9" t="s">
        <v>28</v>
      </c>
      <c r="K2375" t="str">
        <v>floor,</v>
      </c>
      <c r="L2375" s="4" t="str">
        <f t="shared" si="45"/>
        <v xml:space="preserve">floor </v>
      </c>
      <c r="N2375" s="4" cm="1">
        <f t="array" ref="N2375">SUM(--(_xlfn.TEXTSPLIT($J$2232,, " ") = M2375))</f>
        <v>0</v>
      </c>
      <c r="O2375">
        <v>0</v>
      </c>
      <c r="P2375">
        <v>0</v>
      </c>
      <c r="Q2375">
        <v>0</v>
      </c>
    </row>
    <row r="2376" spans="5:17" x14ac:dyDescent="0.2">
      <c r="E2376" s="9" t="s">
        <v>28</v>
      </c>
      <c r="K2376" t="str">
        <v>how</v>
      </c>
      <c r="L2376" s="4" t="str">
        <f t="shared" si="45"/>
        <v>how</v>
      </c>
      <c r="N2376" s="4" cm="1">
        <f t="array" ref="N2376">SUM(--(_xlfn.TEXTSPLIT($J$2232,, " ") = M2376))</f>
        <v>0</v>
      </c>
      <c r="O2376">
        <v>0</v>
      </c>
      <c r="P2376">
        <v>0</v>
      </c>
      <c r="Q2376">
        <v>0</v>
      </c>
    </row>
    <row r="2377" spans="5:17" x14ac:dyDescent="0.2">
      <c r="E2377" s="9" t="s">
        <v>28</v>
      </c>
      <c r="K2377" t="str">
        <v>did</v>
      </c>
      <c r="L2377" s="4" t="str">
        <f t="shared" si="45"/>
        <v>did</v>
      </c>
      <c r="N2377" s="4" cm="1">
        <f t="array" ref="N2377">SUM(--(_xlfn.TEXTSPLIT($J$2232,, " ") = M2377))</f>
        <v>0</v>
      </c>
      <c r="O2377">
        <v>0</v>
      </c>
      <c r="P2377">
        <v>0</v>
      </c>
      <c r="Q2377">
        <v>0</v>
      </c>
    </row>
    <row r="2378" spans="5:17" x14ac:dyDescent="0.2">
      <c r="E2378" s="9" t="s">
        <v>28</v>
      </c>
      <c r="K2378" t="str">
        <v>you</v>
      </c>
      <c r="L2378" s="4" t="str">
        <f t="shared" si="45"/>
        <v>you</v>
      </c>
      <c r="N2378" s="4" cm="1">
        <f t="array" ref="N2378">SUM(--(_xlfn.TEXTSPLIT($J$2232,, " ") = M2378))</f>
        <v>0</v>
      </c>
      <c r="O2378">
        <v>0</v>
      </c>
      <c r="P2378">
        <v>0</v>
      </c>
      <c r="Q2378">
        <v>0</v>
      </c>
    </row>
    <row r="2379" spans="5:17" x14ac:dyDescent="0.2">
      <c r="E2379" s="9" t="s">
        <v>28</v>
      </c>
      <c r="K2379" t="str">
        <v>find</v>
      </c>
      <c r="L2379" s="4" t="str">
        <f t="shared" si="45"/>
        <v>find</v>
      </c>
      <c r="N2379" s="4" cm="1">
        <f t="array" ref="N2379">SUM(--(_xlfn.TEXTSPLIT($J$2232,, " ") = M2379))</f>
        <v>0</v>
      </c>
      <c r="O2379">
        <v>0</v>
      </c>
      <c r="P2379">
        <v>0</v>
      </c>
      <c r="Q2379">
        <v>0</v>
      </c>
    </row>
    <row r="2380" spans="5:17" x14ac:dyDescent="0.2">
      <c r="E2380" s="9" t="s">
        <v>28</v>
      </c>
      <c r="K2380" t="str">
        <v xml:space="preserve">me?
</v>
      </c>
      <c r="L2380" s="4" t="str">
        <f t="shared" si="45"/>
        <v xml:space="preserve">me   </v>
      </c>
      <c r="N2380" s="4" cm="1">
        <f t="array" ref="N2380">SUM(--(_xlfn.TEXTSPLIT($J$2232,, " ") = M2380))</f>
        <v>0</v>
      </c>
      <c r="O2380">
        <v>0</v>
      </c>
      <c r="P2380">
        <v>0</v>
      </c>
      <c r="Q2380">
        <v>0</v>
      </c>
    </row>
    <row r="2381" spans="5:17" x14ac:dyDescent="0.2">
      <c r="E2381" s="9" t="s">
        <v>28</v>
      </c>
      <c r="K2381" t="str">
        <v xml:space="preserve">Woo
</v>
      </c>
      <c r="L2381" s="4" t="str">
        <f t="shared" si="45"/>
        <v xml:space="preserve">Woo </v>
      </c>
      <c r="N2381" s="4" cm="1">
        <f t="array" ref="N2381">SUM(--(_xlfn.TEXTSPLIT($J$2232,, " ") = M2381))</f>
        <v>0</v>
      </c>
      <c r="O2381">
        <v>0</v>
      </c>
      <c r="P2381">
        <v>0</v>
      </c>
      <c r="Q2381">
        <v>0</v>
      </c>
    </row>
    <row r="2382" spans="5:17" x14ac:dyDescent="0.2">
      <c r="E2382" s="9" t="s">
        <v>28</v>
      </c>
      <c r="K2382" t="str">
        <v>I</v>
      </c>
      <c r="L2382" s="4" t="str">
        <f t="shared" si="45"/>
        <v>I</v>
      </c>
      <c r="N2382" s="4" cm="1">
        <f t="array" ref="N2382">SUM(--(_xlfn.TEXTSPLIT($J$2232,, " ") = M2382))</f>
        <v>0</v>
      </c>
      <c r="O2382">
        <v>0</v>
      </c>
      <c r="P2382">
        <v>0</v>
      </c>
      <c r="Q2382">
        <v>0</v>
      </c>
    </row>
    <row r="2383" spans="5:17" x14ac:dyDescent="0.2">
      <c r="E2383" s="9" t="s">
        <v>28</v>
      </c>
      <c r="K2383" t="str">
        <v>wasn't</v>
      </c>
      <c r="L2383" s="4" t="str">
        <f t="shared" si="45"/>
        <v>wasn t</v>
      </c>
      <c r="N2383" s="4" cm="1">
        <f t="array" ref="N2383">SUM(--(_xlfn.TEXTSPLIT($J$2232,, " ") = M2383))</f>
        <v>0</v>
      </c>
      <c r="O2383">
        <v>0</v>
      </c>
      <c r="P2383">
        <v>0</v>
      </c>
      <c r="Q2383">
        <v>0</v>
      </c>
    </row>
    <row r="2384" spans="5:17" x14ac:dyDescent="0.2">
      <c r="E2384" s="9" t="s">
        <v>28</v>
      </c>
      <c r="K2384" t="str">
        <v>lookin'</v>
      </c>
      <c r="L2384" s="4" t="str">
        <f t="shared" si="45"/>
        <v xml:space="preserve">lookin </v>
      </c>
      <c r="N2384" s="4" cm="1">
        <f t="array" ref="N2384">SUM(--(_xlfn.TEXTSPLIT($J$2232,, " ") = M2384))</f>
        <v>0</v>
      </c>
      <c r="O2384">
        <v>0</v>
      </c>
      <c r="P2384">
        <v>0</v>
      </c>
      <c r="Q2384">
        <v>0</v>
      </c>
    </row>
    <row r="2385" spans="5:17" x14ac:dyDescent="0.2">
      <c r="E2385" s="9" t="s">
        <v>28</v>
      </c>
      <c r="K2385" t="str">
        <v>for</v>
      </c>
      <c r="L2385" s="4" t="str">
        <f t="shared" si="45"/>
        <v>for</v>
      </c>
      <c r="N2385" s="4" cm="1">
        <f t="array" ref="N2385">SUM(--(_xlfn.TEXTSPLIT($J$2232,, " ") = M2385))</f>
        <v>0</v>
      </c>
      <c r="O2385">
        <v>0</v>
      </c>
      <c r="P2385">
        <v>0</v>
      </c>
      <c r="Q2385">
        <v>0</v>
      </c>
    </row>
    <row r="2386" spans="5:17" x14ac:dyDescent="0.2">
      <c r="E2386" s="9" t="s">
        <v>28</v>
      </c>
      <c r="K2386" t="str">
        <v>love</v>
      </c>
      <c r="L2386" s="4" t="str">
        <f t="shared" si="45"/>
        <v>love</v>
      </c>
      <c r="N2386" s="4" cm="1">
        <f t="array" ref="N2386">SUM(--(_xlfn.TEXTSPLIT($J$2232,, " ") = M2386))</f>
        <v>0</v>
      </c>
      <c r="O2386">
        <v>0</v>
      </c>
      <c r="P2386">
        <v>0</v>
      </c>
      <c r="Q2386">
        <v>0</v>
      </c>
    </row>
    <row r="2387" spans="5:17" x14ac:dyDescent="0.2">
      <c r="E2387" s="9" t="s">
        <v>28</v>
      </c>
      <c r="K2387" t="str">
        <v>this</v>
      </c>
      <c r="L2387" s="4" t="str">
        <f t="shared" si="45"/>
        <v>this</v>
      </c>
      <c r="N2387" s="4" cm="1">
        <f t="array" ref="N2387">SUM(--(_xlfn.TEXTSPLIT($J$2232,, " ") = M2387))</f>
        <v>0</v>
      </c>
      <c r="O2387">
        <v>0</v>
      </c>
      <c r="P2387">
        <v>0</v>
      </c>
      <c r="Q2387">
        <v>0</v>
      </c>
    </row>
    <row r="2388" spans="5:17" x14ac:dyDescent="0.2">
      <c r="E2388" s="9" t="s">
        <v>28</v>
      </c>
      <c r="K2388" t="str">
        <v xml:space="preserve">year
</v>
      </c>
      <c r="L2388" s="4" t="str">
        <f t="shared" si="45"/>
        <v xml:space="preserve">year </v>
      </c>
      <c r="N2388" s="4" cm="1">
        <f t="array" ref="N2388">SUM(--(_xlfn.TEXTSPLIT($J$2232,, " ") = M2388))</f>
        <v>0</v>
      </c>
      <c r="O2388">
        <v>0</v>
      </c>
      <c r="P2388">
        <v>0</v>
      </c>
      <c r="Q2388">
        <v>0</v>
      </c>
    </row>
    <row r="2389" spans="5:17" x14ac:dyDescent="0.2">
      <c r="E2389" s="9" t="s">
        <v>28</v>
      </c>
      <c r="K2389" t="str">
        <v>But</v>
      </c>
      <c r="L2389" s="4" t="str">
        <f t="shared" si="45"/>
        <v>But</v>
      </c>
      <c r="N2389" s="4" cm="1">
        <f t="array" ref="N2389">SUM(--(_xlfn.TEXTSPLIT($J$2232,, " ") = M2389))</f>
        <v>0</v>
      </c>
      <c r="O2389">
        <v>0</v>
      </c>
      <c r="P2389">
        <v>0</v>
      </c>
      <c r="Q2389">
        <v>0</v>
      </c>
    </row>
    <row r="2390" spans="5:17" x14ac:dyDescent="0.2">
      <c r="E2390" s="9" t="s">
        <v>28</v>
      </c>
      <c r="K2390" t="str">
        <v>my</v>
      </c>
      <c r="L2390" s="4" t="str">
        <f t="shared" si="45"/>
        <v>my</v>
      </c>
      <c r="N2390" s="4" cm="1">
        <f t="array" ref="N2390">SUM(--(_xlfn.TEXTSPLIT($J$2232,, " ") = M2390))</f>
        <v>0</v>
      </c>
      <c r="O2390">
        <v>0</v>
      </c>
      <c r="P2390">
        <v>0</v>
      </c>
      <c r="Q2390">
        <v>0</v>
      </c>
    </row>
    <row r="2391" spans="5:17" x14ac:dyDescent="0.2">
      <c r="E2391" s="9" t="s">
        <v>28</v>
      </c>
      <c r="K2391" t="str">
        <v>robot</v>
      </c>
      <c r="L2391" s="4" t="str">
        <f t="shared" si="45"/>
        <v>robot</v>
      </c>
      <c r="N2391" s="4" cm="1">
        <f t="array" ref="N2391">SUM(--(_xlfn.TEXTSPLIT($J$2232,, " ") = M2391))</f>
        <v>0</v>
      </c>
      <c r="O2391">
        <v>0</v>
      </c>
      <c r="P2391">
        <v>0</v>
      </c>
      <c r="Q2391">
        <v>0</v>
      </c>
    </row>
    <row r="2392" spans="5:17" x14ac:dyDescent="0.2">
      <c r="E2392" s="9" t="s">
        <v>28</v>
      </c>
      <c r="K2392" t="str">
        <v>told</v>
      </c>
      <c r="L2392" s="4" t="str">
        <f t="shared" si="45"/>
        <v>told</v>
      </c>
      <c r="N2392" s="4" cm="1">
        <f t="array" ref="N2392">SUM(--(_xlfn.TEXTSPLIT($J$2232,, " ") = M2392))</f>
        <v>0</v>
      </c>
      <c r="O2392">
        <v>0</v>
      </c>
      <c r="P2392">
        <v>0</v>
      </c>
      <c r="Q2392">
        <v>0</v>
      </c>
    </row>
    <row r="2393" spans="5:17" x14ac:dyDescent="0.2">
      <c r="E2393" s="9" t="s">
        <v>28</v>
      </c>
      <c r="K2393" t="str">
        <v>me</v>
      </c>
      <c r="L2393" s="4" t="str">
        <f t="shared" si="45"/>
        <v>me</v>
      </c>
      <c r="N2393" s="4" cm="1">
        <f t="array" ref="N2393">SUM(--(_xlfn.TEXTSPLIT($J$2232,, " ") = M2393))</f>
        <v>0</v>
      </c>
      <c r="O2393">
        <v>0</v>
      </c>
      <c r="P2393">
        <v>0</v>
      </c>
      <c r="Q2393">
        <v>0</v>
      </c>
    </row>
    <row r="2394" spans="5:17" x14ac:dyDescent="0.2">
      <c r="E2394" s="9" t="s">
        <v>28</v>
      </c>
      <c r="K2394" t="str">
        <v>that</v>
      </c>
      <c r="L2394" s="4" t="str">
        <f t="shared" si="45"/>
        <v>that</v>
      </c>
      <c r="N2394" s="4" cm="1">
        <f t="array" ref="N2394">SUM(--(_xlfn.TEXTSPLIT($J$2232,, " ") = M2394))</f>
        <v>0</v>
      </c>
      <c r="O2394">
        <v>0</v>
      </c>
      <c r="P2394">
        <v>0</v>
      </c>
      <c r="Q2394">
        <v>0</v>
      </c>
    </row>
    <row r="2395" spans="5:17" x14ac:dyDescent="0.2">
      <c r="E2395" s="9" t="s">
        <v>28</v>
      </c>
      <c r="K2395" t="str">
        <v>I</v>
      </c>
      <c r="L2395" s="4" t="str">
        <f t="shared" si="45"/>
        <v>I</v>
      </c>
      <c r="N2395" s="4" cm="1">
        <f t="array" ref="N2395">SUM(--(_xlfn.TEXTSPLIT($J$2232,, " ") = M2395))</f>
        <v>0</v>
      </c>
      <c r="O2395">
        <v>0</v>
      </c>
      <c r="P2395">
        <v>0</v>
      </c>
      <c r="Q2395">
        <v>0</v>
      </c>
    </row>
    <row r="2396" spans="5:17" x14ac:dyDescent="0.2">
      <c r="E2396" s="9" t="s">
        <v>28</v>
      </c>
      <c r="K2396" t="str">
        <v>shouldn't</v>
      </c>
      <c r="L2396" s="4" t="str">
        <f t="shared" si="45"/>
        <v>shouldn t</v>
      </c>
      <c r="N2396" s="4" cm="1">
        <f t="array" ref="N2396">SUM(--(_xlfn.TEXTSPLIT($J$2232,, " ") = M2396))</f>
        <v>0</v>
      </c>
      <c r="O2396">
        <v>0</v>
      </c>
      <c r="P2396">
        <v>0</v>
      </c>
      <c r="Q2396">
        <v>0</v>
      </c>
    </row>
    <row r="2397" spans="5:17" x14ac:dyDescent="0.2">
      <c r="E2397" s="9" t="s">
        <v>28</v>
      </c>
      <c r="K2397" t="str">
        <v xml:space="preserve">fear
</v>
      </c>
      <c r="L2397" s="4" t="str">
        <f t="shared" si="45"/>
        <v xml:space="preserve">fear </v>
      </c>
      <c r="N2397" s="4" cm="1">
        <f t="array" ref="N2397">SUM(--(_xlfn.TEXTSPLIT($J$2232,, " ") = M2397))</f>
        <v>0</v>
      </c>
      <c r="O2397">
        <v>0</v>
      </c>
      <c r="P2397">
        <v>0</v>
      </c>
      <c r="Q2397">
        <v>0</v>
      </c>
    </row>
    <row r="2398" spans="5:17" x14ac:dyDescent="0.2">
      <c r="E2398" s="9" t="s">
        <v>28</v>
      </c>
      <c r="K2398" t="str">
        <v>When</v>
      </c>
      <c r="L2398" s="4" t="str">
        <f t="shared" si="45"/>
        <v>When</v>
      </c>
      <c r="N2398" s="4" cm="1">
        <f t="array" ref="N2398">SUM(--(_xlfn.TEXTSPLIT($J$2232,, " ") = M2398))</f>
        <v>0</v>
      </c>
      <c r="O2398">
        <v>0</v>
      </c>
      <c r="P2398">
        <v>0</v>
      </c>
      <c r="Q2398">
        <v>0</v>
      </c>
    </row>
    <row r="2399" spans="5:17" x14ac:dyDescent="0.2">
      <c r="E2399" s="9" t="s">
        <v>28</v>
      </c>
      <c r="K2399" t="str">
        <v>I</v>
      </c>
      <c r="L2399" s="4" t="str">
        <f t="shared" si="45"/>
        <v>I</v>
      </c>
      <c r="N2399" s="4" cm="1">
        <f t="array" ref="N2399">SUM(--(_xlfn.TEXTSPLIT($J$2232,, " ") = M2399))</f>
        <v>0</v>
      </c>
      <c r="O2399">
        <v>0</v>
      </c>
      <c r="P2399">
        <v>0</v>
      </c>
      <c r="Q2399">
        <v>0</v>
      </c>
    </row>
    <row r="2400" spans="5:17" x14ac:dyDescent="0.2">
      <c r="E2400" s="9" t="s">
        <v>28</v>
      </c>
      <c r="K2400" t="str">
        <v>met</v>
      </c>
      <c r="L2400" s="4" t="str">
        <f t="shared" si="45"/>
        <v>met</v>
      </c>
      <c r="N2400" s="4" cm="1">
        <f t="array" ref="N2400">SUM(--(_xlfn.TEXTSPLIT($J$2232,, " ") = M2400))</f>
        <v>0</v>
      </c>
      <c r="O2400">
        <v>0</v>
      </c>
      <c r="P2400">
        <v>0</v>
      </c>
      <c r="Q2400">
        <v>0</v>
      </c>
    </row>
    <row r="2401" spans="5:17" x14ac:dyDescent="0.2">
      <c r="E2401" s="9" t="s">
        <v>28</v>
      </c>
      <c r="K2401" t="str">
        <v>you,</v>
      </c>
      <c r="L2401" s="4" t="str">
        <f t="shared" si="45"/>
        <v xml:space="preserve">you </v>
      </c>
      <c r="N2401" s="4" cm="1">
        <f t="array" ref="N2401">SUM(--(_xlfn.TEXTSPLIT($J$2232,, " ") = M2401))</f>
        <v>0</v>
      </c>
      <c r="O2401">
        <v>0</v>
      </c>
      <c r="P2401">
        <v>0</v>
      </c>
      <c r="Q2401">
        <v>0</v>
      </c>
    </row>
    <row r="2402" spans="5:17" x14ac:dyDescent="0.2">
      <c r="E2402" s="9" t="s">
        <v>28</v>
      </c>
      <c r="K2402" t="str">
        <v>I</v>
      </c>
      <c r="L2402" s="4" t="str">
        <f t="shared" si="45"/>
        <v>I</v>
      </c>
      <c r="N2402" s="4" cm="1">
        <f t="array" ref="N2402">SUM(--(_xlfn.TEXTSPLIT($J$2232,, " ") = M2402))</f>
        <v>0</v>
      </c>
      <c r="O2402">
        <v>0</v>
      </c>
      <c r="P2402">
        <v>0</v>
      </c>
      <c r="Q2402">
        <v>0</v>
      </c>
    </row>
    <row r="2403" spans="5:17" x14ac:dyDescent="0.2">
      <c r="E2403" s="9" t="s">
        <v>28</v>
      </c>
      <c r="K2403" t="str">
        <v>found</v>
      </c>
      <c r="L2403" s="4" t="str">
        <f t="shared" si="45"/>
        <v>found</v>
      </c>
      <c r="N2403" s="4" cm="1">
        <f t="array" ref="N2403">SUM(--(_xlfn.TEXTSPLIT($J$2232,, " ") = M2403))</f>
        <v>0</v>
      </c>
      <c r="O2403">
        <v>0</v>
      </c>
      <c r="P2403">
        <v>0</v>
      </c>
      <c r="Q2403">
        <v>0</v>
      </c>
    </row>
    <row r="2404" spans="5:17" x14ac:dyDescent="0.2">
      <c r="E2404" s="9" t="s">
        <v>28</v>
      </c>
      <c r="K2404" t="str">
        <v>you</v>
      </c>
      <c r="L2404" s="4" t="str">
        <f t="shared" si="45"/>
        <v>you</v>
      </c>
      <c r="N2404" s="4" cm="1">
        <f t="array" ref="N2404">SUM(--(_xlfn.TEXTSPLIT($J$2232,, " ") = M2404))</f>
        <v>0</v>
      </c>
      <c r="O2404">
        <v>0</v>
      </c>
      <c r="P2404">
        <v>0</v>
      </c>
      <c r="Q2404">
        <v>0</v>
      </c>
    </row>
    <row r="2405" spans="5:17" x14ac:dyDescent="0.2">
      <c r="E2405" s="9" t="s">
        <v>28</v>
      </c>
      <c r="K2405" t="str">
        <v>safe</v>
      </c>
      <c r="L2405" s="4" t="str">
        <f t="shared" si="45"/>
        <v>safe</v>
      </c>
      <c r="N2405" s="4" cm="1">
        <f t="array" ref="N2405">SUM(--(_xlfn.TEXTSPLIT($J$2232,, " ") = M2405))</f>
        <v>0</v>
      </c>
      <c r="O2405">
        <v>0</v>
      </c>
      <c r="P2405">
        <v>0</v>
      </c>
      <c r="Q2405">
        <v>0</v>
      </c>
    </row>
    <row r="2406" spans="5:17" x14ac:dyDescent="0.2">
      <c r="E2406" s="9" t="s">
        <v>28</v>
      </c>
      <c r="K2406" t="str">
        <v>and</v>
      </c>
      <c r="L2406" s="4" t="str">
        <f t="shared" si="45"/>
        <v>and</v>
      </c>
      <c r="N2406" s="4" cm="1">
        <f t="array" ref="N2406">SUM(--(_xlfn.TEXTSPLIT($J$2232,, " ") = M2406))</f>
        <v>0</v>
      </c>
      <c r="O2406">
        <v>0</v>
      </c>
      <c r="P2406">
        <v>0</v>
      </c>
      <c r="Q2406">
        <v>0</v>
      </c>
    </row>
    <row r="2407" spans="5:17" x14ac:dyDescent="0.2">
      <c r="E2407" s="9" t="s">
        <v>28</v>
      </c>
      <c r="K2407" t="str">
        <v xml:space="preserve">warm
</v>
      </c>
      <c r="L2407" s="4" t="str">
        <f t="shared" si="45"/>
        <v xml:space="preserve">warm </v>
      </c>
      <c r="N2407" s="4" cm="1">
        <f t="array" ref="N2407">SUM(--(_xlfn.TEXTSPLIT($J$2232,, " ") = M2407))</f>
        <v>0</v>
      </c>
      <c r="O2407">
        <v>0</v>
      </c>
      <c r="P2407">
        <v>0</v>
      </c>
      <c r="Q2407">
        <v>0</v>
      </c>
    </row>
    <row r="2408" spans="5:17" x14ac:dyDescent="0.2">
      <c r="E2408" s="9" t="s">
        <v>28</v>
      </c>
      <c r="K2408" t="str">
        <v>Then</v>
      </c>
      <c r="L2408" s="4" t="str">
        <f t="shared" si="45"/>
        <v>Then</v>
      </c>
      <c r="N2408" s="4" cm="1">
        <f t="array" ref="N2408">SUM(--(_xlfn.TEXTSPLIT($J$2232,, " ") = M2408))</f>
        <v>0</v>
      </c>
      <c r="O2408">
        <v>0</v>
      </c>
      <c r="P2408">
        <v>0</v>
      </c>
      <c r="Q2408">
        <v>0</v>
      </c>
    </row>
    <row r="2409" spans="5:17" x14ac:dyDescent="0.2">
      <c r="E2409" s="9" t="s">
        <v>28</v>
      </c>
      <c r="K2409" t="str">
        <v>the</v>
      </c>
      <c r="L2409" s="4" t="str">
        <f t="shared" si="45"/>
        <v>the</v>
      </c>
      <c r="N2409" s="4" cm="1">
        <f t="array" ref="N2409">SUM(--(_xlfn.TEXTSPLIT($J$2232,, " ") = M2409))</f>
        <v>0</v>
      </c>
      <c r="O2409">
        <v>0</v>
      </c>
      <c r="P2409">
        <v>0</v>
      </c>
      <c r="Q2409">
        <v>0</v>
      </c>
    </row>
    <row r="2410" spans="5:17" x14ac:dyDescent="0.2">
      <c r="E2410" s="9" t="s">
        <v>28</v>
      </c>
      <c r="K2410" t="str">
        <v>robot</v>
      </c>
      <c r="L2410" s="4" t="str">
        <f t="shared" si="45"/>
        <v>robot</v>
      </c>
      <c r="N2410" s="4" cm="1">
        <f t="array" ref="N2410">SUM(--(_xlfn.TEXTSPLIT($J$2232,, " ") = M2410))</f>
        <v>0</v>
      </c>
      <c r="O2410">
        <v>0</v>
      </c>
      <c r="P2410">
        <v>0</v>
      </c>
      <c r="Q2410">
        <v>0</v>
      </c>
    </row>
    <row r="2411" spans="5:17" x14ac:dyDescent="0.2">
      <c r="E2411" s="9" t="s">
        <v>28</v>
      </c>
      <c r="K2411" t="str">
        <v>voices</v>
      </c>
      <c r="L2411" s="4" t="str">
        <f t="shared" si="45"/>
        <v>voices</v>
      </c>
      <c r="N2411" s="4" cm="1">
        <f t="array" ref="N2411">SUM(--(_xlfn.TEXTSPLIT($J$2232,, " ") = M2411))</f>
        <v>0</v>
      </c>
      <c r="O2411">
        <v>0</v>
      </c>
      <c r="P2411">
        <v>0</v>
      </c>
      <c r="Q2411">
        <v>0</v>
      </c>
    </row>
    <row r="2412" spans="5:17" x14ac:dyDescent="0.2">
      <c r="E2412" s="9" t="s">
        <v>28</v>
      </c>
      <c r="K2412" t="str">
        <v>would</v>
      </c>
      <c r="L2412" s="4" t="str">
        <f t="shared" si="45"/>
        <v>would</v>
      </c>
      <c r="N2412" s="4" cm="1">
        <f t="array" ref="N2412">SUM(--(_xlfn.TEXTSPLIT($J$2232,, " ") = M2412))</f>
        <v>0</v>
      </c>
      <c r="O2412">
        <v>0</v>
      </c>
      <c r="P2412">
        <v>0</v>
      </c>
      <c r="Q2412">
        <v>0</v>
      </c>
    </row>
    <row r="2413" spans="5:17" x14ac:dyDescent="0.2">
      <c r="E2413" s="9" t="s">
        <v>28</v>
      </c>
      <c r="K2413" t="str">
        <v>reassure</v>
      </c>
      <c r="L2413" s="4" t="str">
        <f t="shared" si="45"/>
        <v>reassure</v>
      </c>
      <c r="N2413" s="4" cm="1">
        <f t="array" ref="N2413">SUM(--(_xlfn.TEXTSPLIT($J$2232,, " ") = M2413))</f>
        <v>0</v>
      </c>
      <c r="O2413">
        <v>0</v>
      </c>
      <c r="P2413">
        <v>0</v>
      </c>
      <c r="Q2413">
        <v>0</v>
      </c>
    </row>
    <row r="2414" spans="5:17" x14ac:dyDescent="0.2">
      <c r="E2414" s="9" t="s">
        <v>28</v>
      </c>
      <c r="K2414" t="str">
        <v xml:space="preserve">me
</v>
      </c>
      <c r="L2414" s="4" t="str">
        <f t="shared" si="45"/>
        <v xml:space="preserve">me </v>
      </c>
      <c r="N2414" s="4" cm="1">
        <f t="array" ref="N2414">SUM(--(_xlfn.TEXTSPLIT($J$2232,, " ") = M2414))</f>
        <v>0</v>
      </c>
      <c r="O2414">
        <v>0</v>
      </c>
      <c r="P2414">
        <v>0</v>
      </c>
      <c r="Q2414">
        <v>0</v>
      </c>
    </row>
    <row r="2415" spans="5:17" x14ac:dyDescent="0.2">
      <c r="E2415" s="9" t="s">
        <v>28</v>
      </c>
      <c r="K2415" t="str">
        <v>I</v>
      </c>
      <c r="L2415" s="4" t="str">
        <f t="shared" si="45"/>
        <v>I</v>
      </c>
      <c r="N2415" s="4" cm="1">
        <f t="array" ref="N2415">SUM(--(_xlfn.TEXTSPLIT($J$2232,, " ") = M2415))</f>
        <v>0</v>
      </c>
      <c r="O2415">
        <v>0</v>
      </c>
      <c r="P2415">
        <v>0</v>
      </c>
      <c r="Q2415">
        <v>0</v>
      </c>
    </row>
    <row r="2416" spans="5:17" x14ac:dyDescent="0.2">
      <c r="E2416" s="9" t="s">
        <v>28</v>
      </c>
      <c r="K2416" t="str">
        <v>wasn't</v>
      </c>
      <c r="L2416" s="4" t="str">
        <f t="shared" si="45"/>
        <v>wasn t</v>
      </c>
      <c r="N2416" s="4" cm="1">
        <f t="array" ref="N2416">SUM(--(_xlfn.TEXTSPLIT($J$2232,, " ") = M2416))</f>
        <v>0</v>
      </c>
      <c r="O2416">
        <v>0</v>
      </c>
      <c r="P2416">
        <v>0</v>
      </c>
      <c r="Q2416">
        <v>0</v>
      </c>
    </row>
    <row r="2417" spans="5:17" x14ac:dyDescent="0.2">
      <c r="E2417" s="9" t="s">
        <v>28</v>
      </c>
      <c r="K2417" t="str">
        <v>lookin'</v>
      </c>
      <c r="L2417" s="4" t="str">
        <f t="shared" si="45"/>
        <v xml:space="preserve">lookin </v>
      </c>
      <c r="N2417" s="4" cm="1">
        <f t="array" ref="N2417">SUM(--(_xlfn.TEXTSPLIT($J$2232,, " ") = M2417))</f>
        <v>0</v>
      </c>
      <c r="O2417">
        <v>0</v>
      </c>
      <c r="P2417">
        <v>0</v>
      </c>
      <c r="Q2417">
        <v>0</v>
      </c>
    </row>
    <row r="2418" spans="5:17" x14ac:dyDescent="0.2">
      <c r="E2418" s="9" t="s">
        <v>28</v>
      </c>
      <c r="K2418" t="str">
        <v>for</v>
      </c>
      <c r="L2418" s="4" t="str">
        <f t="shared" si="45"/>
        <v>for</v>
      </c>
      <c r="N2418" s="4" cm="1">
        <f t="array" ref="N2418">SUM(--(_xlfn.TEXTSPLIT($J$2232,, " ") = M2418))</f>
        <v>0</v>
      </c>
      <c r="O2418">
        <v>0</v>
      </c>
      <c r="P2418">
        <v>0</v>
      </c>
      <c r="Q2418">
        <v>0</v>
      </c>
    </row>
    <row r="2419" spans="5:17" x14ac:dyDescent="0.2">
      <c r="E2419" s="9" t="s">
        <v>28</v>
      </c>
      <c r="K2419" t="str">
        <v>love</v>
      </c>
      <c r="L2419" s="4" t="str">
        <f t="shared" si="45"/>
        <v>love</v>
      </c>
      <c r="N2419" s="4" cm="1">
        <f t="array" ref="N2419">SUM(--(_xlfn.TEXTSPLIT($J$2232,, " ") = M2419))</f>
        <v>0</v>
      </c>
      <c r="O2419">
        <v>0</v>
      </c>
      <c r="P2419">
        <v>0</v>
      </c>
      <c r="Q2419">
        <v>0</v>
      </c>
    </row>
    <row r="2420" spans="5:17" x14ac:dyDescent="0.2">
      <c r="E2420" s="9" t="s">
        <v>28</v>
      </c>
      <c r="K2420" t="str">
        <v>this</v>
      </c>
      <c r="L2420" s="4" t="str">
        <f t="shared" si="45"/>
        <v>this</v>
      </c>
      <c r="N2420" s="4" cm="1">
        <f t="array" ref="N2420">SUM(--(_xlfn.TEXTSPLIT($J$2232,, " ") = M2420))</f>
        <v>0</v>
      </c>
      <c r="O2420">
        <v>0</v>
      </c>
      <c r="P2420">
        <v>0</v>
      </c>
      <c r="Q2420">
        <v>0</v>
      </c>
    </row>
    <row r="2421" spans="5:17" x14ac:dyDescent="0.2">
      <c r="E2421" s="9" t="s">
        <v>28</v>
      </c>
      <c r="K2421" t="str">
        <v xml:space="preserve">year
</v>
      </c>
      <c r="L2421" s="4" t="str">
        <f t="shared" si="45"/>
        <v xml:space="preserve">year </v>
      </c>
      <c r="N2421" s="4" cm="1">
        <f t="array" ref="N2421">SUM(--(_xlfn.TEXTSPLIT($J$2232,, " ") = M2421))</f>
        <v>0</v>
      </c>
      <c r="O2421">
        <v>0</v>
      </c>
      <c r="P2421">
        <v>0</v>
      </c>
      <c r="Q2421">
        <v>0</v>
      </c>
    </row>
    <row r="2422" spans="5:17" x14ac:dyDescent="0.2">
      <c r="E2422" s="9" t="s">
        <v>28</v>
      </c>
      <c r="K2422" t="str">
        <v>But</v>
      </c>
      <c r="L2422" s="4" t="str">
        <f t="shared" si="45"/>
        <v>But</v>
      </c>
      <c r="N2422" s="4" cm="1">
        <f t="array" ref="N2422">SUM(--(_xlfn.TEXTSPLIT($J$2232,, " ") = M2422))</f>
        <v>0</v>
      </c>
      <c r="O2422">
        <v>0</v>
      </c>
      <c r="P2422">
        <v>0</v>
      </c>
      <c r="Q2422">
        <v>0</v>
      </c>
    </row>
    <row r="2423" spans="5:17" x14ac:dyDescent="0.2">
      <c r="E2423" s="9" t="s">
        <v>28</v>
      </c>
      <c r="K2423" t="str">
        <v>my</v>
      </c>
      <c r="L2423" s="4" t="str">
        <f t="shared" si="45"/>
        <v>my</v>
      </c>
      <c r="N2423" s="4" cm="1">
        <f t="array" ref="N2423">SUM(--(_xlfn.TEXTSPLIT($J$2232,, " ") = M2423))</f>
        <v>0</v>
      </c>
      <c r="O2423">
        <v>0</v>
      </c>
      <c r="P2423">
        <v>0</v>
      </c>
      <c r="Q2423">
        <v>0</v>
      </c>
    </row>
    <row r="2424" spans="5:17" x14ac:dyDescent="0.2">
      <c r="E2424" s="9" t="s">
        <v>28</v>
      </c>
      <c r="K2424" t="str">
        <v>robot</v>
      </c>
      <c r="L2424" s="4" t="str">
        <f t="shared" si="45"/>
        <v>robot</v>
      </c>
      <c r="N2424" s="4" cm="1">
        <f t="array" ref="N2424">SUM(--(_xlfn.TEXTSPLIT($J$2232,, " ") = M2424))</f>
        <v>0</v>
      </c>
      <c r="O2424">
        <v>0</v>
      </c>
      <c r="P2424">
        <v>0</v>
      </c>
      <c r="Q2424">
        <v>0</v>
      </c>
    </row>
    <row r="2425" spans="5:17" x14ac:dyDescent="0.2">
      <c r="E2425" s="9" t="s">
        <v>28</v>
      </c>
      <c r="K2425" t="str">
        <v>told</v>
      </c>
      <c r="L2425" s="4" t="str">
        <f t="shared" ref="L2425:L2447" si="46">_xlfn.REGEXREPLACE(K2425, "[^A-Za-z ]", " ")</f>
        <v>told</v>
      </c>
      <c r="N2425" s="4" cm="1">
        <f t="array" ref="N2425">SUM(--(_xlfn.TEXTSPLIT($J$2232,, " ") = M2425))</f>
        <v>0</v>
      </c>
      <c r="O2425">
        <v>0</v>
      </c>
      <c r="P2425">
        <v>0</v>
      </c>
      <c r="Q2425">
        <v>0</v>
      </c>
    </row>
    <row r="2426" spans="5:17" x14ac:dyDescent="0.2">
      <c r="E2426" s="9" t="s">
        <v>28</v>
      </c>
      <c r="K2426" t="str">
        <v>me</v>
      </c>
      <c r="L2426" s="4" t="str">
        <f t="shared" si="46"/>
        <v>me</v>
      </c>
      <c r="N2426" s="4" cm="1">
        <f t="array" ref="N2426">SUM(--(_xlfn.TEXTSPLIT($J$2232,, " ") = M2426))</f>
        <v>0</v>
      </c>
      <c r="O2426">
        <v>0</v>
      </c>
      <c r="P2426">
        <v>0</v>
      </c>
      <c r="Q2426">
        <v>0</v>
      </c>
    </row>
    <row r="2427" spans="5:17" x14ac:dyDescent="0.2">
      <c r="E2427" s="9" t="s">
        <v>28</v>
      </c>
      <c r="K2427" t="str">
        <v>that</v>
      </c>
      <c r="L2427" s="4" t="str">
        <f t="shared" si="46"/>
        <v>that</v>
      </c>
      <c r="N2427" s="4" cm="1">
        <f t="array" ref="N2427">SUM(--(_xlfn.TEXTSPLIT($J$2232,, " ") = M2427))</f>
        <v>0</v>
      </c>
      <c r="O2427">
        <v>0</v>
      </c>
      <c r="P2427">
        <v>0</v>
      </c>
      <c r="Q2427">
        <v>0</v>
      </c>
    </row>
    <row r="2428" spans="5:17" x14ac:dyDescent="0.2">
      <c r="E2428" s="9" t="s">
        <v>28</v>
      </c>
      <c r="K2428" t="str">
        <v>I</v>
      </c>
      <c r="L2428" s="4" t="str">
        <f t="shared" si="46"/>
        <v>I</v>
      </c>
      <c r="N2428" s="4" cm="1">
        <f t="array" ref="N2428">SUM(--(_xlfn.TEXTSPLIT($J$2232,, " ") = M2428))</f>
        <v>0</v>
      </c>
      <c r="O2428">
        <v>0</v>
      </c>
      <c r="P2428">
        <v>0</v>
      </c>
      <c r="Q2428">
        <v>0</v>
      </c>
    </row>
    <row r="2429" spans="5:17" x14ac:dyDescent="0.2">
      <c r="E2429" s="9" t="s">
        <v>28</v>
      </c>
      <c r="K2429" t="str">
        <v>shouldn't</v>
      </c>
      <c r="L2429" s="4" t="str">
        <f t="shared" si="46"/>
        <v>shouldn t</v>
      </c>
      <c r="N2429" s="4" cm="1">
        <f t="array" ref="N2429">SUM(--(_xlfn.TEXTSPLIT($J$2232,, " ") = M2429))</f>
        <v>0</v>
      </c>
      <c r="O2429">
        <v>0</v>
      </c>
      <c r="P2429">
        <v>0</v>
      </c>
      <c r="Q2429">
        <v>0</v>
      </c>
    </row>
    <row r="2430" spans="5:17" x14ac:dyDescent="0.2">
      <c r="E2430" s="9" t="s">
        <v>28</v>
      </c>
      <c r="K2430" t="str">
        <v xml:space="preserve">fear
</v>
      </c>
      <c r="L2430" s="4" t="str">
        <f t="shared" si="46"/>
        <v xml:space="preserve">fear </v>
      </c>
      <c r="N2430" s="4" cm="1">
        <f t="array" ref="N2430">SUM(--(_xlfn.TEXTSPLIT($J$2232,, " ") = M2430))</f>
        <v>0</v>
      </c>
      <c r="O2430">
        <v>0</v>
      </c>
      <c r="P2430">
        <v>0</v>
      </c>
      <c r="Q2430">
        <v>0</v>
      </c>
    </row>
    <row r="2431" spans="5:17" x14ac:dyDescent="0.2">
      <c r="E2431" s="9" t="s">
        <v>28</v>
      </c>
      <c r="K2431" t="str">
        <v>When</v>
      </c>
      <c r="L2431" s="4" t="str">
        <f t="shared" si="46"/>
        <v>When</v>
      </c>
      <c r="N2431" s="4" cm="1">
        <f t="array" ref="N2431">SUM(--(_xlfn.TEXTSPLIT($J$2232,, " ") = M2431))</f>
        <v>0</v>
      </c>
      <c r="O2431">
        <v>0</v>
      </c>
      <c r="P2431">
        <v>0</v>
      </c>
      <c r="Q2431">
        <v>0</v>
      </c>
    </row>
    <row r="2432" spans="5:17" x14ac:dyDescent="0.2">
      <c r="E2432" s="9" t="s">
        <v>28</v>
      </c>
      <c r="K2432" t="str">
        <v>I</v>
      </c>
      <c r="L2432" s="4" t="str">
        <f t="shared" si="46"/>
        <v>I</v>
      </c>
      <c r="N2432" s="4" cm="1">
        <f t="array" ref="N2432">SUM(--(_xlfn.TEXTSPLIT($J$2232,, " ") = M2432))</f>
        <v>0</v>
      </c>
      <c r="O2432">
        <v>0</v>
      </c>
      <c r="P2432">
        <v>0</v>
      </c>
      <c r="Q2432">
        <v>0</v>
      </c>
    </row>
    <row r="2433" spans="1:18" x14ac:dyDescent="0.2">
      <c r="E2433" s="9" t="s">
        <v>28</v>
      </c>
      <c r="K2433" t="str">
        <v>met</v>
      </c>
      <c r="L2433" s="4" t="str">
        <f t="shared" si="46"/>
        <v>met</v>
      </c>
      <c r="N2433" s="4" cm="1">
        <f t="array" ref="N2433">SUM(--(_xlfn.TEXTSPLIT($J$2232,, " ") = M2433))</f>
        <v>0</v>
      </c>
      <c r="O2433">
        <v>0</v>
      </c>
      <c r="P2433">
        <v>0</v>
      </c>
      <c r="Q2433">
        <v>0</v>
      </c>
    </row>
    <row r="2434" spans="1:18" x14ac:dyDescent="0.2">
      <c r="E2434" s="9" t="s">
        <v>28</v>
      </c>
      <c r="K2434" t="str">
        <v>you,</v>
      </c>
      <c r="L2434" s="4" t="str">
        <f t="shared" si="46"/>
        <v xml:space="preserve">you </v>
      </c>
      <c r="N2434" s="4" cm="1">
        <f t="array" ref="N2434">SUM(--(_xlfn.TEXTSPLIT($J$2232,, " ") = M2434))</f>
        <v>0</v>
      </c>
      <c r="O2434">
        <v>0</v>
      </c>
      <c r="P2434">
        <v>0</v>
      </c>
      <c r="Q2434">
        <v>0</v>
      </c>
    </row>
    <row r="2435" spans="1:18" x14ac:dyDescent="0.2">
      <c r="E2435" s="9" t="s">
        <v>28</v>
      </c>
      <c r="K2435" t="str">
        <v>I</v>
      </c>
      <c r="L2435" s="4" t="str">
        <f t="shared" si="46"/>
        <v>I</v>
      </c>
      <c r="N2435" s="4" cm="1">
        <f t="array" ref="N2435">SUM(--(_xlfn.TEXTSPLIT($J$2232,, " ") = M2435))</f>
        <v>0</v>
      </c>
      <c r="O2435">
        <v>0</v>
      </c>
      <c r="P2435">
        <v>0</v>
      </c>
      <c r="Q2435">
        <v>0</v>
      </c>
    </row>
    <row r="2436" spans="1:18" x14ac:dyDescent="0.2">
      <c r="E2436" s="9" t="s">
        <v>28</v>
      </c>
      <c r="K2436" t="str">
        <v>found</v>
      </c>
      <c r="L2436" s="4" t="str">
        <f t="shared" si="46"/>
        <v>found</v>
      </c>
      <c r="N2436" s="4" cm="1">
        <f t="array" ref="N2436">SUM(--(_xlfn.TEXTSPLIT($J$2232,, " ") = M2436))</f>
        <v>0</v>
      </c>
      <c r="O2436">
        <v>0</v>
      </c>
      <c r="P2436">
        <v>0</v>
      </c>
      <c r="Q2436">
        <v>0</v>
      </c>
    </row>
    <row r="2437" spans="1:18" x14ac:dyDescent="0.2">
      <c r="E2437" s="9" t="s">
        <v>28</v>
      </c>
      <c r="K2437" t="str">
        <v>you</v>
      </c>
      <c r="L2437" s="4" t="str">
        <f t="shared" si="46"/>
        <v>you</v>
      </c>
      <c r="N2437" s="4" cm="1">
        <f t="array" ref="N2437">SUM(--(_xlfn.TEXTSPLIT($J$2232,, " ") = M2437))</f>
        <v>0</v>
      </c>
      <c r="O2437">
        <v>0</v>
      </c>
      <c r="P2437">
        <v>0</v>
      </c>
      <c r="Q2437">
        <v>0</v>
      </c>
    </row>
    <row r="2438" spans="1:18" x14ac:dyDescent="0.2">
      <c r="E2438" s="9" t="s">
        <v>28</v>
      </c>
      <c r="K2438" t="str">
        <v>safe</v>
      </c>
      <c r="L2438" s="4" t="str">
        <f t="shared" si="46"/>
        <v>safe</v>
      </c>
      <c r="N2438" s="4" cm="1">
        <f t="array" ref="N2438">SUM(--(_xlfn.TEXTSPLIT($J$2232,, " ") = M2438))</f>
        <v>0</v>
      </c>
      <c r="O2438">
        <v>0</v>
      </c>
      <c r="P2438">
        <v>0</v>
      </c>
      <c r="Q2438">
        <v>0</v>
      </c>
    </row>
    <row r="2439" spans="1:18" x14ac:dyDescent="0.2">
      <c r="E2439" s="9" t="s">
        <v>28</v>
      </c>
      <c r="K2439" t="str">
        <v>and</v>
      </c>
      <c r="L2439" s="4" t="str">
        <f t="shared" si="46"/>
        <v>and</v>
      </c>
      <c r="N2439" s="4" cm="1">
        <f t="array" ref="N2439">SUM(--(_xlfn.TEXTSPLIT($J$2232,, " ") = M2439))</f>
        <v>0</v>
      </c>
      <c r="O2439">
        <v>0</v>
      </c>
      <c r="P2439">
        <v>0</v>
      </c>
      <c r="Q2439">
        <v>0</v>
      </c>
    </row>
    <row r="2440" spans="1:18" x14ac:dyDescent="0.2">
      <c r="E2440" s="9" t="s">
        <v>28</v>
      </c>
      <c r="K2440" t="str">
        <v xml:space="preserve">warm
</v>
      </c>
      <c r="L2440" s="4" t="str">
        <f t="shared" si="46"/>
        <v xml:space="preserve">warm </v>
      </c>
      <c r="N2440" s="4" cm="1">
        <f t="array" ref="N2440">SUM(--(_xlfn.TEXTSPLIT($J$2232,, " ") = M2440))</f>
        <v>0</v>
      </c>
      <c r="O2440">
        <v>0</v>
      </c>
      <c r="P2440">
        <v>0</v>
      </c>
      <c r="Q2440">
        <v>0</v>
      </c>
    </row>
    <row r="2441" spans="1:18" x14ac:dyDescent="0.2">
      <c r="E2441" s="9" t="s">
        <v>28</v>
      </c>
      <c r="K2441" t="str">
        <v>Then</v>
      </c>
      <c r="L2441" s="4" t="str">
        <f t="shared" si="46"/>
        <v>Then</v>
      </c>
      <c r="N2441" s="4" cm="1">
        <f t="array" ref="N2441">SUM(--(_xlfn.TEXTSPLIT($J$2232,, " ") = M2441))</f>
        <v>0</v>
      </c>
      <c r="O2441">
        <v>0</v>
      </c>
      <c r="P2441">
        <v>0</v>
      </c>
      <c r="Q2441">
        <v>0</v>
      </c>
    </row>
    <row r="2442" spans="1:18" x14ac:dyDescent="0.2">
      <c r="E2442" s="9" t="s">
        <v>28</v>
      </c>
      <c r="K2442" t="str">
        <v>the</v>
      </c>
      <c r="L2442" s="4" t="str">
        <f t="shared" si="46"/>
        <v>the</v>
      </c>
      <c r="N2442" s="4" cm="1">
        <f t="array" ref="N2442">SUM(--(_xlfn.TEXTSPLIT($J$2232,, " ") = M2442))</f>
        <v>0</v>
      </c>
      <c r="O2442">
        <v>0</v>
      </c>
      <c r="P2442">
        <v>0</v>
      </c>
      <c r="Q2442">
        <v>0</v>
      </c>
    </row>
    <row r="2443" spans="1:18" x14ac:dyDescent="0.2">
      <c r="E2443" s="9" t="s">
        <v>28</v>
      </c>
      <c r="K2443" t="str">
        <v>robot</v>
      </c>
      <c r="L2443" s="4" t="str">
        <f t="shared" si="46"/>
        <v>robot</v>
      </c>
      <c r="N2443" s="4" cm="1">
        <f t="array" ref="N2443">SUM(--(_xlfn.TEXTSPLIT($J$2232,, " ") = M2443))</f>
        <v>0</v>
      </c>
      <c r="O2443">
        <v>0</v>
      </c>
      <c r="P2443">
        <v>0</v>
      </c>
      <c r="Q2443">
        <v>0</v>
      </c>
    </row>
    <row r="2444" spans="1:18" x14ac:dyDescent="0.2">
      <c r="E2444" s="9" t="s">
        <v>28</v>
      </c>
      <c r="K2444" t="str">
        <v>voices</v>
      </c>
      <c r="L2444" s="4" t="str">
        <f t="shared" si="46"/>
        <v>voices</v>
      </c>
      <c r="N2444" s="4" cm="1">
        <f t="array" ref="N2444">SUM(--(_xlfn.TEXTSPLIT($J$2232,, " ") = M2444))</f>
        <v>0</v>
      </c>
      <c r="O2444">
        <v>0</v>
      </c>
      <c r="P2444">
        <v>0</v>
      </c>
      <c r="Q2444">
        <v>0</v>
      </c>
    </row>
    <row r="2445" spans="1:18" x14ac:dyDescent="0.2">
      <c r="E2445" s="9" t="s">
        <v>28</v>
      </c>
      <c r="K2445" t="str">
        <v>would</v>
      </c>
      <c r="L2445" s="4" t="str">
        <f t="shared" si="46"/>
        <v>would</v>
      </c>
      <c r="N2445" s="4" cm="1">
        <f t="array" ref="N2445">SUM(--(_xlfn.TEXTSPLIT($J$2232,, " ") = M2445))</f>
        <v>0</v>
      </c>
      <c r="O2445">
        <v>0</v>
      </c>
      <c r="P2445">
        <v>0</v>
      </c>
      <c r="Q2445">
        <v>0</v>
      </c>
    </row>
    <row r="2446" spans="1:18" x14ac:dyDescent="0.2">
      <c r="E2446" s="9" t="s">
        <v>28</v>
      </c>
      <c r="K2446" t="str">
        <v>reassure</v>
      </c>
      <c r="L2446" s="4" t="str">
        <f t="shared" si="46"/>
        <v>reassure</v>
      </c>
      <c r="N2446" s="4" cm="1">
        <f t="array" ref="N2446">SUM(--(_xlfn.TEXTSPLIT($J$2232,, " ") = M2446))</f>
        <v>0</v>
      </c>
      <c r="O2446">
        <v>0</v>
      </c>
      <c r="P2446">
        <v>0</v>
      </c>
      <c r="Q2446">
        <v>0</v>
      </c>
    </row>
    <row r="2447" spans="1:18" x14ac:dyDescent="0.2">
      <c r="E2447" s="9" t="s">
        <v>28</v>
      </c>
      <c r="K2447" t="str">
        <v>me</v>
      </c>
      <c r="L2447" s="4" t="str">
        <f t="shared" si="46"/>
        <v>me</v>
      </c>
      <c r="N2447" s="4" cm="1">
        <f t="array" ref="N2447">SUM(--(_xlfn.TEXTSPLIT($J$2232,, " ") = M2447))</f>
        <v>0</v>
      </c>
      <c r="O2447">
        <v>0</v>
      </c>
      <c r="P2447">
        <v>0</v>
      </c>
      <c r="Q2447">
        <v>0</v>
      </c>
    </row>
    <row r="2448" spans="1:18" s="4" customFormat="1" x14ac:dyDescent="0.2">
      <c r="A2448" s="4">
        <v>8</v>
      </c>
      <c r="B2448" s="5">
        <v>45912</v>
      </c>
      <c r="C2448" s="6">
        <v>0.15833333333333333</v>
      </c>
      <c r="D2448" s="7">
        <v>228</v>
      </c>
      <c r="E2448" s="9" t="s">
        <v>30</v>
      </c>
      <c r="F2448" s="4">
        <v>8</v>
      </c>
      <c r="G2448" s="8" t="s">
        <v>15</v>
      </c>
      <c r="H2448" s="9" t="s">
        <v>31</v>
      </c>
      <c r="I2448" s="4">
        <v>1</v>
      </c>
      <c r="J2448" s="4" t="str">
        <f>_xlfn.TEXTJOIN(" ", TRUE, H2448:H2461)</f>
        <v>(Right)
 I figured out how it's on it (Right this way)
 It goes (Right)
 My death (Right this way)
 Girl, I really don't think you should take that (Stop it)
 A little softer than I used to be (Right)
 Used to mouth off often with artillery
 Now it is cough drops and soft spots in a middle seat (Right this way)
 Chivalry
 A tighter space than I used to know (Right)
 Spread out wide no more, pinch my shoulders close
 Hoping they misplace my reservation (Right this way), okay, okay
 I thought you had it figured out
 I know, I know
 You said you made it to the top
 I lied, I lied
 So, tell us, how did you make out alright?
 Well
 I pull on my shirtsleeve to cover half of my hands
 Bring my arms closer to my body, get as small as I can
 They call it center mass, that part they aim for
 Shrink it down to nothing and forgetting what the pain's for
 I pull on my shirtsleeve (My shirtsleeve), to cover half of my face (Half of my face)
 Bring my arms closer to my body, get as small as they say (Small as they say)
 They call it center mass, that part they aim for (For-for-for-for-for-for)
 Right this way if you're frustrated (Right)
 Your first mate in the fifth grade tried to persuade
 Try it once, he was shown on the bus (Right this way)
 Chain's off my huff, anxious enough as it is (Right)
 Gotta walk, never looking up once at the kids in the park
 What a day, getting dark, what a day (Right this way)
 Okay, okay
 I thought you had it figured out(I thought you had it figured out)
 I know, I know
 You said you made it to the top (You said you made it to the top)
 I lied, I lied
 So, tell us, how did you make out alright?
 Well
 I pull on my shirtsleeve (My shirtsleeve), to cover half of my hands (Half of my hands)
 Bring my arms closer to my body, get as small as I can (Small as I can)
 They call it center mass, that part they aim for
 Shrink it down to nothing and forgetting what the pain's for
 I  pull on my shirtsleeve (My shirtsleeve), to cover half of my face (Half of my face)
 Bring my arms closer to my body, get as small as they say (Small as they say)
 They call it center mass, that part they aim for
 Shrink it down to nothing and forgetting what the pain's for
 That part they aim for
 Found out what I'm worth, I run to you
 I hope you understand this run-on sentence
 My tattoos only hurt when meaning fades
 I think my skin got worse with good intentions
 I don't want to say what happened, I just want to let it go
 Nothing was the same right after, I went to the funeral
 I miss you so, so much, take what you want
 Take what you want from me
 Took you for granted
 They call it center mass, that part they aim for
 That part they aim for
 That part they aim for
 That part they aim for</v>
      </c>
      <c r="K2448" s="4" t="str" cm="1">
        <f t="array" ref="K2448:K2989">_xlfn.TEXTSPLIT(J2448, ," ")</f>
        <v xml:space="preserve">(Right)
</v>
      </c>
      <c r="L2448" s="4" t="str">
        <f>_xlfn.REGEXREPLACE(K2448, "[^A-Za-z ]", " ")</f>
        <v xml:space="preserve"> Right  </v>
      </c>
      <c r="M2448" s="4" t="str" cm="1">
        <f t="array" ref="M2448:M2648">_xlfn.UNIQUE(_xlfn.TEXTSPLIT(J2448, , " "))</f>
        <v xml:space="preserve">(Right)
</v>
      </c>
      <c r="N2448" s="4" cm="1">
        <f t="array" ref="N2448">SUM(--(_xlfn.TEXTSPLIT($J$2448,, " ") = M2448))</f>
        <v>6</v>
      </c>
      <c r="O2448" s="4" cm="1">
        <f t="array" ref="O2448:O2989">_xlfn._xlws.SORT(N2448:N2989, ,-1)</f>
        <v>28</v>
      </c>
      <c r="P2448" s="4" t="str" cm="1">
        <f t="array" ref="P2448:Q2989">_xlfn.SORTBY(M2448:N2989, N2448:N2989, -1)</f>
        <v>I</v>
      </c>
      <c r="Q2448" s="4">
        <v>28</v>
      </c>
      <c r="R2448" s="4">
        <v>2989</v>
      </c>
    </row>
    <row r="2449" spans="5:17" x14ac:dyDescent="0.2">
      <c r="E2449" s="9" t="s">
        <v>30</v>
      </c>
      <c r="K2449" t="str">
        <v>I</v>
      </c>
      <c r="L2449" s="4" t="str">
        <f t="shared" ref="L2449:L2512" si="47">_xlfn.REGEXREPLACE(K2449, "[^A-Za-z ]", " ")</f>
        <v>I</v>
      </c>
      <c r="M2449" t="str">
        <v>I</v>
      </c>
      <c r="N2449" s="4" cm="1">
        <f t="array" ref="N2449">SUM(--(_xlfn.TEXTSPLIT($J$2448,, " ") = M2449))</f>
        <v>28</v>
      </c>
      <c r="O2449">
        <v>25</v>
      </c>
      <c r="P2449" t="str">
        <v>My</v>
      </c>
      <c r="Q2449">
        <v>25</v>
      </c>
    </row>
    <row r="2450" spans="5:17" x14ac:dyDescent="0.2">
      <c r="E2450" s="9" t="s">
        <v>30</v>
      </c>
      <c r="K2450" t="str">
        <v>figured</v>
      </c>
      <c r="L2450" s="4" t="str">
        <f t="shared" si="47"/>
        <v>figured</v>
      </c>
      <c r="M2450" t="str">
        <v>figured</v>
      </c>
      <c r="N2450" s="4" cm="1">
        <f t="array" ref="N2450">SUM(--(_xlfn.TEXTSPLIT($J$2448,, " ") = M2450))</f>
        <v>4</v>
      </c>
      <c r="O2450">
        <v>22</v>
      </c>
      <c r="P2450" t="str">
        <v>to</v>
      </c>
      <c r="Q2450">
        <v>22</v>
      </c>
    </row>
    <row r="2451" spans="5:17" x14ac:dyDescent="0.2">
      <c r="E2451" s="9" t="s">
        <v>30</v>
      </c>
      <c r="K2451" t="str">
        <v>out</v>
      </c>
      <c r="L2451" s="4" t="str">
        <f t="shared" si="47"/>
        <v>out</v>
      </c>
      <c r="M2451" t="str">
        <v>out</v>
      </c>
      <c r="N2451" s="4" cm="1">
        <f t="array" ref="N2451">SUM(--(_xlfn.TEXTSPLIT($J$2448,, " ") = M2451))</f>
        <v>5</v>
      </c>
      <c r="O2451">
        <v>20</v>
      </c>
      <c r="P2451" t="str">
        <v>it</v>
      </c>
      <c r="Q2451">
        <v>20</v>
      </c>
    </row>
    <row r="2452" spans="5:17" x14ac:dyDescent="0.2">
      <c r="E2452" s="9" t="s">
        <v>30</v>
      </c>
      <c r="K2452" t="str">
        <v>how</v>
      </c>
      <c r="L2452" s="4" t="str">
        <f t="shared" si="47"/>
        <v>how</v>
      </c>
      <c r="M2452" t="str">
        <v>how</v>
      </c>
      <c r="N2452" s="4" cm="1">
        <f t="array" ref="N2452">SUM(--(_xlfn.TEXTSPLIT($J$2448,, " ") = M2452))</f>
        <v>3</v>
      </c>
      <c r="O2452">
        <v>19</v>
      </c>
      <c r="P2452" t="str">
        <v>they</v>
      </c>
      <c r="Q2452">
        <v>19</v>
      </c>
    </row>
    <row r="2453" spans="5:17" x14ac:dyDescent="0.2">
      <c r="E2453" s="9" t="s">
        <v>30</v>
      </c>
      <c r="K2453" t="str">
        <v>it's</v>
      </c>
      <c r="L2453" s="4" t="str">
        <f t="shared" si="47"/>
        <v>it s</v>
      </c>
      <c r="M2453" t="str">
        <v>it's</v>
      </c>
      <c r="N2453" s="4" cm="1">
        <f t="array" ref="N2453">SUM(--(_xlfn.TEXTSPLIT($J$2448,, " ") = M2453))</f>
        <v>1</v>
      </c>
      <c r="O2453">
        <v>16</v>
      </c>
      <c r="P2453" t="str">
        <v>you</v>
      </c>
      <c r="Q2453">
        <v>16</v>
      </c>
    </row>
    <row r="2454" spans="5:17" x14ac:dyDescent="0.2">
      <c r="E2454" s="9" t="s">
        <v>30</v>
      </c>
      <c r="K2454" t="str">
        <v>on</v>
      </c>
      <c r="L2454" s="4" t="str">
        <f t="shared" si="47"/>
        <v>on</v>
      </c>
      <c r="M2454" t="str">
        <v>on</v>
      </c>
      <c r="N2454" s="4" cm="1">
        <f t="array" ref="N2454">SUM(--(_xlfn.TEXTSPLIT($J$2448,, " ") = M2454))</f>
        <v>6</v>
      </c>
      <c r="O2454">
        <v>12</v>
      </c>
      <c r="P2454" t="str">
        <v>the</v>
      </c>
      <c r="Q2454">
        <v>12</v>
      </c>
    </row>
    <row r="2455" spans="5:17" x14ac:dyDescent="0.2">
      <c r="E2455" s="9" t="s">
        <v>30</v>
      </c>
      <c r="K2455" t="str">
        <v>it</v>
      </c>
      <c r="L2455" s="4" t="str">
        <f t="shared" si="47"/>
        <v>it</v>
      </c>
      <c r="M2455" t="str">
        <v>it</v>
      </c>
      <c r="N2455" s="4" cm="1">
        <f t="array" ref="N2455">SUM(--(_xlfn.TEXTSPLIT($J$2448,, " ") = M2455))</f>
        <v>20</v>
      </c>
      <c r="O2455">
        <v>12</v>
      </c>
      <c r="P2455" t="str">
        <v>as</v>
      </c>
      <c r="Q2455">
        <v>12</v>
      </c>
    </row>
    <row r="2456" spans="5:17" x14ac:dyDescent="0.2">
      <c r="E2456" s="9" t="s">
        <v>30</v>
      </c>
      <c r="K2456" t="str">
        <v>(Right</v>
      </c>
      <c r="L2456" s="4" t="str">
        <f t="shared" si="47"/>
        <v xml:space="preserve"> Right</v>
      </c>
      <c r="M2456" t="str">
        <v>(Right</v>
      </c>
      <c r="N2456" s="4" cm="1">
        <f t="array" ref="N2456">SUM(--(_xlfn.TEXTSPLIT($J$2448,, " ") = M2456))</f>
        <v>6</v>
      </c>
      <c r="O2456">
        <v>10</v>
      </c>
      <c r="P2456" t="str">
        <v>that</v>
      </c>
      <c r="Q2456">
        <v>10</v>
      </c>
    </row>
    <row r="2457" spans="5:17" x14ac:dyDescent="0.2">
      <c r="E2457" s="9" t="s">
        <v>30</v>
      </c>
      <c r="K2457" t="str">
        <v>this</v>
      </c>
      <c r="L2457" s="4" t="str">
        <f t="shared" si="47"/>
        <v>this</v>
      </c>
      <c r="M2457" t="str">
        <v>this</v>
      </c>
      <c r="N2457" s="4" cm="1">
        <f t="array" ref="N2457">SUM(--(_xlfn.TEXTSPLIT($J$2448,, " ") = M2457))</f>
        <v>8</v>
      </c>
      <c r="O2457">
        <v>9</v>
      </c>
      <c r="P2457" t="str">
        <v>part</v>
      </c>
      <c r="Q2457">
        <v>9</v>
      </c>
    </row>
    <row r="2458" spans="5:17" x14ac:dyDescent="0.2">
      <c r="E2458" s="9" t="s">
        <v>30</v>
      </c>
      <c r="K2458" t="str">
        <v xml:space="preserve">way)
</v>
      </c>
      <c r="L2458" s="4" t="str">
        <f t="shared" si="47"/>
        <v xml:space="preserve">way  </v>
      </c>
      <c r="M2458" t="str">
        <v xml:space="preserve">way)
</v>
      </c>
      <c r="N2458" s="4" cm="1">
        <f t="array" ref="N2458">SUM(--(_xlfn.TEXTSPLIT($J$2448,, " ") = M2458))</f>
        <v>5</v>
      </c>
      <c r="O2458">
        <v>9</v>
      </c>
      <c r="P2458" t="str">
        <v>aim</v>
      </c>
      <c r="Q2458">
        <v>9</v>
      </c>
    </row>
    <row r="2459" spans="5:17" x14ac:dyDescent="0.2">
      <c r="E2459" s="9" t="s">
        <v>30</v>
      </c>
      <c r="K2459" t="str">
        <v>It</v>
      </c>
      <c r="L2459" s="4" t="str">
        <f t="shared" si="47"/>
        <v>It</v>
      </c>
      <c r="M2459" t="str">
        <v>goes</v>
      </c>
      <c r="N2459" s="4" cm="1">
        <f t="array" ref="N2459">SUM(--(_xlfn.TEXTSPLIT($J$2448,, " ") = M2459))</f>
        <v>1</v>
      </c>
      <c r="O2459">
        <v>9</v>
      </c>
      <c r="P2459" t="str">
        <v>what</v>
      </c>
      <c r="Q2459">
        <v>9</v>
      </c>
    </row>
    <row r="2460" spans="5:17" x14ac:dyDescent="0.2">
      <c r="E2460" s="9" t="s">
        <v>30</v>
      </c>
      <c r="K2460" t="str">
        <v>goes</v>
      </c>
      <c r="L2460" s="4" t="str">
        <f t="shared" si="47"/>
        <v>goes</v>
      </c>
      <c r="M2460" t="str">
        <v>My</v>
      </c>
      <c r="N2460" s="4" cm="1">
        <f t="array" ref="N2460">SUM(--(_xlfn.TEXTSPLIT($J$2448,, " ") = M2460))</f>
        <v>25</v>
      </c>
      <c r="O2460">
        <v>8</v>
      </c>
      <c r="P2460" t="str">
        <v>this</v>
      </c>
      <c r="Q2460">
        <v>8</v>
      </c>
    </row>
    <row r="2461" spans="5:17" x14ac:dyDescent="0.2">
      <c r="E2461" s="9" t="s">
        <v>30</v>
      </c>
      <c r="K2461" t="str">
        <v xml:space="preserve">(Right)
</v>
      </c>
      <c r="L2461" s="4" t="str">
        <f t="shared" si="47"/>
        <v xml:space="preserve"> Right  </v>
      </c>
      <c r="M2461" t="str">
        <v>death</v>
      </c>
      <c r="N2461" s="4" cm="1">
        <f t="array" ref="N2461">SUM(--(_xlfn.TEXTSPLIT($J$2448,, " ") = M2461))</f>
        <v>1</v>
      </c>
      <c r="O2461">
        <v>8</v>
      </c>
      <c r="P2461" t="str">
        <v xml:space="preserve">for
</v>
      </c>
      <c r="Q2461">
        <v>8</v>
      </c>
    </row>
    <row r="2462" spans="5:17" x14ac:dyDescent="0.2">
      <c r="E2462" s="9" t="s">
        <v>30</v>
      </c>
      <c r="K2462" t="str">
        <v>My</v>
      </c>
      <c r="L2462" s="4" t="str">
        <f t="shared" si="47"/>
        <v>My</v>
      </c>
      <c r="M2462" t="str">
        <v>Girl,</v>
      </c>
      <c r="N2462" s="4" cm="1">
        <f t="array" ref="N2462">SUM(--(_xlfn.TEXTSPLIT($J$2448,, " ") = M2462))</f>
        <v>1</v>
      </c>
      <c r="O2462">
        <v>7</v>
      </c>
      <c r="P2462" t="str">
        <v>of</v>
      </c>
      <c r="Q2462">
        <v>7</v>
      </c>
    </row>
    <row r="2463" spans="5:17" x14ac:dyDescent="0.2">
      <c r="E2463" s="9" t="s">
        <v>30</v>
      </c>
      <c r="K2463" t="str">
        <v>death</v>
      </c>
      <c r="L2463" s="4" t="str">
        <f t="shared" si="47"/>
        <v>death</v>
      </c>
      <c r="M2463" t="str">
        <v>really</v>
      </c>
      <c r="N2463" s="4" cm="1">
        <f t="array" ref="N2463">SUM(--(_xlfn.TEXTSPLIT($J$2448,, " ") = M2463))</f>
        <v>1</v>
      </c>
      <c r="O2463">
        <v>6</v>
      </c>
      <c r="P2463" t="str">
        <v xml:space="preserve">(Right)
</v>
      </c>
      <c r="Q2463">
        <v>6</v>
      </c>
    </row>
    <row r="2464" spans="5:17" x14ac:dyDescent="0.2">
      <c r="E2464" s="9" t="s">
        <v>30</v>
      </c>
      <c r="K2464" t="str">
        <v>(Right</v>
      </c>
      <c r="L2464" s="4" t="str">
        <f t="shared" si="47"/>
        <v xml:space="preserve"> Right</v>
      </c>
      <c r="M2464" t="str">
        <v>don't</v>
      </c>
      <c r="N2464" s="4" cm="1">
        <f t="array" ref="N2464">SUM(--(_xlfn.TEXTSPLIT($J$2448,, " ") = M2464))</f>
        <v>2</v>
      </c>
      <c r="O2464">
        <v>6</v>
      </c>
      <c r="P2464" t="str">
        <v>on</v>
      </c>
      <c r="Q2464">
        <v>6</v>
      </c>
    </row>
    <row r="2465" spans="5:17" x14ac:dyDescent="0.2">
      <c r="E2465" s="9" t="s">
        <v>30</v>
      </c>
      <c r="K2465" t="str">
        <v>this</v>
      </c>
      <c r="L2465" s="4" t="str">
        <f t="shared" si="47"/>
        <v>this</v>
      </c>
      <c r="M2465" t="str">
        <v>think</v>
      </c>
      <c r="N2465" s="4" cm="1">
        <f t="array" ref="N2465">SUM(--(_xlfn.TEXTSPLIT($J$2448,, " ") = M2465))</f>
        <v>2</v>
      </c>
      <c r="O2465">
        <v>6</v>
      </c>
      <c r="P2465" t="str">
        <v>(Right</v>
      </c>
      <c r="Q2465">
        <v>6</v>
      </c>
    </row>
    <row r="2466" spans="5:17" x14ac:dyDescent="0.2">
      <c r="E2466" s="9" t="s">
        <v>30</v>
      </c>
      <c r="K2466" t="str">
        <v xml:space="preserve">way)
</v>
      </c>
      <c r="L2466" s="4" t="str">
        <f t="shared" si="47"/>
        <v xml:space="preserve">way  </v>
      </c>
      <c r="M2466" t="str">
        <v>you</v>
      </c>
      <c r="N2466" s="4" cm="1">
        <f t="array" ref="N2466">SUM(--(_xlfn.TEXTSPLIT($J$2448,, " ") = M2466))</f>
        <v>16</v>
      </c>
      <c r="O2466">
        <v>5</v>
      </c>
      <c r="P2466" t="str">
        <v>out</v>
      </c>
      <c r="Q2466">
        <v>5</v>
      </c>
    </row>
    <row r="2467" spans="5:17" x14ac:dyDescent="0.2">
      <c r="E2467" s="9" t="s">
        <v>30</v>
      </c>
      <c r="K2467" t="str">
        <v>Girl,</v>
      </c>
      <c r="L2467" s="4" t="str">
        <f t="shared" si="47"/>
        <v xml:space="preserve">Girl </v>
      </c>
      <c r="M2467" t="str">
        <v>should</v>
      </c>
      <c r="N2467" s="4" cm="1">
        <f t="array" ref="N2467">SUM(--(_xlfn.TEXTSPLIT($J$2448,, " ") = M2467))</f>
        <v>1</v>
      </c>
      <c r="O2467">
        <v>5</v>
      </c>
      <c r="P2467" t="str">
        <v xml:space="preserve">way)
</v>
      </c>
      <c r="Q2467">
        <v>5</v>
      </c>
    </row>
    <row r="2468" spans="5:17" x14ac:dyDescent="0.2">
      <c r="E2468" s="9" t="s">
        <v>30</v>
      </c>
      <c r="K2468" t="str">
        <v>I</v>
      </c>
      <c r="L2468" s="4" t="str">
        <f t="shared" si="47"/>
        <v>I</v>
      </c>
      <c r="M2468" t="str">
        <v>take</v>
      </c>
      <c r="N2468" s="4" cm="1">
        <f t="array" ref="N2468">SUM(--(_xlfn.TEXTSPLIT($J$2448,, " ") = M2468))</f>
        <v>3</v>
      </c>
      <c r="O2468">
        <v>5</v>
      </c>
      <c r="P2468" t="str">
        <v>A</v>
      </c>
      <c r="Q2468">
        <v>5</v>
      </c>
    </row>
    <row r="2469" spans="5:17" x14ac:dyDescent="0.2">
      <c r="E2469" s="9" t="s">
        <v>30</v>
      </c>
      <c r="K2469" t="str">
        <v>really</v>
      </c>
      <c r="L2469" s="4" t="str">
        <f t="shared" si="47"/>
        <v>really</v>
      </c>
      <c r="M2469" t="str">
        <v>that</v>
      </c>
      <c r="N2469" s="4" cm="1">
        <f t="array" ref="N2469">SUM(--(_xlfn.TEXTSPLIT($J$2448,, " ") = M2469))</f>
        <v>10</v>
      </c>
      <c r="O2469">
        <v>5</v>
      </c>
      <c r="P2469" t="str">
        <v>call</v>
      </c>
      <c r="Q2469">
        <v>5</v>
      </c>
    </row>
    <row r="2470" spans="5:17" x14ac:dyDescent="0.2">
      <c r="E2470" s="9" t="s">
        <v>30</v>
      </c>
      <c r="K2470" t="str">
        <v>don't</v>
      </c>
      <c r="L2470" s="4" t="str">
        <f t="shared" si="47"/>
        <v>don t</v>
      </c>
      <c r="M2470" t="str">
        <v>(Stop</v>
      </c>
      <c r="N2470" s="4" cm="1">
        <f t="array" ref="N2470">SUM(--(_xlfn.TEXTSPLIT($J$2448,, " ") = M2470))</f>
        <v>1</v>
      </c>
      <c r="O2470">
        <v>5</v>
      </c>
      <c r="P2470" t="str">
        <v>center</v>
      </c>
      <c r="Q2470">
        <v>5</v>
      </c>
    </row>
    <row r="2471" spans="5:17" x14ac:dyDescent="0.2">
      <c r="E2471" s="9" t="s">
        <v>30</v>
      </c>
      <c r="K2471" t="str">
        <v>think</v>
      </c>
      <c r="L2471" s="4" t="str">
        <f t="shared" si="47"/>
        <v>think</v>
      </c>
      <c r="M2471" t="str">
        <v xml:space="preserve">it)
</v>
      </c>
      <c r="N2471" s="4" cm="1">
        <f t="array" ref="N2471">SUM(--(_xlfn.TEXTSPLIT($J$2448,, " ") = M2471))</f>
        <v>1</v>
      </c>
      <c r="O2471">
        <v>5</v>
      </c>
      <c r="P2471" t="str">
        <v>mass,</v>
      </c>
      <c r="Q2471">
        <v>5</v>
      </c>
    </row>
    <row r="2472" spans="5:17" x14ac:dyDescent="0.2">
      <c r="E2472" s="9" t="s">
        <v>30</v>
      </c>
      <c r="K2472" t="str">
        <v>you</v>
      </c>
      <c r="L2472" s="4" t="str">
        <f t="shared" si="47"/>
        <v>you</v>
      </c>
      <c r="M2472" t="str">
        <v>A</v>
      </c>
      <c r="N2472" s="4" cm="1">
        <f t="array" ref="N2472">SUM(--(_xlfn.TEXTSPLIT($J$2448,, " ") = M2472))</f>
        <v>5</v>
      </c>
      <c r="O2472">
        <v>4</v>
      </c>
      <c r="P2472" t="str">
        <v>figured</v>
      </c>
      <c r="Q2472">
        <v>4</v>
      </c>
    </row>
    <row r="2473" spans="5:17" x14ac:dyDescent="0.2">
      <c r="E2473" s="9" t="s">
        <v>30</v>
      </c>
      <c r="K2473" t="str">
        <v>should</v>
      </c>
      <c r="L2473" s="4" t="str">
        <f t="shared" si="47"/>
        <v>should</v>
      </c>
      <c r="M2473" t="str">
        <v>little</v>
      </c>
      <c r="N2473" s="4" cm="1">
        <f t="array" ref="N2473">SUM(--(_xlfn.TEXTSPLIT($J$2448,, " ") = M2473))</f>
        <v>1</v>
      </c>
      <c r="O2473">
        <v>4</v>
      </c>
      <c r="P2473" t="str">
        <v>and</v>
      </c>
      <c r="Q2473">
        <v>4</v>
      </c>
    </row>
    <row r="2474" spans="5:17" x14ac:dyDescent="0.2">
      <c r="E2474" s="9" t="s">
        <v>30</v>
      </c>
      <c r="K2474" t="str">
        <v>take</v>
      </c>
      <c r="L2474" s="4" t="str">
        <f t="shared" si="47"/>
        <v>take</v>
      </c>
      <c r="M2474" t="str">
        <v>softer</v>
      </c>
      <c r="N2474" s="4" cm="1">
        <f t="array" ref="N2474">SUM(--(_xlfn.TEXTSPLIT($J$2448,, " ") = M2474))</f>
        <v>1</v>
      </c>
      <c r="O2474">
        <v>4</v>
      </c>
      <c r="P2474" t="str">
        <v>pull</v>
      </c>
      <c r="Q2474">
        <v>4</v>
      </c>
    </row>
    <row r="2475" spans="5:17" x14ac:dyDescent="0.2">
      <c r="E2475" s="9" t="s">
        <v>30</v>
      </c>
      <c r="K2475" t="str">
        <v>that</v>
      </c>
      <c r="L2475" s="4" t="str">
        <f t="shared" si="47"/>
        <v>that</v>
      </c>
      <c r="M2475" t="str">
        <v>than</v>
      </c>
      <c r="N2475" s="4" cm="1">
        <f t="array" ref="N2475">SUM(--(_xlfn.TEXTSPLIT($J$2448,, " ") = M2475))</f>
        <v>2</v>
      </c>
      <c r="O2475">
        <v>4</v>
      </c>
      <c r="P2475" t="str">
        <v>shirtsleeve</v>
      </c>
      <c r="Q2475">
        <v>4</v>
      </c>
    </row>
    <row r="2476" spans="5:17" x14ac:dyDescent="0.2">
      <c r="E2476" s="9" t="s">
        <v>30</v>
      </c>
      <c r="K2476" t="str">
        <v>(Stop</v>
      </c>
      <c r="L2476" s="4" t="str">
        <f t="shared" si="47"/>
        <v xml:space="preserve"> Stop</v>
      </c>
      <c r="M2476" t="str">
        <v>used</v>
      </c>
      <c r="N2476" s="4" cm="1">
        <f t="array" ref="N2476">SUM(--(_xlfn.TEXTSPLIT($J$2448,, " ") = M2476))</f>
        <v>3</v>
      </c>
      <c r="O2476">
        <v>4</v>
      </c>
      <c r="P2476" t="str">
        <v>cover</v>
      </c>
      <c r="Q2476">
        <v>4</v>
      </c>
    </row>
    <row r="2477" spans="5:17" x14ac:dyDescent="0.2">
      <c r="E2477" s="9" t="s">
        <v>30</v>
      </c>
      <c r="K2477" t="str">
        <v xml:space="preserve">it)
</v>
      </c>
      <c r="L2477" s="4" t="str">
        <f t="shared" si="47"/>
        <v xml:space="preserve">it   </v>
      </c>
      <c r="M2477" t="str">
        <v>to</v>
      </c>
      <c r="N2477" s="4" cm="1">
        <f t="array" ref="N2477">SUM(--(_xlfn.TEXTSPLIT($J$2448,, " ") = M2477))</f>
        <v>22</v>
      </c>
      <c r="O2477">
        <v>4</v>
      </c>
      <c r="P2477" t="str">
        <v>half</v>
      </c>
      <c r="Q2477">
        <v>4</v>
      </c>
    </row>
    <row r="2478" spans="5:17" x14ac:dyDescent="0.2">
      <c r="E2478" s="9" t="s">
        <v>30</v>
      </c>
      <c r="K2478" t="str">
        <v>A</v>
      </c>
      <c r="L2478" s="4" t="str">
        <f t="shared" si="47"/>
        <v>A</v>
      </c>
      <c r="M2478" t="str">
        <v>be</v>
      </c>
      <c r="N2478" s="4" cm="1">
        <f t="array" ref="N2478">SUM(--(_xlfn.TEXTSPLIT($J$2448,, " ") = M2478))</f>
        <v>1</v>
      </c>
      <c r="O2478">
        <v>4</v>
      </c>
      <c r="P2478" t="str">
        <v>Bring</v>
      </c>
      <c r="Q2478">
        <v>4</v>
      </c>
    </row>
    <row r="2479" spans="5:17" x14ac:dyDescent="0.2">
      <c r="E2479" s="9" t="s">
        <v>30</v>
      </c>
      <c r="K2479" t="str">
        <v>little</v>
      </c>
      <c r="L2479" s="4" t="str">
        <f t="shared" si="47"/>
        <v>little</v>
      </c>
      <c r="M2479" t="str">
        <v>mouth</v>
      </c>
      <c r="N2479" s="4" cm="1">
        <f t="array" ref="N2479">SUM(--(_xlfn.TEXTSPLIT($J$2448,, " ") = M2479))</f>
        <v>1</v>
      </c>
      <c r="O2479">
        <v>4</v>
      </c>
      <c r="P2479" t="str">
        <v>arms</v>
      </c>
      <c r="Q2479">
        <v>4</v>
      </c>
    </row>
    <row r="2480" spans="5:17" x14ac:dyDescent="0.2">
      <c r="E2480" s="9" t="s">
        <v>30</v>
      </c>
      <c r="K2480" t="str">
        <v>softer</v>
      </c>
      <c r="L2480" s="4" t="str">
        <f t="shared" si="47"/>
        <v>softer</v>
      </c>
      <c r="M2480" t="str">
        <v>off</v>
      </c>
      <c r="N2480" s="4" cm="1">
        <f t="array" ref="N2480">SUM(--(_xlfn.TEXTSPLIT($J$2448,, " ") = M2480))</f>
        <v>2</v>
      </c>
      <c r="O2480">
        <v>4</v>
      </c>
      <c r="P2480" t="str">
        <v>closer</v>
      </c>
      <c r="Q2480">
        <v>4</v>
      </c>
    </row>
    <row r="2481" spans="5:17" x14ac:dyDescent="0.2">
      <c r="E2481" s="9" t="s">
        <v>30</v>
      </c>
      <c r="K2481" t="str">
        <v>than</v>
      </c>
      <c r="L2481" s="4" t="str">
        <f t="shared" si="47"/>
        <v>than</v>
      </c>
      <c r="M2481" t="str">
        <v>often</v>
      </c>
      <c r="N2481" s="4" cm="1">
        <f t="array" ref="N2481">SUM(--(_xlfn.TEXTSPLIT($J$2448,, " ") = M2481))</f>
        <v>1</v>
      </c>
      <c r="O2481">
        <v>4</v>
      </c>
      <c r="P2481" t="str">
        <v>body,</v>
      </c>
      <c r="Q2481">
        <v>4</v>
      </c>
    </row>
    <row r="2482" spans="5:17" x14ac:dyDescent="0.2">
      <c r="E2482" s="9" t="s">
        <v>30</v>
      </c>
      <c r="K2482" t="str">
        <v>I</v>
      </c>
      <c r="L2482" s="4" t="str">
        <f t="shared" si="47"/>
        <v>I</v>
      </c>
      <c r="M2482" t="str">
        <v>with</v>
      </c>
      <c r="N2482" s="4" cm="1">
        <f t="array" ref="N2482">SUM(--(_xlfn.TEXTSPLIT($J$2448,, " ") = M2482))</f>
        <v>2</v>
      </c>
      <c r="O2482">
        <v>4</v>
      </c>
      <c r="P2482" t="str">
        <v>get</v>
      </c>
      <c r="Q2482">
        <v>4</v>
      </c>
    </row>
    <row r="2483" spans="5:17" x14ac:dyDescent="0.2">
      <c r="E2483" s="9" t="s">
        <v>30</v>
      </c>
      <c r="K2483" t="str">
        <v>used</v>
      </c>
      <c r="L2483" s="4" t="str">
        <f t="shared" si="47"/>
        <v>used</v>
      </c>
      <c r="M2483" t="str">
        <v xml:space="preserve">artillery
</v>
      </c>
      <c r="N2483" s="4" cm="1">
        <f t="array" ref="N2483">SUM(--(_xlfn.TEXTSPLIT($J$2448,, " ") = M2483))</f>
        <v>1</v>
      </c>
      <c r="O2483">
        <v>4</v>
      </c>
      <c r="P2483" t="str">
        <v>small</v>
      </c>
      <c r="Q2483">
        <v>4</v>
      </c>
    </row>
    <row r="2484" spans="5:17" x14ac:dyDescent="0.2">
      <c r="E2484" s="9" t="s">
        <v>30</v>
      </c>
      <c r="K2484" t="str">
        <v>to</v>
      </c>
      <c r="L2484" s="4" t="str">
        <f t="shared" si="47"/>
        <v>to</v>
      </c>
      <c r="M2484" t="str">
        <v>Now</v>
      </c>
      <c r="N2484" s="4" cm="1">
        <f t="array" ref="N2484">SUM(--(_xlfn.TEXTSPLIT($J$2448,, " ") = M2484))</f>
        <v>1</v>
      </c>
      <c r="O2484">
        <v>4</v>
      </c>
      <c r="P2484" t="str">
        <v>nothing</v>
      </c>
      <c r="Q2484">
        <v>4</v>
      </c>
    </row>
    <row r="2485" spans="5:17" x14ac:dyDescent="0.2">
      <c r="E2485" s="9" t="s">
        <v>30</v>
      </c>
      <c r="K2485" t="str">
        <v>be</v>
      </c>
      <c r="L2485" s="4" t="str">
        <f t="shared" si="47"/>
        <v>be</v>
      </c>
      <c r="M2485" t="str">
        <v>is</v>
      </c>
      <c r="N2485" s="4" cm="1">
        <f t="array" ref="N2485">SUM(--(_xlfn.TEXTSPLIT($J$2448,, " ") = M2485))</f>
        <v>2</v>
      </c>
      <c r="O2485">
        <v>3</v>
      </c>
      <c r="P2485" t="str">
        <v>how</v>
      </c>
      <c r="Q2485">
        <v>3</v>
      </c>
    </row>
    <row r="2486" spans="5:17" x14ac:dyDescent="0.2">
      <c r="E2486" s="9" t="s">
        <v>30</v>
      </c>
      <c r="K2486" t="str">
        <v xml:space="preserve">(Right)
</v>
      </c>
      <c r="L2486" s="4" t="str">
        <f t="shared" si="47"/>
        <v xml:space="preserve"> Right  </v>
      </c>
      <c r="M2486" t="str">
        <v>cough</v>
      </c>
      <c r="N2486" s="4" cm="1">
        <f t="array" ref="N2486">SUM(--(_xlfn.TEXTSPLIT($J$2448,, " ") = M2486))</f>
        <v>1</v>
      </c>
      <c r="O2486">
        <v>3</v>
      </c>
      <c r="P2486" t="str">
        <v>take</v>
      </c>
      <c r="Q2486">
        <v>3</v>
      </c>
    </row>
    <row r="2487" spans="5:17" x14ac:dyDescent="0.2">
      <c r="E2487" s="9" t="s">
        <v>30</v>
      </c>
      <c r="K2487" t="str">
        <v>Used</v>
      </c>
      <c r="L2487" s="4" t="str">
        <f t="shared" si="47"/>
        <v>Used</v>
      </c>
      <c r="M2487" t="str">
        <v>drops</v>
      </c>
      <c r="N2487" s="4" cm="1">
        <f t="array" ref="N2487">SUM(--(_xlfn.TEXTSPLIT($J$2448,, " ") = M2487))</f>
        <v>1</v>
      </c>
      <c r="O2487">
        <v>3</v>
      </c>
      <c r="P2487" t="str">
        <v>used</v>
      </c>
      <c r="Q2487">
        <v>3</v>
      </c>
    </row>
    <row r="2488" spans="5:17" x14ac:dyDescent="0.2">
      <c r="E2488" s="9" t="s">
        <v>30</v>
      </c>
      <c r="K2488" t="str">
        <v>to</v>
      </c>
      <c r="L2488" s="4" t="str">
        <f t="shared" si="47"/>
        <v>to</v>
      </c>
      <c r="M2488" t="str">
        <v>and</v>
      </c>
      <c r="N2488" s="4" cm="1">
        <f t="array" ref="N2488">SUM(--(_xlfn.TEXTSPLIT($J$2448,, " ") = M2488))</f>
        <v>4</v>
      </c>
      <c r="O2488">
        <v>3</v>
      </c>
      <c r="P2488" t="str">
        <v>in</v>
      </c>
      <c r="Q2488">
        <v>3</v>
      </c>
    </row>
    <row r="2489" spans="5:17" x14ac:dyDescent="0.2">
      <c r="E2489" s="9" t="s">
        <v>30</v>
      </c>
      <c r="K2489" t="str">
        <v>mouth</v>
      </c>
      <c r="L2489" s="4" t="str">
        <f t="shared" si="47"/>
        <v>mouth</v>
      </c>
      <c r="M2489" t="str">
        <v>soft</v>
      </c>
      <c r="N2489" s="4" cm="1">
        <f t="array" ref="N2489">SUM(--(_xlfn.TEXTSPLIT($J$2448,, " ") = M2489))</f>
        <v>1</v>
      </c>
      <c r="O2489">
        <v>3</v>
      </c>
      <c r="P2489" t="str">
        <v>thought</v>
      </c>
      <c r="Q2489">
        <v>3</v>
      </c>
    </row>
    <row r="2490" spans="5:17" x14ac:dyDescent="0.2">
      <c r="E2490" s="9" t="s">
        <v>30</v>
      </c>
      <c r="K2490" t="str">
        <v>off</v>
      </c>
      <c r="L2490" s="4" t="str">
        <f t="shared" si="47"/>
        <v>off</v>
      </c>
      <c r="M2490" t="str">
        <v>spots</v>
      </c>
      <c r="N2490" s="4" cm="1">
        <f t="array" ref="N2490">SUM(--(_xlfn.TEXTSPLIT($J$2448,, " ") = M2490))</f>
        <v>1</v>
      </c>
      <c r="O2490">
        <v>3</v>
      </c>
      <c r="P2490" t="str">
        <v>had</v>
      </c>
      <c r="Q2490">
        <v>3</v>
      </c>
    </row>
    <row r="2491" spans="5:17" x14ac:dyDescent="0.2">
      <c r="E2491" s="9" t="s">
        <v>30</v>
      </c>
      <c r="K2491" t="str">
        <v>often</v>
      </c>
      <c r="L2491" s="4" t="str">
        <f t="shared" si="47"/>
        <v>often</v>
      </c>
      <c r="M2491" t="str">
        <v>in</v>
      </c>
      <c r="N2491" s="4" cm="1">
        <f t="array" ref="N2491">SUM(--(_xlfn.TEXTSPLIT($J$2448,, " ") = M2491))</f>
        <v>3</v>
      </c>
      <c r="O2491">
        <v>3</v>
      </c>
      <c r="P2491" t="str">
        <v>said</v>
      </c>
      <c r="Q2491">
        <v>3</v>
      </c>
    </row>
    <row r="2492" spans="5:17" x14ac:dyDescent="0.2">
      <c r="E2492" s="9" t="s">
        <v>30</v>
      </c>
      <c r="K2492" t="str">
        <v>with</v>
      </c>
      <c r="L2492" s="4" t="str">
        <f t="shared" si="47"/>
        <v>with</v>
      </c>
      <c r="M2492" t="str">
        <v>middle</v>
      </c>
      <c r="N2492" s="4" cm="1">
        <f t="array" ref="N2492">SUM(--(_xlfn.TEXTSPLIT($J$2448,, " ") = M2492))</f>
        <v>1</v>
      </c>
      <c r="O2492">
        <v>3</v>
      </c>
      <c r="P2492" t="str">
        <v>made</v>
      </c>
      <c r="Q2492">
        <v>3</v>
      </c>
    </row>
    <row r="2493" spans="5:17" x14ac:dyDescent="0.2">
      <c r="E2493" s="9" t="s">
        <v>30</v>
      </c>
      <c r="K2493" t="str">
        <v xml:space="preserve">artillery
</v>
      </c>
      <c r="L2493" s="4" t="str">
        <f t="shared" si="47"/>
        <v xml:space="preserve">artillery </v>
      </c>
      <c r="M2493" t="str">
        <v>seat</v>
      </c>
      <c r="N2493" s="4" cm="1">
        <f t="array" ref="N2493">SUM(--(_xlfn.TEXTSPLIT($J$2448,, " ") = M2493))</f>
        <v>1</v>
      </c>
      <c r="O2493">
        <v>3</v>
      </c>
      <c r="P2493" t="str">
        <v>So,</v>
      </c>
      <c r="Q2493">
        <v>3</v>
      </c>
    </row>
    <row r="2494" spans="5:17" x14ac:dyDescent="0.2">
      <c r="E2494" s="9" t="s">
        <v>30</v>
      </c>
      <c r="K2494" t="str">
        <v>Now</v>
      </c>
      <c r="L2494" s="4" t="str">
        <f t="shared" si="47"/>
        <v>Now</v>
      </c>
      <c r="M2494" t="str">
        <v xml:space="preserve">Chivalry
</v>
      </c>
      <c r="N2494" s="4" cm="1">
        <f t="array" ref="N2494">SUM(--(_xlfn.TEXTSPLIT($J$2448,, " ") = M2494))</f>
        <v>1</v>
      </c>
      <c r="O2494">
        <v>3</v>
      </c>
      <c r="P2494" t="str">
        <v>Shrink</v>
      </c>
      <c r="Q2494">
        <v>3</v>
      </c>
    </row>
    <row r="2495" spans="5:17" x14ac:dyDescent="0.2">
      <c r="E2495" s="9" t="s">
        <v>30</v>
      </c>
      <c r="K2495" t="str">
        <v>it</v>
      </c>
      <c r="L2495" s="4" t="str">
        <f t="shared" si="47"/>
        <v>it</v>
      </c>
      <c r="M2495" t="str">
        <v>tighter</v>
      </c>
      <c r="N2495" s="4" cm="1">
        <f t="array" ref="N2495">SUM(--(_xlfn.TEXTSPLIT($J$2448,, " ") = M2495))</f>
        <v>1</v>
      </c>
      <c r="O2495">
        <v>3</v>
      </c>
      <c r="P2495" t="str">
        <v>down</v>
      </c>
      <c r="Q2495">
        <v>3</v>
      </c>
    </row>
    <row r="2496" spans="5:17" x14ac:dyDescent="0.2">
      <c r="E2496" s="9" t="s">
        <v>30</v>
      </c>
      <c r="K2496" t="str">
        <v>is</v>
      </c>
      <c r="L2496" s="4" t="str">
        <f t="shared" si="47"/>
        <v>is</v>
      </c>
      <c r="M2496" t="str">
        <v>space</v>
      </c>
      <c r="N2496" s="4" cm="1">
        <f t="array" ref="N2496">SUM(--(_xlfn.TEXTSPLIT($J$2448,, " ") = M2496))</f>
        <v>1</v>
      </c>
      <c r="O2496">
        <v>3</v>
      </c>
      <c r="P2496" t="str">
        <v>forgetting</v>
      </c>
      <c r="Q2496">
        <v>3</v>
      </c>
    </row>
    <row r="2497" spans="5:17" x14ac:dyDescent="0.2">
      <c r="E2497" s="9" t="s">
        <v>30</v>
      </c>
      <c r="K2497" t="str">
        <v>cough</v>
      </c>
      <c r="L2497" s="4" t="str">
        <f t="shared" si="47"/>
        <v>cough</v>
      </c>
      <c r="M2497" t="str">
        <v>know</v>
      </c>
      <c r="N2497" s="4" cm="1">
        <f t="array" ref="N2497">SUM(--(_xlfn.TEXTSPLIT($J$2448,, " ") = M2497))</f>
        <v>1</v>
      </c>
      <c r="O2497">
        <v>3</v>
      </c>
      <c r="P2497" t="str">
        <v>pain's</v>
      </c>
      <c r="Q2497">
        <v>3</v>
      </c>
    </row>
    <row r="2498" spans="5:17" x14ac:dyDescent="0.2">
      <c r="E2498" s="9" t="s">
        <v>30</v>
      </c>
      <c r="K2498" t="str">
        <v>drops</v>
      </c>
      <c r="L2498" s="4" t="str">
        <f t="shared" si="47"/>
        <v>drops</v>
      </c>
      <c r="M2498" t="str">
        <v>Spread</v>
      </c>
      <c r="N2498" s="4" cm="1">
        <f t="array" ref="N2498">SUM(--(_xlfn.TEXTSPLIT($J$2448,, " ") = M2498))</f>
        <v>1</v>
      </c>
      <c r="O2498">
        <v>3</v>
      </c>
      <c r="P2498" t="str">
        <v>(My</v>
      </c>
      <c r="Q2498">
        <v>3</v>
      </c>
    </row>
    <row r="2499" spans="5:17" x14ac:dyDescent="0.2">
      <c r="E2499" s="9" t="s">
        <v>30</v>
      </c>
      <c r="K2499" t="str">
        <v>and</v>
      </c>
      <c r="L2499" s="4" t="str">
        <f t="shared" si="47"/>
        <v>and</v>
      </c>
      <c r="M2499" t="str">
        <v>wide</v>
      </c>
      <c r="N2499" s="4" cm="1">
        <f t="array" ref="N2499">SUM(--(_xlfn.TEXTSPLIT($J$2448,, " ") = M2499))</f>
        <v>1</v>
      </c>
      <c r="O2499">
        <v>3</v>
      </c>
      <c r="P2499" t="str">
        <v>shirtsleeve),</v>
      </c>
      <c r="Q2499">
        <v>3</v>
      </c>
    </row>
    <row r="2500" spans="5:17" x14ac:dyDescent="0.2">
      <c r="E2500" s="9" t="s">
        <v>30</v>
      </c>
      <c r="K2500" t="str">
        <v>soft</v>
      </c>
      <c r="L2500" s="4" t="str">
        <f t="shared" si="47"/>
        <v>soft</v>
      </c>
      <c r="M2500" t="str">
        <v>no</v>
      </c>
      <c r="N2500" s="4" cm="1">
        <f t="array" ref="N2500">SUM(--(_xlfn.TEXTSPLIT($J$2448,, " ") = M2500))</f>
        <v>1</v>
      </c>
      <c r="O2500">
        <v>3</v>
      </c>
      <c r="P2500" t="str">
        <v>(Half</v>
      </c>
      <c r="Q2500">
        <v>3</v>
      </c>
    </row>
    <row r="2501" spans="5:17" x14ac:dyDescent="0.2">
      <c r="E2501" s="9" t="s">
        <v>30</v>
      </c>
      <c r="K2501" t="str">
        <v>spots</v>
      </c>
      <c r="L2501" s="4" t="str">
        <f t="shared" si="47"/>
        <v>spots</v>
      </c>
      <c r="M2501" t="str">
        <v>more,</v>
      </c>
      <c r="N2501" s="4" cm="1">
        <f t="array" ref="N2501">SUM(--(_xlfn.TEXTSPLIT($J$2448,, " ") = M2501))</f>
        <v>1</v>
      </c>
      <c r="O2501">
        <v>3</v>
      </c>
      <c r="P2501" t="str">
        <v>say</v>
      </c>
      <c r="Q2501">
        <v>3</v>
      </c>
    </row>
    <row r="2502" spans="5:17" x14ac:dyDescent="0.2">
      <c r="E2502" s="9" t="s">
        <v>30</v>
      </c>
      <c r="K2502" t="str">
        <v>in</v>
      </c>
      <c r="L2502" s="4" t="str">
        <f t="shared" si="47"/>
        <v>in</v>
      </c>
      <c r="M2502" t="str">
        <v>pinch</v>
      </c>
      <c r="N2502" s="4" cm="1">
        <f t="array" ref="N2502">SUM(--(_xlfn.TEXTSPLIT($J$2448,, " ") = M2502))</f>
        <v>1</v>
      </c>
      <c r="O2502">
        <v>3</v>
      </c>
      <c r="P2502" t="str">
        <v>(Small</v>
      </c>
      <c r="Q2502">
        <v>3</v>
      </c>
    </row>
    <row r="2503" spans="5:17" x14ac:dyDescent="0.2">
      <c r="E2503" s="9" t="s">
        <v>30</v>
      </c>
      <c r="K2503" t="str">
        <v>a</v>
      </c>
      <c r="L2503" s="4" t="str">
        <f t="shared" si="47"/>
        <v>a</v>
      </c>
      <c r="M2503" t="str">
        <v>shoulders</v>
      </c>
      <c r="N2503" s="4" cm="1">
        <f t="array" ref="N2503">SUM(--(_xlfn.TEXTSPLIT($J$2448,, " ") = M2503))</f>
        <v>1</v>
      </c>
      <c r="O2503">
        <v>3</v>
      </c>
      <c r="P2503" t="str">
        <v>for</v>
      </c>
      <c r="Q2503">
        <v>3</v>
      </c>
    </row>
    <row r="2504" spans="5:17" x14ac:dyDescent="0.2">
      <c r="E2504" s="9" t="s">
        <v>30</v>
      </c>
      <c r="K2504" t="str">
        <v>middle</v>
      </c>
      <c r="L2504" s="4" t="str">
        <f t="shared" si="47"/>
        <v>middle</v>
      </c>
      <c r="M2504" t="str">
        <v xml:space="preserve">close
</v>
      </c>
      <c r="N2504" s="4" cm="1">
        <f t="array" ref="N2504">SUM(--(_xlfn.TEXTSPLIT($J$2448,, " ") = M2504))</f>
        <v>1</v>
      </c>
      <c r="O2504">
        <v>3</v>
      </c>
      <c r="P2504" t="str">
        <v>want</v>
      </c>
      <c r="Q2504">
        <v>3</v>
      </c>
    </row>
    <row r="2505" spans="5:17" x14ac:dyDescent="0.2">
      <c r="E2505" s="9" t="s">
        <v>30</v>
      </c>
      <c r="K2505" t="str">
        <v>seat</v>
      </c>
      <c r="L2505" s="4" t="str">
        <f t="shared" si="47"/>
        <v>seat</v>
      </c>
      <c r="M2505" t="str">
        <v>Hoping</v>
      </c>
      <c r="N2505" s="4" cm="1">
        <f t="array" ref="N2505">SUM(--(_xlfn.TEXTSPLIT($J$2448,, " ") = M2505))</f>
        <v>1</v>
      </c>
      <c r="O2505">
        <v>2</v>
      </c>
      <c r="P2505" t="str">
        <v>don't</v>
      </c>
      <c r="Q2505">
        <v>2</v>
      </c>
    </row>
    <row r="2506" spans="5:17" x14ac:dyDescent="0.2">
      <c r="E2506" s="9" t="s">
        <v>30</v>
      </c>
      <c r="K2506" t="str">
        <v>(Right</v>
      </c>
      <c r="L2506" s="4" t="str">
        <f t="shared" si="47"/>
        <v xml:space="preserve"> Right</v>
      </c>
      <c r="M2506" t="str">
        <v>they</v>
      </c>
      <c r="N2506" s="4" cm="1">
        <f t="array" ref="N2506">SUM(--(_xlfn.TEXTSPLIT($J$2448,, " ") = M2506))</f>
        <v>19</v>
      </c>
      <c r="O2506">
        <v>2</v>
      </c>
      <c r="P2506" t="str">
        <v>think</v>
      </c>
      <c r="Q2506">
        <v>2</v>
      </c>
    </row>
    <row r="2507" spans="5:17" x14ac:dyDescent="0.2">
      <c r="E2507" s="9" t="s">
        <v>30</v>
      </c>
      <c r="K2507" t="str">
        <v>this</v>
      </c>
      <c r="L2507" s="4" t="str">
        <f t="shared" si="47"/>
        <v>this</v>
      </c>
      <c r="M2507" t="str">
        <v>misplace</v>
      </c>
      <c r="N2507" s="4" cm="1">
        <f t="array" ref="N2507">SUM(--(_xlfn.TEXTSPLIT($J$2448,, " ") = M2507))</f>
        <v>1</v>
      </c>
      <c r="O2507">
        <v>2</v>
      </c>
      <c r="P2507" t="str">
        <v>than</v>
      </c>
      <c r="Q2507">
        <v>2</v>
      </c>
    </row>
    <row r="2508" spans="5:17" x14ac:dyDescent="0.2">
      <c r="E2508" s="9" t="s">
        <v>30</v>
      </c>
      <c r="K2508" t="str">
        <v xml:space="preserve">way)
</v>
      </c>
      <c r="L2508" s="4" t="str">
        <f t="shared" si="47"/>
        <v xml:space="preserve">way  </v>
      </c>
      <c r="M2508" t="str">
        <v>reservation</v>
      </c>
      <c r="N2508" s="4" cm="1">
        <f t="array" ref="N2508">SUM(--(_xlfn.TEXTSPLIT($J$2448,, " ") = M2508))</f>
        <v>1</v>
      </c>
      <c r="O2508">
        <v>2</v>
      </c>
      <c r="P2508" t="str">
        <v>off</v>
      </c>
      <c r="Q2508">
        <v>2</v>
      </c>
    </row>
    <row r="2509" spans="5:17" x14ac:dyDescent="0.2">
      <c r="E2509" s="9" t="s">
        <v>30</v>
      </c>
      <c r="K2509" t="str">
        <v xml:space="preserve">Chivalry
</v>
      </c>
      <c r="L2509" s="4" t="str">
        <f t="shared" si="47"/>
        <v xml:space="preserve">Chivalry </v>
      </c>
      <c r="M2509" t="str">
        <v>way),</v>
      </c>
      <c r="N2509" s="4" cm="1">
        <f t="array" ref="N2509">SUM(--(_xlfn.TEXTSPLIT($J$2448,, " ") = M2509))</f>
        <v>1</v>
      </c>
      <c r="O2509">
        <v>2</v>
      </c>
      <c r="P2509" t="str">
        <v>with</v>
      </c>
      <c r="Q2509">
        <v>2</v>
      </c>
    </row>
    <row r="2510" spans="5:17" x14ac:dyDescent="0.2">
      <c r="E2510" s="9" t="s">
        <v>30</v>
      </c>
      <c r="K2510" t="str">
        <v>A</v>
      </c>
      <c r="L2510" s="4" t="str">
        <f t="shared" si="47"/>
        <v>A</v>
      </c>
      <c r="M2510" t="str">
        <v>okay,</v>
      </c>
      <c r="N2510" s="4" cm="1">
        <f t="array" ref="N2510">SUM(--(_xlfn.TEXTSPLIT($J$2448,, " ") = M2510))</f>
        <v>2</v>
      </c>
      <c r="O2510">
        <v>2</v>
      </c>
      <c r="P2510" t="str">
        <v>is</v>
      </c>
      <c r="Q2510">
        <v>2</v>
      </c>
    </row>
    <row r="2511" spans="5:17" x14ac:dyDescent="0.2">
      <c r="E2511" s="9" t="s">
        <v>30</v>
      </c>
      <c r="K2511" t="str">
        <v>tighter</v>
      </c>
      <c r="L2511" s="4" t="str">
        <f t="shared" si="47"/>
        <v>tighter</v>
      </c>
      <c r="M2511" t="str">
        <v xml:space="preserve">okay
</v>
      </c>
      <c r="N2511" s="4" cm="1">
        <f t="array" ref="N2511">SUM(--(_xlfn.TEXTSPLIT($J$2448,, " ") = M2511))</f>
        <v>2</v>
      </c>
      <c r="O2511">
        <v>2</v>
      </c>
      <c r="P2511" t="str">
        <v>okay,</v>
      </c>
      <c r="Q2511">
        <v>2</v>
      </c>
    </row>
    <row r="2512" spans="5:17" x14ac:dyDescent="0.2">
      <c r="E2512" s="9" t="s">
        <v>30</v>
      </c>
      <c r="K2512" t="str">
        <v>space</v>
      </c>
      <c r="L2512" s="4" t="str">
        <f t="shared" si="47"/>
        <v>space</v>
      </c>
      <c r="M2512" t="str">
        <v>thought</v>
      </c>
      <c r="N2512" s="4" cm="1">
        <f t="array" ref="N2512">SUM(--(_xlfn.TEXTSPLIT($J$2448,, " ") = M2512))</f>
        <v>3</v>
      </c>
      <c r="O2512">
        <v>2</v>
      </c>
      <c r="P2512" t="str">
        <v xml:space="preserve">okay
</v>
      </c>
      <c r="Q2512">
        <v>2</v>
      </c>
    </row>
    <row r="2513" spans="5:17" x14ac:dyDescent="0.2">
      <c r="E2513" s="9" t="s">
        <v>30</v>
      </c>
      <c r="K2513" t="str">
        <v>than</v>
      </c>
      <c r="L2513" s="4" t="str">
        <f t="shared" ref="L2513:L2576" si="48">_xlfn.REGEXREPLACE(K2513, "[^A-Za-z ]", " ")</f>
        <v>than</v>
      </c>
      <c r="M2513" t="str">
        <v>had</v>
      </c>
      <c r="N2513" s="4" cm="1">
        <f t="array" ref="N2513">SUM(--(_xlfn.TEXTSPLIT($J$2448,, " ") = M2513))</f>
        <v>3</v>
      </c>
      <c r="O2513">
        <v>2</v>
      </c>
      <c r="P2513" t="str">
        <v>know,</v>
      </c>
      <c r="Q2513">
        <v>2</v>
      </c>
    </row>
    <row r="2514" spans="5:17" x14ac:dyDescent="0.2">
      <c r="E2514" s="9" t="s">
        <v>30</v>
      </c>
      <c r="K2514" t="str">
        <v>I</v>
      </c>
      <c r="L2514" s="4" t="str">
        <f t="shared" si="48"/>
        <v>I</v>
      </c>
      <c r="M2514" t="str">
        <v xml:space="preserve">out
</v>
      </c>
      <c r="N2514" s="4" cm="1">
        <f t="array" ref="N2514">SUM(--(_xlfn.TEXTSPLIT($J$2448,, " ") = M2514))</f>
        <v>1</v>
      </c>
      <c r="O2514">
        <v>2</v>
      </c>
      <c r="P2514" t="str">
        <v xml:space="preserve">know
</v>
      </c>
      <c r="Q2514">
        <v>2</v>
      </c>
    </row>
    <row r="2515" spans="5:17" x14ac:dyDescent="0.2">
      <c r="E2515" s="9" t="s">
        <v>30</v>
      </c>
      <c r="K2515" t="str">
        <v>used</v>
      </c>
      <c r="L2515" s="4" t="str">
        <f t="shared" si="48"/>
        <v>used</v>
      </c>
      <c r="M2515" t="str">
        <v>know,</v>
      </c>
      <c r="N2515" s="4" cm="1">
        <f t="array" ref="N2515">SUM(--(_xlfn.TEXTSPLIT($J$2448,, " ") = M2515))</f>
        <v>2</v>
      </c>
      <c r="O2515">
        <v>2</v>
      </c>
      <c r="P2515" t="str">
        <v>lied,</v>
      </c>
      <c r="Q2515">
        <v>2</v>
      </c>
    </row>
    <row r="2516" spans="5:17" x14ac:dyDescent="0.2">
      <c r="E2516" s="9" t="s">
        <v>30</v>
      </c>
      <c r="K2516" t="str">
        <v>to</v>
      </c>
      <c r="L2516" s="4" t="str">
        <f t="shared" si="48"/>
        <v>to</v>
      </c>
      <c r="M2516" t="str">
        <v xml:space="preserve">know
</v>
      </c>
      <c r="N2516" s="4" cm="1">
        <f t="array" ref="N2516">SUM(--(_xlfn.TEXTSPLIT($J$2448,, " ") = M2516))</f>
        <v>2</v>
      </c>
      <c r="O2516">
        <v>2</v>
      </c>
      <c r="P2516" t="str">
        <v xml:space="preserve">lied
</v>
      </c>
      <c r="Q2516">
        <v>2</v>
      </c>
    </row>
    <row r="2517" spans="5:17" x14ac:dyDescent="0.2">
      <c r="E2517" s="9" t="s">
        <v>30</v>
      </c>
      <c r="K2517" t="str">
        <v>know</v>
      </c>
      <c r="L2517" s="4" t="str">
        <f t="shared" si="48"/>
        <v>know</v>
      </c>
      <c r="M2517" t="str">
        <v>said</v>
      </c>
      <c r="N2517" s="4" cm="1">
        <f t="array" ref="N2517">SUM(--(_xlfn.TEXTSPLIT($J$2448,, " ") = M2517))</f>
        <v>3</v>
      </c>
      <c r="O2517">
        <v>2</v>
      </c>
      <c r="P2517" t="str">
        <v>tell</v>
      </c>
      <c r="Q2517">
        <v>2</v>
      </c>
    </row>
    <row r="2518" spans="5:17" x14ac:dyDescent="0.2">
      <c r="E2518" s="9" t="s">
        <v>30</v>
      </c>
      <c r="K2518" t="str">
        <v xml:space="preserve">(Right)
</v>
      </c>
      <c r="L2518" s="4" t="str">
        <f t="shared" si="48"/>
        <v xml:space="preserve"> Right  </v>
      </c>
      <c r="M2518" t="str">
        <v>made</v>
      </c>
      <c r="N2518" s="4" cm="1">
        <f t="array" ref="N2518">SUM(--(_xlfn.TEXTSPLIT($J$2448,, " ") = M2518))</f>
        <v>3</v>
      </c>
      <c r="O2518">
        <v>2</v>
      </c>
      <c r="P2518" t="str">
        <v>us,</v>
      </c>
      <c r="Q2518">
        <v>2</v>
      </c>
    </row>
    <row r="2519" spans="5:17" x14ac:dyDescent="0.2">
      <c r="E2519" s="9" t="s">
        <v>30</v>
      </c>
      <c r="K2519" t="str">
        <v>Spread</v>
      </c>
      <c r="L2519" s="4" t="str">
        <f t="shared" si="48"/>
        <v>Spread</v>
      </c>
      <c r="M2519" t="str">
        <v>the</v>
      </c>
      <c r="N2519" s="4" cm="1">
        <f t="array" ref="N2519">SUM(--(_xlfn.TEXTSPLIT($J$2448,, " ") = M2519))</f>
        <v>12</v>
      </c>
      <c r="O2519">
        <v>2</v>
      </c>
      <c r="P2519" t="str">
        <v>did</v>
      </c>
      <c r="Q2519">
        <v>2</v>
      </c>
    </row>
    <row r="2520" spans="5:17" x14ac:dyDescent="0.2">
      <c r="E2520" s="9" t="s">
        <v>30</v>
      </c>
      <c r="K2520" t="str">
        <v>out</v>
      </c>
      <c r="L2520" s="4" t="str">
        <f t="shared" si="48"/>
        <v>out</v>
      </c>
      <c r="M2520" t="str">
        <v xml:space="preserve">top
</v>
      </c>
      <c r="N2520" s="4" cm="1">
        <f t="array" ref="N2520">SUM(--(_xlfn.TEXTSPLIT($J$2448,, " ") = M2520))</f>
        <v>1</v>
      </c>
      <c r="O2520">
        <v>2</v>
      </c>
      <c r="P2520" t="str">
        <v>make</v>
      </c>
      <c r="Q2520">
        <v>2</v>
      </c>
    </row>
    <row r="2521" spans="5:17" x14ac:dyDescent="0.2">
      <c r="E2521" s="9" t="s">
        <v>30</v>
      </c>
      <c r="K2521" t="str">
        <v>wide</v>
      </c>
      <c r="L2521" s="4" t="str">
        <f t="shared" si="48"/>
        <v>wide</v>
      </c>
      <c r="M2521" t="str">
        <v>lied,</v>
      </c>
      <c r="N2521" s="4" cm="1">
        <f t="array" ref="N2521">SUM(--(_xlfn.TEXTSPLIT($J$2448,, " ") = M2521))</f>
        <v>2</v>
      </c>
      <c r="O2521">
        <v>2</v>
      </c>
      <c r="P2521" t="str">
        <v xml:space="preserve">alright?
</v>
      </c>
      <c r="Q2521">
        <v>2</v>
      </c>
    </row>
    <row r="2522" spans="5:17" x14ac:dyDescent="0.2">
      <c r="E2522" s="9" t="s">
        <v>30</v>
      </c>
      <c r="K2522" t="str">
        <v>no</v>
      </c>
      <c r="L2522" s="4" t="str">
        <f t="shared" si="48"/>
        <v>no</v>
      </c>
      <c r="M2522" t="str">
        <v xml:space="preserve">lied
</v>
      </c>
      <c r="N2522" s="4" cm="1">
        <f t="array" ref="N2522">SUM(--(_xlfn.TEXTSPLIT($J$2448,, " ") = M2522))</f>
        <v>2</v>
      </c>
      <c r="O2522">
        <v>2</v>
      </c>
      <c r="P2522" t="str">
        <v xml:space="preserve">Well
</v>
      </c>
      <c r="Q2522">
        <v>2</v>
      </c>
    </row>
    <row r="2523" spans="5:17" x14ac:dyDescent="0.2">
      <c r="E2523" s="9" t="s">
        <v>30</v>
      </c>
      <c r="K2523" t="str">
        <v>more,</v>
      </c>
      <c r="L2523" s="4" t="str">
        <f t="shared" si="48"/>
        <v xml:space="preserve">more </v>
      </c>
      <c r="M2523" t="str">
        <v>So,</v>
      </c>
      <c r="N2523" s="4" cm="1">
        <f t="array" ref="N2523">SUM(--(_xlfn.TEXTSPLIT($J$2448,, " ") = M2523))</f>
        <v>3</v>
      </c>
      <c r="O2523">
        <v>2</v>
      </c>
      <c r="P2523" t="str">
        <v>face</v>
      </c>
      <c r="Q2523">
        <v>2</v>
      </c>
    </row>
    <row r="2524" spans="5:17" x14ac:dyDescent="0.2">
      <c r="E2524" s="9" t="s">
        <v>30</v>
      </c>
      <c r="K2524" t="str">
        <v>pinch</v>
      </c>
      <c r="L2524" s="4" t="str">
        <f t="shared" si="48"/>
        <v>pinch</v>
      </c>
      <c r="M2524" t="str">
        <v>tell</v>
      </c>
      <c r="N2524" s="4" cm="1">
        <f t="array" ref="N2524">SUM(--(_xlfn.TEXTSPLIT($J$2448,, " ") = M2524))</f>
        <v>2</v>
      </c>
      <c r="O2524">
        <v>2</v>
      </c>
      <c r="P2524" t="str">
        <v xml:space="preserve">face)
</v>
      </c>
      <c r="Q2524">
        <v>2</v>
      </c>
    </row>
    <row r="2525" spans="5:17" x14ac:dyDescent="0.2">
      <c r="E2525" s="9" t="s">
        <v>30</v>
      </c>
      <c r="K2525" t="str">
        <v>my</v>
      </c>
      <c r="L2525" s="4" t="str">
        <f t="shared" si="48"/>
        <v>my</v>
      </c>
      <c r="M2525" t="str">
        <v>us,</v>
      </c>
      <c r="N2525" s="4" cm="1">
        <f t="array" ref="N2525">SUM(--(_xlfn.TEXTSPLIT($J$2448,, " ") = M2525))</f>
        <v>2</v>
      </c>
      <c r="O2525">
        <v>2</v>
      </c>
      <c r="P2525" t="str">
        <v xml:space="preserve">say)
</v>
      </c>
      <c r="Q2525">
        <v>2</v>
      </c>
    </row>
    <row r="2526" spans="5:17" x14ac:dyDescent="0.2">
      <c r="E2526" s="9" t="s">
        <v>30</v>
      </c>
      <c r="K2526" t="str">
        <v>shoulders</v>
      </c>
      <c r="L2526" s="4" t="str">
        <f t="shared" si="48"/>
        <v>shoulders</v>
      </c>
      <c r="M2526" t="str">
        <v>did</v>
      </c>
      <c r="N2526" s="4" cm="1">
        <f t="array" ref="N2526">SUM(--(_xlfn.TEXTSPLIT($J$2448,, " ") = M2526))</f>
        <v>2</v>
      </c>
      <c r="O2526">
        <v>2</v>
      </c>
      <c r="P2526" t="str">
        <v>Right</v>
      </c>
      <c r="Q2526">
        <v>2</v>
      </c>
    </row>
    <row r="2527" spans="5:17" x14ac:dyDescent="0.2">
      <c r="E2527" s="9" t="s">
        <v>30</v>
      </c>
      <c r="K2527" t="str">
        <v xml:space="preserve">close
</v>
      </c>
      <c r="L2527" s="4" t="str">
        <f t="shared" si="48"/>
        <v xml:space="preserve">close </v>
      </c>
      <c r="M2527" t="str">
        <v>make</v>
      </c>
      <c r="N2527" s="4" cm="1">
        <f t="array" ref="N2527">SUM(--(_xlfn.TEXTSPLIT($J$2448,, " ") = M2527))</f>
        <v>2</v>
      </c>
      <c r="O2527">
        <v>2</v>
      </c>
      <c r="P2527" t="str">
        <v>was</v>
      </c>
      <c r="Q2527">
        <v>2</v>
      </c>
    </row>
    <row r="2528" spans="5:17" x14ac:dyDescent="0.2">
      <c r="E2528" s="9" t="s">
        <v>30</v>
      </c>
      <c r="K2528" t="str">
        <v>Hoping</v>
      </c>
      <c r="L2528" s="4" t="str">
        <f t="shared" si="48"/>
        <v>Hoping</v>
      </c>
      <c r="M2528" t="str">
        <v xml:space="preserve">alright?
</v>
      </c>
      <c r="N2528" s="4" cm="1">
        <f t="array" ref="N2528">SUM(--(_xlfn.TEXTSPLIT($J$2448,, " ") = M2528))</f>
        <v>2</v>
      </c>
      <c r="O2528">
        <v>2</v>
      </c>
      <c r="P2528" t="str">
        <v xml:space="preserve">for
</v>
      </c>
      <c r="Q2528">
        <v>2</v>
      </c>
    </row>
    <row r="2529" spans="5:17" x14ac:dyDescent="0.2">
      <c r="E2529" s="9" t="s">
        <v>30</v>
      </c>
      <c r="K2529" t="str">
        <v>they</v>
      </c>
      <c r="L2529" s="4" t="str">
        <f t="shared" si="48"/>
        <v>they</v>
      </c>
      <c r="M2529" t="str">
        <v xml:space="preserve">Well
</v>
      </c>
      <c r="N2529" s="4" cm="1">
        <f t="array" ref="N2529">SUM(--(_xlfn.TEXTSPLIT($J$2448,, " ") = M2529))</f>
        <v>2</v>
      </c>
      <c r="O2529">
        <v>1</v>
      </c>
      <c r="P2529" t="str">
        <v>it's</v>
      </c>
      <c r="Q2529">
        <v>1</v>
      </c>
    </row>
    <row r="2530" spans="5:17" x14ac:dyDescent="0.2">
      <c r="E2530" s="9" t="s">
        <v>30</v>
      </c>
      <c r="K2530" t="str">
        <v>misplace</v>
      </c>
      <c r="L2530" s="4" t="str">
        <f t="shared" si="48"/>
        <v>misplace</v>
      </c>
      <c r="M2530" t="str">
        <v>pull</v>
      </c>
      <c r="N2530" s="4" cm="1">
        <f t="array" ref="N2530">SUM(--(_xlfn.TEXTSPLIT($J$2448,, " ") = M2530))</f>
        <v>4</v>
      </c>
      <c r="O2530">
        <v>1</v>
      </c>
      <c r="P2530" t="str">
        <v>goes</v>
      </c>
      <c r="Q2530">
        <v>1</v>
      </c>
    </row>
    <row r="2531" spans="5:17" x14ac:dyDescent="0.2">
      <c r="E2531" s="9" t="s">
        <v>30</v>
      </c>
      <c r="K2531" t="str">
        <v>my</v>
      </c>
      <c r="L2531" s="4" t="str">
        <f t="shared" si="48"/>
        <v>my</v>
      </c>
      <c r="M2531" t="str">
        <v>shirtsleeve</v>
      </c>
      <c r="N2531" s="4" cm="1">
        <f t="array" ref="N2531">SUM(--(_xlfn.TEXTSPLIT($J$2448,, " ") = M2531))</f>
        <v>4</v>
      </c>
      <c r="O2531">
        <v>1</v>
      </c>
      <c r="P2531" t="str">
        <v>death</v>
      </c>
      <c r="Q2531">
        <v>1</v>
      </c>
    </row>
    <row r="2532" spans="5:17" x14ac:dyDescent="0.2">
      <c r="E2532" s="9" t="s">
        <v>30</v>
      </c>
      <c r="K2532" t="str">
        <v>reservation</v>
      </c>
      <c r="L2532" s="4" t="str">
        <f t="shared" si="48"/>
        <v>reservation</v>
      </c>
      <c r="M2532" t="str">
        <v>cover</v>
      </c>
      <c r="N2532" s="4" cm="1">
        <f t="array" ref="N2532">SUM(--(_xlfn.TEXTSPLIT($J$2448,, " ") = M2532))</f>
        <v>4</v>
      </c>
      <c r="O2532">
        <v>1</v>
      </c>
      <c r="P2532" t="str">
        <v>Girl,</v>
      </c>
      <c r="Q2532">
        <v>1</v>
      </c>
    </row>
    <row r="2533" spans="5:17" x14ac:dyDescent="0.2">
      <c r="E2533" s="9" t="s">
        <v>30</v>
      </c>
      <c r="K2533" t="str">
        <v>(Right</v>
      </c>
      <c r="L2533" s="4" t="str">
        <f t="shared" si="48"/>
        <v xml:space="preserve"> Right</v>
      </c>
      <c r="M2533" t="str">
        <v>half</v>
      </c>
      <c r="N2533" s="4" cm="1">
        <f t="array" ref="N2533">SUM(--(_xlfn.TEXTSPLIT($J$2448,, " ") = M2533))</f>
        <v>4</v>
      </c>
      <c r="O2533">
        <v>1</v>
      </c>
      <c r="P2533" t="str">
        <v>really</v>
      </c>
      <c r="Q2533">
        <v>1</v>
      </c>
    </row>
    <row r="2534" spans="5:17" x14ac:dyDescent="0.2">
      <c r="E2534" s="9" t="s">
        <v>30</v>
      </c>
      <c r="K2534" t="str">
        <v>this</v>
      </c>
      <c r="L2534" s="4" t="str">
        <f t="shared" si="48"/>
        <v>this</v>
      </c>
      <c r="M2534" t="str">
        <v>of</v>
      </c>
      <c r="N2534" s="4" cm="1">
        <f t="array" ref="N2534">SUM(--(_xlfn.TEXTSPLIT($J$2448,, " ") = M2534))</f>
        <v>7</v>
      </c>
      <c r="O2534">
        <v>1</v>
      </c>
      <c r="P2534" t="str">
        <v>should</v>
      </c>
      <c r="Q2534">
        <v>1</v>
      </c>
    </row>
    <row r="2535" spans="5:17" x14ac:dyDescent="0.2">
      <c r="E2535" s="9" t="s">
        <v>30</v>
      </c>
      <c r="K2535" t="str">
        <v>way),</v>
      </c>
      <c r="L2535" s="4" t="str">
        <f t="shared" si="48"/>
        <v xml:space="preserve">way  </v>
      </c>
      <c r="M2535" t="str">
        <v xml:space="preserve">hands
</v>
      </c>
      <c r="N2535" s="4" cm="1">
        <f t="array" ref="N2535">SUM(--(_xlfn.TEXTSPLIT($J$2448,, " ") = M2535))</f>
        <v>1</v>
      </c>
      <c r="O2535">
        <v>1</v>
      </c>
      <c r="P2535" t="str">
        <v>(Stop</v>
      </c>
      <c r="Q2535">
        <v>1</v>
      </c>
    </row>
    <row r="2536" spans="5:17" x14ac:dyDescent="0.2">
      <c r="E2536" s="9" t="s">
        <v>30</v>
      </c>
      <c r="K2536" t="str">
        <v>okay,</v>
      </c>
      <c r="L2536" s="4" t="str">
        <f t="shared" si="48"/>
        <v xml:space="preserve">okay </v>
      </c>
      <c r="M2536" t="str">
        <v>Bring</v>
      </c>
      <c r="N2536" s="4" cm="1">
        <f t="array" ref="N2536">SUM(--(_xlfn.TEXTSPLIT($J$2448,, " ") = M2536))</f>
        <v>4</v>
      </c>
      <c r="O2536">
        <v>1</v>
      </c>
      <c r="P2536" t="str">
        <v xml:space="preserve">it)
</v>
      </c>
      <c r="Q2536">
        <v>1</v>
      </c>
    </row>
    <row r="2537" spans="5:17" x14ac:dyDescent="0.2">
      <c r="E2537" s="9" t="s">
        <v>30</v>
      </c>
      <c r="K2537" t="str">
        <v xml:space="preserve">okay
</v>
      </c>
      <c r="L2537" s="4" t="str">
        <f t="shared" si="48"/>
        <v xml:space="preserve">okay  </v>
      </c>
      <c r="M2537" t="str">
        <v>arms</v>
      </c>
      <c r="N2537" s="4" cm="1">
        <f t="array" ref="N2537">SUM(--(_xlfn.TEXTSPLIT($J$2448,, " ") = M2537))</f>
        <v>4</v>
      </c>
      <c r="O2537">
        <v>1</v>
      </c>
      <c r="P2537" t="str">
        <v>little</v>
      </c>
      <c r="Q2537">
        <v>1</v>
      </c>
    </row>
    <row r="2538" spans="5:17" x14ac:dyDescent="0.2">
      <c r="E2538" s="9" t="s">
        <v>30</v>
      </c>
      <c r="K2538" t="str">
        <v>I</v>
      </c>
      <c r="L2538" s="4" t="str">
        <f t="shared" si="48"/>
        <v>I</v>
      </c>
      <c r="M2538" t="str">
        <v>closer</v>
      </c>
      <c r="N2538" s="4" cm="1">
        <f t="array" ref="N2538">SUM(--(_xlfn.TEXTSPLIT($J$2448,, " ") = M2538))</f>
        <v>4</v>
      </c>
      <c r="O2538">
        <v>1</v>
      </c>
      <c r="P2538" t="str">
        <v>softer</v>
      </c>
      <c r="Q2538">
        <v>1</v>
      </c>
    </row>
    <row r="2539" spans="5:17" x14ac:dyDescent="0.2">
      <c r="E2539" s="9" t="s">
        <v>30</v>
      </c>
      <c r="K2539" t="str">
        <v>thought</v>
      </c>
      <c r="L2539" s="4" t="str">
        <f t="shared" si="48"/>
        <v>thought</v>
      </c>
      <c r="M2539" t="str">
        <v>body,</v>
      </c>
      <c r="N2539" s="4" cm="1">
        <f t="array" ref="N2539">SUM(--(_xlfn.TEXTSPLIT($J$2448,, " ") = M2539))</f>
        <v>4</v>
      </c>
      <c r="O2539">
        <v>1</v>
      </c>
      <c r="P2539" t="str">
        <v>be</v>
      </c>
      <c r="Q2539">
        <v>1</v>
      </c>
    </row>
    <row r="2540" spans="5:17" x14ac:dyDescent="0.2">
      <c r="E2540" s="9" t="s">
        <v>30</v>
      </c>
      <c r="K2540" t="str">
        <v>you</v>
      </c>
      <c r="L2540" s="4" t="str">
        <f t="shared" si="48"/>
        <v>you</v>
      </c>
      <c r="M2540" t="str">
        <v>get</v>
      </c>
      <c r="N2540" s="4" cm="1">
        <f t="array" ref="N2540">SUM(--(_xlfn.TEXTSPLIT($J$2448,, " ") = M2540))</f>
        <v>4</v>
      </c>
      <c r="O2540">
        <v>1</v>
      </c>
      <c r="P2540" t="str">
        <v>mouth</v>
      </c>
      <c r="Q2540">
        <v>1</v>
      </c>
    </row>
    <row r="2541" spans="5:17" x14ac:dyDescent="0.2">
      <c r="E2541" s="9" t="s">
        <v>30</v>
      </c>
      <c r="K2541" t="str">
        <v>had</v>
      </c>
      <c r="L2541" s="4" t="str">
        <f t="shared" si="48"/>
        <v>had</v>
      </c>
      <c r="M2541" t="str">
        <v>as</v>
      </c>
      <c r="N2541" s="4" cm="1">
        <f t="array" ref="N2541">SUM(--(_xlfn.TEXTSPLIT($J$2448,, " ") = M2541))</f>
        <v>12</v>
      </c>
      <c r="O2541">
        <v>1</v>
      </c>
      <c r="P2541" t="str">
        <v>often</v>
      </c>
      <c r="Q2541">
        <v>1</v>
      </c>
    </row>
    <row r="2542" spans="5:17" x14ac:dyDescent="0.2">
      <c r="E2542" s="9" t="s">
        <v>30</v>
      </c>
      <c r="K2542" t="str">
        <v>it</v>
      </c>
      <c r="L2542" s="4" t="str">
        <f t="shared" si="48"/>
        <v>it</v>
      </c>
      <c r="M2542" t="str">
        <v>small</v>
      </c>
      <c r="N2542" s="4" cm="1">
        <f t="array" ref="N2542">SUM(--(_xlfn.TEXTSPLIT($J$2448,, " ") = M2542))</f>
        <v>4</v>
      </c>
      <c r="O2542">
        <v>1</v>
      </c>
      <c r="P2542" t="str">
        <v xml:space="preserve">artillery
</v>
      </c>
      <c r="Q2542">
        <v>1</v>
      </c>
    </row>
    <row r="2543" spans="5:17" x14ac:dyDescent="0.2">
      <c r="E2543" s="9" t="s">
        <v>30</v>
      </c>
      <c r="K2543" t="str">
        <v>figured</v>
      </c>
      <c r="L2543" s="4" t="str">
        <f t="shared" si="48"/>
        <v>figured</v>
      </c>
      <c r="M2543" t="str">
        <v xml:space="preserve">can
</v>
      </c>
      <c r="N2543" s="4" cm="1">
        <f t="array" ref="N2543">SUM(--(_xlfn.TEXTSPLIT($J$2448,, " ") = M2543))</f>
        <v>1</v>
      </c>
      <c r="O2543">
        <v>1</v>
      </c>
      <c r="P2543" t="str">
        <v>Now</v>
      </c>
      <c r="Q2543">
        <v>1</v>
      </c>
    </row>
    <row r="2544" spans="5:17" x14ac:dyDescent="0.2">
      <c r="E2544" s="9" t="s">
        <v>30</v>
      </c>
      <c r="K2544" t="str">
        <v xml:space="preserve">out
</v>
      </c>
      <c r="L2544" s="4" t="str">
        <f t="shared" si="48"/>
        <v xml:space="preserve">out </v>
      </c>
      <c r="M2544" t="str">
        <v>call</v>
      </c>
      <c r="N2544" s="4" cm="1">
        <f t="array" ref="N2544">SUM(--(_xlfn.TEXTSPLIT($J$2448,, " ") = M2544))</f>
        <v>5</v>
      </c>
      <c r="O2544">
        <v>1</v>
      </c>
      <c r="P2544" t="str">
        <v>cough</v>
      </c>
      <c r="Q2544">
        <v>1</v>
      </c>
    </row>
    <row r="2545" spans="5:17" x14ac:dyDescent="0.2">
      <c r="E2545" s="9" t="s">
        <v>30</v>
      </c>
      <c r="K2545" t="str">
        <v>I</v>
      </c>
      <c r="L2545" s="4" t="str">
        <f t="shared" si="48"/>
        <v>I</v>
      </c>
      <c r="M2545" t="str">
        <v>center</v>
      </c>
      <c r="N2545" s="4" cm="1">
        <f t="array" ref="N2545">SUM(--(_xlfn.TEXTSPLIT($J$2448,, " ") = M2545))</f>
        <v>5</v>
      </c>
      <c r="O2545">
        <v>1</v>
      </c>
      <c r="P2545" t="str">
        <v>drops</v>
      </c>
      <c r="Q2545">
        <v>1</v>
      </c>
    </row>
    <row r="2546" spans="5:17" x14ac:dyDescent="0.2">
      <c r="E2546" s="9" t="s">
        <v>30</v>
      </c>
      <c r="K2546" t="str">
        <v>know,</v>
      </c>
      <c r="L2546" s="4" t="str">
        <f t="shared" si="48"/>
        <v xml:space="preserve">know </v>
      </c>
      <c r="M2546" t="str">
        <v>mass,</v>
      </c>
      <c r="N2546" s="4" cm="1">
        <f t="array" ref="N2546">SUM(--(_xlfn.TEXTSPLIT($J$2448,, " ") = M2546))</f>
        <v>5</v>
      </c>
      <c r="O2546">
        <v>1</v>
      </c>
      <c r="P2546" t="str">
        <v>soft</v>
      </c>
      <c r="Q2546">
        <v>1</v>
      </c>
    </row>
    <row r="2547" spans="5:17" x14ac:dyDescent="0.2">
      <c r="E2547" s="9" t="s">
        <v>30</v>
      </c>
      <c r="K2547" t="str">
        <v>I</v>
      </c>
      <c r="L2547" s="4" t="str">
        <f t="shared" si="48"/>
        <v>I</v>
      </c>
      <c r="M2547" t="str">
        <v>part</v>
      </c>
      <c r="N2547" s="4" cm="1">
        <f t="array" ref="N2547">SUM(--(_xlfn.TEXTSPLIT($J$2448,, " ") = M2547))</f>
        <v>9</v>
      </c>
      <c r="O2547">
        <v>1</v>
      </c>
      <c r="P2547" t="str">
        <v>spots</v>
      </c>
      <c r="Q2547">
        <v>1</v>
      </c>
    </row>
    <row r="2548" spans="5:17" x14ac:dyDescent="0.2">
      <c r="E2548" s="9" t="s">
        <v>30</v>
      </c>
      <c r="K2548" t="str">
        <v xml:space="preserve">know
</v>
      </c>
      <c r="L2548" s="4" t="str">
        <f t="shared" si="48"/>
        <v xml:space="preserve">know </v>
      </c>
      <c r="M2548" t="str">
        <v>aim</v>
      </c>
      <c r="N2548" s="4" cm="1">
        <f t="array" ref="N2548">SUM(--(_xlfn.TEXTSPLIT($J$2448,, " ") = M2548))</f>
        <v>9</v>
      </c>
      <c r="O2548">
        <v>1</v>
      </c>
      <c r="P2548" t="str">
        <v>middle</v>
      </c>
      <c r="Q2548">
        <v>1</v>
      </c>
    </row>
    <row r="2549" spans="5:17" x14ac:dyDescent="0.2">
      <c r="E2549" s="9" t="s">
        <v>30</v>
      </c>
      <c r="K2549" t="str">
        <v>You</v>
      </c>
      <c r="L2549" s="4" t="str">
        <f t="shared" si="48"/>
        <v>You</v>
      </c>
      <c r="M2549" t="str">
        <v xml:space="preserve">for
</v>
      </c>
      <c r="N2549" s="4" cm="1">
        <f t="array" ref="N2549">SUM(--(_xlfn.TEXTSPLIT($J$2448,, " ") = M2549))</f>
        <v>8</v>
      </c>
      <c r="O2549">
        <v>1</v>
      </c>
      <c r="P2549" t="str">
        <v>seat</v>
      </c>
      <c r="Q2549">
        <v>1</v>
      </c>
    </row>
    <row r="2550" spans="5:17" x14ac:dyDescent="0.2">
      <c r="E2550" s="9" t="s">
        <v>30</v>
      </c>
      <c r="K2550" t="str">
        <v>said</v>
      </c>
      <c r="L2550" s="4" t="str">
        <f t="shared" si="48"/>
        <v>said</v>
      </c>
      <c r="M2550" t="str">
        <v>Shrink</v>
      </c>
      <c r="N2550" s="4" cm="1">
        <f t="array" ref="N2550">SUM(--(_xlfn.TEXTSPLIT($J$2448,, " ") = M2550))</f>
        <v>3</v>
      </c>
      <c r="O2550">
        <v>1</v>
      </c>
      <c r="P2550" t="str">
        <v xml:space="preserve">Chivalry
</v>
      </c>
      <c r="Q2550">
        <v>1</v>
      </c>
    </row>
    <row r="2551" spans="5:17" x14ac:dyDescent="0.2">
      <c r="E2551" s="9" t="s">
        <v>30</v>
      </c>
      <c r="K2551" t="str">
        <v>you</v>
      </c>
      <c r="L2551" s="4" t="str">
        <f t="shared" si="48"/>
        <v>you</v>
      </c>
      <c r="M2551" t="str">
        <v>down</v>
      </c>
      <c r="N2551" s="4" cm="1">
        <f t="array" ref="N2551">SUM(--(_xlfn.TEXTSPLIT($J$2448,, " ") = M2551))</f>
        <v>3</v>
      </c>
      <c r="O2551">
        <v>1</v>
      </c>
      <c r="P2551" t="str">
        <v>tighter</v>
      </c>
      <c r="Q2551">
        <v>1</v>
      </c>
    </row>
    <row r="2552" spans="5:17" x14ac:dyDescent="0.2">
      <c r="E2552" s="9" t="s">
        <v>30</v>
      </c>
      <c r="K2552" t="str">
        <v>made</v>
      </c>
      <c r="L2552" s="4" t="str">
        <f t="shared" si="48"/>
        <v>made</v>
      </c>
      <c r="M2552" t="str">
        <v>nothing</v>
      </c>
      <c r="N2552" s="4" cm="1">
        <f t="array" ref="N2552">SUM(--(_xlfn.TEXTSPLIT($J$2448,, " ") = M2552))</f>
        <v>4</v>
      </c>
      <c r="O2552">
        <v>1</v>
      </c>
      <c r="P2552" t="str">
        <v>space</v>
      </c>
      <c r="Q2552">
        <v>1</v>
      </c>
    </row>
    <row r="2553" spans="5:17" x14ac:dyDescent="0.2">
      <c r="E2553" s="9" t="s">
        <v>30</v>
      </c>
      <c r="K2553" t="str">
        <v>it</v>
      </c>
      <c r="L2553" s="4" t="str">
        <f t="shared" si="48"/>
        <v>it</v>
      </c>
      <c r="M2553" t="str">
        <v>forgetting</v>
      </c>
      <c r="N2553" s="4" cm="1">
        <f t="array" ref="N2553">SUM(--(_xlfn.TEXTSPLIT($J$2448,, " ") = M2553))</f>
        <v>3</v>
      </c>
      <c r="O2553">
        <v>1</v>
      </c>
      <c r="P2553" t="str">
        <v>know</v>
      </c>
      <c r="Q2553">
        <v>1</v>
      </c>
    </row>
    <row r="2554" spans="5:17" x14ac:dyDescent="0.2">
      <c r="E2554" s="9" t="s">
        <v>30</v>
      </c>
      <c r="K2554" t="str">
        <v>to</v>
      </c>
      <c r="L2554" s="4" t="str">
        <f t="shared" si="48"/>
        <v>to</v>
      </c>
      <c r="M2554" t="str">
        <v>what</v>
      </c>
      <c r="N2554" s="4" cm="1">
        <f t="array" ref="N2554">SUM(--(_xlfn.TEXTSPLIT($J$2448,, " ") = M2554))</f>
        <v>9</v>
      </c>
      <c r="O2554">
        <v>1</v>
      </c>
      <c r="P2554" t="str">
        <v>Spread</v>
      </c>
      <c r="Q2554">
        <v>1</v>
      </c>
    </row>
    <row r="2555" spans="5:17" x14ac:dyDescent="0.2">
      <c r="E2555" s="9" t="s">
        <v>30</v>
      </c>
      <c r="K2555" t="str">
        <v>the</v>
      </c>
      <c r="L2555" s="4" t="str">
        <f t="shared" si="48"/>
        <v>the</v>
      </c>
      <c r="M2555" t="str">
        <v>pain's</v>
      </c>
      <c r="N2555" s="4" cm="1">
        <f t="array" ref="N2555">SUM(--(_xlfn.TEXTSPLIT($J$2448,, " ") = M2555))</f>
        <v>3</v>
      </c>
      <c r="O2555">
        <v>1</v>
      </c>
      <c r="P2555" t="str">
        <v>wide</v>
      </c>
      <c r="Q2555">
        <v>1</v>
      </c>
    </row>
    <row r="2556" spans="5:17" x14ac:dyDescent="0.2">
      <c r="E2556" s="9" t="s">
        <v>30</v>
      </c>
      <c r="K2556" t="str">
        <v xml:space="preserve">top
</v>
      </c>
      <c r="L2556" s="4" t="str">
        <f t="shared" si="48"/>
        <v xml:space="preserve">top </v>
      </c>
      <c r="M2556" t="str">
        <v>(My</v>
      </c>
      <c r="N2556" s="4" cm="1">
        <f t="array" ref="N2556">SUM(--(_xlfn.TEXTSPLIT($J$2448,, " ") = M2556))</f>
        <v>3</v>
      </c>
      <c r="O2556">
        <v>1</v>
      </c>
      <c r="P2556" t="str">
        <v>no</v>
      </c>
      <c r="Q2556">
        <v>1</v>
      </c>
    </row>
    <row r="2557" spans="5:17" x14ac:dyDescent="0.2">
      <c r="E2557" s="9" t="s">
        <v>30</v>
      </c>
      <c r="K2557" t="str">
        <v>I</v>
      </c>
      <c r="L2557" s="4" t="str">
        <f t="shared" si="48"/>
        <v>I</v>
      </c>
      <c r="M2557" t="str">
        <v>shirtsleeve),</v>
      </c>
      <c r="N2557" s="4" cm="1">
        <f t="array" ref="N2557">SUM(--(_xlfn.TEXTSPLIT($J$2448,, " ") = M2557))</f>
        <v>3</v>
      </c>
      <c r="O2557">
        <v>1</v>
      </c>
      <c r="P2557" t="str">
        <v>more,</v>
      </c>
      <c r="Q2557">
        <v>1</v>
      </c>
    </row>
    <row r="2558" spans="5:17" x14ac:dyDescent="0.2">
      <c r="E2558" s="9" t="s">
        <v>30</v>
      </c>
      <c r="K2558" t="str">
        <v>lied,</v>
      </c>
      <c r="L2558" s="4" t="str">
        <f t="shared" si="48"/>
        <v xml:space="preserve">lied </v>
      </c>
      <c r="M2558" t="str">
        <v>face</v>
      </c>
      <c r="N2558" s="4" cm="1">
        <f t="array" ref="N2558">SUM(--(_xlfn.TEXTSPLIT($J$2448,, " ") = M2558))</f>
        <v>2</v>
      </c>
      <c r="O2558">
        <v>1</v>
      </c>
      <c r="P2558" t="str">
        <v>pinch</v>
      </c>
      <c r="Q2558">
        <v>1</v>
      </c>
    </row>
    <row r="2559" spans="5:17" x14ac:dyDescent="0.2">
      <c r="E2559" s="9" t="s">
        <v>30</v>
      </c>
      <c r="K2559" t="str">
        <v>I</v>
      </c>
      <c r="L2559" s="4" t="str">
        <f t="shared" si="48"/>
        <v>I</v>
      </c>
      <c r="M2559" t="str">
        <v>(Half</v>
      </c>
      <c r="N2559" s="4" cm="1">
        <f t="array" ref="N2559">SUM(--(_xlfn.TEXTSPLIT($J$2448,, " ") = M2559))</f>
        <v>3</v>
      </c>
      <c r="O2559">
        <v>1</v>
      </c>
      <c r="P2559" t="str">
        <v>shoulders</v>
      </c>
      <c r="Q2559">
        <v>1</v>
      </c>
    </row>
    <row r="2560" spans="5:17" x14ac:dyDescent="0.2">
      <c r="E2560" s="9" t="s">
        <v>30</v>
      </c>
      <c r="K2560" t="str">
        <v xml:space="preserve">lied
</v>
      </c>
      <c r="L2560" s="4" t="str">
        <f t="shared" si="48"/>
        <v xml:space="preserve">lied </v>
      </c>
      <c r="M2560" t="str">
        <v xml:space="preserve">face)
</v>
      </c>
      <c r="N2560" s="4" cm="1">
        <f t="array" ref="N2560">SUM(--(_xlfn.TEXTSPLIT($J$2448,, " ") = M2560))</f>
        <v>2</v>
      </c>
      <c r="O2560">
        <v>1</v>
      </c>
      <c r="P2560" t="str">
        <v xml:space="preserve">close
</v>
      </c>
      <c r="Q2560">
        <v>1</v>
      </c>
    </row>
    <row r="2561" spans="5:17" x14ac:dyDescent="0.2">
      <c r="E2561" s="9" t="s">
        <v>30</v>
      </c>
      <c r="K2561" t="str">
        <v>So,</v>
      </c>
      <c r="L2561" s="4" t="str">
        <f t="shared" si="48"/>
        <v xml:space="preserve">So </v>
      </c>
      <c r="M2561" t="str">
        <v>say</v>
      </c>
      <c r="N2561" s="4" cm="1">
        <f t="array" ref="N2561">SUM(--(_xlfn.TEXTSPLIT($J$2448,, " ") = M2561))</f>
        <v>3</v>
      </c>
      <c r="O2561">
        <v>1</v>
      </c>
      <c r="P2561" t="str">
        <v>Hoping</v>
      </c>
      <c r="Q2561">
        <v>1</v>
      </c>
    </row>
    <row r="2562" spans="5:17" x14ac:dyDescent="0.2">
      <c r="E2562" s="9" t="s">
        <v>30</v>
      </c>
      <c r="K2562" t="str">
        <v>tell</v>
      </c>
      <c r="L2562" s="4" t="str">
        <f t="shared" si="48"/>
        <v>tell</v>
      </c>
      <c r="M2562" t="str">
        <v>(Small</v>
      </c>
      <c r="N2562" s="4" cm="1">
        <f t="array" ref="N2562">SUM(--(_xlfn.TEXTSPLIT($J$2448,, " ") = M2562))</f>
        <v>3</v>
      </c>
      <c r="O2562">
        <v>1</v>
      </c>
      <c r="P2562" t="str">
        <v>misplace</v>
      </c>
      <c r="Q2562">
        <v>1</v>
      </c>
    </row>
    <row r="2563" spans="5:17" x14ac:dyDescent="0.2">
      <c r="E2563" s="9" t="s">
        <v>30</v>
      </c>
      <c r="K2563" t="str">
        <v>us,</v>
      </c>
      <c r="L2563" s="4" t="str">
        <f t="shared" si="48"/>
        <v xml:space="preserve">us </v>
      </c>
      <c r="M2563" t="str">
        <v xml:space="preserve">say)
</v>
      </c>
      <c r="N2563" s="4" cm="1">
        <f t="array" ref="N2563">SUM(--(_xlfn.TEXTSPLIT($J$2448,, " ") = M2563))</f>
        <v>2</v>
      </c>
      <c r="O2563">
        <v>1</v>
      </c>
      <c r="P2563" t="str">
        <v>reservation</v>
      </c>
      <c r="Q2563">
        <v>1</v>
      </c>
    </row>
    <row r="2564" spans="5:17" x14ac:dyDescent="0.2">
      <c r="E2564" s="9" t="s">
        <v>30</v>
      </c>
      <c r="K2564" t="str">
        <v>how</v>
      </c>
      <c r="L2564" s="4" t="str">
        <f t="shared" si="48"/>
        <v>how</v>
      </c>
      <c r="M2564" t="str">
        <v>for</v>
      </c>
      <c r="N2564" s="4" cm="1">
        <f t="array" ref="N2564">SUM(--(_xlfn.TEXTSPLIT($J$2448,, " ") = M2564))</f>
        <v>3</v>
      </c>
      <c r="O2564">
        <v>1</v>
      </c>
      <c r="P2564" t="str">
        <v>way),</v>
      </c>
      <c r="Q2564">
        <v>1</v>
      </c>
    </row>
    <row r="2565" spans="5:17" x14ac:dyDescent="0.2">
      <c r="E2565" s="9" t="s">
        <v>30</v>
      </c>
      <c r="K2565" t="str">
        <v>did</v>
      </c>
      <c r="L2565" s="4" t="str">
        <f t="shared" si="48"/>
        <v>did</v>
      </c>
      <c r="M2565" t="str">
        <v xml:space="preserve">(For-for-for-for-for-for)
</v>
      </c>
      <c r="N2565" s="4" cm="1">
        <f t="array" ref="N2565">SUM(--(_xlfn.TEXTSPLIT($J$2448,, " ") = M2565))</f>
        <v>1</v>
      </c>
      <c r="O2565">
        <v>1</v>
      </c>
      <c r="P2565" t="str">
        <v xml:space="preserve">out
</v>
      </c>
      <c r="Q2565">
        <v>1</v>
      </c>
    </row>
    <row r="2566" spans="5:17" x14ac:dyDescent="0.2">
      <c r="E2566" s="9" t="s">
        <v>30</v>
      </c>
      <c r="K2566" t="str">
        <v>you</v>
      </c>
      <c r="L2566" s="4" t="str">
        <f t="shared" si="48"/>
        <v>you</v>
      </c>
      <c r="M2566" t="str">
        <v>Right</v>
      </c>
      <c r="N2566" s="4" cm="1">
        <f t="array" ref="N2566">SUM(--(_xlfn.TEXTSPLIT($J$2448,, " ") = M2566))</f>
        <v>2</v>
      </c>
      <c r="O2566">
        <v>1</v>
      </c>
      <c r="P2566" t="str">
        <v xml:space="preserve">top
</v>
      </c>
      <c r="Q2566">
        <v>1</v>
      </c>
    </row>
    <row r="2567" spans="5:17" x14ac:dyDescent="0.2">
      <c r="E2567" s="9" t="s">
        <v>30</v>
      </c>
      <c r="K2567" t="str">
        <v>make</v>
      </c>
      <c r="L2567" s="4" t="str">
        <f t="shared" si="48"/>
        <v>make</v>
      </c>
      <c r="M2567" t="str">
        <v>way</v>
      </c>
      <c r="N2567" s="4" cm="1">
        <f t="array" ref="N2567">SUM(--(_xlfn.TEXTSPLIT($J$2448,, " ") = M2567))</f>
        <v>1</v>
      </c>
      <c r="O2567">
        <v>1</v>
      </c>
      <c r="P2567" t="str">
        <v xml:space="preserve">hands
</v>
      </c>
      <c r="Q2567">
        <v>1</v>
      </c>
    </row>
    <row r="2568" spans="5:17" x14ac:dyDescent="0.2">
      <c r="E2568" s="9" t="s">
        <v>30</v>
      </c>
      <c r="K2568" t="str">
        <v>out</v>
      </c>
      <c r="L2568" s="4" t="str">
        <f t="shared" si="48"/>
        <v>out</v>
      </c>
      <c r="M2568" t="str">
        <v>if</v>
      </c>
      <c r="N2568" s="4" cm="1">
        <f t="array" ref="N2568">SUM(--(_xlfn.TEXTSPLIT($J$2448,, " ") = M2568))</f>
        <v>1</v>
      </c>
      <c r="O2568">
        <v>1</v>
      </c>
      <c r="P2568" t="str">
        <v xml:space="preserve">can
</v>
      </c>
      <c r="Q2568">
        <v>1</v>
      </c>
    </row>
    <row r="2569" spans="5:17" x14ac:dyDescent="0.2">
      <c r="E2569" s="9" t="s">
        <v>30</v>
      </c>
      <c r="K2569" t="str">
        <v xml:space="preserve">alright?
</v>
      </c>
      <c r="L2569" s="4" t="str">
        <f t="shared" si="48"/>
        <v xml:space="preserve">alright  </v>
      </c>
      <c r="M2569" t="str">
        <v>you're</v>
      </c>
      <c r="N2569" s="4" cm="1">
        <f t="array" ref="N2569">SUM(--(_xlfn.TEXTSPLIT($J$2448,, " ") = M2569))</f>
        <v>1</v>
      </c>
      <c r="O2569">
        <v>1</v>
      </c>
      <c r="P2569" t="str">
        <v xml:space="preserve">(For-for-for-for-for-for)
</v>
      </c>
      <c r="Q2569">
        <v>1</v>
      </c>
    </row>
    <row r="2570" spans="5:17" x14ac:dyDescent="0.2">
      <c r="E2570" s="9" t="s">
        <v>30</v>
      </c>
      <c r="K2570" t="str">
        <v xml:space="preserve">Well
</v>
      </c>
      <c r="L2570" s="4" t="str">
        <f t="shared" si="48"/>
        <v xml:space="preserve">Well  </v>
      </c>
      <c r="M2570" t="str">
        <v>frustrated</v>
      </c>
      <c r="N2570" s="4" cm="1">
        <f t="array" ref="N2570">SUM(--(_xlfn.TEXTSPLIT($J$2448,, " ") = M2570))</f>
        <v>1</v>
      </c>
      <c r="O2570">
        <v>1</v>
      </c>
      <c r="P2570" t="str">
        <v>way</v>
      </c>
      <c r="Q2570">
        <v>1</v>
      </c>
    </row>
    <row r="2571" spans="5:17" x14ac:dyDescent="0.2">
      <c r="E2571" s="9" t="s">
        <v>30</v>
      </c>
      <c r="K2571" t="str">
        <v>I</v>
      </c>
      <c r="L2571" s="4" t="str">
        <f t="shared" si="48"/>
        <v>I</v>
      </c>
      <c r="M2571" t="str">
        <v>Your</v>
      </c>
      <c r="N2571" s="4" cm="1">
        <f t="array" ref="N2571">SUM(--(_xlfn.TEXTSPLIT($J$2448,, " ") = M2571))</f>
        <v>1</v>
      </c>
      <c r="O2571">
        <v>1</v>
      </c>
      <c r="P2571" t="str">
        <v>if</v>
      </c>
      <c r="Q2571">
        <v>1</v>
      </c>
    </row>
    <row r="2572" spans="5:17" x14ac:dyDescent="0.2">
      <c r="E2572" s="9" t="s">
        <v>30</v>
      </c>
      <c r="K2572" t="str">
        <v>pull</v>
      </c>
      <c r="L2572" s="4" t="str">
        <f t="shared" si="48"/>
        <v>pull</v>
      </c>
      <c r="M2572" t="str">
        <v>first</v>
      </c>
      <c r="N2572" s="4" cm="1">
        <f t="array" ref="N2572">SUM(--(_xlfn.TEXTSPLIT($J$2448,, " ") = M2572))</f>
        <v>1</v>
      </c>
      <c r="O2572">
        <v>1</v>
      </c>
      <c r="P2572" t="str">
        <v>you're</v>
      </c>
      <c r="Q2572">
        <v>1</v>
      </c>
    </row>
    <row r="2573" spans="5:17" x14ac:dyDescent="0.2">
      <c r="E2573" s="9" t="s">
        <v>30</v>
      </c>
      <c r="K2573" t="str">
        <v>on</v>
      </c>
      <c r="L2573" s="4" t="str">
        <f t="shared" si="48"/>
        <v>on</v>
      </c>
      <c r="M2573" t="str">
        <v>mate</v>
      </c>
      <c r="N2573" s="4" cm="1">
        <f t="array" ref="N2573">SUM(--(_xlfn.TEXTSPLIT($J$2448,, " ") = M2573))</f>
        <v>1</v>
      </c>
      <c r="O2573">
        <v>1</v>
      </c>
      <c r="P2573" t="str">
        <v>frustrated</v>
      </c>
      <c r="Q2573">
        <v>1</v>
      </c>
    </row>
    <row r="2574" spans="5:17" x14ac:dyDescent="0.2">
      <c r="E2574" s="9" t="s">
        <v>30</v>
      </c>
      <c r="K2574" t="str">
        <v>my</v>
      </c>
      <c r="L2574" s="4" t="str">
        <f t="shared" si="48"/>
        <v>my</v>
      </c>
      <c r="M2574" t="str">
        <v>fifth</v>
      </c>
      <c r="N2574" s="4" cm="1">
        <f t="array" ref="N2574">SUM(--(_xlfn.TEXTSPLIT($J$2448,, " ") = M2574))</f>
        <v>1</v>
      </c>
      <c r="O2574">
        <v>1</v>
      </c>
      <c r="P2574" t="str">
        <v>Your</v>
      </c>
      <c r="Q2574">
        <v>1</v>
      </c>
    </row>
    <row r="2575" spans="5:17" x14ac:dyDescent="0.2">
      <c r="E2575" s="9" t="s">
        <v>30</v>
      </c>
      <c r="K2575" t="str">
        <v>shirtsleeve</v>
      </c>
      <c r="L2575" s="4" t="str">
        <f t="shared" si="48"/>
        <v>shirtsleeve</v>
      </c>
      <c r="M2575" t="str">
        <v>grade</v>
      </c>
      <c r="N2575" s="4" cm="1">
        <f t="array" ref="N2575">SUM(--(_xlfn.TEXTSPLIT($J$2448,, " ") = M2575))</f>
        <v>1</v>
      </c>
      <c r="O2575">
        <v>1</v>
      </c>
      <c r="P2575" t="str">
        <v>first</v>
      </c>
      <c r="Q2575">
        <v>1</v>
      </c>
    </row>
    <row r="2576" spans="5:17" x14ac:dyDescent="0.2">
      <c r="E2576" s="9" t="s">
        <v>30</v>
      </c>
      <c r="K2576" t="str">
        <v>to</v>
      </c>
      <c r="L2576" s="4" t="str">
        <f t="shared" si="48"/>
        <v>to</v>
      </c>
      <c r="M2576" t="str">
        <v>tried</v>
      </c>
      <c r="N2576" s="4" cm="1">
        <f t="array" ref="N2576">SUM(--(_xlfn.TEXTSPLIT($J$2448,, " ") = M2576))</f>
        <v>1</v>
      </c>
      <c r="O2576">
        <v>1</v>
      </c>
      <c r="P2576" t="str">
        <v>mate</v>
      </c>
      <c r="Q2576">
        <v>1</v>
      </c>
    </row>
    <row r="2577" spans="5:17" x14ac:dyDescent="0.2">
      <c r="E2577" s="9" t="s">
        <v>30</v>
      </c>
      <c r="K2577" t="str">
        <v>cover</v>
      </c>
      <c r="L2577" s="4" t="str">
        <f t="shared" ref="L2577:L2640" si="49">_xlfn.REGEXREPLACE(K2577, "[^A-Za-z ]", " ")</f>
        <v>cover</v>
      </c>
      <c r="M2577" t="str">
        <v xml:space="preserve">persuade
</v>
      </c>
      <c r="N2577" s="4" cm="1">
        <f t="array" ref="N2577">SUM(--(_xlfn.TEXTSPLIT($J$2448,, " ") = M2577))</f>
        <v>1</v>
      </c>
      <c r="O2577">
        <v>1</v>
      </c>
      <c r="P2577" t="str">
        <v>fifth</v>
      </c>
      <c r="Q2577">
        <v>1</v>
      </c>
    </row>
    <row r="2578" spans="5:17" x14ac:dyDescent="0.2">
      <c r="E2578" s="9" t="s">
        <v>30</v>
      </c>
      <c r="K2578" t="str">
        <v>half</v>
      </c>
      <c r="L2578" s="4" t="str">
        <f t="shared" si="49"/>
        <v>half</v>
      </c>
      <c r="M2578" t="str">
        <v>Try</v>
      </c>
      <c r="N2578" s="4" cm="1">
        <f t="array" ref="N2578">SUM(--(_xlfn.TEXTSPLIT($J$2448,, " ") = M2578))</f>
        <v>1</v>
      </c>
      <c r="O2578">
        <v>1</v>
      </c>
      <c r="P2578" t="str">
        <v>grade</v>
      </c>
      <c r="Q2578">
        <v>1</v>
      </c>
    </row>
    <row r="2579" spans="5:17" x14ac:dyDescent="0.2">
      <c r="E2579" s="9" t="s">
        <v>30</v>
      </c>
      <c r="K2579" t="str">
        <v>of</v>
      </c>
      <c r="L2579" s="4" t="str">
        <f t="shared" si="49"/>
        <v>of</v>
      </c>
      <c r="M2579" t="str">
        <v>once,</v>
      </c>
      <c r="N2579" s="4" cm="1">
        <f t="array" ref="N2579">SUM(--(_xlfn.TEXTSPLIT($J$2448,, " ") = M2579))</f>
        <v>1</v>
      </c>
      <c r="O2579">
        <v>1</v>
      </c>
      <c r="P2579" t="str">
        <v>tried</v>
      </c>
      <c r="Q2579">
        <v>1</v>
      </c>
    </row>
    <row r="2580" spans="5:17" x14ac:dyDescent="0.2">
      <c r="E2580" s="9" t="s">
        <v>30</v>
      </c>
      <c r="K2580" t="str">
        <v>my</v>
      </c>
      <c r="L2580" s="4" t="str">
        <f t="shared" si="49"/>
        <v>my</v>
      </c>
      <c r="M2580" t="str">
        <v>he</v>
      </c>
      <c r="N2580" s="4" cm="1">
        <f t="array" ref="N2580">SUM(--(_xlfn.TEXTSPLIT($J$2448,, " ") = M2580))</f>
        <v>1</v>
      </c>
      <c r="O2580">
        <v>1</v>
      </c>
      <c r="P2580" t="str">
        <v xml:space="preserve">persuade
</v>
      </c>
      <c r="Q2580">
        <v>1</v>
      </c>
    </row>
    <row r="2581" spans="5:17" x14ac:dyDescent="0.2">
      <c r="E2581" s="9" t="s">
        <v>30</v>
      </c>
      <c r="K2581" t="str">
        <v xml:space="preserve">hands
</v>
      </c>
      <c r="L2581" s="4" t="str">
        <f t="shared" si="49"/>
        <v xml:space="preserve">hands </v>
      </c>
      <c r="M2581" t="str">
        <v>was</v>
      </c>
      <c r="N2581" s="4" cm="1">
        <f t="array" ref="N2581">SUM(--(_xlfn.TEXTSPLIT($J$2448,, " ") = M2581))</f>
        <v>2</v>
      </c>
      <c r="O2581">
        <v>1</v>
      </c>
      <c r="P2581" t="str">
        <v>Try</v>
      </c>
      <c r="Q2581">
        <v>1</v>
      </c>
    </row>
    <row r="2582" spans="5:17" x14ac:dyDescent="0.2">
      <c r="E2582" s="9" t="s">
        <v>30</v>
      </c>
      <c r="K2582" t="str">
        <v>Bring</v>
      </c>
      <c r="L2582" s="4" t="str">
        <f t="shared" si="49"/>
        <v>Bring</v>
      </c>
      <c r="M2582" t="str">
        <v>shown</v>
      </c>
      <c r="N2582" s="4" cm="1">
        <f t="array" ref="N2582">SUM(--(_xlfn.TEXTSPLIT($J$2448,, " ") = M2582))</f>
        <v>1</v>
      </c>
      <c r="O2582">
        <v>1</v>
      </c>
      <c r="P2582" t="str">
        <v>once,</v>
      </c>
      <c r="Q2582">
        <v>1</v>
      </c>
    </row>
    <row r="2583" spans="5:17" x14ac:dyDescent="0.2">
      <c r="E2583" s="9" t="s">
        <v>30</v>
      </c>
      <c r="K2583" t="str">
        <v>my</v>
      </c>
      <c r="L2583" s="4" t="str">
        <f t="shared" si="49"/>
        <v>my</v>
      </c>
      <c r="M2583" t="str">
        <v>bus</v>
      </c>
      <c r="N2583" s="4" cm="1">
        <f t="array" ref="N2583">SUM(--(_xlfn.TEXTSPLIT($J$2448,, " ") = M2583))</f>
        <v>1</v>
      </c>
      <c r="O2583">
        <v>1</v>
      </c>
      <c r="P2583" t="str">
        <v>he</v>
      </c>
      <c r="Q2583">
        <v>1</v>
      </c>
    </row>
    <row r="2584" spans="5:17" x14ac:dyDescent="0.2">
      <c r="E2584" s="9" t="s">
        <v>30</v>
      </c>
      <c r="K2584" t="str">
        <v>arms</v>
      </c>
      <c r="L2584" s="4" t="str">
        <f t="shared" si="49"/>
        <v>arms</v>
      </c>
      <c r="M2584" t="str">
        <v>Chain's</v>
      </c>
      <c r="N2584" s="4" cm="1">
        <f t="array" ref="N2584">SUM(--(_xlfn.TEXTSPLIT($J$2448,, " ") = M2584))</f>
        <v>1</v>
      </c>
      <c r="O2584">
        <v>1</v>
      </c>
      <c r="P2584" t="str">
        <v>shown</v>
      </c>
      <c r="Q2584">
        <v>1</v>
      </c>
    </row>
    <row r="2585" spans="5:17" x14ac:dyDescent="0.2">
      <c r="E2585" s="9" t="s">
        <v>30</v>
      </c>
      <c r="K2585" t="str">
        <v>closer</v>
      </c>
      <c r="L2585" s="4" t="str">
        <f t="shared" si="49"/>
        <v>closer</v>
      </c>
      <c r="M2585" t="str">
        <v>huff,</v>
      </c>
      <c r="N2585" s="4" cm="1">
        <f t="array" ref="N2585">SUM(--(_xlfn.TEXTSPLIT($J$2448,, " ") = M2585))</f>
        <v>1</v>
      </c>
      <c r="O2585">
        <v>1</v>
      </c>
      <c r="P2585" t="str">
        <v>bus</v>
      </c>
      <c r="Q2585">
        <v>1</v>
      </c>
    </row>
    <row r="2586" spans="5:17" x14ac:dyDescent="0.2">
      <c r="E2586" s="9" t="s">
        <v>30</v>
      </c>
      <c r="K2586" t="str">
        <v>to</v>
      </c>
      <c r="L2586" s="4" t="str">
        <f t="shared" si="49"/>
        <v>to</v>
      </c>
      <c r="M2586" t="str">
        <v>anxious</v>
      </c>
      <c r="N2586" s="4" cm="1">
        <f t="array" ref="N2586">SUM(--(_xlfn.TEXTSPLIT($J$2448,, " ") = M2586))</f>
        <v>1</v>
      </c>
      <c r="O2586">
        <v>1</v>
      </c>
      <c r="P2586" t="str">
        <v>Chain's</v>
      </c>
      <c r="Q2586">
        <v>1</v>
      </c>
    </row>
    <row r="2587" spans="5:17" x14ac:dyDescent="0.2">
      <c r="E2587" s="9" t="s">
        <v>30</v>
      </c>
      <c r="K2587" t="str">
        <v>my</v>
      </c>
      <c r="L2587" s="4" t="str">
        <f t="shared" si="49"/>
        <v>my</v>
      </c>
      <c r="M2587" t="str">
        <v>enough</v>
      </c>
      <c r="N2587" s="4" cm="1">
        <f t="array" ref="N2587">SUM(--(_xlfn.TEXTSPLIT($J$2448,, " ") = M2587))</f>
        <v>1</v>
      </c>
      <c r="O2587">
        <v>1</v>
      </c>
      <c r="P2587" t="str">
        <v>huff,</v>
      </c>
      <c r="Q2587">
        <v>1</v>
      </c>
    </row>
    <row r="2588" spans="5:17" x14ac:dyDescent="0.2">
      <c r="E2588" s="9" t="s">
        <v>30</v>
      </c>
      <c r="K2588" t="str">
        <v>body,</v>
      </c>
      <c r="L2588" s="4" t="str">
        <f t="shared" si="49"/>
        <v xml:space="preserve">body </v>
      </c>
      <c r="M2588" t="str">
        <v>Gotta</v>
      </c>
      <c r="N2588" s="4" cm="1">
        <f t="array" ref="N2588">SUM(--(_xlfn.TEXTSPLIT($J$2448,, " ") = M2588))</f>
        <v>1</v>
      </c>
      <c r="O2588">
        <v>1</v>
      </c>
      <c r="P2588" t="str">
        <v>anxious</v>
      </c>
      <c r="Q2588">
        <v>1</v>
      </c>
    </row>
    <row r="2589" spans="5:17" x14ac:dyDescent="0.2">
      <c r="E2589" s="9" t="s">
        <v>30</v>
      </c>
      <c r="K2589" t="str">
        <v>get</v>
      </c>
      <c r="L2589" s="4" t="str">
        <f t="shared" si="49"/>
        <v>get</v>
      </c>
      <c r="M2589" t="str">
        <v>walk,</v>
      </c>
      <c r="N2589" s="4" cm="1">
        <f t="array" ref="N2589">SUM(--(_xlfn.TEXTSPLIT($J$2448,, " ") = M2589))</f>
        <v>1</v>
      </c>
      <c r="O2589">
        <v>1</v>
      </c>
      <c r="P2589" t="str">
        <v>enough</v>
      </c>
      <c r="Q2589">
        <v>1</v>
      </c>
    </row>
    <row r="2590" spans="5:17" x14ac:dyDescent="0.2">
      <c r="E2590" s="9" t="s">
        <v>30</v>
      </c>
      <c r="K2590" t="str">
        <v>as</v>
      </c>
      <c r="L2590" s="4" t="str">
        <f t="shared" si="49"/>
        <v>as</v>
      </c>
      <c r="M2590" t="str">
        <v>never</v>
      </c>
      <c r="N2590" s="4" cm="1">
        <f t="array" ref="N2590">SUM(--(_xlfn.TEXTSPLIT($J$2448,, " ") = M2590))</f>
        <v>1</v>
      </c>
      <c r="O2590">
        <v>1</v>
      </c>
      <c r="P2590" t="str">
        <v>Gotta</v>
      </c>
      <c r="Q2590">
        <v>1</v>
      </c>
    </row>
    <row r="2591" spans="5:17" x14ac:dyDescent="0.2">
      <c r="E2591" s="9" t="s">
        <v>30</v>
      </c>
      <c r="K2591" t="str">
        <v>small</v>
      </c>
      <c r="L2591" s="4" t="str">
        <f t="shared" si="49"/>
        <v>small</v>
      </c>
      <c r="M2591" t="str">
        <v>looking</v>
      </c>
      <c r="N2591" s="4" cm="1">
        <f t="array" ref="N2591">SUM(--(_xlfn.TEXTSPLIT($J$2448,, " ") = M2591))</f>
        <v>1</v>
      </c>
      <c r="O2591">
        <v>1</v>
      </c>
      <c r="P2591" t="str">
        <v>walk,</v>
      </c>
      <c r="Q2591">
        <v>1</v>
      </c>
    </row>
    <row r="2592" spans="5:17" x14ac:dyDescent="0.2">
      <c r="E2592" s="9" t="s">
        <v>30</v>
      </c>
      <c r="K2592" t="str">
        <v>as</v>
      </c>
      <c r="L2592" s="4" t="str">
        <f t="shared" si="49"/>
        <v>as</v>
      </c>
      <c r="M2592" t="str">
        <v>up</v>
      </c>
      <c r="N2592" s="4" cm="1">
        <f t="array" ref="N2592">SUM(--(_xlfn.TEXTSPLIT($J$2448,, " ") = M2592))</f>
        <v>1</v>
      </c>
      <c r="O2592">
        <v>1</v>
      </c>
      <c r="P2592" t="str">
        <v>never</v>
      </c>
      <c r="Q2592">
        <v>1</v>
      </c>
    </row>
    <row r="2593" spans="5:17" x14ac:dyDescent="0.2">
      <c r="E2593" s="9" t="s">
        <v>30</v>
      </c>
      <c r="K2593" t="str">
        <v>I</v>
      </c>
      <c r="L2593" s="4" t="str">
        <f t="shared" si="49"/>
        <v>I</v>
      </c>
      <c r="M2593" t="str">
        <v>once</v>
      </c>
      <c r="N2593" s="4" cm="1">
        <f t="array" ref="N2593">SUM(--(_xlfn.TEXTSPLIT($J$2448,, " ") = M2593))</f>
        <v>1</v>
      </c>
      <c r="O2593">
        <v>1</v>
      </c>
      <c r="P2593" t="str">
        <v>looking</v>
      </c>
      <c r="Q2593">
        <v>1</v>
      </c>
    </row>
    <row r="2594" spans="5:17" x14ac:dyDescent="0.2">
      <c r="E2594" s="9" t="s">
        <v>30</v>
      </c>
      <c r="K2594" t="str">
        <v xml:space="preserve">can
</v>
      </c>
      <c r="L2594" s="4" t="str">
        <f t="shared" si="49"/>
        <v xml:space="preserve">can </v>
      </c>
      <c r="M2594" t="str">
        <v>at</v>
      </c>
      <c r="N2594" s="4" cm="1">
        <f t="array" ref="N2594">SUM(--(_xlfn.TEXTSPLIT($J$2448,, " ") = M2594))</f>
        <v>1</v>
      </c>
      <c r="O2594">
        <v>1</v>
      </c>
      <c r="P2594" t="str">
        <v>up</v>
      </c>
      <c r="Q2594">
        <v>1</v>
      </c>
    </row>
    <row r="2595" spans="5:17" x14ac:dyDescent="0.2">
      <c r="E2595" s="9" t="s">
        <v>30</v>
      </c>
      <c r="K2595" t="str">
        <v>They</v>
      </c>
      <c r="L2595" s="4" t="str">
        <f t="shared" si="49"/>
        <v>They</v>
      </c>
      <c r="M2595" t="str">
        <v>kids</v>
      </c>
      <c r="N2595" s="4" cm="1">
        <f t="array" ref="N2595">SUM(--(_xlfn.TEXTSPLIT($J$2448,, " ") = M2595))</f>
        <v>1</v>
      </c>
      <c r="O2595">
        <v>1</v>
      </c>
      <c r="P2595" t="str">
        <v>once</v>
      </c>
      <c r="Q2595">
        <v>1</v>
      </c>
    </row>
    <row r="2596" spans="5:17" x14ac:dyDescent="0.2">
      <c r="E2596" s="9" t="s">
        <v>30</v>
      </c>
      <c r="K2596" t="str">
        <v>call</v>
      </c>
      <c r="L2596" s="4" t="str">
        <f t="shared" si="49"/>
        <v>call</v>
      </c>
      <c r="M2596" t="str">
        <v xml:space="preserve">park
</v>
      </c>
      <c r="N2596" s="4" cm="1">
        <f t="array" ref="N2596">SUM(--(_xlfn.TEXTSPLIT($J$2448,, " ") = M2596))</f>
        <v>1</v>
      </c>
      <c r="O2596">
        <v>1</v>
      </c>
      <c r="P2596" t="str">
        <v>at</v>
      </c>
      <c r="Q2596">
        <v>1</v>
      </c>
    </row>
    <row r="2597" spans="5:17" x14ac:dyDescent="0.2">
      <c r="E2597" s="9" t="s">
        <v>30</v>
      </c>
      <c r="K2597" t="str">
        <v>it</v>
      </c>
      <c r="L2597" s="4" t="str">
        <f t="shared" si="49"/>
        <v>it</v>
      </c>
      <c r="M2597" t="str">
        <v>day,</v>
      </c>
      <c r="N2597" s="4" cm="1">
        <f t="array" ref="N2597">SUM(--(_xlfn.TEXTSPLIT($J$2448,, " ") = M2597))</f>
        <v>1</v>
      </c>
      <c r="O2597">
        <v>1</v>
      </c>
      <c r="P2597" t="str">
        <v>kids</v>
      </c>
      <c r="Q2597">
        <v>1</v>
      </c>
    </row>
    <row r="2598" spans="5:17" x14ac:dyDescent="0.2">
      <c r="E2598" s="9" t="s">
        <v>30</v>
      </c>
      <c r="K2598" t="str">
        <v>center</v>
      </c>
      <c r="L2598" s="4" t="str">
        <f t="shared" si="49"/>
        <v>center</v>
      </c>
      <c r="M2598" t="str">
        <v>getting</v>
      </c>
      <c r="N2598" s="4" cm="1">
        <f t="array" ref="N2598">SUM(--(_xlfn.TEXTSPLIT($J$2448,, " ") = M2598))</f>
        <v>1</v>
      </c>
      <c r="O2598">
        <v>1</v>
      </c>
      <c r="P2598" t="str">
        <v xml:space="preserve">park
</v>
      </c>
      <c r="Q2598">
        <v>1</v>
      </c>
    </row>
    <row r="2599" spans="5:17" x14ac:dyDescent="0.2">
      <c r="E2599" s="9" t="s">
        <v>30</v>
      </c>
      <c r="K2599" t="str">
        <v>mass,</v>
      </c>
      <c r="L2599" s="4" t="str">
        <f t="shared" si="49"/>
        <v xml:space="preserve">mass </v>
      </c>
      <c r="M2599" t="str">
        <v>dark,</v>
      </c>
      <c r="N2599" s="4" cm="1">
        <f t="array" ref="N2599">SUM(--(_xlfn.TEXTSPLIT($J$2448,, " ") = M2599))</f>
        <v>1</v>
      </c>
      <c r="O2599">
        <v>1</v>
      </c>
      <c r="P2599" t="str">
        <v>day,</v>
      </c>
      <c r="Q2599">
        <v>1</v>
      </c>
    </row>
    <row r="2600" spans="5:17" x14ac:dyDescent="0.2">
      <c r="E2600" s="9" t="s">
        <v>30</v>
      </c>
      <c r="K2600" t="str">
        <v>that</v>
      </c>
      <c r="L2600" s="4" t="str">
        <f t="shared" si="49"/>
        <v>that</v>
      </c>
      <c r="M2600" t="str">
        <v>day</v>
      </c>
      <c r="N2600" s="4" cm="1">
        <f t="array" ref="N2600">SUM(--(_xlfn.TEXTSPLIT($J$2448,, " ") = M2600))</f>
        <v>1</v>
      </c>
      <c r="O2600">
        <v>1</v>
      </c>
      <c r="P2600" t="str">
        <v>getting</v>
      </c>
      <c r="Q2600">
        <v>1</v>
      </c>
    </row>
    <row r="2601" spans="5:17" x14ac:dyDescent="0.2">
      <c r="E2601" s="9" t="s">
        <v>30</v>
      </c>
      <c r="K2601" t="str">
        <v>part</v>
      </c>
      <c r="L2601" s="4" t="str">
        <f t="shared" si="49"/>
        <v>part</v>
      </c>
      <c r="M2601" t="str">
        <v>out(I</v>
      </c>
      <c r="N2601" s="4" cm="1">
        <f t="array" ref="N2601">SUM(--(_xlfn.TEXTSPLIT($J$2448,, " ") = M2601))</f>
        <v>1</v>
      </c>
      <c r="O2601">
        <v>1</v>
      </c>
      <c r="P2601" t="str">
        <v>dark,</v>
      </c>
      <c r="Q2601">
        <v>1</v>
      </c>
    </row>
    <row r="2602" spans="5:17" x14ac:dyDescent="0.2">
      <c r="E2602" s="9" t="s">
        <v>30</v>
      </c>
      <c r="K2602" t="str">
        <v>they</v>
      </c>
      <c r="L2602" s="4" t="str">
        <f t="shared" si="49"/>
        <v>they</v>
      </c>
      <c r="M2602" t="str">
        <v xml:space="preserve">out)
</v>
      </c>
      <c r="N2602" s="4" cm="1">
        <f t="array" ref="N2602">SUM(--(_xlfn.TEXTSPLIT($J$2448,, " ") = M2602))</f>
        <v>1</v>
      </c>
      <c r="O2602">
        <v>1</v>
      </c>
      <c r="P2602" t="str">
        <v>day</v>
      </c>
      <c r="Q2602">
        <v>1</v>
      </c>
    </row>
    <row r="2603" spans="5:17" x14ac:dyDescent="0.2">
      <c r="E2603" s="9" t="s">
        <v>30</v>
      </c>
      <c r="K2603" t="str">
        <v>aim</v>
      </c>
      <c r="L2603" s="4" t="str">
        <f t="shared" si="49"/>
        <v>aim</v>
      </c>
      <c r="M2603" t="str">
        <v>top</v>
      </c>
      <c r="N2603" s="4" cm="1">
        <f t="array" ref="N2603">SUM(--(_xlfn.TEXTSPLIT($J$2448,, " ") = M2603))</f>
        <v>1</v>
      </c>
      <c r="O2603">
        <v>1</v>
      </c>
      <c r="P2603" t="str">
        <v>out(I</v>
      </c>
      <c r="Q2603">
        <v>1</v>
      </c>
    </row>
    <row r="2604" spans="5:17" x14ac:dyDescent="0.2">
      <c r="E2604" s="9" t="s">
        <v>30</v>
      </c>
      <c r="K2604" t="str">
        <v xml:space="preserve">for
</v>
      </c>
      <c r="L2604" s="4" t="str">
        <f t="shared" si="49"/>
        <v xml:space="preserve">for </v>
      </c>
      <c r="M2604" t="str">
        <v>(You</v>
      </c>
      <c r="N2604" s="4" cm="1">
        <f t="array" ref="N2604">SUM(--(_xlfn.TEXTSPLIT($J$2448,, " ") = M2604))</f>
        <v>1</v>
      </c>
      <c r="O2604">
        <v>1</v>
      </c>
      <c r="P2604" t="str">
        <v xml:space="preserve">out)
</v>
      </c>
      <c r="Q2604">
        <v>1</v>
      </c>
    </row>
    <row r="2605" spans="5:17" x14ac:dyDescent="0.2">
      <c r="E2605" s="9" t="s">
        <v>30</v>
      </c>
      <c r="K2605" t="str">
        <v>Shrink</v>
      </c>
      <c r="L2605" s="4" t="str">
        <f t="shared" si="49"/>
        <v>Shrink</v>
      </c>
      <c r="M2605" t="str">
        <v xml:space="preserve">top)
</v>
      </c>
      <c r="N2605" s="4" cm="1">
        <f t="array" ref="N2605">SUM(--(_xlfn.TEXTSPLIT($J$2448,, " ") = M2605))</f>
        <v>1</v>
      </c>
      <c r="O2605">
        <v>1</v>
      </c>
      <c r="P2605" t="str">
        <v>top</v>
      </c>
      <c r="Q2605">
        <v>1</v>
      </c>
    </row>
    <row r="2606" spans="5:17" x14ac:dyDescent="0.2">
      <c r="E2606" s="9" t="s">
        <v>30</v>
      </c>
      <c r="K2606" t="str">
        <v>it</v>
      </c>
      <c r="L2606" s="4" t="str">
        <f t="shared" si="49"/>
        <v>it</v>
      </c>
      <c r="M2606" t="str">
        <v>hands</v>
      </c>
      <c r="N2606" s="4" cm="1">
        <f t="array" ref="N2606">SUM(--(_xlfn.TEXTSPLIT($J$2448,, " ") = M2606))</f>
        <v>1</v>
      </c>
      <c r="O2606">
        <v>1</v>
      </c>
      <c r="P2606" t="str">
        <v>(You</v>
      </c>
      <c r="Q2606">
        <v>1</v>
      </c>
    </row>
    <row r="2607" spans="5:17" x14ac:dyDescent="0.2">
      <c r="E2607" s="9" t="s">
        <v>30</v>
      </c>
      <c r="K2607" t="str">
        <v>down</v>
      </c>
      <c r="L2607" s="4" t="str">
        <f t="shared" si="49"/>
        <v>down</v>
      </c>
      <c r="M2607" t="str">
        <v xml:space="preserve">hands)
</v>
      </c>
      <c r="N2607" s="4" cm="1">
        <f t="array" ref="N2607">SUM(--(_xlfn.TEXTSPLIT($J$2448,, " ") = M2607))</f>
        <v>1</v>
      </c>
      <c r="O2607">
        <v>1</v>
      </c>
      <c r="P2607" t="str">
        <v xml:space="preserve">top)
</v>
      </c>
      <c r="Q2607">
        <v>1</v>
      </c>
    </row>
    <row r="2608" spans="5:17" x14ac:dyDescent="0.2">
      <c r="E2608" s="9" t="s">
        <v>30</v>
      </c>
      <c r="K2608" t="str">
        <v>to</v>
      </c>
      <c r="L2608" s="4" t="str">
        <f t="shared" si="49"/>
        <v>to</v>
      </c>
      <c r="M2608" t="str">
        <v>can</v>
      </c>
      <c r="N2608" s="4" cm="1">
        <f t="array" ref="N2608">SUM(--(_xlfn.TEXTSPLIT($J$2448,, " ") = M2608))</f>
        <v>1</v>
      </c>
      <c r="O2608">
        <v>1</v>
      </c>
      <c r="P2608" t="str">
        <v>hands</v>
      </c>
      <c r="Q2608">
        <v>1</v>
      </c>
    </row>
    <row r="2609" spans="5:17" x14ac:dyDescent="0.2">
      <c r="E2609" s="9" t="s">
        <v>30</v>
      </c>
      <c r="K2609" t="str">
        <v>nothing</v>
      </c>
      <c r="L2609" s="4" t="str">
        <f t="shared" si="49"/>
        <v>nothing</v>
      </c>
      <c r="M2609" t="str">
        <v xml:space="preserve">can)
</v>
      </c>
      <c r="N2609" s="4" cm="1">
        <f t="array" ref="N2609">SUM(--(_xlfn.TEXTSPLIT($J$2448,, " ") = M2609))</f>
        <v>1</v>
      </c>
      <c r="O2609">
        <v>1</v>
      </c>
      <c r="P2609" t="str">
        <v xml:space="preserve">hands)
</v>
      </c>
      <c r="Q2609">
        <v>1</v>
      </c>
    </row>
    <row r="2610" spans="5:17" x14ac:dyDescent="0.2">
      <c r="E2610" s="9" t="s">
        <v>30</v>
      </c>
      <c r="K2610" t="str">
        <v>and</v>
      </c>
      <c r="L2610" s="4" t="str">
        <f t="shared" si="49"/>
        <v>and</v>
      </c>
      <c r="M2610" t="str">
        <v/>
      </c>
      <c r="N2610" s="4" cm="1">
        <f t="array" ref="N2610">SUM(--(_xlfn.TEXTSPLIT($J$2448,, " ") = M2610))</f>
        <v>1</v>
      </c>
      <c r="O2610">
        <v>1</v>
      </c>
      <c r="P2610" t="str">
        <v>can</v>
      </c>
      <c r="Q2610">
        <v>1</v>
      </c>
    </row>
    <row r="2611" spans="5:17" x14ac:dyDescent="0.2">
      <c r="E2611" s="9" t="s">
        <v>30</v>
      </c>
      <c r="K2611" t="str">
        <v>forgetting</v>
      </c>
      <c r="L2611" s="4" t="str">
        <f t="shared" si="49"/>
        <v>forgetting</v>
      </c>
      <c r="M2611" t="str">
        <v xml:space="preserve">for
</v>
      </c>
      <c r="N2611" s="4" cm="1">
        <f t="array" ref="N2611">SUM(--(_xlfn.TEXTSPLIT($J$2448,, " ") = M2611))</f>
        <v>2</v>
      </c>
      <c r="O2611">
        <v>1</v>
      </c>
      <c r="P2611" t="str">
        <v xml:space="preserve">can)
</v>
      </c>
      <c r="Q2611">
        <v>1</v>
      </c>
    </row>
    <row r="2612" spans="5:17" x14ac:dyDescent="0.2">
      <c r="E2612" s="9" t="s">
        <v>30</v>
      </c>
      <c r="K2612" t="str">
        <v>what</v>
      </c>
      <c r="L2612" s="4" t="str">
        <f t="shared" si="49"/>
        <v>what</v>
      </c>
      <c r="M2612" t="str">
        <v>Found</v>
      </c>
      <c r="N2612" s="4" cm="1">
        <f t="array" ref="N2612">SUM(--(_xlfn.TEXTSPLIT($J$2448,, " ") = M2612))</f>
        <v>1</v>
      </c>
      <c r="O2612">
        <v>1</v>
      </c>
      <c r="P2612" t="str">
        <v/>
      </c>
      <c r="Q2612">
        <v>1</v>
      </c>
    </row>
    <row r="2613" spans="5:17" x14ac:dyDescent="0.2">
      <c r="E2613" s="9" t="s">
        <v>30</v>
      </c>
      <c r="K2613" t="str">
        <v>the</v>
      </c>
      <c r="L2613" s="4" t="str">
        <f t="shared" si="49"/>
        <v>the</v>
      </c>
      <c r="M2613" t="str">
        <v>I'm</v>
      </c>
      <c r="N2613" s="4" cm="1">
        <f t="array" ref="N2613">SUM(--(_xlfn.TEXTSPLIT($J$2448,, " ") = M2613))</f>
        <v>1</v>
      </c>
      <c r="O2613">
        <v>1</v>
      </c>
      <c r="P2613" t="str">
        <v>Found</v>
      </c>
      <c r="Q2613">
        <v>1</v>
      </c>
    </row>
    <row r="2614" spans="5:17" x14ac:dyDescent="0.2">
      <c r="E2614" s="9" t="s">
        <v>30</v>
      </c>
      <c r="K2614" t="str">
        <v>pain's</v>
      </c>
      <c r="L2614" s="4" t="str">
        <f t="shared" si="49"/>
        <v>pain s</v>
      </c>
      <c r="M2614" t="str">
        <v>worth,</v>
      </c>
      <c r="N2614" s="4" cm="1">
        <f t="array" ref="N2614">SUM(--(_xlfn.TEXTSPLIT($J$2448,, " ") = M2614))</f>
        <v>1</v>
      </c>
      <c r="O2614">
        <v>1</v>
      </c>
      <c r="P2614" t="str">
        <v>I'm</v>
      </c>
      <c r="Q2614">
        <v>1</v>
      </c>
    </row>
    <row r="2615" spans="5:17" x14ac:dyDescent="0.2">
      <c r="E2615" s="9" t="s">
        <v>30</v>
      </c>
      <c r="K2615" t="str">
        <v xml:space="preserve">for
</v>
      </c>
      <c r="L2615" s="4" t="str">
        <f t="shared" si="49"/>
        <v xml:space="preserve">for </v>
      </c>
      <c r="M2615" t="str">
        <v>run</v>
      </c>
      <c r="N2615" s="4" cm="1">
        <f t="array" ref="N2615">SUM(--(_xlfn.TEXTSPLIT($J$2448,, " ") = M2615))</f>
        <v>1</v>
      </c>
      <c r="O2615">
        <v>1</v>
      </c>
      <c r="P2615" t="str">
        <v>worth,</v>
      </c>
      <c r="Q2615">
        <v>1</v>
      </c>
    </row>
    <row r="2616" spans="5:17" x14ac:dyDescent="0.2">
      <c r="E2616" s="9" t="s">
        <v>30</v>
      </c>
      <c r="K2616" t="str">
        <v>I</v>
      </c>
      <c r="L2616" s="4" t="str">
        <f t="shared" si="49"/>
        <v>I</v>
      </c>
      <c r="M2616" t="str">
        <v xml:space="preserve">you
</v>
      </c>
      <c r="N2616" s="4" cm="1">
        <f t="array" ref="N2616">SUM(--(_xlfn.TEXTSPLIT($J$2448,, " ") = M2616))</f>
        <v>1</v>
      </c>
      <c r="O2616">
        <v>1</v>
      </c>
      <c r="P2616" t="str">
        <v>run</v>
      </c>
      <c r="Q2616">
        <v>1</v>
      </c>
    </row>
    <row r="2617" spans="5:17" x14ac:dyDescent="0.2">
      <c r="E2617" s="9" t="s">
        <v>30</v>
      </c>
      <c r="K2617" t="str">
        <v>pull</v>
      </c>
      <c r="L2617" s="4" t="str">
        <f t="shared" si="49"/>
        <v>pull</v>
      </c>
      <c r="M2617" t="str">
        <v>hope</v>
      </c>
      <c r="N2617" s="4" cm="1">
        <f t="array" ref="N2617">SUM(--(_xlfn.TEXTSPLIT($J$2448,, " ") = M2617))</f>
        <v>1</v>
      </c>
      <c r="O2617">
        <v>1</v>
      </c>
      <c r="P2617" t="str">
        <v xml:space="preserve">you
</v>
      </c>
      <c r="Q2617">
        <v>1</v>
      </c>
    </row>
    <row r="2618" spans="5:17" x14ac:dyDescent="0.2">
      <c r="E2618" s="9" t="s">
        <v>30</v>
      </c>
      <c r="K2618" t="str">
        <v>on</v>
      </c>
      <c r="L2618" s="4" t="str">
        <f t="shared" si="49"/>
        <v>on</v>
      </c>
      <c r="M2618" t="str">
        <v>understand</v>
      </c>
      <c r="N2618" s="4" cm="1">
        <f t="array" ref="N2618">SUM(--(_xlfn.TEXTSPLIT($J$2448,, " ") = M2618))</f>
        <v>1</v>
      </c>
      <c r="O2618">
        <v>1</v>
      </c>
      <c r="P2618" t="str">
        <v>hope</v>
      </c>
      <c r="Q2618">
        <v>1</v>
      </c>
    </row>
    <row r="2619" spans="5:17" x14ac:dyDescent="0.2">
      <c r="E2619" s="9" t="s">
        <v>30</v>
      </c>
      <c r="K2619" t="str">
        <v>my</v>
      </c>
      <c r="L2619" s="4" t="str">
        <f t="shared" si="49"/>
        <v>my</v>
      </c>
      <c r="M2619" t="str">
        <v>run-on</v>
      </c>
      <c r="N2619" s="4" cm="1">
        <f t="array" ref="N2619">SUM(--(_xlfn.TEXTSPLIT($J$2448,, " ") = M2619))</f>
        <v>1</v>
      </c>
      <c r="O2619">
        <v>1</v>
      </c>
      <c r="P2619" t="str">
        <v>understand</v>
      </c>
      <c r="Q2619">
        <v>1</v>
      </c>
    </row>
    <row r="2620" spans="5:17" x14ac:dyDescent="0.2">
      <c r="E2620" s="9" t="s">
        <v>30</v>
      </c>
      <c r="K2620" t="str">
        <v>shirtsleeve</v>
      </c>
      <c r="L2620" s="4" t="str">
        <f t="shared" si="49"/>
        <v>shirtsleeve</v>
      </c>
      <c r="M2620" t="str">
        <v xml:space="preserve">sentence
</v>
      </c>
      <c r="N2620" s="4" cm="1">
        <f t="array" ref="N2620">SUM(--(_xlfn.TEXTSPLIT($J$2448,, " ") = M2620))</f>
        <v>1</v>
      </c>
      <c r="O2620">
        <v>1</v>
      </c>
      <c r="P2620" t="str">
        <v>run-on</v>
      </c>
      <c r="Q2620">
        <v>1</v>
      </c>
    </row>
    <row r="2621" spans="5:17" x14ac:dyDescent="0.2">
      <c r="E2621" s="9" t="s">
        <v>30</v>
      </c>
      <c r="K2621" t="str">
        <v>(My</v>
      </c>
      <c r="L2621" s="4" t="str">
        <f t="shared" si="49"/>
        <v xml:space="preserve"> My</v>
      </c>
      <c r="M2621" t="str">
        <v>tattoos</v>
      </c>
      <c r="N2621" s="4" cm="1">
        <f t="array" ref="N2621">SUM(--(_xlfn.TEXTSPLIT($J$2448,, " ") = M2621))</f>
        <v>1</v>
      </c>
      <c r="O2621">
        <v>1</v>
      </c>
      <c r="P2621" t="str">
        <v xml:space="preserve">sentence
</v>
      </c>
      <c r="Q2621">
        <v>1</v>
      </c>
    </row>
    <row r="2622" spans="5:17" x14ac:dyDescent="0.2">
      <c r="E2622" s="9" t="s">
        <v>30</v>
      </c>
      <c r="K2622" t="str">
        <v>shirtsleeve),</v>
      </c>
      <c r="L2622" s="4" t="str">
        <f t="shared" si="49"/>
        <v xml:space="preserve">shirtsleeve  </v>
      </c>
      <c r="M2622" t="str">
        <v>only</v>
      </c>
      <c r="N2622" s="4" cm="1">
        <f t="array" ref="N2622">SUM(--(_xlfn.TEXTSPLIT($J$2448,, " ") = M2622))</f>
        <v>1</v>
      </c>
      <c r="O2622">
        <v>1</v>
      </c>
      <c r="P2622" t="str">
        <v>tattoos</v>
      </c>
      <c r="Q2622">
        <v>1</v>
      </c>
    </row>
    <row r="2623" spans="5:17" x14ac:dyDescent="0.2">
      <c r="E2623" s="9" t="s">
        <v>30</v>
      </c>
      <c r="K2623" t="str">
        <v>to</v>
      </c>
      <c r="L2623" s="4" t="str">
        <f t="shared" si="49"/>
        <v>to</v>
      </c>
      <c r="M2623" t="str">
        <v>hurt</v>
      </c>
      <c r="N2623" s="4" cm="1">
        <f t="array" ref="N2623">SUM(--(_xlfn.TEXTSPLIT($J$2448,, " ") = M2623))</f>
        <v>1</v>
      </c>
      <c r="O2623">
        <v>1</v>
      </c>
      <c r="P2623" t="str">
        <v>only</v>
      </c>
      <c r="Q2623">
        <v>1</v>
      </c>
    </row>
    <row r="2624" spans="5:17" x14ac:dyDescent="0.2">
      <c r="E2624" s="9" t="s">
        <v>30</v>
      </c>
      <c r="K2624" t="str">
        <v>cover</v>
      </c>
      <c r="L2624" s="4" t="str">
        <f t="shared" si="49"/>
        <v>cover</v>
      </c>
      <c r="M2624" t="str">
        <v>when</v>
      </c>
      <c r="N2624" s="4" cm="1">
        <f t="array" ref="N2624">SUM(--(_xlfn.TEXTSPLIT($J$2448,, " ") = M2624))</f>
        <v>1</v>
      </c>
      <c r="O2624">
        <v>1</v>
      </c>
      <c r="P2624" t="str">
        <v>hurt</v>
      </c>
      <c r="Q2624">
        <v>1</v>
      </c>
    </row>
    <row r="2625" spans="5:17" x14ac:dyDescent="0.2">
      <c r="E2625" s="9" t="s">
        <v>30</v>
      </c>
      <c r="K2625" t="str">
        <v>half</v>
      </c>
      <c r="L2625" s="4" t="str">
        <f t="shared" si="49"/>
        <v>half</v>
      </c>
      <c r="M2625" t="str">
        <v>meaning</v>
      </c>
      <c r="N2625" s="4" cm="1">
        <f t="array" ref="N2625">SUM(--(_xlfn.TEXTSPLIT($J$2448,, " ") = M2625))</f>
        <v>1</v>
      </c>
      <c r="O2625">
        <v>1</v>
      </c>
      <c r="P2625" t="str">
        <v>when</v>
      </c>
      <c r="Q2625">
        <v>1</v>
      </c>
    </row>
    <row r="2626" spans="5:17" x14ac:dyDescent="0.2">
      <c r="E2626" s="9" t="s">
        <v>30</v>
      </c>
      <c r="K2626" t="str">
        <v>of</v>
      </c>
      <c r="L2626" s="4" t="str">
        <f t="shared" si="49"/>
        <v>of</v>
      </c>
      <c r="M2626" t="str">
        <v xml:space="preserve">fades
</v>
      </c>
      <c r="N2626" s="4" cm="1">
        <f t="array" ref="N2626">SUM(--(_xlfn.TEXTSPLIT($J$2448,, " ") = M2626))</f>
        <v>1</v>
      </c>
      <c r="O2626">
        <v>1</v>
      </c>
      <c r="P2626" t="str">
        <v>meaning</v>
      </c>
      <c r="Q2626">
        <v>1</v>
      </c>
    </row>
    <row r="2627" spans="5:17" x14ac:dyDescent="0.2">
      <c r="E2627" s="9" t="s">
        <v>30</v>
      </c>
      <c r="K2627" t="str">
        <v>my</v>
      </c>
      <c r="L2627" s="4" t="str">
        <f t="shared" si="49"/>
        <v>my</v>
      </c>
      <c r="M2627" t="str">
        <v>skin</v>
      </c>
      <c r="N2627" s="4" cm="1">
        <f t="array" ref="N2627">SUM(--(_xlfn.TEXTSPLIT($J$2448,, " ") = M2627))</f>
        <v>1</v>
      </c>
      <c r="O2627">
        <v>1</v>
      </c>
      <c r="P2627" t="str">
        <v xml:space="preserve">fades
</v>
      </c>
      <c r="Q2627">
        <v>1</v>
      </c>
    </row>
    <row r="2628" spans="5:17" x14ac:dyDescent="0.2">
      <c r="E2628" s="9" t="s">
        <v>30</v>
      </c>
      <c r="K2628" t="str">
        <v>face</v>
      </c>
      <c r="L2628" s="4" t="str">
        <f t="shared" si="49"/>
        <v>face</v>
      </c>
      <c r="M2628" t="str">
        <v>got</v>
      </c>
      <c r="N2628" s="4" cm="1">
        <f t="array" ref="N2628">SUM(--(_xlfn.TEXTSPLIT($J$2448,, " ") = M2628))</f>
        <v>1</v>
      </c>
      <c r="O2628">
        <v>1</v>
      </c>
      <c r="P2628" t="str">
        <v>skin</v>
      </c>
      <c r="Q2628">
        <v>1</v>
      </c>
    </row>
    <row r="2629" spans="5:17" x14ac:dyDescent="0.2">
      <c r="E2629" s="9" t="s">
        <v>30</v>
      </c>
      <c r="K2629" t="str">
        <v>(Half</v>
      </c>
      <c r="L2629" s="4" t="str">
        <f t="shared" si="49"/>
        <v xml:space="preserve"> Half</v>
      </c>
      <c r="M2629" t="str">
        <v>worse</v>
      </c>
      <c r="N2629" s="4" cm="1">
        <f t="array" ref="N2629">SUM(--(_xlfn.TEXTSPLIT($J$2448,, " ") = M2629))</f>
        <v>1</v>
      </c>
      <c r="O2629">
        <v>1</v>
      </c>
      <c r="P2629" t="str">
        <v>got</v>
      </c>
      <c r="Q2629">
        <v>1</v>
      </c>
    </row>
    <row r="2630" spans="5:17" x14ac:dyDescent="0.2">
      <c r="E2630" s="9" t="s">
        <v>30</v>
      </c>
      <c r="K2630" t="str">
        <v>of</v>
      </c>
      <c r="L2630" s="4" t="str">
        <f t="shared" si="49"/>
        <v>of</v>
      </c>
      <c r="M2630" t="str">
        <v>good</v>
      </c>
      <c r="N2630" s="4" cm="1">
        <f t="array" ref="N2630">SUM(--(_xlfn.TEXTSPLIT($J$2448,, " ") = M2630))</f>
        <v>1</v>
      </c>
      <c r="O2630">
        <v>1</v>
      </c>
      <c r="P2630" t="str">
        <v>worse</v>
      </c>
      <c r="Q2630">
        <v>1</v>
      </c>
    </row>
    <row r="2631" spans="5:17" x14ac:dyDescent="0.2">
      <c r="E2631" s="9" t="s">
        <v>30</v>
      </c>
      <c r="K2631" t="str">
        <v>my</v>
      </c>
      <c r="L2631" s="4" t="str">
        <f t="shared" si="49"/>
        <v>my</v>
      </c>
      <c r="M2631" t="str">
        <v xml:space="preserve">intentions
</v>
      </c>
      <c r="N2631" s="4" cm="1">
        <f t="array" ref="N2631">SUM(--(_xlfn.TEXTSPLIT($J$2448,, " ") = M2631))</f>
        <v>1</v>
      </c>
      <c r="O2631">
        <v>1</v>
      </c>
      <c r="P2631" t="str">
        <v>good</v>
      </c>
      <c r="Q2631">
        <v>1</v>
      </c>
    </row>
    <row r="2632" spans="5:17" x14ac:dyDescent="0.2">
      <c r="E2632" s="9" t="s">
        <v>30</v>
      </c>
      <c r="K2632" t="str">
        <v xml:space="preserve">face)
</v>
      </c>
      <c r="L2632" s="4" t="str">
        <f t="shared" si="49"/>
        <v xml:space="preserve">face  </v>
      </c>
      <c r="M2632" t="str">
        <v>want</v>
      </c>
      <c r="N2632" s="4" cm="1">
        <f t="array" ref="N2632">SUM(--(_xlfn.TEXTSPLIT($J$2448,, " ") = M2632))</f>
        <v>3</v>
      </c>
      <c r="O2632">
        <v>1</v>
      </c>
      <c r="P2632" t="str">
        <v xml:space="preserve">intentions
</v>
      </c>
      <c r="Q2632">
        <v>1</v>
      </c>
    </row>
    <row r="2633" spans="5:17" x14ac:dyDescent="0.2">
      <c r="E2633" s="9" t="s">
        <v>30</v>
      </c>
      <c r="K2633" t="str">
        <v>Bring</v>
      </c>
      <c r="L2633" s="4" t="str">
        <f t="shared" si="49"/>
        <v>Bring</v>
      </c>
      <c r="M2633" t="str">
        <v>happened,</v>
      </c>
      <c r="N2633" s="4" cm="1">
        <f t="array" ref="N2633">SUM(--(_xlfn.TEXTSPLIT($J$2448,, " ") = M2633))</f>
        <v>1</v>
      </c>
      <c r="O2633">
        <v>1</v>
      </c>
      <c r="P2633" t="str">
        <v>happened,</v>
      </c>
      <c r="Q2633">
        <v>1</v>
      </c>
    </row>
    <row r="2634" spans="5:17" x14ac:dyDescent="0.2">
      <c r="E2634" s="9" t="s">
        <v>30</v>
      </c>
      <c r="K2634" t="str">
        <v>my</v>
      </c>
      <c r="L2634" s="4" t="str">
        <f t="shared" si="49"/>
        <v>my</v>
      </c>
      <c r="M2634" t="str">
        <v>just</v>
      </c>
      <c r="N2634" s="4" cm="1">
        <f t="array" ref="N2634">SUM(--(_xlfn.TEXTSPLIT($J$2448,, " ") = M2634))</f>
        <v>1</v>
      </c>
      <c r="O2634">
        <v>1</v>
      </c>
      <c r="P2634" t="str">
        <v>just</v>
      </c>
      <c r="Q2634">
        <v>1</v>
      </c>
    </row>
    <row r="2635" spans="5:17" x14ac:dyDescent="0.2">
      <c r="E2635" s="9" t="s">
        <v>30</v>
      </c>
      <c r="K2635" t="str">
        <v>arms</v>
      </c>
      <c r="L2635" s="4" t="str">
        <f t="shared" si="49"/>
        <v>arms</v>
      </c>
      <c r="M2635" t="str">
        <v>let</v>
      </c>
      <c r="N2635" s="4" cm="1">
        <f t="array" ref="N2635">SUM(--(_xlfn.TEXTSPLIT($J$2448,, " ") = M2635))</f>
        <v>1</v>
      </c>
      <c r="O2635">
        <v>1</v>
      </c>
      <c r="P2635" t="str">
        <v>let</v>
      </c>
      <c r="Q2635">
        <v>1</v>
      </c>
    </row>
    <row r="2636" spans="5:17" x14ac:dyDescent="0.2">
      <c r="E2636" s="9" t="s">
        <v>30</v>
      </c>
      <c r="K2636" t="str">
        <v>closer</v>
      </c>
      <c r="L2636" s="4" t="str">
        <f t="shared" si="49"/>
        <v>closer</v>
      </c>
      <c r="M2636" t="str">
        <v xml:space="preserve">go
</v>
      </c>
      <c r="N2636" s="4" cm="1">
        <f t="array" ref="N2636">SUM(--(_xlfn.TEXTSPLIT($J$2448,, " ") = M2636))</f>
        <v>1</v>
      </c>
      <c r="O2636">
        <v>1</v>
      </c>
      <c r="P2636" t="str">
        <v xml:space="preserve">go
</v>
      </c>
      <c r="Q2636">
        <v>1</v>
      </c>
    </row>
    <row r="2637" spans="5:17" x14ac:dyDescent="0.2">
      <c r="E2637" s="9" t="s">
        <v>30</v>
      </c>
      <c r="K2637" t="str">
        <v>to</v>
      </c>
      <c r="L2637" s="4" t="str">
        <f t="shared" si="49"/>
        <v>to</v>
      </c>
      <c r="M2637" t="str">
        <v>same</v>
      </c>
      <c r="N2637" s="4" cm="1">
        <f t="array" ref="N2637">SUM(--(_xlfn.TEXTSPLIT($J$2448,, " ") = M2637))</f>
        <v>1</v>
      </c>
      <c r="O2637">
        <v>1</v>
      </c>
      <c r="P2637" t="str">
        <v>same</v>
      </c>
      <c r="Q2637">
        <v>1</v>
      </c>
    </row>
    <row r="2638" spans="5:17" x14ac:dyDescent="0.2">
      <c r="E2638" s="9" t="s">
        <v>30</v>
      </c>
      <c r="K2638" t="str">
        <v>my</v>
      </c>
      <c r="L2638" s="4" t="str">
        <f t="shared" si="49"/>
        <v>my</v>
      </c>
      <c r="M2638" t="str">
        <v>after,</v>
      </c>
      <c r="N2638" s="4" cm="1">
        <f t="array" ref="N2638">SUM(--(_xlfn.TEXTSPLIT($J$2448,, " ") = M2638))</f>
        <v>1</v>
      </c>
      <c r="O2638">
        <v>1</v>
      </c>
      <c r="P2638" t="str">
        <v>after,</v>
      </c>
      <c r="Q2638">
        <v>1</v>
      </c>
    </row>
    <row r="2639" spans="5:17" x14ac:dyDescent="0.2">
      <c r="E2639" s="9" t="s">
        <v>30</v>
      </c>
      <c r="K2639" t="str">
        <v>body,</v>
      </c>
      <c r="L2639" s="4" t="str">
        <f t="shared" si="49"/>
        <v xml:space="preserve">body </v>
      </c>
      <c r="M2639" t="str">
        <v>went</v>
      </c>
      <c r="N2639" s="4" cm="1">
        <f t="array" ref="N2639">SUM(--(_xlfn.TEXTSPLIT($J$2448,, " ") = M2639))</f>
        <v>1</v>
      </c>
      <c r="O2639">
        <v>1</v>
      </c>
      <c r="P2639" t="str">
        <v>went</v>
      </c>
      <c r="Q2639">
        <v>1</v>
      </c>
    </row>
    <row r="2640" spans="5:17" x14ac:dyDescent="0.2">
      <c r="E2640" s="9" t="s">
        <v>30</v>
      </c>
      <c r="K2640" t="str">
        <v>get</v>
      </c>
      <c r="L2640" s="4" t="str">
        <f t="shared" si="49"/>
        <v>get</v>
      </c>
      <c r="M2640" t="str">
        <v xml:space="preserve">funeral
</v>
      </c>
      <c r="N2640" s="4" cm="1">
        <f t="array" ref="N2640">SUM(--(_xlfn.TEXTSPLIT($J$2448,, " ") = M2640))</f>
        <v>1</v>
      </c>
      <c r="O2640">
        <v>1</v>
      </c>
      <c r="P2640" t="str">
        <v xml:space="preserve">funeral
</v>
      </c>
      <c r="Q2640">
        <v>1</v>
      </c>
    </row>
    <row r="2641" spans="5:17" x14ac:dyDescent="0.2">
      <c r="E2641" s="9" t="s">
        <v>30</v>
      </c>
      <c r="K2641" t="str">
        <v>as</v>
      </c>
      <c r="L2641" s="4" t="str">
        <f t="shared" ref="L2641:L2704" si="50">_xlfn.REGEXREPLACE(K2641, "[^A-Za-z ]", " ")</f>
        <v>as</v>
      </c>
      <c r="M2641" t="str">
        <v>miss</v>
      </c>
      <c r="N2641" s="4" cm="1">
        <f t="array" ref="N2641">SUM(--(_xlfn.TEXTSPLIT($J$2448,, " ") = M2641))</f>
        <v>1</v>
      </c>
      <c r="O2641">
        <v>1</v>
      </c>
      <c r="P2641" t="str">
        <v>miss</v>
      </c>
      <c r="Q2641">
        <v>1</v>
      </c>
    </row>
    <row r="2642" spans="5:17" x14ac:dyDescent="0.2">
      <c r="E2642" s="9" t="s">
        <v>30</v>
      </c>
      <c r="K2642" t="str">
        <v>small</v>
      </c>
      <c r="L2642" s="4" t="str">
        <f t="shared" si="50"/>
        <v>small</v>
      </c>
      <c r="M2642" t="str">
        <v>so</v>
      </c>
      <c r="N2642" s="4" cm="1">
        <f t="array" ref="N2642">SUM(--(_xlfn.TEXTSPLIT($J$2448,, " ") = M2642))</f>
        <v>1</v>
      </c>
      <c r="O2642">
        <v>1</v>
      </c>
      <c r="P2642" t="str">
        <v>so</v>
      </c>
      <c r="Q2642">
        <v>1</v>
      </c>
    </row>
    <row r="2643" spans="5:17" x14ac:dyDescent="0.2">
      <c r="E2643" s="9" t="s">
        <v>30</v>
      </c>
      <c r="K2643" t="str">
        <v>as</v>
      </c>
      <c r="L2643" s="4" t="str">
        <f t="shared" si="50"/>
        <v>as</v>
      </c>
      <c r="M2643" t="str">
        <v>much,</v>
      </c>
      <c r="N2643" s="4" cm="1">
        <f t="array" ref="N2643">SUM(--(_xlfn.TEXTSPLIT($J$2448,, " ") = M2643))</f>
        <v>1</v>
      </c>
      <c r="O2643">
        <v>1</v>
      </c>
      <c r="P2643" t="str">
        <v>much,</v>
      </c>
      <c r="Q2643">
        <v>1</v>
      </c>
    </row>
    <row r="2644" spans="5:17" x14ac:dyDescent="0.2">
      <c r="E2644" s="9" t="s">
        <v>30</v>
      </c>
      <c r="K2644" t="str">
        <v>they</v>
      </c>
      <c r="L2644" s="4" t="str">
        <f t="shared" si="50"/>
        <v>they</v>
      </c>
      <c r="M2644" t="str">
        <v xml:space="preserve">want
</v>
      </c>
      <c r="N2644" s="4" cm="1">
        <f t="array" ref="N2644">SUM(--(_xlfn.TEXTSPLIT($J$2448,, " ") = M2644))</f>
        <v>1</v>
      </c>
      <c r="O2644">
        <v>1</v>
      </c>
      <c r="P2644" t="str">
        <v xml:space="preserve">want
</v>
      </c>
      <c r="Q2644">
        <v>1</v>
      </c>
    </row>
    <row r="2645" spans="5:17" x14ac:dyDescent="0.2">
      <c r="E2645" s="9" t="s">
        <v>30</v>
      </c>
      <c r="K2645" t="str">
        <v>say</v>
      </c>
      <c r="L2645" s="4" t="str">
        <f t="shared" si="50"/>
        <v>say</v>
      </c>
      <c r="M2645" t="str">
        <v>from</v>
      </c>
      <c r="N2645" s="4" cm="1">
        <f t="array" ref="N2645">SUM(--(_xlfn.TEXTSPLIT($J$2448,, " ") = M2645))</f>
        <v>1</v>
      </c>
      <c r="O2645">
        <v>1</v>
      </c>
      <c r="P2645" t="str">
        <v>from</v>
      </c>
      <c r="Q2645">
        <v>1</v>
      </c>
    </row>
    <row r="2646" spans="5:17" x14ac:dyDescent="0.2">
      <c r="E2646" s="9" t="s">
        <v>30</v>
      </c>
      <c r="K2646" t="str">
        <v>(Small</v>
      </c>
      <c r="L2646" s="4" t="str">
        <f t="shared" si="50"/>
        <v xml:space="preserve"> Small</v>
      </c>
      <c r="M2646" t="str">
        <v xml:space="preserve">me
</v>
      </c>
      <c r="N2646" s="4" cm="1">
        <f t="array" ref="N2646">SUM(--(_xlfn.TEXTSPLIT($J$2448,, " ") = M2646))</f>
        <v>1</v>
      </c>
      <c r="O2646">
        <v>1</v>
      </c>
      <c r="P2646" t="str">
        <v xml:space="preserve">me
</v>
      </c>
      <c r="Q2646">
        <v>1</v>
      </c>
    </row>
    <row r="2647" spans="5:17" x14ac:dyDescent="0.2">
      <c r="E2647" s="9" t="s">
        <v>30</v>
      </c>
      <c r="K2647" t="str">
        <v>as</v>
      </c>
      <c r="L2647" s="4" t="str">
        <f t="shared" si="50"/>
        <v>as</v>
      </c>
      <c r="M2647" t="str">
        <v>Took</v>
      </c>
      <c r="N2647" s="4" cm="1">
        <f t="array" ref="N2647">SUM(--(_xlfn.TEXTSPLIT($J$2448,, " ") = M2647))</f>
        <v>1</v>
      </c>
      <c r="O2647">
        <v>1</v>
      </c>
      <c r="P2647" t="str">
        <v>Took</v>
      </c>
      <c r="Q2647">
        <v>1</v>
      </c>
    </row>
    <row r="2648" spans="5:17" x14ac:dyDescent="0.2">
      <c r="E2648" s="9" t="s">
        <v>30</v>
      </c>
      <c r="K2648" t="str">
        <v>they</v>
      </c>
      <c r="L2648" s="4" t="str">
        <f t="shared" si="50"/>
        <v>they</v>
      </c>
      <c r="M2648" t="str">
        <v xml:space="preserve">granted
</v>
      </c>
      <c r="N2648" s="4" cm="1">
        <f t="array" ref="N2648">SUM(--(_xlfn.TEXTSPLIT($J$2448,, " ") = M2648))</f>
        <v>1</v>
      </c>
      <c r="O2648">
        <v>1</v>
      </c>
      <c r="P2648" t="str">
        <v xml:space="preserve">granted
</v>
      </c>
      <c r="Q2648">
        <v>1</v>
      </c>
    </row>
    <row r="2649" spans="5:17" x14ac:dyDescent="0.2">
      <c r="E2649" s="9" t="s">
        <v>30</v>
      </c>
      <c r="K2649" t="str">
        <v xml:space="preserve">say)
</v>
      </c>
      <c r="L2649" s="4" t="str">
        <f t="shared" si="50"/>
        <v xml:space="preserve">say  </v>
      </c>
      <c r="N2649" s="4" cm="1">
        <f t="array" ref="N2649">SUM(--(_xlfn.TEXTSPLIT($J$2448,, " ") = M2649))</f>
        <v>1</v>
      </c>
      <c r="O2649">
        <v>1</v>
      </c>
      <c r="P2649">
        <v>0</v>
      </c>
      <c r="Q2649">
        <v>1</v>
      </c>
    </row>
    <row r="2650" spans="5:17" x14ac:dyDescent="0.2">
      <c r="E2650" s="9" t="s">
        <v>30</v>
      </c>
      <c r="K2650" t="str">
        <v>They</v>
      </c>
      <c r="L2650" s="4" t="str">
        <f t="shared" si="50"/>
        <v>They</v>
      </c>
      <c r="N2650" s="4" cm="1">
        <f t="array" ref="N2650">SUM(--(_xlfn.TEXTSPLIT($J$2448,, " ") = M2650))</f>
        <v>1</v>
      </c>
      <c r="O2650">
        <v>1</v>
      </c>
      <c r="P2650">
        <v>0</v>
      </c>
      <c r="Q2650">
        <v>1</v>
      </c>
    </row>
    <row r="2651" spans="5:17" x14ac:dyDescent="0.2">
      <c r="E2651" s="9" t="s">
        <v>30</v>
      </c>
      <c r="K2651" t="str">
        <v>call</v>
      </c>
      <c r="L2651" s="4" t="str">
        <f t="shared" si="50"/>
        <v>call</v>
      </c>
      <c r="N2651" s="4" cm="1">
        <f t="array" ref="N2651">SUM(--(_xlfn.TEXTSPLIT($J$2448,, " ") = M2651))</f>
        <v>1</v>
      </c>
      <c r="O2651">
        <v>1</v>
      </c>
      <c r="P2651">
        <v>0</v>
      </c>
      <c r="Q2651">
        <v>1</v>
      </c>
    </row>
    <row r="2652" spans="5:17" x14ac:dyDescent="0.2">
      <c r="E2652" s="9" t="s">
        <v>30</v>
      </c>
      <c r="K2652" t="str">
        <v>it</v>
      </c>
      <c r="L2652" s="4" t="str">
        <f t="shared" si="50"/>
        <v>it</v>
      </c>
      <c r="N2652" s="4" cm="1">
        <f t="array" ref="N2652">SUM(--(_xlfn.TEXTSPLIT($J$2448,, " ") = M2652))</f>
        <v>1</v>
      </c>
      <c r="O2652">
        <v>1</v>
      </c>
      <c r="P2652">
        <v>0</v>
      </c>
      <c r="Q2652">
        <v>1</v>
      </c>
    </row>
    <row r="2653" spans="5:17" x14ac:dyDescent="0.2">
      <c r="E2653" s="9" t="s">
        <v>30</v>
      </c>
      <c r="K2653" t="str">
        <v>center</v>
      </c>
      <c r="L2653" s="4" t="str">
        <f t="shared" si="50"/>
        <v>center</v>
      </c>
      <c r="N2653" s="4" cm="1">
        <f t="array" ref="N2653">SUM(--(_xlfn.TEXTSPLIT($J$2448,, " ") = M2653))</f>
        <v>1</v>
      </c>
      <c r="O2653">
        <v>1</v>
      </c>
      <c r="P2653">
        <v>0</v>
      </c>
      <c r="Q2653">
        <v>1</v>
      </c>
    </row>
    <row r="2654" spans="5:17" x14ac:dyDescent="0.2">
      <c r="E2654" s="9" t="s">
        <v>30</v>
      </c>
      <c r="K2654" t="str">
        <v>mass,</v>
      </c>
      <c r="L2654" s="4" t="str">
        <f t="shared" si="50"/>
        <v xml:space="preserve">mass </v>
      </c>
      <c r="N2654" s="4" cm="1">
        <f t="array" ref="N2654">SUM(--(_xlfn.TEXTSPLIT($J$2448,, " ") = M2654))</f>
        <v>1</v>
      </c>
      <c r="O2654">
        <v>1</v>
      </c>
      <c r="P2654">
        <v>0</v>
      </c>
      <c r="Q2654">
        <v>1</v>
      </c>
    </row>
    <row r="2655" spans="5:17" x14ac:dyDescent="0.2">
      <c r="E2655" s="9" t="s">
        <v>30</v>
      </c>
      <c r="K2655" t="str">
        <v>that</v>
      </c>
      <c r="L2655" s="4" t="str">
        <f t="shared" si="50"/>
        <v>that</v>
      </c>
      <c r="N2655" s="4" cm="1">
        <f t="array" ref="N2655">SUM(--(_xlfn.TEXTSPLIT($J$2448,, " ") = M2655))</f>
        <v>1</v>
      </c>
      <c r="O2655">
        <v>1</v>
      </c>
      <c r="P2655">
        <v>0</v>
      </c>
      <c r="Q2655">
        <v>1</v>
      </c>
    </row>
    <row r="2656" spans="5:17" x14ac:dyDescent="0.2">
      <c r="E2656" s="9" t="s">
        <v>30</v>
      </c>
      <c r="K2656" t="str">
        <v>part</v>
      </c>
      <c r="L2656" s="4" t="str">
        <f t="shared" si="50"/>
        <v>part</v>
      </c>
      <c r="N2656" s="4" cm="1">
        <f t="array" ref="N2656">SUM(--(_xlfn.TEXTSPLIT($J$2448,, " ") = M2656))</f>
        <v>1</v>
      </c>
      <c r="O2656">
        <v>1</v>
      </c>
      <c r="P2656">
        <v>0</v>
      </c>
      <c r="Q2656">
        <v>1</v>
      </c>
    </row>
    <row r="2657" spans="5:17" x14ac:dyDescent="0.2">
      <c r="E2657" s="9" t="s">
        <v>30</v>
      </c>
      <c r="K2657" t="str">
        <v>they</v>
      </c>
      <c r="L2657" s="4" t="str">
        <f t="shared" si="50"/>
        <v>they</v>
      </c>
      <c r="N2657" s="4" cm="1">
        <f t="array" ref="N2657">SUM(--(_xlfn.TEXTSPLIT($J$2448,, " ") = M2657))</f>
        <v>1</v>
      </c>
      <c r="O2657">
        <v>1</v>
      </c>
      <c r="P2657">
        <v>0</v>
      </c>
      <c r="Q2657">
        <v>1</v>
      </c>
    </row>
    <row r="2658" spans="5:17" x14ac:dyDescent="0.2">
      <c r="E2658" s="9" t="s">
        <v>30</v>
      </c>
      <c r="K2658" t="str">
        <v>aim</v>
      </c>
      <c r="L2658" s="4" t="str">
        <f t="shared" si="50"/>
        <v>aim</v>
      </c>
      <c r="N2658" s="4" cm="1">
        <f t="array" ref="N2658">SUM(--(_xlfn.TEXTSPLIT($J$2448,, " ") = M2658))</f>
        <v>1</v>
      </c>
      <c r="O2658">
        <v>1</v>
      </c>
      <c r="P2658">
        <v>0</v>
      </c>
      <c r="Q2658">
        <v>1</v>
      </c>
    </row>
    <row r="2659" spans="5:17" x14ac:dyDescent="0.2">
      <c r="E2659" s="9" t="s">
        <v>30</v>
      </c>
      <c r="K2659" t="str">
        <v>for</v>
      </c>
      <c r="L2659" s="4" t="str">
        <f t="shared" si="50"/>
        <v>for</v>
      </c>
      <c r="N2659" s="4" cm="1">
        <f t="array" ref="N2659">SUM(--(_xlfn.TEXTSPLIT($J$2448,, " ") = M2659))</f>
        <v>1</v>
      </c>
      <c r="O2659">
        <v>1</v>
      </c>
      <c r="P2659">
        <v>0</v>
      </c>
      <c r="Q2659">
        <v>1</v>
      </c>
    </row>
    <row r="2660" spans="5:17" x14ac:dyDescent="0.2">
      <c r="E2660" s="9" t="s">
        <v>30</v>
      </c>
      <c r="K2660" t="str">
        <v xml:space="preserve">(For-for-for-for-for-for)
</v>
      </c>
      <c r="L2660" s="4" t="str">
        <f t="shared" si="50"/>
        <v xml:space="preserve"> For for for for for for   </v>
      </c>
      <c r="N2660" s="4" cm="1">
        <f t="array" ref="N2660">SUM(--(_xlfn.TEXTSPLIT($J$2448,, " ") = M2660))</f>
        <v>1</v>
      </c>
      <c r="O2660">
        <v>1</v>
      </c>
      <c r="P2660">
        <v>0</v>
      </c>
      <c r="Q2660">
        <v>1</v>
      </c>
    </row>
    <row r="2661" spans="5:17" x14ac:dyDescent="0.2">
      <c r="E2661" s="9" t="s">
        <v>30</v>
      </c>
      <c r="K2661" t="str">
        <v>Right</v>
      </c>
      <c r="L2661" s="4" t="str">
        <f t="shared" si="50"/>
        <v>Right</v>
      </c>
      <c r="N2661" s="4" cm="1">
        <f t="array" ref="N2661">SUM(--(_xlfn.TEXTSPLIT($J$2448,, " ") = M2661))</f>
        <v>1</v>
      </c>
      <c r="O2661">
        <v>1</v>
      </c>
      <c r="P2661">
        <v>0</v>
      </c>
      <c r="Q2661">
        <v>1</v>
      </c>
    </row>
    <row r="2662" spans="5:17" x14ac:dyDescent="0.2">
      <c r="E2662" s="9" t="s">
        <v>30</v>
      </c>
      <c r="K2662" t="str">
        <v>this</v>
      </c>
      <c r="L2662" s="4" t="str">
        <f t="shared" si="50"/>
        <v>this</v>
      </c>
      <c r="N2662" s="4" cm="1">
        <f t="array" ref="N2662">SUM(--(_xlfn.TEXTSPLIT($J$2448,, " ") = M2662))</f>
        <v>1</v>
      </c>
      <c r="O2662">
        <v>1</v>
      </c>
      <c r="P2662">
        <v>0</v>
      </c>
      <c r="Q2662">
        <v>1</v>
      </c>
    </row>
    <row r="2663" spans="5:17" x14ac:dyDescent="0.2">
      <c r="E2663" s="9" t="s">
        <v>30</v>
      </c>
      <c r="K2663" t="str">
        <v>way</v>
      </c>
      <c r="L2663" s="4" t="str">
        <f t="shared" si="50"/>
        <v>way</v>
      </c>
      <c r="N2663" s="4" cm="1">
        <f t="array" ref="N2663">SUM(--(_xlfn.TEXTSPLIT($J$2448,, " ") = M2663))</f>
        <v>1</v>
      </c>
      <c r="O2663">
        <v>1</v>
      </c>
      <c r="P2663">
        <v>0</v>
      </c>
      <c r="Q2663">
        <v>1</v>
      </c>
    </row>
    <row r="2664" spans="5:17" x14ac:dyDescent="0.2">
      <c r="E2664" s="9" t="s">
        <v>30</v>
      </c>
      <c r="K2664" t="str">
        <v>if</v>
      </c>
      <c r="L2664" s="4" t="str">
        <f t="shared" si="50"/>
        <v>if</v>
      </c>
      <c r="N2664" s="4" cm="1">
        <f t="array" ref="N2664">SUM(--(_xlfn.TEXTSPLIT($J$2448,, " ") = M2664))</f>
        <v>1</v>
      </c>
      <c r="O2664">
        <v>1</v>
      </c>
      <c r="P2664">
        <v>0</v>
      </c>
      <c r="Q2664">
        <v>1</v>
      </c>
    </row>
    <row r="2665" spans="5:17" x14ac:dyDescent="0.2">
      <c r="E2665" s="9" t="s">
        <v>30</v>
      </c>
      <c r="K2665" t="str">
        <v>you're</v>
      </c>
      <c r="L2665" s="4" t="str">
        <f t="shared" si="50"/>
        <v>you re</v>
      </c>
      <c r="N2665" s="4" cm="1">
        <f t="array" ref="N2665">SUM(--(_xlfn.TEXTSPLIT($J$2448,, " ") = M2665))</f>
        <v>1</v>
      </c>
      <c r="O2665">
        <v>1</v>
      </c>
      <c r="P2665">
        <v>0</v>
      </c>
      <c r="Q2665">
        <v>1</v>
      </c>
    </row>
    <row r="2666" spans="5:17" x14ac:dyDescent="0.2">
      <c r="E2666" s="9" t="s">
        <v>30</v>
      </c>
      <c r="K2666" t="str">
        <v>frustrated</v>
      </c>
      <c r="L2666" s="4" t="str">
        <f t="shared" si="50"/>
        <v>frustrated</v>
      </c>
      <c r="N2666" s="4" cm="1">
        <f t="array" ref="N2666">SUM(--(_xlfn.TEXTSPLIT($J$2448,, " ") = M2666))</f>
        <v>1</v>
      </c>
      <c r="O2666">
        <v>1</v>
      </c>
      <c r="P2666">
        <v>0</v>
      </c>
      <c r="Q2666">
        <v>1</v>
      </c>
    </row>
    <row r="2667" spans="5:17" x14ac:dyDescent="0.2">
      <c r="E2667" s="9" t="s">
        <v>30</v>
      </c>
      <c r="K2667" t="str">
        <v xml:space="preserve">(Right)
</v>
      </c>
      <c r="L2667" s="4" t="str">
        <f t="shared" si="50"/>
        <v xml:space="preserve"> Right  </v>
      </c>
      <c r="N2667" s="4" cm="1">
        <f t="array" ref="N2667">SUM(--(_xlfn.TEXTSPLIT($J$2448,, " ") = M2667))</f>
        <v>1</v>
      </c>
      <c r="O2667">
        <v>1</v>
      </c>
      <c r="P2667">
        <v>0</v>
      </c>
      <c r="Q2667">
        <v>1</v>
      </c>
    </row>
    <row r="2668" spans="5:17" x14ac:dyDescent="0.2">
      <c r="E2668" s="9" t="s">
        <v>30</v>
      </c>
      <c r="K2668" t="str">
        <v>Your</v>
      </c>
      <c r="L2668" s="4" t="str">
        <f t="shared" si="50"/>
        <v>Your</v>
      </c>
      <c r="N2668" s="4" cm="1">
        <f t="array" ref="N2668">SUM(--(_xlfn.TEXTSPLIT($J$2448,, " ") = M2668))</f>
        <v>1</v>
      </c>
      <c r="O2668">
        <v>1</v>
      </c>
      <c r="P2668">
        <v>0</v>
      </c>
      <c r="Q2668">
        <v>1</v>
      </c>
    </row>
    <row r="2669" spans="5:17" x14ac:dyDescent="0.2">
      <c r="E2669" s="9" t="s">
        <v>30</v>
      </c>
      <c r="K2669" t="str">
        <v>first</v>
      </c>
      <c r="L2669" s="4" t="str">
        <f t="shared" si="50"/>
        <v>first</v>
      </c>
      <c r="N2669" s="4" cm="1">
        <f t="array" ref="N2669">SUM(--(_xlfn.TEXTSPLIT($J$2448,, " ") = M2669))</f>
        <v>1</v>
      </c>
      <c r="O2669">
        <v>1</v>
      </c>
      <c r="P2669">
        <v>0</v>
      </c>
      <c r="Q2669">
        <v>1</v>
      </c>
    </row>
    <row r="2670" spans="5:17" x14ac:dyDescent="0.2">
      <c r="E2670" s="9" t="s">
        <v>30</v>
      </c>
      <c r="K2670" t="str">
        <v>mate</v>
      </c>
      <c r="L2670" s="4" t="str">
        <f t="shared" si="50"/>
        <v>mate</v>
      </c>
      <c r="N2670" s="4" cm="1">
        <f t="array" ref="N2670">SUM(--(_xlfn.TEXTSPLIT($J$2448,, " ") = M2670))</f>
        <v>1</v>
      </c>
      <c r="O2670">
        <v>1</v>
      </c>
      <c r="P2670">
        <v>0</v>
      </c>
      <c r="Q2670">
        <v>1</v>
      </c>
    </row>
    <row r="2671" spans="5:17" x14ac:dyDescent="0.2">
      <c r="E2671" s="9" t="s">
        <v>30</v>
      </c>
      <c r="K2671" t="str">
        <v>in</v>
      </c>
      <c r="L2671" s="4" t="str">
        <f t="shared" si="50"/>
        <v>in</v>
      </c>
      <c r="N2671" s="4" cm="1">
        <f t="array" ref="N2671">SUM(--(_xlfn.TEXTSPLIT($J$2448,, " ") = M2671))</f>
        <v>1</v>
      </c>
      <c r="O2671">
        <v>1</v>
      </c>
      <c r="P2671">
        <v>0</v>
      </c>
      <c r="Q2671">
        <v>1</v>
      </c>
    </row>
    <row r="2672" spans="5:17" x14ac:dyDescent="0.2">
      <c r="E2672" s="9" t="s">
        <v>30</v>
      </c>
      <c r="K2672" t="str">
        <v>the</v>
      </c>
      <c r="L2672" s="4" t="str">
        <f t="shared" si="50"/>
        <v>the</v>
      </c>
      <c r="N2672" s="4" cm="1">
        <f t="array" ref="N2672">SUM(--(_xlfn.TEXTSPLIT($J$2448,, " ") = M2672))</f>
        <v>1</v>
      </c>
      <c r="O2672">
        <v>1</v>
      </c>
      <c r="P2672">
        <v>0</v>
      </c>
      <c r="Q2672">
        <v>1</v>
      </c>
    </row>
    <row r="2673" spans="5:17" x14ac:dyDescent="0.2">
      <c r="E2673" s="9" t="s">
        <v>30</v>
      </c>
      <c r="K2673" t="str">
        <v>fifth</v>
      </c>
      <c r="L2673" s="4" t="str">
        <f t="shared" si="50"/>
        <v>fifth</v>
      </c>
      <c r="N2673" s="4" cm="1">
        <f t="array" ref="N2673">SUM(--(_xlfn.TEXTSPLIT($J$2448,, " ") = M2673))</f>
        <v>1</v>
      </c>
      <c r="O2673">
        <v>1</v>
      </c>
      <c r="P2673">
        <v>0</v>
      </c>
      <c r="Q2673">
        <v>1</v>
      </c>
    </row>
    <row r="2674" spans="5:17" x14ac:dyDescent="0.2">
      <c r="E2674" s="9" t="s">
        <v>30</v>
      </c>
      <c r="K2674" t="str">
        <v>grade</v>
      </c>
      <c r="L2674" s="4" t="str">
        <f t="shared" si="50"/>
        <v>grade</v>
      </c>
      <c r="N2674" s="4" cm="1">
        <f t="array" ref="N2674">SUM(--(_xlfn.TEXTSPLIT($J$2448,, " ") = M2674))</f>
        <v>1</v>
      </c>
      <c r="O2674">
        <v>1</v>
      </c>
      <c r="P2674">
        <v>0</v>
      </c>
      <c r="Q2674">
        <v>1</v>
      </c>
    </row>
    <row r="2675" spans="5:17" x14ac:dyDescent="0.2">
      <c r="E2675" s="9" t="s">
        <v>30</v>
      </c>
      <c r="K2675" t="str">
        <v>tried</v>
      </c>
      <c r="L2675" s="4" t="str">
        <f t="shared" si="50"/>
        <v>tried</v>
      </c>
      <c r="N2675" s="4" cm="1">
        <f t="array" ref="N2675">SUM(--(_xlfn.TEXTSPLIT($J$2448,, " ") = M2675))</f>
        <v>1</v>
      </c>
      <c r="O2675">
        <v>1</v>
      </c>
      <c r="P2675">
        <v>0</v>
      </c>
      <c r="Q2675">
        <v>1</v>
      </c>
    </row>
    <row r="2676" spans="5:17" x14ac:dyDescent="0.2">
      <c r="E2676" s="9" t="s">
        <v>30</v>
      </c>
      <c r="K2676" t="str">
        <v>to</v>
      </c>
      <c r="L2676" s="4" t="str">
        <f t="shared" si="50"/>
        <v>to</v>
      </c>
      <c r="N2676" s="4" cm="1">
        <f t="array" ref="N2676">SUM(--(_xlfn.TEXTSPLIT($J$2448,, " ") = M2676))</f>
        <v>1</v>
      </c>
      <c r="O2676">
        <v>1</v>
      </c>
      <c r="P2676">
        <v>0</v>
      </c>
      <c r="Q2676">
        <v>1</v>
      </c>
    </row>
    <row r="2677" spans="5:17" x14ac:dyDescent="0.2">
      <c r="E2677" s="9" t="s">
        <v>30</v>
      </c>
      <c r="K2677" t="str">
        <v xml:space="preserve">persuade
</v>
      </c>
      <c r="L2677" s="4" t="str">
        <f t="shared" si="50"/>
        <v xml:space="preserve">persuade </v>
      </c>
      <c r="N2677" s="4" cm="1">
        <f t="array" ref="N2677">SUM(--(_xlfn.TEXTSPLIT($J$2448,, " ") = M2677))</f>
        <v>1</v>
      </c>
      <c r="O2677">
        <v>1</v>
      </c>
      <c r="P2677">
        <v>0</v>
      </c>
      <c r="Q2677">
        <v>1</v>
      </c>
    </row>
    <row r="2678" spans="5:17" x14ac:dyDescent="0.2">
      <c r="E2678" s="9" t="s">
        <v>30</v>
      </c>
      <c r="K2678" t="str">
        <v>Try</v>
      </c>
      <c r="L2678" s="4" t="str">
        <f t="shared" si="50"/>
        <v>Try</v>
      </c>
      <c r="N2678" s="4" cm="1">
        <f t="array" ref="N2678">SUM(--(_xlfn.TEXTSPLIT($J$2448,, " ") = M2678))</f>
        <v>1</v>
      </c>
      <c r="O2678">
        <v>1</v>
      </c>
      <c r="P2678">
        <v>0</v>
      </c>
      <c r="Q2678">
        <v>1</v>
      </c>
    </row>
    <row r="2679" spans="5:17" x14ac:dyDescent="0.2">
      <c r="E2679" s="9" t="s">
        <v>30</v>
      </c>
      <c r="K2679" t="str">
        <v>it</v>
      </c>
      <c r="L2679" s="4" t="str">
        <f t="shared" si="50"/>
        <v>it</v>
      </c>
      <c r="N2679" s="4" cm="1">
        <f t="array" ref="N2679">SUM(--(_xlfn.TEXTSPLIT($J$2448,, " ") = M2679))</f>
        <v>1</v>
      </c>
      <c r="O2679">
        <v>1</v>
      </c>
      <c r="P2679">
        <v>0</v>
      </c>
      <c r="Q2679">
        <v>1</v>
      </c>
    </row>
    <row r="2680" spans="5:17" x14ac:dyDescent="0.2">
      <c r="E2680" s="9" t="s">
        <v>30</v>
      </c>
      <c r="K2680" t="str">
        <v>once,</v>
      </c>
      <c r="L2680" s="4" t="str">
        <f t="shared" si="50"/>
        <v xml:space="preserve">once </v>
      </c>
      <c r="N2680" s="4" cm="1">
        <f t="array" ref="N2680">SUM(--(_xlfn.TEXTSPLIT($J$2448,, " ") = M2680))</f>
        <v>1</v>
      </c>
      <c r="O2680">
        <v>1</v>
      </c>
      <c r="P2680">
        <v>0</v>
      </c>
      <c r="Q2680">
        <v>1</v>
      </c>
    </row>
    <row r="2681" spans="5:17" x14ac:dyDescent="0.2">
      <c r="E2681" s="9" t="s">
        <v>30</v>
      </c>
      <c r="K2681" t="str">
        <v>he</v>
      </c>
      <c r="L2681" s="4" t="str">
        <f t="shared" si="50"/>
        <v>he</v>
      </c>
      <c r="N2681" s="4" cm="1">
        <f t="array" ref="N2681">SUM(--(_xlfn.TEXTSPLIT($J$2448,, " ") = M2681))</f>
        <v>1</v>
      </c>
      <c r="O2681">
        <v>1</v>
      </c>
      <c r="P2681">
        <v>0</v>
      </c>
      <c r="Q2681">
        <v>1</v>
      </c>
    </row>
    <row r="2682" spans="5:17" x14ac:dyDescent="0.2">
      <c r="E2682" s="9" t="s">
        <v>30</v>
      </c>
      <c r="K2682" t="str">
        <v>was</v>
      </c>
      <c r="L2682" s="4" t="str">
        <f t="shared" si="50"/>
        <v>was</v>
      </c>
      <c r="N2682" s="4" cm="1">
        <f t="array" ref="N2682">SUM(--(_xlfn.TEXTSPLIT($J$2448,, " ") = M2682))</f>
        <v>1</v>
      </c>
      <c r="O2682">
        <v>1</v>
      </c>
      <c r="P2682">
        <v>0</v>
      </c>
      <c r="Q2682">
        <v>1</v>
      </c>
    </row>
    <row r="2683" spans="5:17" x14ac:dyDescent="0.2">
      <c r="E2683" s="9" t="s">
        <v>30</v>
      </c>
      <c r="K2683" t="str">
        <v>shown</v>
      </c>
      <c r="L2683" s="4" t="str">
        <f t="shared" si="50"/>
        <v>shown</v>
      </c>
      <c r="N2683" s="4" cm="1">
        <f t="array" ref="N2683">SUM(--(_xlfn.TEXTSPLIT($J$2448,, " ") = M2683))</f>
        <v>1</v>
      </c>
      <c r="O2683">
        <v>1</v>
      </c>
      <c r="P2683">
        <v>0</v>
      </c>
      <c r="Q2683">
        <v>1</v>
      </c>
    </row>
    <row r="2684" spans="5:17" x14ac:dyDescent="0.2">
      <c r="E2684" s="9" t="s">
        <v>30</v>
      </c>
      <c r="K2684" t="str">
        <v>on</v>
      </c>
      <c r="L2684" s="4" t="str">
        <f t="shared" si="50"/>
        <v>on</v>
      </c>
      <c r="N2684" s="4" cm="1">
        <f t="array" ref="N2684">SUM(--(_xlfn.TEXTSPLIT($J$2448,, " ") = M2684))</f>
        <v>1</v>
      </c>
      <c r="O2684">
        <v>1</v>
      </c>
      <c r="P2684">
        <v>0</v>
      </c>
      <c r="Q2684">
        <v>1</v>
      </c>
    </row>
    <row r="2685" spans="5:17" x14ac:dyDescent="0.2">
      <c r="E2685" s="9" t="s">
        <v>30</v>
      </c>
      <c r="K2685" t="str">
        <v>the</v>
      </c>
      <c r="L2685" s="4" t="str">
        <f t="shared" si="50"/>
        <v>the</v>
      </c>
      <c r="N2685" s="4" cm="1">
        <f t="array" ref="N2685">SUM(--(_xlfn.TEXTSPLIT($J$2448,, " ") = M2685))</f>
        <v>1</v>
      </c>
      <c r="O2685">
        <v>1</v>
      </c>
      <c r="P2685">
        <v>0</v>
      </c>
      <c r="Q2685">
        <v>1</v>
      </c>
    </row>
    <row r="2686" spans="5:17" x14ac:dyDescent="0.2">
      <c r="E2686" s="9" t="s">
        <v>30</v>
      </c>
      <c r="K2686" t="str">
        <v>bus</v>
      </c>
      <c r="L2686" s="4" t="str">
        <f t="shared" si="50"/>
        <v>bus</v>
      </c>
      <c r="N2686" s="4" cm="1">
        <f t="array" ref="N2686">SUM(--(_xlfn.TEXTSPLIT($J$2448,, " ") = M2686))</f>
        <v>1</v>
      </c>
      <c r="O2686">
        <v>1</v>
      </c>
      <c r="P2686">
        <v>0</v>
      </c>
      <c r="Q2686">
        <v>1</v>
      </c>
    </row>
    <row r="2687" spans="5:17" x14ac:dyDescent="0.2">
      <c r="E2687" s="9" t="s">
        <v>30</v>
      </c>
      <c r="K2687" t="str">
        <v>(Right</v>
      </c>
      <c r="L2687" s="4" t="str">
        <f t="shared" si="50"/>
        <v xml:space="preserve"> Right</v>
      </c>
      <c r="N2687" s="4" cm="1">
        <f t="array" ref="N2687">SUM(--(_xlfn.TEXTSPLIT($J$2448,, " ") = M2687))</f>
        <v>1</v>
      </c>
      <c r="O2687">
        <v>1</v>
      </c>
      <c r="P2687">
        <v>0</v>
      </c>
      <c r="Q2687">
        <v>1</v>
      </c>
    </row>
    <row r="2688" spans="5:17" x14ac:dyDescent="0.2">
      <c r="E2688" s="9" t="s">
        <v>30</v>
      </c>
      <c r="K2688" t="str">
        <v>this</v>
      </c>
      <c r="L2688" s="4" t="str">
        <f t="shared" si="50"/>
        <v>this</v>
      </c>
      <c r="N2688" s="4" cm="1">
        <f t="array" ref="N2688">SUM(--(_xlfn.TEXTSPLIT($J$2448,, " ") = M2688))</f>
        <v>1</v>
      </c>
      <c r="O2688">
        <v>1</v>
      </c>
      <c r="P2688">
        <v>0</v>
      </c>
      <c r="Q2688">
        <v>1</v>
      </c>
    </row>
    <row r="2689" spans="5:17" x14ac:dyDescent="0.2">
      <c r="E2689" s="9" t="s">
        <v>30</v>
      </c>
      <c r="K2689" t="str">
        <v xml:space="preserve">way)
</v>
      </c>
      <c r="L2689" s="4" t="str">
        <f t="shared" si="50"/>
        <v xml:space="preserve">way  </v>
      </c>
      <c r="N2689" s="4" cm="1">
        <f t="array" ref="N2689">SUM(--(_xlfn.TEXTSPLIT($J$2448,, " ") = M2689))</f>
        <v>1</v>
      </c>
      <c r="O2689">
        <v>1</v>
      </c>
      <c r="P2689">
        <v>0</v>
      </c>
      <c r="Q2689">
        <v>1</v>
      </c>
    </row>
    <row r="2690" spans="5:17" x14ac:dyDescent="0.2">
      <c r="E2690" s="9" t="s">
        <v>30</v>
      </c>
      <c r="K2690" t="str">
        <v>Chain's</v>
      </c>
      <c r="L2690" s="4" t="str">
        <f t="shared" si="50"/>
        <v>Chain s</v>
      </c>
      <c r="N2690" s="4" cm="1">
        <f t="array" ref="N2690">SUM(--(_xlfn.TEXTSPLIT($J$2448,, " ") = M2690))</f>
        <v>1</v>
      </c>
      <c r="O2690">
        <v>1</v>
      </c>
      <c r="P2690">
        <v>0</v>
      </c>
      <c r="Q2690">
        <v>1</v>
      </c>
    </row>
    <row r="2691" spans="5:17" x14ac:dyDescent="0.2">
      <c r="E2691" s="9" t="s">
        <v>30</v>
      </c>
      <c r="K2691" t="str">
        <v>off</v>
      </c>
      <c r="L2691" s="4" t="str">
        <f t="shared" si="50"/>
        <v>off</v>
      </c>
      <c r="N2691" s="4" cm="1">
        <f t="array" ref="N2691">SUM(--(_xlfn.TEXTSPLIT($J$2448,, " ") = M2691))</f>
        <v>1</v>
      </c>
      <c r="O2691">
        <v>1</v>
      </c>
      <c r="P2691">
        <v>0</v>
      </c>
      <c r="Q2691">
        <v>1</v>
      </c>
    </row>
    <row r="2692" spans="5:17" x14ac:dyDescent="0.2">
      <c r="E2692" s="9" t="s">
        <v>30</v>
      </c>
      <c r="K2692" t="str">
        <v>my</v>
      </c>
      <c r="L2692" s="4" t="str">
        <f t="shared" si="50"/>
        <v>my</v>
      </c>
      <c r="N2692" s="4" cm="1">
        <f t="array" ref="N2692">SUM(--(_xlfn.TEXTSPLIT($J$2448,, " ") = M2692))</f>
        <v>1</v>
      </c>
      <c r="O2692">
        <v>1</v>
      </c>
      <c r="P2692">
        <v>0</v>
      </c>
      <c r="Q2692">
        <v>1</v>
      </c>
    </row>
    <row r="2693" spans="5:17" x14ac:dyDescent="0.2">
      <c r="E2693" s="9" t="s">
        <v>30</v>
      </c>
      <c r="K2693" t="str">
        <v>huff,</v>
      </c>
      <c r="L2693" s="4" t="str">
        <f t="shared" si="50"/>
        <v xml:space="preserve">huff </v>
      </c>
      <c r="N2693" s="4" cm="1">
        <f t="array" ref="N2693">SUM(--(_xlfn.TEXTSPLIT($J$2448,, " ") = M2693))</f>
        <v>1</v>
      </c>
      <c r="O2693">
        <v>1</v>
      </c>
      <c r="P2693">
        <v>0</v>
      </c>
      <c r="Q2693">
        <v>1</v>
      </c>
    </row>
    <row r="2694" spans="5:17" x14ac:dyDescent="0.2">
      <c r="E2694" s="9" t="s">
        <v>30</v>
      </c>
      <c r="K2694" t="str">
        <v>anxious</v>
      </c>
      <c r="L2694" s="4" t="str">
        <f t="shared" si="50"/>
        <v>anxious</v>
      </c>
      <c r="N2694" s="4" cm="1">
        <f t="array" ref="N2694">SUM(--(_xlfn.TEXTSPLIT($J$2448,, " ") = M2694))</f>
        <v>1</v>
      </c>
      <c r="O2694">
        <v>1</v>
      </c>
      <c r="P2694">
        <v>0</v>
      </c>
      <c r="Q2694">
        <v>1</v>
      </c>
    </row>
    <row r="2695" spans="5:17" x14ac:dyDescent="0.2">
      <c r="E2695" s="9" t="s">
        <v>30</v>
      </c>
      <c r="K2695" t="str">
        <v>enough</v>
      </c>
      <c r="L2695" s="4" t="str">
        <f t="shared" si="50"/>
        <v>enough</v>
      </c>
      <c r="N2695" s="4" cm="1">
        <f t="array" ref="N2695">SUM(--(_xlfn.TEXTSPLIT($J$2448,, " ") = M2695))</f>
        <v>1</v>
      </c>
      <c r="O2695">
        <v>1</v>
      </c>
      <c r="P2695">
        <v>0</v>
      </c>
      <c r="Q2695">
        <v>1</v>
      </c>
    </row>
    <row r="2696" spans="5:17" x14ac:dyDescent="0.2">
      <c r="E2696" s="9" t="s">
        <v>30</v>
      </c>
      <c r="K2696" t="str">
        <v>as</v>
      </c>
      <c r="L2696" s="4" t="str">
        <f t="shared" si="50"/>
        <v>as</v>
      </c>
      <c r="N2696" s="4" cm="1">
        <f t="array" ref="N2696">SUM(--(_xlfn.TEXTSPLIT($J$2448,, " ") = M2696))</f>
        <v>1</v>
      </c>
      <c r="O2696">
        <v>1</v>
      </c>
      <c r="P2696">
        <v>0</v>
      </c>
      <c r="Q2696">
        <v>1</v>
      </c>
    </row>
    <row r="2697" spans="5:17" x14ac:dyDescent="0.2">
      <c r="E2697" s="9" t="s">
        <v>30</v>
      </c>
      <c r="K2697" t="str">
        <v>it</v>
      </c>
      <c r="L2697" s="4" t="str">
        <f t="shared" si="50"/>
        <v>it</v>
      </c>
      <c r="N2697" s="4" cm="1">
        <f t="array" ref="N2697">SUM(--(_xlfn.TEXTSPLIT($J$2448,, " ") = M2697))</f>
        <v>1</v>
      </c>
      <c r="O2697">
        <v>1</v>
      </c>
      <c r="P2697">
        <v>0</v>
      </c>
      <c r="Q2697">
        <v>1</v>
      </c>
    </row>
    <row r="2698" spans="5:17" x14ac:dyDescent="0.2">
      <c r="E2698" s="9" t="s">
        <v>30</v>
      </c>
      <c r="K2698" t="str">
        <v>is</v>
      </c>
      <c r="L2698" s="4" t="str">
        <f t="shared" si="50"/>
        <v>is</v>
      </c>
      <c r="N2698" s="4" cm="1">
        <f t="array" ref="N2698">SUM(--(_xlfn.TEXTSPLIT($J$2448,, " ") = M2698))</f>
        <v>1</v>
      </c>
      <c r="O2698">
        <v>1</v>
      </c>
      <c r="P2698">
        <v>0</v>
      </c>
      <c r="Q2698">
        <v>1</v>
      </c>
    </row>
    <row r="2699" spans="5:17" x14ac:dyDescent="0.2">
      <c r="E2699" s="9" t="s">
        <v>30</v>
      </c>
      <c r="K2699" t="str">
        <v xml:space="preserve">(Right)
</v>
      </c>
      <c r="L2699" s="4" t="str">
        <f t="shared" si="50"/>
        <v xml:space="preserve"> Right  </v>
      </c>
      <c r="N2699" s="4" cm="1">
        <f t="array" ref="N2699">SUM(--(_xlfn.TEXTSPLIT($J$2448,, " ") = M2699))</f>
        <v>1</v>
      </c>
      <c r="O2699">
        <v>1</v>
      </c>
      <c r="P2699">
        <v>0</v>
      </c>
      <c r="Q2699">
        <v>1</v>
      </c>
    </row>
    <row r="2700" spans="5:17" x14ac:dyDescent="0.2">
      <c r="E2700" s="9" t="s">
        <v>30</v>
      </c>
      <c r="K2700" t="str">
        <v>Gotta</v>
      </c>
      <c r="L2700" s="4" t="str">
        <f t="shared" si="50"/>
        <v>Gotta</v>
      </c>
      <c r="N2700" s="4" cm="1">
        <f t="array" ref="N2700">SUM(--(_xlfn.TEXTSPLIT($J$2448,, " ") = M2700))</f>
        <v>1</v>
      </c>
      <c r="O2700">
        <v>1</v>
      </c>
      <c r="P2700">
        <v>0</v>
      </c>
      <c r="Q2700">
        <v>1</v>
      </c>
    </row>
    <row r="2701" spans="5:17" x14ac:dyDescent="0.2">
      <c r="E2701" s="9" t="s">
        <v>30</v>
      </c>
      <c r="K2701" t="str">
        <v>walk,</v>
      </c>
      <c r="L2701" s="4" t="str">
        <f t="shared" si="50"/>
        <v xml:space="preserve">walk </v>
      </c>
      <c r="N2701" s="4" cm="1">
        <f t="array" ref="N2701">SUM(--(_xlfn.TEXTSPLIT($J$2448,, " ") = M2701))</f>
        <v>1</v>
      </c>
      <c r="O2701">
        <v>1</v>
      </c>
      <c r="P2701">
        <v>0</v>
      </c>
      <c r="Q2701">
        <v>1</v>
      </c>
    </row>
    <row r="2702" spans="5:17" x14ac:dyDescent="0.2">
      <c r="E2702" s="9" t="s">
        <v>30</v>
      </c>
      <c r="K2702" t="str">
        <v>never</v>
      </c>
      <c r="L2702" s="4" t="str">
        <f t="shared" si="50"/>
        <v>never</v>
      </c>
      <c r="N2702" s="4" cm="1">
        <f t="array" ref="N2702">SUM(--(_xlfn.TEXTSPLIT($J$2448,, " ") = M2702))</f>
        <v>1</v>
      </c>
      <c r="O2702">
        <v>1</v>
      </c>
      <c r="P2702">
        <v>0</v>
      </c>
      <c r="Q2702">
        <v>1</v>
      </c>
    </row>
    <row r="2703" spans="5:17" x14ac:dyDescent="0.2">
      <c r="E2703" s="9" t="s">
        <v>30</v>
      </c>
      <c r="K2703" t="str">
        <v>looking</v>
      </c>
      <c r="L2703" s="4" t="str">
        <f t="shared" si="50"/>
        <v>looking</v>
      </c>
      <c r="N2703" s="4" cm="1">
        <f t="array" ref="N2703">SUM(--(_xlfn.TEXTSPLIT($J$2448,, " ") = M2703))</f>
        <v>1</v>
      </c>
      <c r="O2703">
        <v>1</v>
      </c>
      <c r="P2703">
        <v>0</v>
      </c>
      <c r="Q2703">
        <v>1</v>
      </c>
    </row>
    <row r="2704" spans="5:17" x14ac:dyDescent="0.2">
      <c r="E2704" s="9" t="s">
        <v>30</v>
      </c>
      <c r="K2704" t="str">
        <v>up</v>
      </c>
      <c r="L2704" s="4" t="str">
        <f t="shared" si="50"/>
        <v>up</v>
      </c>
      <c r="N2704" s="4" cm="1">
        <f t="array" ref="N2704">SUM(--(_xlfn.TEXTSPLIT($J$2448,, " ") = M2704))</f>
        <v>1</v>
      </c>
      <c r="O2704">
        <v>1</v>
      </c>
      <c r="P2704">
        <v>0</v>
      </c>
      <c r="Q2704">
        <v>1</v>
      </c>
    </row>
    <row r="2705" spans="5:17" x14ac:dyDescent="0.2">
      <c r="E2705" s="9" t="s">
        <v>30</v>
      </c>
      <c r="K2705" t="str">
        <v>once</v>
      </c>
      <c r="L2705" s="4" t="str">
        <f t="shared" ref="L2705:L2768" si="51">_xlfn.REGEXREPLACE(K2705, "[^A-Za-z ]", " ")</f>
        <v>once</v>
      </c>
      <c r="N2705" s="4" cm="1">
        <f t="array" ref="N2705">SUM(--(_xlfn.TEXTSPLIT($J$2448,, " ") = M2705))</f>
        <v>1</v>
      </c>
      <c r="O2705">
        <v>1</v>
      </c>
      <c r="P2705">
        <v>0</v>
      </c>
      <c r="Q2705">
        <v>1</v>
      </c>
    </row>
    <row r="2706" spans="5:17" x14ac:dyDescent="0.2">
      <c r="E2706" s="9" t="s">
        <v>30</v>
      </c>
      <c r="K2706" t="str">
        <v>at</v>
      </c>
      <c r="L2706" s="4" t="str">
        <f t="shared" si="51"/>
        <v>at</v>
      </c>
      <c r="N2706" s="4" cm="1">
        <f t="array" ref="N2706">SUM(--(_xlfn.TEXTSPLIT($J$2448,, " ") = M2706))</f>
        <v>1</v>
      </c>
      <c r="O2706">
        <v>1</v>
      </c>
      <c r="P2706">
        <v>0</v>
      </c>
      <c r="Q2706">
        <v>1</v>
      </c>
    </row>
    <row r="2707" spans="5:17" x14ac:dyDescent="0.2">
      <c r="E2707" s="9" t="s">
        <v>30</v>
      </c>
      <c r="K2707" t="str">
        <v>the</v>
      </c>
      <c r="L2707" s="4" t="str">
        <f t="shared" si="51"/>
        <v>the</v>
      </c>
      <c r="N2707" s="4" cm="1">
        <f t="array" ref="N2707">SUM(--(_xlfn.TEXTSPLIT($J$2448,, " ") = M2707))</f>
        <v>1</v>
      </c>
      <c r="O2707">
        <v>1</v>
      </c>
      <c r="P2707">
        <v>0</v>
      </c>
      <c r="Q2707">
        <v>1</v>
      </c>
    </row>
    <row r="2708" spans="5:17" x14ac:dyDescent="0.2">
      <c r="E2708" s="9" t="s">
        <v>30</v>
      </c>
      <c r="K2708" t="str">
        <v>kids</v>
      </c>
      <c r="L2708" s="4" t="str">
        <f t="shared" si="51"/>
        <v>kids</v>
      </c>
      <c r="N2708" s="4" cm="1">
        <f t="array" ref="N2708">SUM(--(_xlfn.TEXTSPLIT($J$2448,, " ") = M2708))</f>
        <v>1</v>
      </c>
      <c r="O2708">
        <v>1</v>
      </c>
      <c r="P2708">
        <v>0</v>
      </c>
      <c r="Q2708">
        <v>1</v>
      </c>
    </row>
    <row r="2709" spans="5:17" x14ac:dyDescent="0.2">
      <c r="E2709" s="9" t="s">
        <v>30</v>
      </c>
      <c r="K2709" t="str">
        <v>in</v>
      </c>
      <c r="L2709" s="4" t="str">
        <f t="shared" si="51"/>
        <v>in</v>
      </c>
      <c r="N2709" s="4" cm="1">
        <f t="array" ref="N2709">SUM(--(_xlfn.TEXTSPLIT($J$2448,, " ") = M2709))</f>
        <v>1</v>
      </c>
      <c r="O2709">
        <v>1</v>
      </c>
      <c r="P2709">
        <v>0</v>
      </c>
      <c r="Q2709">
        <v>1</v>
      </c>
    </row>
    <row r="2710" spans="5:17" x14ac:dyDescent="0.2">
      <c r="E2710" s="9" t="s">
        <v>30</v>
      </c>
      <c r="K2710" t="str">
        <v>the</v>
      </c>
      <c r="L2710" s="4" t="str">
        <f t="shared" si="51"/>
        <v>the</v>
      </c>
      <c r="N2710" s="4" cm="1">
        <f t="array" ref="N2710">SUM(--(_xlfn.TEXTSPLIT($J$2448,, " ") = M2710))</f>
        <v>1</v>
      </c>
      <c r="O2710">
        <v>1</v>
      </c>
      <c r="P2710">
        <v>0</v>
      </c>
      <c r="Q2710">
        <v>1</v>
      </c>
    </row>
    <row r="2711" spans="5:17" x14ac:dyDescent="0.2">
      <c r="E2711" s="9" t="s">
        <v>30</v>
      </c>
      <c r="K2711" t="str">
        <v xml:space="preserve">park
</v>
      </c>
      <c r="L2711" s="4" t="str">
        <f t="shared" si="51"/>
        <v xml:space="preserve">park </v>
      </c>
      <c r="N2711" s="4" cm="1">
        <f t="array" ref="N2711">SUM(--(_xlfn.TEXTSPLIT($J$2448,, " ") = M2711))</f>
        <v>1</v>
      </c>
      <c r="O2711">
        <v>1</v>
      </c>
      <c r="P2711">
        <v>0</v>
      </c>
      <c r="Q2711">
        <v>1</v>
      </c>
    </row>
    <row r="2712" spans="5:17" x14ac:dyDescent="0.2">
      <c r="E2712" s="9" t="s">
        <v>30</v>
      </c>
      <c r="K2712" t="str">
        <v>What</v>
      </c>
      <c r="L2712" s="4" t="str">
        <f t="shared" si="51"/>
        <v>What</v>
      </c>
      <c r="N2712" s="4" cm="1">
        <f t="array" ref="N2712">SUM(--(_xlfn.TEXTSPLIT($J$2448,, " ") = M2712))</f>
        <v>1</v>
      </c>
      <c r="O2712">
        <v>1</v>
      </c>
      <c r="P2712">
        <v>0</v>
      </c>
      <c r="Q2712">
        <v>1</v>
      </c>
    </row>
    <row r="2713" spans="5:17" x14ac:dyDescent="0.2">
      <c r="E2713" s="9" t="s">
        <v>30</v>
      </c>
      <c r="K2713" t="str">
        <v>a</v>
      </c>
      <c r="L2713" s="4" t="str">
        <f t="shared" si="51"/>
        <v>a</v>
      </c>
      <c r="N2713" s="4" cm="1">
        <f t="array" ref="N2713">SUM(--(_xlfn.TEXTSPLIT($J$2448,, " ") = M2713))</f>
        <v>1</v>
      </c>
      <c r="O2713">
        <v>1</v>
      </c>
      <c r="P2713">
        <v>0</v>
      </c>
      <c r="Q2713">
        <v>1</v>
      </c>
    </row>
    <row r="2714" spans="5:17" x14ac:dyDescent="0.2">
      <c r="E2714" s="9" t="s">
        <v>30</v>
      </c>
      <c r="K2714" t="str">
        <v>day,</v>
      </c>
      <c r="L2714" s="4" t="str">
        <f t="shared" si="51"/>
        <v xml:space="preserve">day </v>
      </c>
      <c r="N2714" s="4" cm="1">
        <f t="array" ref="N2714">SUM(--(_xlfn.TEXTSPLIT($J$2448,, " ") = M2714))</f>
        <v>1</v>
      </c>
      <c r="O2714">
        <v>1</v>
      </c>
      <c r="P2714">
        <v>0</v>
      </c>
      <c r="Q2714">
        <v>1</v>
      </c>
    </row>
    <row r="2715" spans="5:17" x14ac:dyDescent="0.2">
      <c r="E2715" s="9" t="s">
        <v>30</v>
      </c>
      <c r="K2715" t="str">
        <v>getting</v>
      </c>
      <c r="L2715" s="4" t="str">
        <f t="shared" si="51"/>
        <v>getting</v>
      </c>
      <c r="N2715" s="4" cm="1">
        <f t="array" ref="N2715">SUM(--(_xlfn.TEXTSPLIT($J$2448,, " ") = M2715))</f>
        <v>1</v>
      </c>
      <c r="O2715">
        <v>1</v>
      </c>
      <c r="P2715">
        <v>0</v>
      </c>
      <c r="Q2715">
        <v>1</v>
      </c>
    </row>
    <row r="2716" spans="5:17" x14ac:dyDescent="0.2">
      <c r="E2716" s="9" t="s">
        <v>30</v>
      </c>
      <c r="K2716" t="str">
        <v>dark,</v>
      </c>
      <c r="L2716" s="4" t="str">
        <f t="shared" si="51"/>
        <v xml:space="preserve">dark </v>
      </c>
      <c r="N2716" s="4" cm="1">
        <f t="array" ref="N2716">SUM(--(_xlfn.TEXTSPLIT($J$2448,, " ") = M2716))</f>
        <v>1</v>
      </c>
      <c r="O2716">
        <v>1</v>
      </c>
      <c r="P2716">
        <v>0</v>
      </c>
      <c r="Q2716">
        <v>1</v>
      </c>
    </row>
    <row r="2717" spans="5:17" x14ac:dyDescent="0.2">
      <c r="E2717" s="9" t="s">
        <v>30</v>
      </c>
      <c r="K2717" t="str">
        <v>what</v>
      </c>
      <c r="L2717" s="4" t="str">
        <f t="shared" si="51"/>
        <v>what</v>
      </c>
      <c r="N2717" s="4" cm="1">
        <f t="array" ref="N2717">SUM(--(_xlfn.TEXTSPLIT($J$2448,, " ") = M2717))</f>
        <v>1</v>
      </c>
      <c r="O2717">
        <v>1</v>
      </c>
      <c r="P2717">
        <v>0</v>
      </c>
      <c r="Q2717">
        <v>1</v>
      </c>
    </row>
    <row r="2718" spans="5:17" x14ac:dyDescent="0.2">
      <c r="E2718" s="9" t="s">
        <v>30</v>
      </c>
      <c r="K2718" t="str">
        <v>a</v>
      </c>
      <c r="L2718" s="4" t="str">
        <f t="shared" si="51"/>
        <v>a</v>
      </c>
      <c r="N2718" s="4" cm="1">
        <f t="array" ref="N2718">SUM(--(_xlfn.TEXTSPLIT($J$2448,, " ") = M2718))</f>
        <v>1</v>
      </c>
      <c r="O2718">
        <v>1</v>
      </c>
      <c r="P2718">
        <v>0</v>
      </c>
      <c r="Q2718">
        <v>1</v>
      </c>
    </row>
    <row r="2719" spans="5:17" x14ac:dyDescent="0.2">
      <c r="E2719" s="9" t="s">
        <v>30</v>
      </c>
      <c r="K2719" t="str">
        <v>day</v>
      </c>
      <c r="L2719" s="4" t="str">
        <f t="shared" si="51"/>
        <v>day</v>
      </c>
      <c r="N2719" s="4" cm="1">
        <f t="array" ref="N2719">SUM(--(_xlfn.TEXTSPLIT($J$2448,, " ") = M2719))</f>
        <v>1</v>
      </c>
      <c r="O2719">
        <v>1</v>
      </c>
      <c r="P2719">
        <v>0</v>
      </c>
      <c r="Q2719">
        <v>1</v>
      </c>
    </row>
    <row r="2720" spans="5:17" x14ac:dyDescent="0.2">
      <c r="E2720" s="9" t="s">
        <v>30</v>
      </c>
      <c r="K2720" t="str">
        <v>(Right</v>
      </c>
      <c r="L2720" s="4" t="str">
        <f t="shared" si="51"/>
        <v xml:space="preserve"> Right</v>
      </c>
      <c r="N2720" s="4" cm="1">
        <f t="array" ref="N2720">SUM(--(_xlfn.TEXTSPLIT($J$2448,, " ") = M2720))</f>
        <v>1</v>
      </c>
      <c r="O2720">
        <v>1</v>
      </c>
      <c r="P2720">
        <v>0</v>
      </c>
      <c r="Q2720">
        <v>1</v>
      </c>
    </row>
    <row r="2721" spans="5:17" x14ac:dyDescent="0.2">
      <c r="E2721" s="9" t="s">
        <v>30</v>
      </c>
      <c r="K2721" t="str">
        <v>this</v>
      </c>
      <c r="L2721" s="4" t="str">
        <f t="shared" si="51"/>
        <v>this</v>
      </c>
      <c r="N2721" s="4" cm="1">
        <f t="array" ref="N2721">SUM(--(_xlfn.TEXTSPLIT($J$2448,, " ") = M2721))</f>
        <v>1</v>
      </c>
      <c r="O2721">
        <v>1</v>
      </c>
      <c r="P2721">
        <v>0</v>
      </c>
      <c r="Q2721">
        <v>1</v>
      </c>
    </row>
    <row r="2722" spans="5:17" x14ac:dyDescent="0.2">
      <c r="E2722" s="9" t="s">
        <v>30</v>
      </c>
      <c r="K2722" t="str">
        <v xml:space="preserve">way)
</v>
      </c>
      <c r="L2722" s="4" t="str">
        <f t="shared" si="51"/>
        <v xml:space="preserve">way  </v>
      </c>
      <c r="N2722" s="4" cm="1">
        <f t="array" ref="N2722">SUM(--(_xlfn.TEXTSPLIT($J$2448,, " ") = M2722))</f>
        <v>1</v>
      </c>
      <c r="O2722">
        <v>1</v>
      </c>
      <c r="P2722">
        <v>0</v>
      </c>
      <c r="Q2722">
        <v>1</v>
      </c>
    </row>
    <row r="2723" spans="5:17" x14ac:dyDescent="0.2">
      <c r="E2723" s="9" t="s">
        <v>30</v>
      </c>
      <c r="K2723" t="str">
        <v>Okay,</v>
      </c>
      <c r="L2723" s="4" t="str">
        <f t="shared" si="51"/>
        <v xml:space="preserve">Okay </v>
      </c>
      <c r="N2723" s="4" cm="1">
        <f t="array" ref="N2723">SUM(--(_xlfn.TEXTSPLIT($J$2448,, " ") = M2723))</f>
        <v>1</v>
      </c>
      <c r="O2723">
        <v>1</v>
      </c>
      <c r="P2723">
        <v>0</v>
      </c>
      <c r="Q2723">
        <v>1</v>
      </c>
    </row>
    <row r="2724" spans="5:17" x14ac:dyDescent="0.2">
      <c r="E2724" s="9" t="s">
        <v>30</v>
      </c>
      <c r="K2724" t="str">
        <v xml:space="preserve">okay
</v>
      </c>
      <c r="L2724" s="4" t="str">
        <f t="shared" si="51"/>
        <v xml:space="preserve">okay  </v>
      </c>
      <c r="N2724" s="4" cm="1">
        <f t="array" ref="N2724">SUM(--(_xlfn.TEXTSPLIT($J$2448,, " ") = M2724))</f>
        <v>1</v>
      </c>
      <c r="O2724">
        <v>1</v>
      </c>
      <c r="P2724">
        <v>0</v>
      </c>
      <c r="Q2724">
        <v>1</v>
      </c>
    </row>
    <row r="2725" spans="5:17" x14ac:dyDescent="0.2">
      <c r="E2725" s="9" t="s">
        <v>30</v>
      </c>
      <c r="K2725" t="str">
        <v>I</v>
      </c>
      <c r="L2725" s="4" t="str">
        <f t="shared" si="51"/>
        <v>I</v>
      </c>
      <c r="N2725" s="4" cm="1">
        <f t="array" ref="N2725">SUM(--(_xlfn.TEXTSPLIT($J$2448,, " ") = M2725))</f>
        <v>1</v>
      </c>
      <c r="O2725">
        <v>1</v>
      </c>
      <c r="P2725">
        <v>0</v>
      </c>
      <c r="Q2725">
        <v>1</v>
      </c>
    </row>
    <row r="2726" spans="5:17" x14ac:dyDescent="0.2">
      <c r="E2726" s="9" t="s">
        <v>30</v>
      </c>
      <c r="K2726" t="str">
        <v>thought</v>
      </c>
      <c r="L2726" s="4" t="str">
        <f t="shared" si="51"/>
        <v>thought</v>
      </c>
      <c r="N2726" s="4" cm="1">
        <f t="array" ref="N2726">SUM(--(_xlfn.TEXTSPLIT($J$2448,, " ") = M2726))</f>
        <v>1</v>
      </c>
      <c r="O2726">
        <v>1</v>
      </c>
      <c r="P2726">
        <v>0</v>
      </c>
      <c r="Q2726">
        <v>1</v>
      </c>
    </row>
    <row r="2727" spans="5:17" x14ac:dyDescent="0.2">
      <c r="E2727" s="9" t="s">
        <v>30</v>
      </c>
      <c r="K2727" t="str">
        <v>you</v>
      </c>
      <c r="L2727" s="4" t="str">
        <f t="shared" si="51"/>
        <v>you</v>
      </c>
      <c r="N2727" s="4" cm="1">
        <f t="array" ref="N2727">SUM(--(_xlfn.TEXTSPLIT($J$2448,, " ") = M2727))</f>
        <v>1</v>
      </c>
      <c r="O2727">
        <v>1</v>
      </c>
      <c r="P2727">
        <v>0</v>
      </c>
      <c r="Q2727">
        <v>1</v>
      </c>
    </row>
    <row r="2728" spans="5:17" x14ac:dyDescent="0.2">
      <c r="E2728" s="9" t="s">
        <v>30</v>
      </c>
      <c r="K2728" t="str">
        <v>had</v>
      </c>
      <c r="L2728" s="4" t="str">
        <f t="shared" si="51"/>
        <v>had</v>
      </c>
      <c r="N2728" s="4" cm="1">
        <f t="array" ref="N2728">SUM(--(_xlfn.TEXTSPLIT($J$2448,, " ") = M2728))</f>
        <v>1</v>
      </c>
      <c r="O2728">
        <v>1</v>
      </c>
      <c r="P2728">
        <v>0</v>
      </c>
      <c r="Q2728">
        <v>1</v>
      </c>
    </row>
    <row r="2729" spans="5:17" x14ac:dyDescent="0.2">
      <c r="E2729" s="9" t="s">
        <v>30</v>
      </c>
      <c r="K2729" t="str">
        <v>it</v>
      </c>
      <c r="L2729" s="4" t="str">
        <f t="shared" si="51"/>
        <v>it</v>
      </c>
      <c r="N2729" s="4" cm="1">
        <f t="array" ref="N2729">SUM(--(_xlfn.TEXTSPLIT($J$2448,, " ") = M2729))</f>
        <v>1</v>
      </c>
      <c r="O2729">
        <v>1</v>
      </c>
      <c r="P2729">
        <v>0</v>
      </c>
      <c r="Q2729">
        <v>1</v>
      </c>
    </row>
    <row r="2730" spans="5:17" x14ac:dyDescent="0.2">
      <c r="E2730" s="9" t="s">
        <v>30</v>
      </c>
      <c r="K2730" t="str">
        <v>figured</v>
      </c>
      <c r="L2730" s="4" t="str">
        <f t="shared" si="51"/>
        <v>figured</v>
      </c>
      <c r="N2730" s="4" cm="1">
        <f t="array" ref="N2730">SUM(--(_xlfn.TEXTSPLIT($J$2448,, " ") = M2730))</f>
        <v>1</v>
      </c>
      <c r="O2730">
        <v>1</v>
      </c>
      <c r="P2730">
        <v>0</v>
      </c>
      <c r="Q2730">
        <v>1</v>
      </c>
    </row>
    <row r="2731" spans="5:17" x14ac:dyDescent="0.2">
      <c r="E2731" s="9" t="s">
        <v>30</v>
      </c>
      <c r="K2731" t="str">
        <v>out(I</v>
      </c>
      <c r="L2731" s="4" t="str">
        <f t="shared" si="51"/>
        <v>out I</v>
      </c>
      <c r="N2731" s="4" cm="1">
        <f t="array" ref="N2731">SUM(--(_xlfn.TEXTSPLIT($J$2448,, " ") = M2731))</f>
        <v>1</v>
      </c>
      <c r="O2731">
        <v>1</v>
      </c>
      <c r="P2731">
        <v>0</v>
      </c>
      <c r="Q2731">
        <v>1</v>
      </c>
    </row>
    <row r="2732" spans="5:17" x14ac:dyDescent="0.2">
      <c r="E2732" s="9" t="s">
        <v>30</v>
      </c>
      <c r="K2732" t="str">
        <v>thought</v>
      </c>
      <c r="L2732" s="4" t="str">
        <f t="shared" si="51"/>
        <v>thought</v>
      </c>
      <c r="N2732" s="4" cm="1">
        <f t="array" ref="N2732">SUM(--(_xlfn.TEXTSPLIT($J$2448,, " ") = M2732))</f>
        <v>1</v>
      </c>
      <c r="O2732">
        <v>1</v>
      </c>
      <c r="P2732">
        <v>0</v>
      </c>
      <c r="Q2732">
        <v>1</v>
      </c>
    </row>
    <row r="2733" spans="5:17" x14ac:dyDescent="0.2">
      <c r="E2733" s="9" t="s">
        <v>30</v>
      </c>
      <c r="K2733" t="str">
        <v>you</v>
      </c>
      <c r="L2733" s="4" t="str">
        <f t="shared" si="51"/>
        <v>you</v>
      </c>
      <c r="N2733" s="4" cm="1">
        <f t="array" ref="N2733">SUM(--(_xlfn.TEXTSPLIT($J$2448,, " ") = M2733))</f>
        <v>1</v>
      </c>
      <c r="O2733">
        <v>1</v>
      </c>
      <c r="P2733">
        <v>0</v>
      </c>
      <c r="Q2733">
        <v>1</v>
      </c>
    </row>
    <row r="2734" spans="5:17" x14ac:dyDescent="0.2">
      <c r="E2734" s="9" t="s">
        <v>30</v>
      </c>
      <c r="K2734" t="str">
        <v>had</v>
      </c>
      <c r="L2734" s="4" t="str">
        <f t="shared" si="51"/>
        <v>had</v>
      </c>
      <c r="N2734" s="4" cm="1">
        <f t="array" ref="N2734">SUM(--(_xlfn.TEXTSPLIT($J$2448,, " ") = M2734))</f>
        <v>1</v>
      </c>
      <c r="O2734">
        <v>1</v>
      </c>
      <c r="P2734">
        <v>0</v>
      </c>
      <c r="Q2734">
        <v>1</v>
      </c>
    </row>
    <row r="2735" spans="5:17" x14ac:dyDescent="0.2">
      <c r="E2735" s="9" t="s">
        <v>30</v>
      </c>
      <c r="K2735" t="str">
        <v>it</v>
      </c>
      <c r="L2735" s="4" t="str">
        <f t="shared" si="51"/>
        <v>it</v>
      </c>
      <c r="N2735" s="4" cm="1">
        <f t="array" ref="N2735">SUM(--(_xlfn.TEXTSPLIT($J$2448,, " ") = M2735))</f>
        <v>1</v>
      </c>
      <c r="O2735">
        <v>1</v>
      </c>
      <c r="P2735">
        <v>0</v>
      </c>
      <c r="Q2735">
        <v>1</v>
      </c>
    </row>
    <row r="2736" spans="5:17" x14ac:dyDescent="0.2">
      <c r="E2736" s="9" t="s">
        <v>30</v>
      </c>
      <c r="K2736" t="str">
        <v>figured</v>
      </c>
      <c r="L2736" s="4" t="str">
        <f t="shared" si="51"/>
        <v>figured</v>
      </c>
      <c r="N2736" s="4" cm="1">
        <f t="array" ref="N2736">SUM(--(_xlfn.TEXTSPLIT($J$2448,, " ") = M2736))</f>
        <v>1</v>
      </c>
      <c r="O2736">
        <v>1</v>
      </c>
      <c r="P2736">
        <v>0</v>
      </c>
      <c r="Q2736">
        <v>1</v>
      </c>
    </row>
    <row r="2737" spans="5:17" x14ac:dyDescent="0.2">
      <c r="E2737" s="9" t="s">
        <v>30</v>
      </c>
      <c r="K2737" t="str">
        <v xml:space="preserve">out)
</v>
      </c>
      <c r="L2737" s="4" t="str">
        <f t="shared" si="51"/>
        <v xml:space="preserve">out  </v>
      </c>
      <c r="N2737" s="4" cm="1">
        <f t="array" ref="N2737">SUM(--(_xlfn.TEXTSPLIT($J$2448,, " ") = M2737))</f>
        <v>1</v>
      </c>
      <c r="O2737">
        <v>1</v>
      </c>
      <c r="P2737">
        <v>0</v>
      </c>
      <c r="Q2737">
        <v>1</v>
      </c>
    </row>
    <row r="2738" spans="5:17" x14ac:dyDescent="0.2">
      <c r="E2738" s="9" t="s">
        <v>30</v>
      </c>
      <c r="K2738" t="str">
        <v>I</v>
      </c>
      <c r="L2738" s="4" t="str">
        <f t="shared" si="51"/>
        <v>I</v>
      </c>
      <c r="N2738" s="4" cm="1">
        <f t="array" ref="N2738">SUM(--(_xlfn.TEXTSPLIT($J$2448,, " ") = M2738))</f>
        <v>1</v>
      </c>
      <c r="O2738">
        <v>1</v>
      </c>
      <c r="P2738">
        <v>0</v>
      </c>
      <c r="Q2738">
        <v>1</v>
      </c>
    </row>
    <row r="2739" spans="5:17" x14ac:dyDescent="0.2">
      <c r="E2739" s="9" t="s">
        <v>30</v>
      </c>
      <c r="K2739" t="str">
        <v>know,</v>
      </c>
      <c r="L2739" s="4" t="str">
        <f t="shared" si="51"/>
        <v xml:space="preserve">know </v>
      </c>
      <c r="N2739" s="4" cm="1">
        <f t="array" ref="N2739">SUM(--(_xlfn.TEXTSPLIT($J$2448,, " ") = M2739))</f>
        <v>1</v>
      </c>
      <c r="O2739">
        <v>1</v>
      </c>
      <c r="P2739">
        <v>0</v>
      </c>
      <c r="Q2739">
        <v>1</v>
      </c>
    </row>
    <row r="2740" spans="5:17" x14ac:dyDescent="0.2">
      <c r="E2740" s="9" t="s">
        <v>30</v>
      </c>
      <c r="K2740" t="str">
        <v>I</v>
      </c>
      <c r="L2740" s="4" t="str">
        <f t="shared" si="51"/>
        <v>I</v>
      </c>
      <c r="N2740" s="4" cm="1">
        <f t="array" ref="N2740">SUM(--(_xlfn.TEXTSPLIT($J$2448,, " ") = M2740))</f>
        <v>1</v>
      </c>
      <c r="O2740">
        <v>1</v>
      </c>
      <c r="P2740">
        <v>0</v>
      </c>
      <c r="Q2740">
        <v>1</v>
      </c>
    </row>
    <row r="2741" spans="5:17" x14ac:dyDescent="0.2">
      <c r="E2741" s="9" t="s">
        <v>30</v>
      </c>
      <c r="K2741" t="str">
        <v xml:space="preserve">know
</v>
      </c>
      <c r="L2741" s="4" t="str">
        <f t="shared" si="51"/>
        <v xml:space="preserve">know </v>
      </c>
      <c r="N2741" s="4" cm="1">
        <f t="array" ref="N2741">SUM(--(_xlfn.TEXTSPLIT($J$2448,, " ") = M2741))</f>
        <v>1</v>
      </c>
      <c r="O2741">
        <v>1</v>
      </c>
      <c r="P2741">
        <v>0</v>
      </c>
      <c r="Q2741">
        <v>1</v>
      </c>
    </row>
    <row r="2742" spans="5:17" x14ac:dyDescent="0.2">
      <c r="E2742" s="9" t="s">
        <v>30</v>
      </c>
      <c r="K2742" t="str">
        <v>You</v>
      </c>
      <c r="L2742" s="4" t="str">
        <f t="shared" si="51"/>
        <v>You</v>
      </c>
      <c r="N2742" s="4" cm="1">
        <f t="array" ref="N2742">SUM(--(_xlfn.TEXTSPLIT($J$2448,, " ") = M2742))</f>
        <v>1</v>
      </c>
      <c r="O2742">
        <v>1</v>
      </c>
      <c r="P2742">
        <v>0</v>
      </c>
      <c r="Q2742">
        <v>1</v>
      </c>
    </row>
    <row r="2743" spans="5:17" x14ac:dyDescent="0.2">
      <c r="E2743" s="9" t="s">
        <v>30</v>
      </c>
      <c r="K2743" t="str">
        <v>said</v>
      </c>
      <c r="L2743" s="4" t="str">
        <f t="shared" si="51"/>
        <v>said</v>
      </c>
      <c r="N2743" s="4" cm="1">
        <f t="array" ref="N2743">SUM(--(_xlfn.TEXTSPLIT($J$2448,, " ") = M2743))</f>
        <v>1</v>
      </c>
      <c r="O2743">
        <v>1</v>
      </c>
      <c r="P2743">
        <v>0</v>
      </c>
      <c r="Q2743">
        <v>1</v>
      </c>
    </row>
    <row r="2744" spans="5:17" x14ac:dyDescent="0.2">
      <c r="E2744" s="9" t="s">
        <v>30</v>
      </c>
      <c r="K2744" t="str">
        <v>you</v>
      </c>
      <c r="L2744" s="4" t="str">
        <f t="shared" si="51"/>
        <v>you</v>
      </c>
      <c r="N2744" s="4" cm="1">
        <f t="array" ref="N2744">SUM(--(_xlfn.TEXTSPLIT($J$2448,, " ") = M2744))</f>
        <v>1</v>
      </c>
      <c r="O2744">
        <v>1</v>
      </c>
      <c r="P2744">
        <v>0</v>
      </c>
      <c r="Q2744">
        <v>1</v>
      </c>
    </row>
    <row r="2745" spans="5:17" x14ac:dyDescent="0.2">
      <c r="E2745" s="9" t="s">
        <v>30</v>
      </c>
      <c r="K2745" t="str">
        <v>made</v>
      </c>
      <c r="L2745" s="4" t="str">
        <f t="shared" si="51"/>
        <v>made</v>
      </c>
      <c r="N2745" s="4" cm="1">
        <f t="array" ref="N2745">SUM(--(_xlfn.TEXTSPLIT($J$2448,, " ") = M2745))</f>
        <v>1</v>
      </c>
      <c r="O2745">
        <v>1</v>
      </c>
      <c r="P2745">
        <v>0</v>
      </c>
      <c r="Q2745">
        <v>1</v>
      </c>
    </row>
    <row r="2746" spans="5:17" x14ac:dyDescent="0.2">
      <c r="E2746" s="9" t="s">
        <v>30</v>
      </c>
      <c r="K2746" t="str">
        <v>it</v>
      </c>
      <c r="L2746" s="4" t="str">
        <f t="shared" si="51"/>
        <v>it</v>
      </c>
      <c r="N2746" s="4" cm="1">
        <f t="array" ref="N2746">SUM(--(_xlfn.TEXTSPLIT($J$2448,, " ") = M2746))</f>
        <v>1</v>
      </c>
      <c r="O2746">
        <v>1</v>
      </c>
      <c r="P2746">
        <v>0</v>
      </c>
      <c r="Q2746">
        <v>1</v>
      </c>
    </row>
    <row r="2747" spans="5:17" x14ac:dyDescent="0.2">
      <c r="E2747" s="9" t="s">
        <v>30</v>
      </c>
      <c r="K2747" t="str">
        <v>to</v>
      </c>
      <c r="L2747" s="4" t="str">
        <f t="shared" si="51"/>
        <v>to</v>
      </c>
      <c r="N2747" s="4" cm="1">
        <f t="array" ref="N2747">SUM(--(_xlfn.TEXTSPLIT($J$2448,, " ") = M2747))</f>
        <v>1</v>
      </c>
      <c r="O2747">
        <v>1</v>
      </c>
      <c r="P2747">
        <v>0</v>
      </c>
      <c r="Q2747">
        <v>1</v>
      </c>
    </row>
    <row r="2748" spans="5:17" x14ac:dyDescent="0.2">
      <c r="E2748" s="9" t="s">
        <v>30</v>
      </c>
      <c r="K2748" t="str">
        <v>the</v>
      </c>
      <c r="L2748" s="4" t="str">
        <f t="shared" si="51"/>
        <v>the</v>
      </c>
      <c r="N2748" s="4" cm="1">
        <f t="array" ref="N2748">SUM(--(_xlfn.TEXTSPLIT($J$2448,, " ") = M2748))</f>
        <v>1</v>
      </c>
      <c r="O2748">
        <v>1</v>
      </c>
      <c r="P2748">
        <v>0</v>
      </c>
      <c r="Q2748">
        <v>1</v>
      </c>
    </row>
    <row r="2749" spans="5:17" x14ac:dyDescent="0.2">
      <c r="E2749" s="9" t="s">
        <v>30</v>
      </c>
      <c r="K2749" t="str">
        <v>top</v>
      </c>
      <c r="L2749" s="4" t="str">
        <f t="shared" si="51"/>
        <v>top</v>
      </c>
      <c r="N2749" s="4" cm="1">
        <f t="array" ref="N2749">SUM(--(_xlfn.TEXTSPLIT($J$2448,, " ") = M2749))</f>
        <v>1</v>
      </c>
      <c r="O2749">
        <v>1</v>
      </c>
      <c r="P2749">
        <v>0</v>
      </c>
      <c r="Q2749">
        <v>1</v>
      </c>
    </row>
    <row r="2750" spans="5:17" x14ac:dyDescent="0.2">
      <c r="E2750" s="9" t="s">
        <v>30</v>
      </c>
      <c r="K2750" t="str">
        <v>(You</v>
      </c>
      <c r="L2750" s="4" t="str">
        <f t="shared" si="51"/>
        <v xml:space="preserve"> You</v>
      </c>
      <c r="N2750" s="4" cm="1">
        <f t="array" ref="N2750">SUM(--(_xlfn.TEXTSPLIT($J$2448,, " ") = M2750))</f>
        <v>1</v>
      </c>
      <c r="O2750">
        <v>1</v>
      </c>
      <c r="P2750">
        <v>0</v>
      </c>
      <c r="Q2750">
        <v>1</v>
      </c>
    </row>
    <row r="2751" spans="5:17" x14ac:dyDescent="0.2">
      <c r="E2751" s="9" t="s">
        <v>30</v>
      </c>
      <c r="K2751" t="str">
        <v>said</v>
      </c>
      <c r="L2751" s="4" t="str">
        <f t="shared" si="51"/>
        <v>said</v>
      </c>
      <c r="N2751" s="4" cm="1">
        <f t="array" ref="N2751">SUM(--(_xlfn.TEXTSPLIT($J$2448,, " ") = M2751))</f>
        <v>1</v>
      </c>
      <c r="O2751">
        <v>1</v>
      </c>
      <c r="P2751">
        <v>0</v>
      </c>
      <c r="Q2751">
        <v>1</v>
      </c>
    </row>
    <row r="2752" spans="5:17" x14ac:dyDescent="0.2">
      <c r="E2752" s="9" t="s">
        <v>30</v>
      </c>
      <c r="K2752" t="str">
        <v>you</v>
      </c>
      <c r="L2752" s="4" t="str">
        <f t="shared" si="51"/>
        <v>you</v>
      </c>
      <c r="N2752" s="4" cm="1">
        <f t="array" ref="N2752">SUM(--(_xlfn.TEXTSPLIT($J$2448,, " ") = M2752))</f>
        <v>1</v>
      </c>
      <c r="O2752">
        <v>1</v>
      </c>
      <c r="P2752">
        <v>0</v>
      </c>
      <c r="Q2752">
        <v>1</v>
      </c>
    </row>
    <row r="2753" spans="5:17" x14ac:dyDescent="0.2">
      <c r="E2753" s="9" t="s">
        <v>30</v>
      </c>
      <c r="K2753" t="str">
        <v>made</v>
      </c>
      <c r="L2753" s="4" t="str">
        <f t="shared" si="51"/>
        <v>made</v>
      </c>
      <c r="N2753" s="4" cm="1">
        <f t="array" ref="N2753">SUM(--(_xlfn.TEXTSPLIT($J$2448,, " ") = M2753))</f>
        <v>1</v>
      </c>
      <c r="O2753">
        <v>1</v>
      </c>
      <c r="P2753">
        <v>0</v>
      </c>
      <c r="Q2753">
        <v>1</v>
      </c>
    </row>
    <row r="2754" spans="5:17" x14ac:dyDescent="0.2">
      <c r="E2754" s="9" t="s">
        <v>30</v>
      </c>
      <c r="K2754" t="str">
        <v>it</v>
      </c>
      <c r="L2754" s="4" t="str">
        <f t="shared" si="51"/>
        <v>it</v>
      </c>
      <c r="N2754" s="4" cm="1">
        <f t="array" ref="N2754">SUM(--(_xlfn.TEXTSPLIT($J$2448,, " ") = M2754))</f>
        <v>1</v>
      </c>
      <c r="O2754">
        <v>1</v>
      </c>
      <c r="P2754">
        <v>0</v>
      </c>
      <c r="Q2754">
        <v>1</v>
      </c>
    </row>
    <row r="2755" spans="5:17" x14ac:dyDescent="0.2">
      <c r="E2755" s="9" t="s">
        <v>30</v>
      </c>
      <c r="K2755" t="str">
        <v>to</v>
      </c>
      <c r="L2755" s="4" t="str">
        <f t="shared" si="51"/>
        <v>to</v>
      </c>
      <c r="N2755" s="4" cm="1">
        <f t="array" ref="N2755">SUM(--(_xlfn.TEXTSPLIT($J$2448,, " ") = M2755))</f>
        <v>1</v>
      </c>
      <c r="O2755">
        <v>1</v>
      </c>
      <c r="P2755">
        <v>0</v>
      </c>
      <c r="Q2755">
        <v>1</v>
      </c>
    </row>
    <row r="2756" spans="5:17" x14ac:dyDescent="0.2">
      <c r="E2756" s="9" t="s">
        <v>30</v>
      </c>
      <c r="K2756" t="str">
        <v>the</v>
      </c>
      <c r="L2756" s="4" t="str">
        <f t="shared" si="51"/>
        <v>the</v>
      </c>
      <c r="N2756" s="4" cm="1">
        <f t="array" ref="N2756">SUM(--(_xlfn.TEXTSPLIT($J$2448,, " ") = M2756))</f>
        <v>1</v>
      </c>
      <c r="O2756">
        <v>1</v>
      </c>
      <c r="P2756">
        <v>0</v>
      </c>
      <c r="Q2756">
        <v>1</v>
      </c>
    </row>
    <row r="2757" spans="5:17" x14ac:dyDescent="0.2">
      <c r="E2757" s="9" t="s">
        <v>30</v>
      </c>
      <c r="K2757" t="str">
        <v xml:space="preserve">top)
</v>
      </c>
      <c r="L2757" s="4" t="str">
        <f t="shared" si="51"/>
        <v xml:space="preserve">top  </v>
      </c>
      <c r="N2757" s="4" cm="1">
        <f t="array" ref="N2757">SUM(--(_xlfn.TEXTSPLIT($J$2448,, " ") = M2757))</f>
        <v>1</v>
      </c>
      <c r="O2757">
        <v>1</v>
      </c>
      <c r="P2757">
        <v>0</v>
      </c>
      <c r="Q2757">
        <v>1</v>
      </c>
    </row>
    <row r="2758" spans="5:17" x14ac:dyDescent="0.2">
      <c r="E2758" s="9" t="s">
        <v>30</v>
      </c>
      <c r="K2758" t="str">
        <v>I</v>
      </c>
      <c r="L2758" s="4" t="str">
        <f t="shared" si="51"/>
        <v>I</v>
      </c>
      <c r="N2758" s="4" cm="1">
        <f t="array" ref="N2758">SUM(--(_xlfn.TEXTSPLIT($J$2448,, " ") = M2758))</f>
        <v>1</v>
      </c>
      <c r="O2758">
        <v>1</v>
      </c>
      <c r="P2758">
        <v>0</v>
      </c>
      <c r="Q2758">
        <v>1</v>
      </c>
    </row>
    <row r="2759" spans="5:17" x14ac:dyDescent="0.2">
      <c r="E2759" s="9" t="s">
        <v>30</v>
      </c>
      <c r="K2759" t="str">
        <v>lied,</v>
      </c>
      <c r="L2759" s="4" t="str">
        <f t="shared" si="51"/>
        <v xml:space="preserve">lied </v>
      </c>
      <c r="N2759" s="4" cm="1">
        <f t="array" ref="N2759">SUM(--(_xlfn.TEXTSPLIT($J$2448,, " ") = M2759))</f>
        <v>1</v>
      </c>
      <c r="O2759">
        <v>1</v>
      </c>
      <c r="P2759">
        <v>0</v>
      </c>
      <c r="Q2759">
        <v>1</v>
      </c>
    </row>
    <row r="2760" spans="5:17" x14ac:dyDescent="0.2">
      <c r="E2760" s="9" t="s">
        <v>30</v>
      </c>
      <c r="K2760" t="str">
        <v>I</v>
      </c>
      <c r="L2760" s="4" t="str">
        <f t="shared" si="51"/>
        <v>I</v>
      </c>
      <c r="N2760" s="4" cm="1">
        <f t="array" ref="N2760">SUM(--(_xlfn.TEXTSPLIT($J$2448,, " ") = M2760))</f>
        <v>1</v>
      </c>
      <c r="O2760">
        <v>1</v>
      </c>
      <c r="P2760">
        <v>0</v>
      </c>
      <c r="Q2760">
        <v>1</v>
      </c>
    </row>
    <row r="2761" spans="5:17" x14ac:dyDescent="0.2">
      <c r="E2761" s="9" t="s">
        <v>30</v>
      </c>
      <c r="K2761" t="str">
        <v xml:space="preserve">lied
</v>
      </c>
      <c r="L2761" s="4" t="str">
        <f t="shared" si="51"/>
        <v xml:space="preserve">lied </v>
      </c>
      <c r="N2761" s="4" cm="1">
        <f t="array" ref="N2761">SUM(--(_xlfn.TEXTSPLIT($J$2448,, " ") = M2761))</f>
        <v>1</v>
      </c>
      <c r="O2761">
        <v>1</v>
      </c>
      <c r="P2761">
        <v>0</v>
      </c>
      <c r="Q2761">
        <v>1</v>
      </c>
    </row>
    <row r="2762" spans="5:17" x14ac:dyDescent="0.2">
      <c r="E2762" s="9" t="s">
        <v>30</v>
      </c>
      <c r="K2762" t="str">
        <v>So,</v>
      </c>
      <c r="L2762" s="4" t="str">
        <f t="shared" si="51"/>
        <v xml:space="preserve">So </v>
      </c>
      <c r="N2762" s="4" cm="1">
        <f t="array" ref="N2762">SUM(--(_xlfn.TEXTSPLIT($J$2448,, " ") = M2762))</f>
        <v>1</v>
      </c>
      <c r="O2762">
        <v>1</v>
      </c>
      <c r="P2762">
        <v>0</v>
      </c>
      <c r="Q2762">
        <v>1</v>
      </c>
    </row>
    <row r="2763" spans="5:17" x14ac:dyDescent="0.2">
      <c r="E2763" s="9" t="s">
        <v>30</v>
      </c>
      <c r="K2763" t="str">
        <v>tell</v>
      </c>
      <c r="L2763" s="4" t="str">
        <f t="shared" si="51"/>
        <v>tell</v>
      </c>
      <c r="N2763" s="4" cm="1">
        <f t="array" ref="N2763">SUM(--(_xlfn.TEXTSPLIT($J$2448,, " ") = M2763))</f>
        <v>1</v>
      </c>
      <c r="O2763">
        <v>1</v>
      </c>
      <c r="P2763">
        <v>0</v>
      </c>
      <c r="Q2763">
        <v>1</v>
      </c>
    </row>
    <row r="2764" spans="5:17" x14ac:dyDescent="0.2">
      <c r="E2764" s="9" t="s">
        <v>30</v>
      </c>
      <c r="K2764" t="str">
        <v>us,</v>
      </c>
      <c r="L2764" s="4" t="str">
        <f t="shared" si="51"/>
        <v xml:space="preserve">us </v>
      </c>
      <c r="N2764" s="4" cm="1">
        <f t="array" ref="N2764">SUM(--(_xlfn.TEXTSPLIT($J$2448,, " ") = M2764))</f>
        <v>1</v>
      </c>
      <c r="O2764">
        <v>1</v>
      </c>
      <c r="P2764">
        <v>0</v>
      </c>
      <c r="Q2764">
        <v>1</v>
      </c>
    </row>
    <row r="2765" spans="5:17" x14ac:dyDescent="0.2">
      <c r="E2765" s="9" t="s">
        <v>30</v>
      </c>
      <c r="K2765" t="str">
        <v>how</v>
      </c>
      <c r="L2765" s="4" t="str">
        <f t="shared" si="51"/>
        <v>how</v>
      </c>
      <c r="N2765" s="4" cm="1">
        <f t="array" ref="N2765">SUM(--(_xlfn.TEXTSPLIT($J$2448,, " ") = M2765))</f>
        <v>1</v>
      </c>
      <c r="O2765">
        <v>1</v>
      </c>
      <c r="P2765">
        <v>0</v>
      </c>
      <c r="Q2765">
        <v>1</v>
      </c>
    </row>
    <row r="2766" spans="5:17" x14ac:dyDescent="0.2">
      <c r="E2766" s="9" t="s">
        <v>30</v>
      </c>
      <c r="K2766" t="str">
        <v>did</v>
      </c>
      <c r="L2766" s="4" t="str">
        <f t="shared" si="51"/>
        <v>did</v>
      </c>
      <c r="N2766" s="4" cm="1">
        <f t="array" ref="N2766">SUM(--(_xlfn.TEXTSPLIT($J$2448,, " ") = M2766))</f>
        <v>1</v>
      </c>
      <c r="O2766">
        <v>1</v>
      </c>
      <c r="P2766">
        <v>0</v>
      </c>
      <c r="Q2766">
        <v>1</v>
      </c>
    </row>
    <row r="2767" spans="5:17" x14ac:dyDescent="0.2">
      <c r="E2767" s="9" t="s">
        <v>30</v>
      </c>
      <c r="K2767" t="str">
        <v>you</v>
      </c>
      <c r="L2767" s="4" t="str">
        <f t="shared" si="51"/>
        <v>you</v>
      </c>
      <c r="N2767" s="4" cm="1">
        <f t="array" ref="N2767">SUM(--(_xlfn.TEXTSPLIT($J$2448,, " ") = M2767))</f>
        <v>1</v>
      </c>
      <c r="O2767">
        <v>1</v>
      </c>
      <c r="P2767">
        <v>0</v>
      </c>
      <c r="Q2767">
        <v>1</v>
      </c>
    </row>
    <row r="2768" spans="5:17" x14ac:dyDescent="0.2">
      <c r="E2768" s="9" t="s">
        <v>30</v>
      </c>
      <c r="K2768" t="str">
        <v>make</v>
      </c>
      <c r="L2768" s="4" t="str">
        <f t="shared" si="51"/>
        <v>make</v>
      </c>
      <c r="N2768" s="4" cm="1">
        <f t="array" ref="N2768">SUM(--(_xlfn.TEXTSPLIT($J$2448,, " ") = M2768))</f>
        <v>1</v>
      </c>
      <c r="O2768">
        <v>1</v>
      </c>
      <c r="P2768">
        <v>0</v>
      </c>
      <c r="Q2768">
        <v>1</v>
      </c>
    </row>
    <row r="2769" spans="5:17" x14ac:dyDescent="0.2">
      <c r="E2769" s="9" t="s">
        <v>30</v>
      </c>
      <c r="K2769" t="str">
        <v>out</v>
      </c>
      <c r="L2769" s="4" t="str">
        <f t="shared" ref="L2769:L2832" si="52">_xlfn.REGEXREPLACE(K2769, "[^A-Za-z ]", " ")</f>
        <v>out</v>
      </c>
      <c r="N2769" s="4" cm="1">
        <f t="array" ref="N2769">SUM(--(_xlfn.TEXTSPLIT($J$2448,, " ") = M2769))</f>
        <v>1</v>
      </c>
      <c r="O2769">
        <v>1</v>
      </c>
      <c r="P2769">
        <v>0</v>
      </c>
      <c r="Q2769">
        <v>1</v>
      </c>
    </row>
    <row r="2770" spans="5:17" x14ac:dyDescent="0.2">
      <c r="E2770" s="9" t="s">
        <v>30</v>
      </c>
      <c r="K2770" t="str">
        <v xml:space="preserve">alright?
</v>
      </c>
      <c r="L2770" s="4" t="str">
        <f t="shared" si="52"/>
        <v xml:space="preserve">alright  </v>
      </c>
      <c r="N2770" s="4" cm="1">
        <f t="array" ref="N2770">SUM(--(_xlfn.TEXTSPLIT($J$2448,, " ") = M2770))</f>
        <v>1</v>
      </c>
      <c r="O2770">
        <v>1</v>
      </c>
      <c r="P2770">
        <v>0</v>
      </c>
      <c r="Q2770">
        <v>1</v>
      </c>
    </row>
    <row r="2771" spans="5:17" x14ac:dyDescent="0.2">
      <c r="E2771" s="9" t="s">
        <v>30</v>
      </c>
      <c r="K2771" t="str">
        <v xml:space="preserve">Well
</v>
      </c>
      <c r="L2771" s="4" t="str">
        <f t="shared" si="52"/>
        <v xml:space="preserve">Well  </v>
      </c>
      <c r="N2771" s="4" cm="1">
        <f t="array" ref="N2771">SUM(--(_xlfn.TEXTSPLIT($J$2448,, " ") = M2771))</f>
        <v>1</v>
      </c>
      <c r="O2771">
        <v>1</v>
      </c>
      <c r="P2771">
        <v>0</v>
      </c>
      <c r="Q2771">
        <v>1</v>
      </c>
    </row>
    <row r="2772" spans="5:17" x14ac:dyDescent="0.2">
      <c r="E2772" s="9" t="s">
        <v>30</v>
      </c>
      <c r="K2772" t="str">
        <v>I</v>
      </c>
      <c r="L2772" s="4" t="str">
        <f t="shared" si="52"/>
        <v>I</v>
      </c>
      <c r="N2772" s="4" cm="1">
        <f t="array" ref="N2772">SUM(--(_xlfn.TEXTSPLIT($J$2448,, " ") = M2772))</f>
        <v>1</v>
      </c>
      <c r="O2772">
        <v>1</v>
      </c>
      <c r="P2772">
        <v>0</v>
      </c>
      <c r="Q2772">
        <v>1</v>
      </c>
    </row>
    <row r="2773" spans="5:17" x14ac:dyDescent="0.2">
      <c r="E2773" s="9" t="s">
        <v>30</v>
      </c>
      <c r="K2773" t="str">
        <v>pull</v>
      </c>
      <c r="L2773" s="4" t="str">
        <f t="shared" si="52"/>
        <v>pull</v>
      </c>
      <c r="N2773" s="4" cm="1">
        <f t="array" ref="N2773">SUM(--(_xlfn.TEXTSPLIT($J$2448,, " ") = M2773))</f>
        <v>1</v>
      </c>
      <c r="O2773">
        <v>1</v>
      </c>
      <c r="P2773">
        <v>0</v>
      </c>
      <c r="Q2773">
        <v>1</v>
      </c>
    </row>
    <row r="2774" spans="5:17" x14ac:dyDescent="0.2">
      <c r="E2774" s="9" t="s">
        <v>30</v>
      </c>
      <c r="K2774" t="str">
        <v>on</v>
      </c>
      <c r="L2774" s="4" t="str">
        <f t="shared" si="52"/>
        <v>on</v>
      </c>
      <c r="N2774" s="4" cm="1">
        <f t="array" ref="N2774">SUM(--(_xlfn.TEXTSPLIT($J$2448,, " ") = M2774))</f>
        <v>1</v>
      </c>
      <c r="O2774">
        <v>1</v>
      </c>
      <c r="P2774">
        <v>0</v>
      </c>
      <c r="Q2774">
        <v>1</v>
      </c>
    </row>
    <row r="2775" spans="5:17" x14ac:dyDescent="0.2">
      <c r="E2775" s="9" t="s">
        <v>30</v>
      </c>
      <c r="K2775" t="str">
        <v>my</v>
      </c>
      <c r="L2775" s="4" t="str">
        <f t="shared" si="52"/>
        <v>my</v>
      </c>
      <c r="N2775" s="4" cm="1">
        <f t="array" ref="N2775">SUM(--(_xlfn.TEXTSPLIT($J$2448,, " ") = M2775))</f>
        <v>1</v>
      </c>
      <c r="O2775">
        <v>1</v>
      </c>
      <c r="P2775">
        <v>0</v>
      </c>
      <c r="Q2775">
        <v>1</v>
      </c>
    </row>
    <row r="2776" spans="5:17" x14ac:dyDescent="0.2">
      <c r="E2776" s="9" t="s">
        <v>30</v>
      </c>
      <c r="K2776" t="str">
        <v>shirtsleeve</v>
      </c>
      <c r="L2776" s="4" t="str">
        <f t="shared" si="52"/>
        <v>shirtsleeve</v>
      </c>
      <c r="N2776" s="4" cm="1">
        <f t="array" ref="N2776">SUM(--(_xlfn.TEXTSPLIT($J$2448,, " ") = M2776))</f>
        <v>1</v>
      </c>
      <c r="O2776">
        <v>1</v>
      </c>
      <c r="P2776">
        <v>0</v>
      </c>
      <c r="Q2776">
        <v>1</v>
      </c>
    </row>
    <row r="2777" spans="5:17" x14ac:dyDescent="0.2">
      <c r="E2777" s="9" t="s">
        <v>30</v>
      </c>
      <c r="K2777" t="str">
        <v>(My</v>
      </c>
      <c r="L2777" s="4" t="str">
        <f t="shared" si="52"/>
        <v xml:space="preserve"> My</v>
      </c>
      <c r="N2777" s="4" cm="1">
        <f t="array" ref="N2777">SUM(--(_xlfn.TEXTSPLIT($J$2448,, " ") = M2777))</f>
        <v>1</v>
      </c>
      <c r="O2777">
        <v>1</v>
      </c>
      <c r="P2777">
        <v>0</v>
      </c>
      <c r="Q2777">
        <v>1</v>
      </c>
    </row>
    <row r="2778" spans="5:17" x14ac:dyDescent="0.2">
      <c r="E2778" s="9" t="s">
        <v>30</v>
      </c>
      <c r="K2778" t="str">
        <v>shirtsleeve),</v>
      </c>
      <c r="L2778" s="4" t="str">
        <f t="shared" si="52"/>
        <v xml:space="preserve">shirtsleeve  </v>
      </c>
      <c r="N2778" s="4" cm="1">
        <f t="array" ref="N2778">SUM(--(_xlfn.TEXTSPLIT($J$2448,, " ") = M2778))</f>
        <v>1</v>
      </c>
      <c r="O2778">
        <v>1</v>
      </c>
      <c r="P2778">
        <v>0</v>
      </c>
      <c r="Q2778">
        <v>1</v>
      </c>
    </row>
    <row r="2779" spans="5:17" x14ac:dyDescent="0.2">
      <c r="E2779" s="9" t="s">
        <v>30</v>
      </c>
      <c r="K2779" t="str">
        <v>to</v>
      </c>
      <c r="L2779" s="4" t="str">
        <f t="shared" si="52"/>
        <v>to</v>
      </c>
      <c r="N2779" s="4" cm="1">
        <f t="array" ref="N2779">SUM(--(_xlfn.TEXTSPLIT($J$2448,, " ") = M2779))</f>
        <v>1</v>
      </c>
      <c r="O2779">
        <v>1</v>
      </c>
      <c r="P2779">
        <v>0</v>
      </c>
      <c r="Q2779">
        <v>1</v>
      </c>
    </row>
    <row r="2780" spans="5:17" x14ac:dyDescent="0.2">
      <c r="E2780" s="9" t="s">
        <v>30</v>
      </c>
      <c r="K2780" t="str">
        <v>cover</v>
      </c>
      <c r="L2780" s="4" t="str">
        <f t="shared" si="52"/>
        <v>cover</v>
      </c>
      <c r="N2780" s="4" cm="1">
        <f t="array" ref="N2780">SUM(--(_xlfn.TEXTSPLIT($J$2448,, " ") = M2780))</f>
        <v>1</v>
      </c>
      <c r="O2780">
        <v>1</v>
      </c>
      <c r="P2780">
        <v>0</v>
      </c>
      <c r="Q2780">
        <v>1</v>
      </c>
    </row>
    <row r="2781" spans="5:17" x14ac:dyDescent="0.2">
      <c r="E2781" s="9" t="s">
        <v>30</v>
      </c>
      <c r="K2781" t="str">
        <v>half</v>
      </c>
      <c r="L2781" s="4" t="str">
        <f t="shared" si="52"/>
        <v>half</v>
      </c>
      <c r="N2781" s="4" cm="1">
        <f t="array" ref="N2781">SUM(--(_xlfn.TEXTSPLIT($J$2448,, " ") = M2781))</f>
        <v>1</v>
      </c>
      <c r="O2781">
        <v>1</v>
      </c>
      <c r="P2781">
        <v>0</v>
      </c>
      <c r="Q2781">
        <v>1</v>
      </c>
    </row>
    <row r="2782" spans="5:17" x14ac:dyDescent="0.2">
      <c r="E2782" s="9" t="s">
        <v>30</v>
      </c>
      <c r="K2782" t="str">
        <v>of</v>
      </c>
      <c r="L2782" s="4" t="str">
        <f t="shared" si="52"/>
        <v>of</v>
      </c>
      <c r="N2782" s="4" cm="1">
        <f t="array" ref="N2782">SUM(--(_xlfn.TEXTSPLIT($J$2448,, " ") = M2782))</f>
        <v>1</v>
      </c>
      <c r="O2782">
        <v>1</v>
      </c>
      <c r="P2782">
        <v>0</v>
      </c>
      <c r="Q2782">
        <v>1</v>
      </c>
    </row>
    <row r="2783" spans="5:17" x14ac:dyDescent="0.2">
      <c r="E2783" s="9" t="s">
        <v>30</v>
      </c>
      <c r="K2783" t="str">
        <v>my</v>
      </c>
      <c r="L2783" s="4" t="str">
        <f t="shared" si="52"/>
        <v>my</v>
      </c>
      <c r="N2783" s="4" cm="1">
        <f t="array" ref="N2783">SUM(--(_xlfn.TEXTSPLIT($J$2448,, " ") = M2783))</f>
        <v>1</v>
      </c>
      <c r="O2783">
        <v>1</v>
      </c>
      <c r="P2783">
        <v>0</v>
      </c>
      <c r="Q2783">
        <v>1</v>
      </c>
    </row>
    <row r="2784" spans="5:17" x14ac:dyDescent="0.2">
      <c r="E2784" s="9" t="s">
        <v>30</v>
      </c>
      <c r="K2784" t="str">
        <v>hands</v>
      </c>
      <c r="L2784" s="4" t="str">
        <f t="shared" si="52"/>
        <v>hands</v>
      </c>
      <c r="N2784" s="4" cm="1">
        <f t="array" ref="N2784">SUM(--(_xlfn.TEXTSPLIT($J$2448,, " ") = M2784))</f>
        <v>1</v>
      </c>
      <c r="O2784">
        <v>1</v>
      </c>
      <c r="P2784">
        <v>0</v>
      </c>
      <c r="Q2784">
        <v>1</v>
      </c>
    </row>
    <row r="2785" spans="5:17" x14ac:dyDescent="0.2">
      <c r="E2785" s="9" t="s">
        <v>30</v>
      </c>
      <c r="K2785" t="str">
        <v>(Half</v>
      </c>
      <c r="L2785" s="4" t="str">
        <f t="shared" si="52"/>
        <v xml:space="preserve"> Half</v>
      </c>
      <c r="N2785" s="4" cm="1">
        <f t="array" ref="N2785">SUM(--(_xlfn.TEXTSPLIT($J$2448,, " ") = M2785))</f>
        <v>1</v>
      </c>
      <c r="O2785">
        <v>1</v>
      </c>
      <c r="P2785">
        <v>0</v>
      </c>
      <c r="Q2785">
        <v>1</v>
      </c>
    </row>
    <row r="2786" spans="5:17" x14ac:dyDescent="0.2">
      <c r="E2786" s="9" t="s">
        <v>30</v>
      </c>
      <c r="K2786" t="str">
        <v>of</v>
      </c>
      <c r="L2786" s="4" t="str">
        <f t="shared" si="52"/>
        <v>of</v>
      </c>
      <c r="N2786" s="4" cm="1">
        <f t="array" ref="N2786">SUM(--(_xlfn.TEXTSPLIT($J$2448,, " ") = M2786))</f>
        <v>1</v>
      </c>
      <c r="O2786">
        <v>1</v>
      </c>
      <c r="P2786">
        <v>0</v>
      </c>
      <c r="Q2786">
        <v>1</v>
      </c>
    </row>
    <row r="2787" spans="5:17" x14ac:dyDescent="0.2">
      <c r="E2787" s="9" t="s">
        <v>30</v>
      </c>
      <c r="K2787" t="str">
        <v>my</v>
      </c>
      <c r="L2787" s="4" t="str">
        <f t="shared" si="52"/>
        <v>my</v>
      </c>
      <c r="N2787" s="4" cm="1">
        <f t="array" ref="N2787">SUM(--(_xlfn.TEXTSPLIT($J$2448,, " ") = M2787))</f>
        <v>1</v>
      </c>
      <c r="O2787">
        <v>1</v>
      </c>
      <c r="P2787">
        <v>0</v>
      </c>
      <c r="Q2787">
        <v>1</v>
      </c>
    </row>
    <row r="2788" spans="5:17" x14ac:dyDescent="0.2">
      <c r="E2788" s="9" t="s">
        <v>30</v>
      </c>
      <c r="K2788" t="str">
        <v xml:space="preserve">hands)
</v>
      </c>
      <c r="L2788" s="4" t="str">
        <f t="shared" si="52"/>
        <v xml:space="preserve">hands  </v>
      </c>
      <c r="N2788" s="4" cm="1">
        <f t="array" ref="N2788">SUM(--(_xlfn.TEXTSPLIT($J$2448,, " ") = M2788))</f>
        <v>1</v>
      </c>
      <c r="O2788">
        <v>1</v>
      </c>
      <c r="P2788">
        <v>0</v>
      </c>
      <c r="Q2788">
        <v>1</v>
      </c>
    </row>
    <row r="2789" spans="5:17" x14ac:dyDescent="0.2">
      <c r="E2789" s="9" t="s">
        <v>30</v>
      </c>
      <c r="K2789" t="str">
        <v>Bring</v>
      </c>
      <c r="L2789" s="4" t="str">
        <f t="shared" si="52"/>
        <v>Bring</v>
      </c>
      <c r="N2789" s="4" cm="1">
        <f t="array" ref="N2789">SUM(--(_xlfn.TEXTSPLIT($J$2448,, " ") = M2789))</f>
        <v>1</v>
      </c>
      <c r="O2789">
        <v>1</v>
      </c>
      <c r="P2789">
        <v>0</v>
      </c>
      <c r="Q2789">
        <v>1</v>
      </c>
    </row>
    <row r="2790" spans="5:17" x14ac:dyDescent="0.2">
      <c r="E2790" s="9" t="s">
        <v>30</v>
      </c>
      <c r="K2790" t="str">
        <v>my</v>
      </c>
      <c r="L2790" s="4" t="str">
        <f t="shared" si="52"/>
        <v>my</v>
      </c>
      <c r="N2790" s="4" cm="1">
        <f t="array" ref="N2790">SUM(--(_xlfn.TEXTSPLIT($J$2448,, " ") = M2790))</f>
        <v>1</v>
      </c>
      <c r="O2790">
        <v>1</v>
      </c>
      <c r="P2790">
        <v>0</v>
      </c>
      <c r="Q2790">
        <v>1</v>
      </c>
    </row>
    <row r="2791" spans="5:17" x14ac:dyDescent="0.2">
      <c r="E2791" s="9" t="s">
        <v>30</v>
      </c>
      <c r="K2791" t="str">
        <v>arms</v>
      </c>
      <c r="L2791" s="4" t="str">
        <f t="shared" si="52"/>
        <v>arms</v>
      </c>
      <c r="N2791" s="4" cm="1">
        <f t="array" ref="N2791">SUM(--(_xlfn.TEXTSPLIT($J$2448,, " ") = M2791))</f>
        <v>1</v>
      </c>
      <c r="O2791">
        <v>1</v>
      </c>
      <c r="P2791">
        <v>0</v>
      </c>
      <c r="Q2791">
        <v>1</v>
      </c>
    </row>
    <row r="2792" spans="5:17" x14ac:dyDescent="0.2">
      <c r="E2792" s="9" t="s">
        <v>30</v>
      </c>
      <c r="K2792" t="str">
        <v>closer</v>
      </c>
      <c r="L2792" s="4" t="str">
        <f t="shared" si="52"/>
        <v>closer</v>
      </c>
      <c r="N2792" s="4" cm="1">
        <f t="array" ref="N2792">SUM(--(_xlfn.TEXTSPLIT($J$2448,, " ") = M2792))</f>
        <v>1</v>
      </c>
      <c r="O2792">
        <v>1</v>
      </c>
      <c r="P2792">
        <v>0</v>
      </c>
      <c r="Q2792">
        <v>1</v>
      </c>
    </row>
    <row r="2793" spans="5:17" x14ac:dyDescent="0.2">
      <c r="E2793" s="9" t="s">
        <v>30</v>
      </c>
      <c r="K2793" t="str">
        <v>to</v>
      </c>
      <c r="L2793" s="4" t="str">
        <f t="shared" si="52"/>
        <v>to</v>
      </c>
      <c r="N2793" s="4" cm="1">
        <f t="array" ref="N2793">SUM(--(_xlfn.TEXTSPLIT($J$2448,, " ") = M2793))</f>
        <v>1</v>
      </c>
      <c r="O2793">
        <v>1</v>
      </c>
      <c r="P2793">
        <v>0</v>
      </c>
      <c r="Q2793">
        <v>1</v>
      </c>
    </row>
    <row r="2794" spans="5:17" x14ac:dyDescent="0.2">
      <c r="E2794" s="9" t="s">
        <v>30</v>
      </c>
      <c r="K2794" t="str">
        <v>my</v>
      </c>
      <c r="L2794" s="4" t="str">
        <f t="shared" si="52"/>
        <v>my</v>
      </c>
      <c r="N2794" s="4" cm="1">
        <f t="array" ref="N2794">SUM(--(_xlfn.TEXTSPLIT($J$2448,, " ") = M2794))</f>
        <v>1</v>
      </c>
      <c r="O2794">
        <v>1</v>
      </c>
      <c r="P2794">
        <v>0</v>
      </c>
      <c r="Q2794">
        <v>1</v>
      </c>
    </row>
    <row r="2795" spans="5:17" x14ac:dyDescent="0.2">
      <c r="E2795" s="9" t="s">
        <v>30</v>
      </c>
      <c r="K2795" t="str">
        <v>body,</v>
      </c>
      <c r="L2795" s="4" t="str">
        <f t="shared" si="52"/>
        <v xml:space="preserve">body </v>
      </c>
      <c r="N2795" s="4" cm="1">
        <f t="array" ref="N2795">SUM(--(_xlfn.TEXTSPLIT($J$2448,, " ") = M2795))</f>
        <v>1</v>
      </c>
      <c r="O2795">
        <v>1</v>
      </c>
      <c r="P2795">
        <v>0</v>
      </c>
      <c r="Q2795">
        <v>1</v>
      </c>
    </row>
    <row r="2796" spans="5:17" x14ac:dyDescent="0.2">
      <c r="E2796" s="9" t="s">
        <v>30</v>
      </c>
      <c r="K2796" t="str">
        <v>get</v>
      </c>
      <c r="L2796" s="4" t="str">
        <f t="shared" si="52"/>
        <v>get</v>
      </c>
      <c r="N2796" s="4" cm="1">
        <f t="array" ref="N2796">SUM(--(_xlfn.TEXTSPLIT($J$2448,, " ") = M2796))</f>
        <v>1</v>
      </c>
      <c r="O2796">
        <v>1</v>
      </c>
      <c r="P2796">
        <v>0</v>
      </c>
      <c r="Q2796">
        <v>1</v>
      </c>
    </row>
    <row r="2797" spans="5:17" x14ac:dyDescent="0.2">
      <c r="E2797" s="9" t="s">
        <v>30</v>
      </c>
      <c r="K2797" t="str">
        <v>as</v>
      </c>
      <c r="L2797" s="4" t="str">
        <f t="shared" si="52"/>
        <v>as</v>
      </c>
      <c r="N2797" s="4" cm="1">
        <f t="array" ref="N2797">SUM(--(_xlfn.TEXTSPLIT($J$2448,, " ") = M2797))</f>
        <v>1</v>
      </c>
      <c r="O2797">
        <v>1</v>
      </c>
      <c r="P2797">
        <v>0</v>
      </c>
      <c r="Q2797">
        <v>1</v>
      </c>
    </row>
    <row r="2798" spans="5:17" x14ac:dyDescent="0.2">
      <c r="E2798" s="9" t="s">
        <v>30</v>
      </c>
      <c r="K2798" t="str">
        <v>small</v>
      </c>
      <c r="L2798" s="4" t="str">
        <f t="shared" si="52"/>
        <v>small</v>
      </c>
      <c r="N2798" s="4" cm="1">
        <f t="array" ref="N2798">SUM(--(_xlfn.TEXTSPLIT($J$2448,, " ") = M2798))</f>
        <v>1</v>
      </c>
      <c r="O2798">
        <v>1</v>
      </c>
      <c r="P2798">
        <v>0</v>
      </c>
      <c r="Q2798">
        <v>1</v>
      </c>
    </row>
    <row r="2799" spans="5:17" x14ac:dyDescent="0.2">
      <c r="E2799" s="9" t="s">
        <v>30</v>
      </c>
      <c r="K2799" t="str">
        <v>as</v>
      </c>
      <c r="L2799" s="4" t="str">
        <f t="shared" si="52"/>
        <v>as</v>
      </c>
      <c r="N2799" s="4" cm="1">
        <f t="array" ref="N2799">SUM(--(_xlfn.TEXTSPLIT($J$2448,, " ") = M2799))</f>
        <v>1</v>
      </c>
      <c r="O2799">
        <v>1</v>
      </c>
      <c r="P2799">
        <v>0</v>
      </c>
      <c r="Q2799">
        <v>1</v>
      </c>
    </row>
    <row r="2800" spans="5:17" x14ac:dyDescent="0.2">
      <c r="E2800" s="9" t="s">
        <v>30</v>
      </c>
      <c r="K2800" t="str">
        <v>I</v>
      </c>
      <c r="L2800" s="4" t="str">
        <f t="shared" si="52"/>
        <v>I</v>
      </c>
      <c r="N2800" s="4" cm="1">
        <f t="array" ref="N2800">SUM(--(_xlfn.TEXTSPLIT($J$2448,, " ") = M2800))</f>
        <v>1</v>
      </c>
      <c r="O2800">
        <v>1</v>
      </c>
      <c r="P2800">
        <v>0</v>
      </c>
      <c r="Q2800">
        <v>1</v>
      </c>
    </row>
    <row r="2801" spans="5:17" x14ac:dyDescent="0.2">
      <c r="E2801" s="9" t="s">
        <v>30</v>
      </c>
      <c r="K2801" t="str">
        <v>can</v>
      </c>
      <c r="L2801" s="4" t="str">
        <f t="shared" si="52"/>
        <v>can</v>
      </c>
      <c r="N2801" s="4" cm="1">
        <f t="array" ref="N2801">SUM(--(_xlfn.TEXTSPLIT($J$2448,, " ") = M2801))</f>
        <v>1</v>
      </c>
      <c r="O2801">
        <v>1</v>
      </c>
      <c r="P2801">
        <v>0</v>
      </c>
      <c r="Q2801">
        <v>1</v>
      </c>
    </row>
    <row r="2802" spans="5:17" x14ac:dyDescent="0.2">
      <c r="E2802" s="9" t="s">
        <v>30</v>
      </c>
      <c r="K2802" t="str">
        <v>(Small</v>
      </c>
      <c r="L2802" s="4" t="str">
        <f t="shared" si="52"/>
        <v xml:space="preserve"> Small</v>
      </c>
      <c r="N2802" s="4" cm="1">
        <f t="array" ref="N2802">SUM(--(_xlfn.TEXTSPLIT($J$2448,, " ") = M2802))</f>
        <v>1</v>
      </c>
      <c r="O2802">
        <v>1</v>
      </c>
      <c r="P2802">
        <v>0</v>
      </c>
      <c r="Q2802">
        <v>1</v>
      </c>
    </row>
    <row r="2803" spans="5:17" x14ac:dyDescent="0.2">
      <c r="E2803" s="9" t="s">
        <v>30</v>
      </c>
      <c r="K2803" t="str">
        <v>as</v>
      </c>
      <c r="L2803" s="4" t="str">
        <f t="shared" si="52"/>
        <v>as</v>
      </c>
      <c r="N2803" s="4" cm="1">
        <f t="array" ref="N2803">SUM(--(_xlfn.TEXTSPLIT($J$2448,, " ") = M2803))</f>
        <v>1</v>
      </c>
      <c r="O2803">
        <v>1</v>
      </c>
      <c r="P2803">
        <v>0</v>
      </c>
      <c r="Q2803">
        <v>1</v>
      </c>
    </row>
    <row r="2804" spans="5:17" x14ac:dyDescent="0.2">
      <c r="E2804" s="9" t="s">
        <v>30</v>
      </c>
      <c r="K2804" t="str">
        <v>I</v>
      </c>
      <c r="L2804" s="4" t="str">
        <f t="shared" si="52"/>
        <v>I</v>
      </c>
      <c r="N2804" s="4" cm="1">
        <f t="array" ref="N2804">SUM(--(_xlfn.TEXTSPLIT($J$2448,, " ") = M2804))</f>
        <v>1</v>
      </c>
      <c r="O2804">
        <v>1</v>
      </c>
      <c r="P2804">
        <v>0</v>
      </c>
      <c r="Q2804">
        <v>1</v>
      </c>
    </row>
    <row r="2805" spans="5:17" x14ac:dyDescent="0.2">
      <c r="E2805" s="9" t="s">
        <v>30</v>
      </c>
      <c r="K2805" t="str">
        <v xml:space="preserve">can)
</v>
      </c>
      <c r="L2805" s="4" t="str">
        <f t="shared" si="52"/>
        <v xml:space="preserve">can  </v>
      </c>
      <c r="N2805" s="4" cm="1">
        <f t="array" ref="N2805">SUM(--(_xlfn.TEXTSPLIT($J$2448,, " ") = M2805))</f>
        <v>1</v>
      </c>
      <c r="O2805">
        <v>1</v>
      </c>
      <c r="P2805">
        <v>0</v>
      </c>
      <c r="Q2805">
        <v>1</v>
      </c>
    </row>
    <row r="2806" spans="5:17" x14ac:dyDescent="0.2">
      <c r="E2806" s="9" t="s">
        <v>30</v>
      </c>
      <c r="K2806" t="str">
        <v>They</v>
      </c>
      <c r="L2806" s="4" t="str">
        <f t="shared" si="52"/>
        <v>They</v>
      </c>
      <c r="N2806" s="4" cm="1">
        <f t="array" ref="N2806">SUM(--(_xlfn.TEXTSPLIT($J$2448,, " ") = M2806))</f>
        <v>1</v>
      </c>
      <c r="O2806">
        <v>1</v>
      </c>
      <c r="P2806">
        <v>0</v>
      </c>
      <c r="Q2806">
        <v>1</v>
      </c>
    </row>
    <row r="2807" spans="5:17" x14ac:dyDescent="0.2">
      <c r="E2807" s="9" t="s">
        <v>30</v>
      </c>
      <c r="K2807" t="str">
        <v>call</v>
      </c>
      <c r="L2807" s="4" t="str">
        <f t="shared" si="52"/>
        <v>call</v>
      </c>
      <c r="N2807" s="4" cm="1">
        <f t="array" ref="N2807">SUM(--(_xlfn.TEXTSPLIT($J$2448,, " ") = M2807))</f>
        <v>1</v>
      </c>
      <c r="O2807">
        <v>1</v>
      </c>
      <c r="P2807">
        <v>0</v>
      </c>
      <c r="Q2807">
        <v>1</v>
      </c>
    </row>
    <row r="2808" spans="5:17" x14ac:dyDescent="0.2">
      <c r="E2808" s="9" t="s">
        <v>30</v>
      </c>
      <c r="K2808" t="str">
        <v>it</v>
      </c>
      <c r="L2808" s="4" t="str">
        <f t="shared" si="52"/>
        <v>it</v>
      </c>
      <c r="N2808" s="4" cm="1">
        <f t="array" ref="N2808">SUM(--(_xlfn.TEXTSPLIT($J$2448,, " ") = M2808))</f>
        <v>1</v>
      </c>
      <c r="O2808">
        <v>1</v>
      </c>
      <c r="P2808">
        <v>0</v>
      </c>
      <c r="Q2808">
        <v>1</v>
      </c>
    </row>
    <row r="2809" spans="5:17" x14ac:dyDescent="0.2">
      <c r="E2809" s="9" t="s">
        <v>30</v>
      </c>
      <c r="K2809" t="str">
        <v>center</v>
      </c>
      <c r="L2809" s="4" t="str">
        <f t="shared" si="52"/>
        <v>center</v>
      </c>
      <c r="N2809" s="4" cm="1">
        <f t="array" ref="N2809">SUM(--(_xlfn.TEXTSPLIT($J$2448,, " ") = M2809))</f>
        <v>1</v>
      </c>
      <c r="O2809">
        <v>1</v>
      </c>
      <c r="P2809">
        <v>0</v>
      </c>
      <c r="Q2809">
        <v>1</v>
      </c>
    </row>
    <row r="2810" spans="5:17" x14ac:dyDescent="0.2">
      <c r="E2810" s="9" t="s">
        <v>30</v>
      </c>
      <c r="K2810" t="str">
        <v>mass,</v>
      </c>
      <c r="L2810" s="4" t="str">
        <f t="shared" si="52"/>
        <v xml:space="preserve">mass </v>
      </c>
      <c r="N2810" s="4" cm="1">
        <f t="array" ref="N2810">SUM(--(_xlfn.TEXTSPLIT($J$2448,, " ") = M2810))</f>
        <v>1</v>
      </c>
      <c r="O2810">
        <v>1</v>
      </c>
      <c r="P2810">
        <v>0</v>
      </c>
      <c r="Q2810">
        <v>1</v>
      </c>
    </row>
    <row r="2811" spans="5:17" x14ac:dyDescent="0.2">
      <c r="E2811" s="9" t="s">
        <v>30</v>
      </c>
      <c r="K2811" t="str">
        <v>that</v>
      </c>
      <c r="L2811" s="4" t="str">
        <f t="shared" si="52"/>
        <v>that</v>
      </c>
      <c r="N2811" s="4" cm="1">
        <f t="array" ref="N2811">SUM(--(_xlfn.TEXTSPLIT($J$2448,, " ") = M2811))</f>
        <v>1</v>
      </c>
      <c r="O2811">
        <v>1</v>
      </c>
      <c r="P2811">
        <v>0</v>
      </c>
      <c r="Q2811">
        <v>1</v>
      </c>
    </row>
    <row r="2812" spans="5:17" x14ac:dyDescent="0.2">
      <c r="E2812" s="9" t="s">
        <v>30</v>
      </c>
      <c r="K2812" t="str">
        <v>part</v>
      </c>
      <c r="L2812" s="4" t="str">
        <f t="shared" si="52"/>
        <v>part</v>
      </c>
      <c r="N2812" s="4" cm="1">
        <f t="array" ref="N2812">SUM(--(_xlfn.TEXTSPLIT($J$2448,, " ") = M2812))</f>
        <v>1</v>
      </c>
      <c r="O2812">
        <v>1</v>
      </c>
      <c r="P2812">
        <v>0</v>
      </c>
      <c r="Q2812">
        <v>1</v>
      </c>
    </row>
    <row r="2813" spans="5:17" x14ac:dyDescent="0.2">
      <c r="E2813" s="9" t="s">
        <v>30</v>
      </c>
      <c r="K2813" t="str">
        <v>they</v>
      </c>
      <c r="L2813" s="4" t="str">
        <f t="shared" si="52"/>
        <v>they</v>
      </c>
      <c r="N2813" s="4" cm="1">
        <f t="array" ref="N2813">SUM(--(_xlfn.TEXTSPLIT($J$2448,, " ") = M2813))</f>
        <v>1</v>
      </c>
      <c r="O2813">
        <v>1</v>
      </c>
      <c r="P2813">
        <v>0</v>
      </c>
      <c r="Q2813">
        <v>1</v>
      </c>
    </row>
    <row r="2814" spans="5:17" x14ac:dyDescent="0.2">
      <c r="E2814" s="9" t="s">
        <v>30</v>
      </c>
      <c r="K2814" t="str">
        <v>aim</v>
      </c>
      <c r="L2814" s="4" t="str">
        <f t="shared" si="52"/>
        <v>aim</v>
      </c>
      <c r="N2814" s="4" cm="1">
        <f t="array" ref="N2814">SUM(--(_xlfn.TEXTSPLIT($J$2448,, " ") = M2814))</f>
        <v>1</v>
      </c>
      <c r="O2814">
        <v>1</v>
      </c>
      <c r="P2814">
        <v>0</v>
      </c>
      <c r="Q2814">
        <v>1</v>
      </c>
    </row>
    <row r="2815" spans="5:17" x14ac:dyDescent="0.2">
      <c r="E2815" s="9" t="s">
        <v>30</v>
      </c>
      <c r="K2815" t="str">
        <v xml:space="preserve">for
</v>
      </c>
      <c r="L2815" s="4" t="str">
        <f t="shared" si="52"/>
        <v xml:space="preserve">for </v>
      </c>
      <c r="N2815" s="4" cm="1">
        <f t="array" ref="N2815">SUM(--(_xlfn.TEXTSPLIT($J$2448,, " ") = M2815))</f>
        <v>1</v>
      </c>
      <c r="O2815">
        <v>1</v>
      </c>
      <c r="P2815">
        <v>0</v>
      </c>
      <c r="Q2815">
        <v>1</v>
      </c>
    </row>
    <row r="2816" spans="5:17" x14ac:dyDescent="0.2">
      <c r="E2816" s="9" t="s">
        <v>30</v>
      </c>
      <c r="K2816" t="str">
        <v>Shrink</v>
      </c>
      <c r="L2816" s="4" t="str">
        <f t="shared" si="52"/>
        <v>Shrink</v>
      </c>
      <c r="N2816" s="4" cm="1">
        <f t="array" ref="N2816">SUM(--(_xlfn.TEXTSPLIT($J$2448,, " ") = M2816))</f>
        <v>1</v>
      </c>
      <c r="O2816">
        <v>1</v>
      </c>
      <c r="P2816">
        <v>0</v>
      </c>
      <c r="Q2816">
        <v>1</v>
      </c>
    </row>
    <row r="2817" spans="5:17" x14ac:dyDescent="0.2">
      <c r="E2817" s="9" t="s">
        <v>30</v>
      </c>
      <c r="K2817" t="str">
        <v>it</v>
      </c>
      <c r="L2817" s="4" t="str">
        <f t="shared" si="52"/>
        <v>it</v>
      </c>
      <c r="N2817" s="4" cm="1">
        <f t="array" ref="N2817">SUM(--(_xlfn.TEXTSPLIT($J$2448,, " ") = M2817))</f>
        <v>1</v>
      </c>
      <c r="O2817">
        <v>1</v>
      </c>
      <c r="P2817">
        <v>0</v>
      </c>
      <c r="Q2817">
        <v>1</v>
      </c>
    </row>
    <row r="2818" spans="5:17" x14ac:dyDescent="0.2">
      <c r="E2818" s="9" t="s">
        <v>30</v>
      </c>
      <c r="K2818" t="str">
        <v>down</v>
      </c>
      <c r="L2818" s="4" t="str">
        <f t="shared" si="52"/>
        <v>down</v>
      </c>
      <c r="N2818" s="4" cm="1">
        <f t="array" ref="N2818">SUM(--(_xlfn.TEXTSPLIT($J$2448,, " ") = M2818))</f>
        <v>1</v>
      </c>
      <c r="O2818">
        <v>1</v>
      </c>
      <c r="P2818">
        <v>0</v>
      </c>
      <c r="Q2818">
        <v>1</v>
      </c>
    </row>
    <row r="2819" spans="5:17" x14ac:dyDescent="0.2">
      <c r="E2819" s="9" t="s">
        <v>30</v>
      </c>
      <c r="K2819" t="str">
        <v>to</v>
      </c>
      <c r="L2819" s="4" t="str">
        <f t="shared" si="52"/>
        <v>to</v>
      </c>
      <c r="N2819" s="4" cm="1">
        <f t="array" ref="N2819">SUM(--(_xlfn.TEXTSPLIT($J$2448,, " ") = M2819))</f>
        <v>1</v>
      </c>
      <c r="O2819">
        <v>1</v>
      </c>
      <c r="P2819">
        <v>0</v>
      </c>
      <c r="Q2819">
        <v>1</v>
      </c>
    </row>
    <row r="2820" spans="5:17" x14ac:dyDescent="0.2">
      <c r="E2820" s="9" t="s">
        <v>30</v>
      </c>
      <c r="K2820" t="str">
        <v>nothing</v>
      </c>
      <c r="L2820" s="4" t="str">
        <f t="shared" si="52"/>
        <v>nothing</v>
      </c>
      <c r="N2820" s="4" cm="1">
        <f t="array" ref="N2820">SUM(--(_xlfn.TEXTSPLIT($J$2448,, " ") = M2820))</f>
        <v>1</v>
      </c>
      <c r="O2820">
        <v>1</v>
      </c>
      <c r="P2820">
        <v>0</v>
      </c>
      <c r="Q2820">
        <v>1</v>
      </c>
    </row>
    <row r="2821" spans="5:17" x14ac:dyDescent="0.2">
      <c r="E2821" s="9" t="s">
        <v>30</v>
      </c>
      <c r="K2821" t="str">
        <v>and</v>
      </c>
      <c r="L2821" s="4" t="str">
        <f t="shared" si="52"/>
        <v>and</v>
      </c>
      <c r="N2821" s="4" cm="1">
        <f t="array" ref="N2821">SUM(--(_xlfn.TEXTSPLIT($J$2448,, " ") = M2821))</f>
        <v>1</v>
      </c>
      <c r="O2821">
        <v>1</v>
      </c>
      <c r="P2821">
        <v>0</v>
      </c>
      <c r="Q2821">
        <v>1</v>
      </c>
    </row>
    <row r="2822" spans="5:17" x14ac:dyDescent="0.2">
      <c r="E2822" s="9" t="s">
        <v>30</v>
      </c>
      <c r="K2822" t="str">
        <v>forgetting</v>
      </c>
      <c r="L2822" s="4" t="str">
        <f t="shared" si="52"/>
        <v>forgetting</v>
      </c>
      <c r="N2822" s="4" cm="1">
        <f t="array" ref="N2822">SUM(--(_xlfn.TEXTSPLIT($J$2448,, " ") = M2822))</f>
        <v>1</v>
      </c>
      <c r="O2822">
        <v>1</v>
      </c>
      <c r="P2822">
        <v>0</v>
      </c>
      <c r="Q2822">
        <v>1</v>
      </c>
    </row>
    <row r="2823" spans="5:17" x14ac:dyDescent="0.2">
      <c r="E2823" s="9" t="s">
        <v>30</v>
      </c>
      <c r="K2823" t="str">
        <v>what</v>
      </c>
      <c r="L2823" s="4" t="str">
        <f t="shared" si="52"/>
        <v>what</v>
      </c>
      <c r="N2823" s="4" cm="1">
        <f t="array" ref="N2823">SUM(--(_xlfn.TEXTSPLIT($J$2448,, " ") = M2823))</f>
        <v>1</v>
      </c>
      <c r="O2823">
        <v>1</v>
      </c>
      <c r="P2823">
        <v>0</v>
      </c>
      <c r="Q2823">
        <v>1</v>
      </c>
    </row>
    <row r="2824" spans="5:17" x14ac:dyDescent="0.2">
      <c r="E2824" s="9" t="s">
        <v>30</v>
      </c>
      <c r="K2824" t="str">
        <v>the</v>
      </c>
      <c r="L2824" s="4" t="str">
        <f t="shared" si="52"/>
        <v>the</v>
      </c>
      <c r="N2824" s="4" cm="1">
        <f t="array" ref="N2824">SUM(--(_xlfn.TEXTSPLIT($J$2448,, " ") = M2824))</f>
        <v>1</v>
      </c>
      <c r="O2824">
        <v>1</v>
      </c>
      <c r="P2824">
        <v>0</v>
      </c>
      <c r="Q2824">
        <v>1</v>
      </c>
    </row>
    <row r="2825" spans="5:17" x14ac:dyDescent="0.2">
      <c r="E2825" s="9" t="s">
        <v>30</v>
      </c>
      <c r="K2825" t="str">
        <v>pain's</v>
      </c>
      <c r="L2825" s="4" t="str">
        <f t="shared" si="52"/>
        <v>pain s</v>
      </c>
      <c r="N2825" s="4" cm="1">
        <f t="array" ref="N2825">SUM(--(_xlfn.TEXTSPLIT($J$2448,, " ") = M2825))</f>
        <v>1</v>
      </c>
      <c r="O2825">
        <v>1</v>
      </c>
      <c r="P2825">
        <v>0</v>
      </c>
      <c r="Q2825">
        <v>1</v>
      </c>
    </row>
    <row r="2826" spans="5:17" x14ac:dyDescent="0.2">
      <c r="E2826" s="9" t="s">
        <v>30</v>
      </c>
      <c r="K2826" t="str">
        <v xml:space="preserve">for
</v>
      </c>
      <c r="L2826" s="4" t="str">
        <f t="shared" si="52"/>
        <v xml:space="preserve">for </v>
      </c>
      <c r="N2826" s="4" cm="1">
        <f t="array" ref="N2826">SUM(--(_xlfn.TEXTSPLIT($J$2448,, " ") = M2826))</f>
        <v>1</v>
      </c>
      <c r="O2826">
        <v>1</v>
      </c>
      <c r="P2826">
        <v>0</v>
      </c>
      <c r="Q2826">
        <v>1</v>
      </c>
    </row>
    <row r="2827" spans="5:17" x14ac:dyDescent="0.2">
      <c r="E2827" s="9" t="s">
        <v>30</v>
      </c>
      <c r="K2827" t="str">
        <v>I</v>
      </c>
      <c r="L2827" s="4" t="str">
        <f t="shared" si="52"/>
        <v>I</v>
      </c>
      <c r="N2827" s="4" cm="1">
        <f t="array" ref="N2827">SUM(--(_xlfn.TEXTSPLIT($J$2448,, " ") = M2827))</f>
        <v>1</v>
      </c>
      <c r="O2827">
        <v>1</v>
      </c>
      <c r="P2827">
        <v>0</v>
      </c>
      <c r="Q2827">
        <v>1</v>
      </c>
    </row>
    <row r="2828" spans="5:17" x14ac:dyDescent="0.2">
      <c r="E2828" s="9" t="s">
        <v>30</v>
      </c>
      <c r="K2828" t="str">
        <v/>
      </c>
      <c r="L2828" s="4" t="str">
        <f t="shared" si="52"/>
        <v/>
      </c>
      <c r="N2828" s="4" cm="1">
        <f t="array" ref="N2828">SUM(--(_xlfn.TEXTSPLIT($J$2448,, " ") = M2828))</f>
        <v>1</v>
      </c>
      <c r="O2828">
        <v>1</v>
      </c>
      <c r="P2828">
        <v>0</v>
      </c>
      <c r="Q2828">
        <v>1</v>
      </c>
    </row>
    <row r="2829" spans="5:17" x14ac:dyDescent="0.2">
      <c r="E2829" s="9" t="s">
        <v>30</v>
      </c>
      <c r="K2829" t="str">
        <v>pull</v>
      </c>
      <c r="L2829" s="4" t="str">
        <f t="shared" si="52"/>
        <v>pull</v>
      </c>
      <c r="N2829" s="4" cm="1">
        <f t="array" ref="N2829">SUM(--(_xlfn.TEXTSPLIT($J$2448,, " ") = M2829))</f>
        <v>1</v>
      </c>
      <c r="O2829">
        <v>1</v>
      </c>
      <c r="P2829">
        <v>0</v>
      </c>
      <c r="Q2829">
        <v>1</v>
      </c>
    </row>
    <row r="2830" spans="5:17" x14ac:dyDescent="0.2">
      <c r="E2830" s="9" t="s">
        <v>30</v>
      </c>
      <c r="K2830" t="str">
        <v>on</v>
      </c>
      <c r="L2830" s="4" t="str">
        <f t="shared" si="52"/>
        <v>on</v>
      </c>
      <c r="N2830" s="4" cm="1">
        <f t="array" ref="N2830">SUM(--(_xlfn.TEXTSPLIT($J$2448,, " ") = M2830))</f>
        <v>1</v>
      </c>
      <c r="O2830">
        <v>1</v>
      </c>
      <c r="P2830">
        <v>0</v>
      </c>
      <c r="Q2830">
        <v>1</v>
      </c>
    </row>
    <row r="2831" spans="5:17" x14ac:dyDescent="0.2">
      <c r="E2831" s="9" t="s">
        <v>30</v>
      </c>
      <c r="K2831" t="str">
        <v>my</v>
      </c>
      <c r="L2831" s="4" t="str">
        <f t="shared" si="52"/>
        <v>my</v>
      </c>
      <c r="N2831" s="4" cm="1">
        <f t="array" ref="N2831">SUM(--(_xlfn.TEXTSPLIT($J$2448,, " ") = M2831))</f>
        <v>1</v>
      </c>
      <c r="O2831">
        <v>1</v>
      </c>
      <c r="P2831">
        <v>0</v>
      </c>
      <c r="Q2831">
        <v>1</v>
      </c>
    </row>
    <row r="2832" spans="5:17" x14ac:dyDescent="0.2">
      <c r="E2832" s="9" t="s">
        <v>30</v>
      </c>
      <c r="K2832" t="str">
        <v>shirtsleeve</v>
      </c>
      <c r="L2832" s="4" t="str">
        <f t="shared" si="52"/>
        <v>shirtsleeve</v>
      </c>
      <c r="N2832" s="4" cm="1">
        <f t="array" ref="N2832">SUM(--(_xlfn.TEXTSPLIT($J$2448,, " ") = M2832))</f>
        <v>1</v>
      </c>
      <c r="O2832">
        <v>1</v>
      </c>
      <c r="P2832">
        <v>0</v>
      </c>
      <c r="Q2832">
        <v>1</v>
      </c>
    </row>
    <row r="2833" spans="5:17" x14ac:dyDescent="0.2">
      <c r="E2833" s="9" t="s">
        <v>30</v>
      </c>
      <c r="K2833" t="str">
        <v>(My</v>
      </c>
      <c r="L2833" s="4" t="str">
        <f t="shared" ref="L2833:L2896" si="53">_xlfn.REGEXREPLACE(K2833, "[^A-Za-z ]", " ")</f>
        <v xml:space="preserve"> My</v>
      </c>
      <c r="N2833" s="4" cm="1">
        <f t="array" ref="N2833">SUM(--(_xlfn.TEXTSPLIT($J$2448,, " ") = M2833))</f>
        <v>1</v>
      </c>
      <c r="O2833">
        <v>1</v>
      </c>
      <c r="P2833">
        <v>0</v>
      </c>
      <c r="Q2833">
        <v>1</v>
      </c>
    </row>
    <row r="2834" spans="5:17" x14ac:dyDescent="0.2">
      <c r="E2834" s="9" t="s">
        <v>30</v>
      </c>
      <c r="K2834" t="str">
        <v>shirtsleeve),</v>
      </c>
      <c r="L2834" s="4" t="str">
        <f t="shared" si="53"/>
        <v xml:space="preserve">shirtsleeve  </v>
      </c>
      <c r="N2834" s="4" cm="1">
        <f t="array" ref="N2834">SUM(--(_xlfn.TEXTSPLIT($J$2448,, " ") = M2834))</f>
        <v>1</v>
      </c>
      <c r="O2834">
        <v>1</v>
      </c>
      <c r="P2834">
        <v>0</v>
      </c>
      <c r="Q2834">
        <v>1</v>
      </c>
    </row>
    <row r="2835" spans="5:17" x14ac:dyDescent="0.2">
      <c r="E2835" s="9" t="s">
        <v>30</v>
      </c>
      <c r="K2835" t="str">
        <v>to</v>
      </c>
      <c r="L2835" s="4" t="str">
        <f t="shared" si="53"/>
        <v>to</v>
      </c>
      <c r="N2835" s="4" cm="1">
        <f t="array" ref="N2835">SUM(--(_xlfn.TEXTSPLIT($J$2448,, " ") = M2835))</f>
        <v>1</v>
      </c>
      <c r="O2835">
        <v>1</v>
      </c>
      <c r="P2835">
        <v>0</v>
      </c>
      <c r="Q2835">
        <v>1</v>
      </c>
    </row>
    <row r="2836" spans="5:17" x14ac:dyDescent="0.2">
      <c r="E2836" s="9" t="s">
        <v>30</v>
      </c>
      <c r="K2836" t="str">
        <v>cover</v>
      </c>
      <c r="L2836" s="4" t="str">
        <f t="shared" si="53"/>
        <v>cover</v>
      </c>
      <c r="N2836" s="4" cm="1">
        <f t="array" ref="N2836">SUM(--(_xlfn.TEXTSPLIT($J$2448,, " ") = M2836))</f>
        <v>1</v>
      </c>
      <c r="O2836">
        <v>1</v>
      </c>
      <c r="P2836">
        <v>0</v>
      </c>
      <c r="Q2836">
        <v>1</v>
      </c>
    </row>
    <row r="2837" spans="5:17" x14ac:dyDescent="0.2">
      <c r="E2837" s="9" t="s">
        <v>30</v>
      </c>
      <c r="K2837" t="str">
        <v>half</v>
      </c>
      <c r="L2837" s="4" t="str">
        <f t="shared" si="53"/>
        <v>half</v>
      </c>
      <c r="N2837" s="4" cm="1">
        <f t="array" ref="N2837">SUM(--(_xlfn.TEXTSPLIT($J$2448,, " ") = M2837))</f>
        <v>1</v>
      </c>
      <c r="O2837">
        <v>1</v>
      </c>
      <c r="P2837">
        <v>0</v>
      </c>
      <c r="Q2837">
        <v>1</v>
      </c>
    </row>
    <row r="2838" spans="5:17" x14ac:dyDescent="0.2">
      <c r="E2838" s="9" t="s">
        <v>30</v>
      </c>
      <c r="K2838" t="str">
        <v>of</v>
      </c>
      <c r="L2838" s="4" t="str">
        <f t="shared" si="53"/>
        <v>of</v>
      </c>
      <c r="N2838" s="4" cm="1">
        <f t="array" ref="N2838">SUM(--(_xlfn.TEXTSPLIT($J$2448,, " ") = M2838))</f>
        <v>1</v>
      </c>
      <c r="O2838">
        <v>1</v>
      </c>
      <c r="P2838">
        <v>0</v>
      </c>
      <c r="Q2838">
        <v>1</v>
      </c>
    </row>
    <row r="2839" spans="5:17" x14ac:dyDescent="0.2">
      <c r="E2839" s="9" t="s">
        <v>30</v>
      </c>
      <c r="K2839" t="str">
        <v>my</v>
      </c>
      <c r="L2839" s="4" t="str">
        <f t="shared" si="53"/>
        <v>my</v>
      </c>
      <c r="N2839" s="4" cm="1">
        <f t="array" ref="N2839">SUM(--(_xlfn.TEXTSPLIT($J$2448,, " ") = M2839))</f>
        <v>1</v>
      </c>
      <c r="O2839">
        <v>1</v>
      </c>
      <c r="P2839">
        <v>0</v>
      </c>
      <c r="Q2839">
        <v>1</v>
      </c>
    </row>
    <row r="2840" spans="5:17" x14ac:dyDescent="0.2">
      <c r="E2840" s="9" t="s">
        <v>30</v>
      </c>
      <c r="K2840" t="str">
        <v>face</v>
      </c>
      <c r="L2840" s="4" t="str">
        <f t="shared" si="53"/>
        <v>face</v>
      </c>
      <c r="N2840" s="4" cm="1">
        <f t="array" ref="N2840">SUM(--(_xlfn.TEXTSPLIT($J$2448,, " ") = M2840))</f>
        <v>1</v>
      </c>
      <c r="O2840">
        <v>1</v>
      </c>
      <c r="P2840">
        <v>0</v>
      </c>
      <c r="Q2840">
        <v>1</v>
      </c>
    </row>
    <row r="2841" spans="5:17" x14ac:dyDescent="0.2">
      <c r="E2841" s="9" t="s">
        <v>30</v>
      </c>
      <c r="K2841" t="str">
        <v>(Half</v>
      </c>
      <c r="L2841" s="4" t="str">
        <f t="shared" si="53"/>
        <v xml:space="preserve"> Half</v>
      </c>
      <c r="N2841" s="4" cm="1">
        <f t="array" ref="N2841">SUM(--(_xlfn.TEXTSPLIT($J$2448,, " ") = M2841))</f>
        <v>1</v>
      </c>
      <c r="O2841">
        <v>1</v>
      </c>
      <c r="P2841">
        <v>0</v>
      </c>
      <c r="Q2841">
        <v>1</v>
      </c>
    </row>
    <row r="2842" spans="5:17" x14ac:dyDescent="0.2">
      <c r="E2842" s="9" t="s">
        <v>30</v>
      </c>
      <c r="K2842" t="str">
        <v>of</v>
      </c>
      <c r="L2842" s="4" t="str">
        <f t="shared" si="53"/>
        <v>of</v>
      </c>
      <c r="N2842" s="4" cm="1">
        <f t="array" ref="N2842">SUM(--(_xlfn.TEXTSPLIT($J$2448,, " ") = M2842))</f>
        <v>1</v>
      </c>
      <c r="O2842">
        <v>1</v>
      </c>
      <c r="P2842">
        <v>0</v>
      </c>
      <c r="Q2842">
        <v>1</v>
      </c>
    </row>
    <row r="2843" spans="5:17" x14ac:dyDescent="0.2">
      <c r="E2843" s="9" t="s">
        <v>30</v>
      </c>
      <c r="K2843" t="str">
        <v>my</v>
      </c>
      <c r="L2843" s="4" t="str">
        <f t="shared" si="53"/>
        <v>my</v>
      </c>
      <c r="N2843" s="4" cm="1">
        <f t="array" ref="N2843">SUM(--(_xlfn.TEXTSPLIT($J$2448,, " ") = M2843))</f>
        <v>1</v>
      </c>
      <c r="O2843">
        <v>1</v>
      </c>
      <c r="P2843">
        <v>0</v>
      </c>
      <c r="Q2843">
        <v>1</v>
      </c>
    </row>
    <row r="2844" spans="5:17" x14ac:dyDescent="0.2">
      <c r="E2844" s="9" t="s">
        <v>30</v>
      </c>
      <c r="K2844" t="str">
        <v xml:space="preserve">face)
</v>
      </c>
      <c r="L2844" s="4" t="str">
        <f t="shared" si="53"/>
        <v xml:space="preserve">face  </v>
      </c>
      <c r="N2844" s="4" cm="1">
        <f t="array" ref="N2844">SUM(--(_xlfn.TEXTSPLIT($J$2448,, " ") = M2844))</f>
        <v>1</v>
      </c>
      <c r="O2844">
        <v>1</v>
      </c>
      <c r="P2844">
        <v>0</v>
      </c>
      <c r="Q2844">
        <v>1</v>
      </c>
    </row>
    <row r="2845" spans="5:17" x14ac:dyDescent="0.2">
      <c r="E2845" s="9" t="s">
        <v>30</v>
      </c>
      <c r="K2845" t="str">
        <v>Bring</v>
      </c>
      <c r="L2845" s="4" t="str">
        <f t="shared" si="53"/>
        <v>Bring</v>
      </c>
      <c r="N2845" s="4" cm="1">
        <f t="array" ref="N2845">SUM(--(_xlfn.TEXTSPLIT($J$2448,, " ") = M2845))</f>
        <v>1</v>
      </c>
      <c r="O2845">
        <v>1</v>
      </c>
      <c r="P2845">
        <v>0</v>
      </c>
      <c r="Q2845">
        <v>1</v>
      </c>
    </row>
    <row r="2846" spans="5:17" x14ac:dyDescent="0.2">
      <c r="E2846" s="9" t="s">
        <v>30</v>
      </c>
      <c r="K2846" t="str">
        <v>my</v>
      </c>
      <c r="L2846" s="4" t="str">
        <f t="shared" si="53"/>
        <v>my</v>
      </c>
      <c r="N2846" s="4" cm="1">
        <f t="array" ref="N2846">SUM(--(_xlfn.TEXTSPLIT($J$2448,, " ") = M2846))</f>
        <v>1</v>
      </c>
      <c r="O2846">
        <v>1</v>
      </c>
      <c r="P2846">
        <v>0</v>
      </c>
      <c r="Q2846">
        <v>1</v>
      </c>
    </row>
    <row r="2847" spans="5:17" x14ac:dyDescent="0.2">
      <c r="E2847" s="9" t="s">
        <v>30</v>
      </c>
      <c r="K2847" t="str">
        <v>arms</v>
      </c>
      <c r="L2847" s="4" t="str">
        <f t="shared" si="53"/>
        <v>arms</v>
      </c>
      <c r="N2847" s="4" cm="1">
        <f t="array" ref="N2847">SUM(--(_xlfn.TEXTSPLIT($J$2448,, " ") = M2847))</f>
        <v>1</v>
      </c>
      <c r="O2847">
        <v>1</v>
      </c>
      <c r="P2847">
        <v>0</v>
      </c>
      <c r="Q2847">
        <v>1</v>
      </c>
    </row>
    <row r="2848" spans="5:17" x14ac:dyDescent="0.2">
      <c r="E2848" s="9" t="s">
        <v>30</v>
      </c>
      <c r="K2848" t="str">
        <v>closer</v>
      </c>
      <c r="L2848" s="4" t="str">
        <f t="shared" si="53"/>
        <v>closer</v>
      </c>
      <c r="N2848" s="4" cm="1">
        <f t="array" ref="N2848">SUM(--(_xlfn.TEXTSPLIT($J$2448,, " ") = M2848))</f>
        <v>1</v>
      </c>
      <c r="O2848">
        <v>1</v>
      </c>
      <c r="P2848">
        <v>0</v>
      </c>
      <c r="Q2848">
        <v>1</v>
      </c>
    </row>
    <row r="2849" spans="5:17" x14ac:dyDescent="0.2">
      <c r="E2849" s="9" t="s">
        <v>30</v>
      </c>
      <c r="K2849" t="str">
        <v>to</v>
      </c>
      <c r="L2849" s="4" t="str">
        <f t="shared" si="53"/>
        <v>to</v>
      </c>
      <c r="N2849" s="4" cm="1">
        <f t="array" ref="N2849">SUM(--(_xlfn.TEXTSPLIT($J$2448,, " ") = M2849))</f>
        <v>1</v>
      </c>
      <c r="O2849">
        <v>1</v>
      </c>
      <c r="P2849">
        <v>0</v>
      </c>
      <c r="Q2849">
        <v>1</v>
      </c>
    </row>
    <row r="2850" spans="5:17" x14ac:dyDescent="0.2">
      <c r="E2850" s="9" t="s">
        <v>30</v>
      </c>
      <c r="K2850" t="str">
        <v>my</v>
      </c>
      <c r="L2850" s="4" t="str">
        <f t="shared" si="53"/>
        <v>my</v>
      </c>
      <c r="N2850" s="4" cm="1">
        <f t="array" ref="N2850">SUM(--(_xlfn.TEXTSPLIT($J$2448,, " ") = M2850))</f>
        <v>1</v>
      </c>
      <c r="O2850">
        <v>1</v>
      </c>
      <c r="P2850">
        <v>0</v>
      </c>
      <c r="Q2850">
        <v>1</v>
      </c>
    </row>
    <row r="2851" spans="5:17" x14ac:dyDescent="0.2">
      <c r="E2851" s="9" t="s">
        <v>30</v>
      </c>
      <c r="K2851" t="str">
        <v>body,</v>
      </c>
      <c r="L2851" s="4" t="str">
        <f t="shared" si="53"/>
        <v xml:space="preserve">body </v>
      </c>
      <c r="N2851" s="4" cm="1">
        <f t="array" ref="N2851">SUM(--(_xlfn.TEXTSPLIT($J$2448,, " ") = M2851))</f>
        <v>1</v>
      </c>
      <c r="O2851">
        <v>1</v>
      </c>
      <c r="P2851">
        <v>0</v>
      </c>
      <c r="Q2851">
        <v>1</v>
      </c>
    </row>
    <row r="2852" spans="5:17" x14ac:dyDescent="0.2">
      <c r="E2852" s="9" t="s">
        <v>30</v>
      </c>
      <c r="K2852" t="str">
        <v>get</v>
      </c>
      <c r="L2852" s="4" t="str">
        <f t="shared" si="53"/>
        <v>get</v>
      </c>
      <c r="N2852" s="4" cm="1">
        <f t="array" ref="N2852">SUM(--(_xlfn.TEXTSPLIT($J$2448,, " ") = M2852))</f>
        <v>1</v>
      </c>
      <c r="O2852">
        <v>1</v>
      </c>
      <c r="P2852">
        <v>0</v>
      </c>
      <c r="Q2852">
        <v>1</v>
      </c>
    </row>
    <row r="2853" spans="5:17" x14ac:dyDescent="0.2">
      <c r="E2853" s="9" t="s">
        <v>30</v>
      </c>
      <c r="K2853" t="str">
        <v>as</v>
      </c>
      <c r="L2853" s="4" t="str">
        <f t="shared" si="53"/>
        <v>as</v>
      </c>
      <c r="N2853" s="4" cm="1">
        <f t="array" ref="N2853">SUM(--(_xlfn.TEXTSPLIT($J$2448,, " ") = M2853))</f>
        <v>1</v>
      </c>
      <c r="O2853">
        <v>1</v>
      </c>
      <c r="P2853">
        <v>0</v>
      </c>
      <c r="Q2853">
        <v>1</v>
      </c>
    </row>
    <row r="2854" spans="5:17" x14ac:dyDescent="0.2">
      <c r="E2854" s="9" t="s">
        <v>30</v>
      </c>
      <c r="K2854" t="str">
        <v>small</v>
      </c>
      <c r="L2854" s="4" t="str">
        <f t="shared" si="53"/>
        <v>small</v>
      </c>
      <c r="N2854" s="4" cm="1">
        <f t="array" ref="N2854">SUM(--(_xlfn.TEXTSPLIT($J$2448,, " ") = M2854))</f>
        <v>1</v>
      </c>
      <c r="O2854">
        <v>1</v>
      </c>
      <c r="P2854">
        <v>0</v>
      </c>
      <c r="Q2854">
        <v>1</v>
      </c>
    </row>
    <row r="2855" spans="5:17" x14ac:dyDescent="0.2">
      <c r="E2855" s="9" t="s">
        <v>30</v>
      </c>
      <c r="K2855" t="str">
        <v>as</v>
      </c>
      <c r="L2855" s="4" t="str">
        <f t="shared" si="53"/>
        <v>as</v>
      </c>
      <c r="N2855" s="4" cm="1">
        <f t="array" ref="N2855">SUM(--(_xlfn.TEXTSPLIT($J$2448,, " ") = M2855))</f>
        <v>1</v>
      </c>
      <c r="O2855">
        <v>1</v>
      </c>
      <c r="P2855">
        <v>0</v>
      </c>
      <c r="Q2855">
        <v>1</v>
      </c>
    </row>
    <row r="2856" spans="5:17" x14ac:dyDescent="0.2">
      <c r="E2856" s="9" t="s">
        <v>30</v>
      </c>
      <c r="K2856" t="str">
        <v>they</v>
      </c>
      <c r="L2856" s="4" t="str">
        <f t="shared" si="53"/>
        <v>they</v>
      </c>
      <c r="N2856" s="4" cm="1">
        <f t="array" ref="N2856">SUM(--(_xlfn.TEXTSPLIT($J$2448,, " ") = M2856))</f>
        <v>1</v>
      </c>
      <c r="O2856">
        <v>1</v>
      </c>
      <c r="P2856">
        <v>0</v>
      </c>
      <c r="Q2856">
        <v>1</v>
      </c>
    </row>
    <row r="2857" spans="5:17" x14ac:dyDescent="0.2">
      <c r="E2857" s="9" t="s">
        <v>30</v>
      </c>
      <c r="K2857" t="str">
        <v>say</v>
      </c>
      <c r="L2857" s="4" t="str">
        <f t="shared" si="53"/>
        <v>say</v>
      </c>
      <c r="N2857" s="4" cm="1">
        <f t="array" ref="N2857">SUM(--(_xlfn.TEXTSPLIT($J$2448,, " ") = M2857))</f>
        <v>1</v>
      </c>
      <c r="O2857">
        <v>1</v>
      </c>
      <c r="P2857">
        <v>0</v>
      </c>
      <c r="Q2857">
        <v>1</v>
      </c>
    </row>
    <row r="2858" spans="5:17" x14ac:dyDescent="0.2">
      <c r="E2858" s="9" t="s">
        <v>30</v>
      </c>
      <c r="K2858" t="str">
        <v>(Small</v>
      </c>
      <c r="L2858" s="4" t="str">
        <f t="shared" si="53"/>
        <v xml:space="preserve"> Small</v>
      </c>
      <c r="N2858" s="4" cm="1">
        <f t="array" ref="N2858">SUM(--(_xlfn.TEXTSPLIT($J$2448,, " ") = M2858))</f>
        <v>1</v>
      </c>
      <c r="O2858">
        <v>1</v>
      </c>
      <c r="P2858">
        <v>0</v>
      </c>
      <c r="Q2858">
        <v>1</v>
      </c>
    </row>
    <row r="2859" spans="5:17" x14ac:dyDescent="0.2">
      <c r="E2859" s="9" t="s">
        <v>30</v>
      </c>
      <c r="K2859" t="str">
        <v>as</v>
      </c>
      <c r="L2859" s="4" t="str">
        <f t="shared" si="53"/>
        <v>as</v>
      </c>
      <c r="N2859" s="4" cm="1">
        <f t="array" ref="N2859">SUM(--(_xlfn.TEXTSPLIT($J$2448,, " ") = M2859))</f>
        <v>1</v>
      </c>
      <c r="O2859">
        <v>1</v>
      </c>
      <c r="P2859">
        <v>0</v>
      </c>
      <c r="Q2859">
        <v>1</v>
      </c>
    </row>
    <row r="2860" spans="5:17" x14ac:dyDescent="0.2">
      <c r="E2860" s="9" t="s">
        <v>30</v>
      </c>
      <c r="K2860" t="str">
        <v>they</v>
      </c>
      <c r="L2860" s="4" t="str">
        <f t="shared" si="53"/>
        <v>they</v>
      </c>
      <c r="N2860" s="4" cm="1">
        <f t="array" ref="N2860">SUM(--(_xlfn.TEXTSPLIT($J$2448,, " ") = M2860))</f>
        <v>1</v>
      </c>
      <c r="O2860">
        <v>1</v>
      </c>
      <c r="P2860">
        <v>0</v>
      </c>
      <c r="Q2860">
        <v>1</v>
      </c>
    </row>
    <row r="2861" spans="5:17" x14ac:dyDescent="0.2">
      <c r="E2861" s="9" t="s">
        <v>30</v>
      </c>
      <c r="K2861" t="str">
        <v xml:space="preserve">say)
</v>
      </c>
      <c r="L2861" s="4" t="str">
        <f t="shared" si="53"/>
        <v xml:space="preserve">say  </v>
      </c>
      <c r="N2861" s="4" cm="1">
        <f t="array" ref="N2861">SUM(--(_xlfn.TEXTSPLIT($J$2448,, " ") = M2861))</f>
        <v>1</v>
      </c>
      <c r="O2861">
        <v>1</v>
      </c>
      <c r="P2861">
        <v>0</v>
      </c>
      <c r="Q2861">
        <v>1</v>
      </c>
    </row>
    <row r="2862" spans="5:17" x14ac:dyDescent="0.2">
      <c r="E2862" s="9" t="s">
        <v>30</v>
      </c>
      <c r="K2862" t="str">
        <v>They</v>
      </c>
      <c r="L2862" s="4" t="str">
        <f t="shared" si="53"/>
        <v>They</v>
      </c>
      <c r="N2862" s="4" cm="1">
        <f t="array" ref="N2862">SUM(--(_xlfn.TEXTSPLIT($J$2448,, " ") = M2862))</f>
        <v>1</v>
      </c>
      <c r="O2862">
        <v>1</v>
      </c>
      <c r="P2862">
        <v>0</v>
      </c>
      <c r="Q2862">
        <v>1</v>
      </c>
    </row>
    <row r="2863" spans="5:17" x14ac:dyDescent="0.2">
      <c r="E2863" s="9" t="s">
        <v>30</v>
      </c>
      <c r="K2863" t="str">
        <v>call</v>
      </c>
      <c r="L2863" s="4" t="str">
        <f t="shared" si="53"/>
        <v>call</v>
      </c>
      <c r="N2863" s="4" cm="1">
        <f t="array" ref="N2863">SUM(--(_xlfn.TEXTSPLIT($J$2448,, " ") = M2863))</f>
        <v>1</v>
      </c>
      <c r="O2863">
        <v>1</v>
      </c>
      <c r="P2863">
        <v>0</v>
      </c>
      <c r="Q2863">
        <v>1</v>
      </c>
    </row>
    <row r="2864" spans="5:17" x14ac:dyDescent="0.2">
      <c r="E2864" s="9" t="s">
        <v>30</v>
      </c>
      <c r="K2864" t="str">
        <v>it</v>
      </c>
      <c r="L2864" s="4" t="str">
        <f t="shared" si="53"/>
        <v>it</v>
      </c>
      <c r="N2864" s="4" cm="1">
        <f t="array" ref="N2864">SUM(--(_xlfn.TEXTSPLIT($J$2448,, " ") = M2864))</f>
        <v>1</v>
      </c>
      <c r="O2864">
        <v>1</v>
      </c>
      <c r="P2864">
        <v>0</v>
      </c>
      <c r="Q2864">
        <v>1</v>
      </c>
    </row>
    <row r="2865" spans="5:17" x14ac:dyDescent="0.2">
      <c r="E2865" s="9" t="s">
        <v>30</v>
      </c>
      <c r="K2865" t="str">
        <v>center</v>
      </c>
      <c r="L2865" s="4" t="str">
        <f t="shared" si="53"/>
        <v>center</v>
      </c>
      <c r="N2865" s="4" cm="1">
        <f t="array" ref="N2865">SUM(--(_xlfn.TEXTSPLIT($J$2448,, " ") = M2865))</f>
        <v>1</v>
      </c>
      <c r="O2865">
        <v>1</v>
      </c>
      <c r="P2865">
        <v>0</v>
      </c>
      <c r="Q2865">
        <v>1</v>
      </c>
    </row>
    <row r="2866" spans="5:17" x14ac:dyDescent="0.2">
      <c r="E2866" s="9" t="s">
        <v>30</v>
      </c>
      <c r="K2866" t="str">
        <v>mass,</v>
      </c>
      <c r="L2866" s="4" t="str">
        <f t="shared" si="53"/>
        <v xml:space="preserve">mass </v>
      </c>
      <c r="N2866" s="4" cm="1">
        <f t="array" ref="N2866">SUM(--(_xlfn.TEXTSPLIT($J$2448,, " ") = M2866))</f>
        <v>1</v>
      </c>
      <c r="O2866">
        <v>1</v>
      </c>
      <c r="P2866">
        <v>0</v>
      </c>
      <c r="Q2866">
        <v>1</v>
      </c>
    </row>
    <row r="2867" spans="5:17" x14ac:dyDescent="0.2">
      <c r="E2867" s="9" t="s">
        <v>30</v>
      </c>
      <c r="K2867" t="str">
        <v>that</v>
      </c>
      <c r="L2867" s="4" t="str">
        <f t="shared" si="53"/>
        <v>that</v>
      </c>
      <c r="N2867" s="4" cm="1">
        <f t="array" ref="N2867">SUM(--(_xlfn.TEXTSPLIT($J$2448,, " ") = M2867))</f>
        <v>1</v>
      </c>
      <c r="O2867">
        <v>1</v>
      </c>
      <c r="P2867">
        <v>0</v>
      </c>
      <c r="Q2867">
        <v>1</v>
      </c>
    </row>
    <row r="2868" spans="5:17" x14ac:dyDescent="0.2">
      <c r="E2868" s="9" t="s">
        <v>30</v>
      </c>
      <c r="K2868" t="str">
        <v>part</v>
      </c>
      <c r="L2868" s="4" t="str">
        <f t="shared" si="53"/>
        <v>part</v>
      </c>
      <c r="N2868" s="4" cm="1">
        <f t="array" ref="N2868">SUM(--(_xlfn.TEXTSPLIT($J$2448,, " ") = M2868))</f>
        <v>1</v>
      </c>
      <c r="O2868">
        <v>1</v>
      </c>
      <c r="P2868">
        <v>0</v>
      </c>
      <c r="Q2868">
        <v>1</v>
      </c>
    </row>
    <row r="2869" spans="5:17" x14ac:dyDescent="0.2">
      <c r="E2869" s="9" t="s">
        <v>30</v>
      </c>
      <c r="K2869" t="str">
        <v>they</v>
      </c>
      <c r="L2869" s="4" t="str">
        <f t="shared" si="53"/>
        <v>they</v>
      </c>
      <c r="N2869" s="4" cm="1">
        <f t="array" ref="N2869">SUM(--(_xlfn.TEXTSPLIT($J$2448,, " ") = M2869))</f>
        <v>1</v>
      </c>
      <c r="O2869">
        <v>1</v>
      </c>
      <c r="P2869">
        <v>0</v>
      </c>
      <c r="Q2869">
        <v>1</v>
      </c>
    </row>
    <row r="2870" spans="5:17" x14ac:dyDescent="0.2">
      <c r="E2870" s="9" t="s">
        <v>30</v>
      </c>
      <c r="K2870" t="str">
        <v>aim</v>
      </c>
      <c r="L2870" s="4" t="str">
        <f t="shared" si="53"/>
        <v>aim</v>
      </c>
      <c r="N2870" s="4" cm="1">
        <f t="array" ref="N2870">SUM(--(_xlfn.TEXTSPLIT($J$2448,, " ") = M2870))</f>
        <v>1</v>
      </c>
      <c r="O2870">
        <v>1</v>
      </c>
      <c r="P2870">
        <v>0</v>
      </c>
      <c r="Q2870">
        <v>1</v>
      </c>
    </row>
    <row r="2871" spans="5:17" x14ac:dyDescent="0.2">
      <c r="E2871" s="9" t="s">
        <v>30</v>
      </c>
      <c r="K2871" t="str">
        <v xml:space="preserve">for
</v>
      </c>
      <c r="L2871" s="4" t="str">
        <f t="shared" si="53"/>
        <v xml:space="preserve">for  </v>
      </c>
      <c r="N2871" s="4" cm="1">
        <f t="array" ref="N2871">SUM(--(_xlfn.TEXTSPLIT($J$2448,, " ") = M2871))</f>
        <v>1</v>
      </c>
      <c r="O2871">
        <v>1</v>
      </c>
      <c r="P2871">
        <v>0</v>
      </c>
      <c r="Q2871">
        <v>1</v>
      </c>
    </row>
    <row r="2872" spans="5:17" x14ac:dyDescent="0.2">
      <c r="E2872" s="9" t="s">
        <v>30</v>
      </c>
      <c r="K2872" t="str">
        <v>Shrink</v>
      </c>
      <c r="L2872" s="4" t="str">
        <f t="shared" si="53"/>
        <v>Shrink</v>
      </c>
      <c r="N2872" s="4" cm="1">
        <f t="array" ref="N2872">SUM(--(_xlfn.TEXTSPLIT($J$2448,, " ") = M2872))</f>
        <v>1</v>
      </c>
      <c r="O2872">
        <v>1</v>
      </c>
      <c r="P2872">
        <v>0</v>
      </c>
      <c r="Q2872">
        <v>1</v>
      </c>
    </row>
    <row r="2873" spans="5:17" x14ac:dyDescent="0.2">
      <c r="E2873" s="9" t="s">
        <v>30</v>
      </c>
      <c r="K2873" t="str">
        <v>it</v>
      </c>
      <c r="L2873" s="4" t="str">
        <f t="shared" si="53"/>
        <v>it</v>
      </c>
      <c r="N2873" s="4" cm="1">
        <f t="array" ref="N2873">SUM(--(_xlfn.TEXTSPLIT($J$2448,, " ") = M2873))</f>
        <v>1</v>
      </c>
      <c r="O2873">
        <v>1</v>
      </c>
      <c r="P2873">
        <v>0</v>
      </c>
      <c r="Q2873">
        <v>1</v>
      </c>
    </row>
    <row r="2874" spans="5:17" x14ac:dyDescent="0.2">
      <c r="E2874" s="9" t="s">
        <v>30</v>
      </c>
      <c r="K2874" t="str">
        <v>down</v>
      </c>
      <c r="L2874" s="4" t="str">
        <f t="shared" si="53"/>
        <v>down</v>
      </c>
      <c r="N2874" s="4" cm="1">
        <f t="array" ref="N2874">SUM(--(_xlfn.TEXTSPLIT($J$2448,, " ") = M2874))</f>
        <v>1</v>
      </c>
      <c r="O2874">
        <v>1</v>
      </c>
      <c r="P2874">
        <v>0</v>
      </c>
      <c r="Q2874">
        <v>1</v>
      </c>
    </row>
    <row r="2875" spans="5:17" x14ac:dyDescent="0.2">
      <c r="E2875" s="9" t="s">
        <v>30</v>
      </c>
      <c r="K2875" t="str">
        <v>to</v>
      </c>
      <c r="L2875" s="4" t="str">
        <f t="shared" si="53"/>
        <v>to</v>
      </c>
      <c r="N2875" s="4" cm="1">
        <f t="array" ref="N2875">SUM(--(_xlfn.TEXTSPLIT($J$2448,, " ") = M2875))</f>
        <v>1</v>
      </c>
      <c r="O2875">
        <v>1</v>
      </c>
      <c r="P2875">
        <v>0</v>
      </c>
      <c r="Q2875">
        <v>1</v>
      </c>
    </row>
    <row r="2876" spans="5:17" x14ac:dyDescent="0.2">
      <c r="E2876" s="9" t="s">
        <v>30</v>
      </c>
      <c r="K2876" t="str">
        <v>nothing</v>
      </c>
      <c r="L2876" s="4" t="str">
        <f t="shared" si="53"/>
        <v>nothing</v>
      </c>
      <c r="N2876" s="4" cm="1">
        <f t="array" ref="N2876">SUM(--(_xlfn.TEXTSPLIT($J$2448,, " ") = M2876))</f>
        <v>1</v>
      </c>
      <c r="O2876">
        <v>1</v>
      </c>
      <c r="P2876">
        <v>0</v>
      </c>
      <c r="Q2876">
        <v>1</v>
      </c>
    </row>
    <row r="2877" spans="5:17" x14ac:dyDescent="0.2">
      <c r="E2877" s="9" t="s">
        <v>30</v>
      </c>
      <c r="K2877" t="str">
        <v>and</v>
      </c>
      <c r="L2877" s="4" t="str">
        <f t="shared" si="53"/>
        <v>and</v>
      </c>
      <c r="N2877" s="4" cm="1">
        <f t="array" ref="N2877">SUM(--(_xlfn.TEXTSPLIT($J$2448,, " ") = M2877))</f>
        <v>1</v>
      </c>
      <c r="O2877">
        <v>1</v>
      </c>
      <c r="P2877">
        <v>0</v>
      </c>
      <c r="Q2877">
        <v>1</v>
      </c>
    </row>
    <row r="2878" spans="5:17" x14ac:dyDescent="0.2">
      <c r="E2878" s="9" t="s">
        <v>30</v>
      </c>
      <c r="K2878" t="str">
        <v>forgetting</v>
      </c>
      <c r="L2878" s="4" t="str">
        <f t="shared" si="53"/>
        <v>forgetting</v>
      </c>
      <c r="N2878" s="4" cm="1">
        <f t="array" ref="N2878">SUM(--(_xlfn.TEXTSPLIT($J$2448,, " ") = M2878))</f>
        <v>1</v>
      </c>
      <c r="O2878">
        <v>1</v>
      </c>
      <c r="P2878">
        <v>0</v>
      </c>
      <c r="Q2878">
        <v>1</v>
      </c>
    </row>
    <row r="2879" spans="5:17" x14ac:dyDescent="0.2">
      <c r="E2879" s="9" t="s">
        <v>30</v>
      </c>
      <c r="K2879" t="str">
        <v>what</v>
      </c>
      <c r="L2879" s="4" t="str">
        <f t="shared" si="53"/>
        <v>what</v>
      </c>
      <c r="N2879" s="4" cm="1">
        <f t="array" ref="N2879">SUM(--(_xlfn.TEXTSPLIT($J$2448,, " ") = M2879))</f>
        <v>1</v>
      </c>
      <c r="O2879">
        <v>1</v>
      </c>
      <c r="P2879">
        <v>0</v>
      </c>
      <c r="Q2879">
        <v>1</v>
      </c>
    </row>
    <row r="2880" spans="5:17" x14ac:dyDescent="0.2">
      <c r="E2880" s="9" t="s">
        <v>30</v>
      </c>
      <c r="K2880" t="str">
        <v>the</v>
      </c>
      <c r="L2880" s="4" t="str">
        <f t="shared" si="53"/>
        <v>the</v>
      </c>
      <c r="N2880" s="4" cm="1">
        <f t="array" ref="N2880">SUM(--(_xlfn.TEXTSPLIT($J$2448,, " ") = M2880))</f>
        <v>1</v>
      </c>
      <c r="O2880">
        <v>1</v>
      </c>
      <c r="P2880">
        <v>0</v>
      </c>
      <c r="Q2880">
        <v>1</v>
      </c>
    </row>
    <row r="2881" spans="5:17" x14ac:dyDescent="0.2">
      <c r="E2881" s="9" t="s">
        <v>30</v>
      </c>
      <c r="K2881" t="str">
        <v>pain's</v>
      </c>
      <c r="L2881" s="4" t="str">
        <f t="shared" si="53"/>
        <v>pain s</v>
      </c>
      <c r="N2881" s="4" cm="1">
        <f t="array" ref="N2881">SUM(--(_xlfn.TEXTSPLIT($J$2448,, " ") = M2881))</f>
        <v>1</v>
      </c>
      <c r="O2881">
        <v>1</v>
      </c>
      <c r="P2881">
        <v>0</v>
      </c>
      <c r="Q2881">
        <v>1</v>
      </c>
    </row>
    <row r="2882" spans="5:17" x14ac:dyDescent="0.2">
      <c r="E2882" s="9" t="s">
        <v>30</v>
      </c>
      <c r="K2882" t="str">
        <v xml:space="preserve">for
</v>
      </c>
      <c r="L2882" s="4" t="str">
        <f t="shared" si="53"/>
        <v xml:space="preserve">for </v>
      </c>
      <c r="N2882" s="4" cm="1">
        <f t="array" ref="N2882">SUM(--(_xlfn.TEXTSPLIT($J$2448,, " ") = M2882))</f>
        <v>1</v>
      </c>
      <c r="O2882">
        <v>1</v>
      </c>
      <c r="P2882">
        <v>0</v>
      </c>
      <c r="Q2882">
        <v>1</v>
      </c>
    </row>
    <row r="2883" spans="5:17" x14ac:dyDescent="0.2">
      <c r="E2883" s="9" t="s">
        <v>30</v>
      </c>
      <c r="K2883" t="str">
        <v>That</v>
      </c>
      <c r="L2883" s="4" t="str">
        <f t="shared" si="53"/>
        <v>That</v>
      </c>
      <c r="N2883" s="4" cm="1">
        <f t="array" ref="N2883">SUM(--(_xlfn.TEXTSPLIT($J$2448,, " ") = M2883))</f>
        <v>1</v>
      </c>
      <c r="O2883">
        <v>1</v>
      </c>
      <c r="P2883">
        <v>0</v>
      </c>
      <c r="Q2883">
        <v>1</v>
      </c>
    </row>
    <row r="2884" spans="5:17" x14ac:dyDescent="0.2">
      <c r="E2884" s="9" t="s">
        <v>30</v>
      </c>
      <c r="K2884" t="str">
        <v>part</v>
      </c>
      <c r="L2884" s="4" t="str">
        <f t="shared" si="53"/>
        <v>part</v>
      </c>
      <c r="N2884" s="4" cm="1">
        <f t="array" ref="N2884">SUM(--(_xlfn.TEXTSPLIT($J$2448,, " ") = M2884))</f>
        <v>1</v>
      </c>
      <c r="O2884">
        <v>1</v>
      </c>
      <c r="P2884">
        <v>0</v>
      </c>
      <c r="Q2884">
        <v>1</v>
      </c>
    </row>
    <row r="2885" spans="5:17" x14ac:dyDescent="0.2">
      <c r="E2885" s="9" t="s">
        <v>30</v>
      </c>
      <c r="K2885" t="str">
        <v>they</v>
      </c>
      <c r="L2885" s="4" t="str">
        <f t="shared" si="53"/>
        <v>they</v>
      </c>
      <c r="N2885" s="4" cm="1">
        <f t="array" ref="N2885">SUM(--(_xlfn.TEXTSPLIT($J$2448,, " ") = M2885))</f>
        <v>1</v>
      </c>
      <c r="O2885">
        <v>1</v>
      </c>
      <c r="P2885">
        <v>0</v>
      </c>
      <c r="Q2885">
        <v>1</v>
      </c>
    </row>
    <row r="2886" spans="5:17" x14ac:dyDescent="0.2">
      <c r="E2886" s="9" t="s">
        <v>30</v>
      </c>
      <c r="K2886" t="str">
        <v>aim</v>
      </c>
      <c r="L2886" s="4" t="str">
        <f t="shared" si="53"/>
        <v>aim</v>
      </c>
      <c r="N2886" s="4" cm="1">
        <f t="array" ref="N2886">SUM(--(_xlfn.TEXTSPLIT($J$2448,, " ") = M2886))</f>
        <v>1</v>
      </c>
      <c r="O2886">
        <v>1</v>
      </c>
      <c r="P2886">
        <v>0</v>
      </c>
      <c r="Q2886">
        <v>1</v>
      </c>
    </row>
    <row r="2887" spans="5:17" x14ac:dyDescent="0.2">
      <c r="E2887" s="9" t="s">
        <v>30</v>
      </c>
      <c r="K2887" t="str">
        <v xml:space="preserve">for
</v>
      </c>
      <c r="L2887" s="4" t="str">
        <f t="shared" si="53"/>
        <v xml:space="preserve">for  </v>
      </c>
      <c r="N2887" s="4" cm="1">
        <f t="array" ref="N2887">SUM(--(_xlfn.TEXTSPLIT($J$2448,, " ") = M2887))</f>
        <v>1</v>
      </c>
      <c r="O2887">
        <v>1</v>
      </c>
      <c r="P2887">
        <v>0</v>
      </c>
      <c r="Q2887">
        <v>1</v>
      </c>
    </row>
    <row r="2888" spans="5:17" x14ac:dyDescent="0.2">
      <c r="E2888" s="9" t="s">
        <v>30</v>
      </c>
      <c r="K2888" t="str">
        <v>Found</v>
      </c>
      <c r="L2888" s="4" t="str">
        <f t="shared" si="53"/>
        <v>Found</v>
      </c>
      <c r="N2888" s="4" cm="1">
        <f t="array" ref="N2888">SUM(--(_xlfn.TEXTSPLIT($J$2448,, " ") = M2888))</f>
        <v>1</v>
      </c>
      <c r="O2888">
        <v>1</v>
      </c>
      <c r="P2888">
        <v>0</v>
      </c>
      <c r="Q2888">
        <v>1</v>
      </c>
    </row>
    <row r="2889" spans="5:17" x14ac:dyDescent="0.2">
      <c r="E2889" s="9" t="s">
        <v>30</v>
      </c>
      <c r="K2889" t="str">
        <v>out</v>
      </c>
      <c r="L2889" s="4" t="str">
        <f t="shared" si="53"/>
        <v>out</v>
      </c>
      <c r="N2889" s="4" cm="1">
        <f t="array" ref="N2889">SUM(--(_xlfn.TEXTSPLIT($J$2448,, " ") = M2889))</f>
        <v>1</v>
      </c>
      <c r="O2889">
        <v>1</v>
      </c>
      <c r="P2889">
        <v>0</v>
      </c>
      <c r="Q2889">
        <v>1</v>
      </c>
    </row>
    <row r="2890" spans="5:17" x14ac:dyDescent="0.2">
      <c r="E2890" s="9" t="s">
        <v>30</v>
      </c>
      <c r="K2890" t="str">
        <v>what</v>
      </c>
      <c r="L2890" s="4" t="str">
        <f t="shared" si="53"/>
        <v>what</v>
      </c>
      <c r="N2890" s="4" cm="1">
        <f t="array" ref="N2890">SUM(--(_xlfn.TEXTSPLIT($J$2448,, " ") = M2890))</f>
        <v>1</v>
      </c>
      <c r="O2890">
        <v>1</v>
      </c>
      <c r="P2890">
        <v>0</v>
      </c>
      <c r="Q2890">
        <v>1</v>
      </c>
    </row>
    <row r="2891" spans="5:17" x14ac:dyDescent="0.2">
      <c r="E2891" s="9" t="s">
        <v>30</v>
      </c>
      <c r="K2891" t="str">
        <v>I'm</v>
      </c>
      <c r="L2891" s="4" t="str">
        <f t="shared" si="53"/>
        <v>I m</v>
      </c>
      <c r="N2891" s="4" cm="1">
        <f t="array" ref="N2891">SUM(--(_xlfn.TEXTSPLIT($J$2448,, " ") = M2891))</f>
        <v>1</v>
      </c>
      <c r="O2891">
        <v>1</v>
      </c>
      <c r="P2891">
        <v>0</v>
      </c>
      <c r="Q2891">
        <v>1</v>
      </c>
    </row>
    <row r="2892" spans="5:17" x14ac:dyDescent="0.2">
      <c r="E2892" s="9" t="s">
        <v>30</v>
      </c>
      <c r="K2892" t="str">
        <v>worth,</v>
      </c>
      <c r="L2892" s="4" t="str">
        <f t="shared" si="53"/>
        <v xml:space="preserve">worth </v>
      </c>
      <c r="N2892" s="4" cm="1">
        <f t="array" ref="N2892">SUM(--(_xlfn.TEXTSPLIT($J$2448,, " ") = M2892))</f>
        <v>1</v>
      </c>
      <c r="O2892">
        <v>1</v>
      </c>
      <c r="P2892">
        <v>0</v>
      </c>
      <c r="Q2892">
        <v>1</v>
      </c>
    </row>
    <row r="2893" spans="5:17" x14ac:dyDescent="0.2">
      <c r="E2893" s="9" t="s">
        <v>30</v>
      </c>
      <c r="K2893" t="str">
        <v>I</v>
      </c>
      <c r="L2893" s="4" t="str">
        <f t="shared" si="53"/>
        <v>I</v>
      </c>
      <c r="N2893" s="4" cm="1">
        <f t="array" ref="N2893">SUM(--(_xlfn.TEXTSPLIT($J$2448,, " ") = M2893))</f>
        <v>1</v>
      </c>
      <c r="O2893">
        <v>1</v>
      </c>
      <c r="P2893">
        <v>0</v>
      </c>
      <c r="Q2893">
        <v>1</v>
      </c>
    </row>
    <row r="2894" spans="5:17" x14ac:dyDescent="0.2">
      <c r="E2894" s="9" t="s">
        <v>30</v>
      </c>
      <c r="K2894" t="str">
        <v>run</v>
      </c>
      <c r="L2894" s="4" t="str">
        <f t="shared" si="53"/>
        <v>run</v>
      </c>
      <c r="N2894" s="4" cm="1">
        <f t="array" ref="N2894">SUM(--(_xlfn.TEXTSPLIT($J$2448,, " ") = M2894))</f>
        <v>1</v>
      </c>
      <c r="O2894">
        <v>1</v>
      </c>
      <c r="P2894">
        <v>0</v>
      </c>
      <c r="Q2894">
        <v>1</v>
      </c>
    </row>
    <row r="2895" spans="5:17" x14ac:dyDescent="0.2">
      <c r="E2895" s="9" t="s">
        <v>30</v>
      </c>
      <c r="K2895" t="str">
        <v>to</v>
      </c>
      <c r="L2895" s="4" t="str">
        <f t="shared" si="53"/>
        <v>to</v>
      </c>
      <c r="N2895" s="4" cm="1">
        <f t="array" ref="N2895">SUM(--(_xlfn.TEXTSPLIT($J$2448,, " ") = M2895))</f>
        <v>1</v>
      </c>
      <c r="O2895">
        <v>1</v>
      </c>
      <c r="P2895">
        <v>0</v>
      </c>
      <c r="Q2895">
        <v>1</v>
      </c>
    </row>
    <row r="2896" spans="5:17" x14ac:dyDescent="0.2">
      <c r="E2896" s="9" t="s">
        <v>30</v>
      </c>
      <c r="K2896" t="str">
        <v xml:space="preserve">you
</v>
      </c>
      <c r="L2896" s="4" t="str">
        <f t="shared" si="53"/>
        <v xml:space="preserve">you </v>
      </c>
      <c r="N2896" s="4" cm="1">
        <f t="array" ref="N2896">SUM(--(_xlfn.TEXTSPLIT($J$2448,, " ") = M2896))</f>
        <v>1</v>
      </c>
      <c r="O2896">
        <v>1</v>
      </c>
      <c r="P2896">
        <v>0</v>
      </c>
      <c r="Q2896">
        <v>1</v>
      </c>
    </row>
    <row r="2897" spans="5:17" x14ac:dyDescent="0.2">
      <c r="E2897" s="9" t="s">
        <v>30</v>
      </c>
      <c r="K2897" t="str">
        <v>I</v>
      </c>
      <c r="L2897" s="4" t="str">
        <f t="shared" ref="L2897:L2960" si="54">_xlfn.REGEXREPLACE(K2897, "[^A-Za-z ]", " ")</f>
        <v>I</v>
      </c>
      <c r="N2897" s="4" cm="1">
        <f t="array" ref="N2897">SUM(--(_xlfn.TEXTSPLIT($J$2448,, " ") = M2897))</f>
        <v>1</v>
      </c>
      <c r="O2897">
        <v>1</v>
      </c>
      <c r="P2897">
        <v>0</v>
      </c>
      <c r="Q2897">
        <v>1</v>
      </c>
    </row>
    <row r="2898" spans="5:17" x14ac:dyDescent="0.2">
      <c r="E2898" s="9" t="s">
        <v>30</v>
      </c>
      <c r="K2898" t="str">
        <v>hope</v>
      </c>
      <c r="L2898" s="4" t="str">
        <f t="shared" si="54"/>
        <v>hope</v>
      </c>
      <c r="N2898" s="4" cm="1">
        <f t="array" ref="N2898">SUM(--(_xlfn.TEXTSPLIT($J$2448,, " ") = M2898))</f>
        <v>1</v>
      </c>
      <c r="O2898">
        <v>1</v>
      </c>
      <c r="P2898">
        <v>0</v>
      </c>
      <c r="Q2898">
        <v>1</v>
      </c>
    </row>
    <row r="2899" spans="5:17" x14ac:dyDescent="0.2">
      <c r="E2899" s="9" t="s">
        <v>30</v>
      </c>
      <c r="K2899" t="str">
        <v>you</v>
      </c>
      <c r="L2899" s="4" t="str">
        <f t="shared" si="54"/>
        <v>you</v>
      </c>
      <c r="N2899" s="4" cm="1">
        <f t="array" ref="N2899">SUM(--(_xlfn.TEXTSPLIT($J$2448,, " ") = M2899))</f>
        <v>1</v>
      </c>
      <c r="O2899">
        <v>1</v>
      </c>
      <c r="P2899">
        <v>0</v>
      </c>
      <c r="Q2899">
        <v>1</v>
      </c>
    </row>
    <row r="2900" spans="5:17" x14ac:dyDescent="0.2">
      <c r="E2900" s="9" t="s">
        <v>30</v>
      </c>
      <c r="K2900" t="str">
        <v>understand</v>
      </c>
      <c r="L2900" s="4" t="str">
        <f t="shared" si="54"/>
        <v>understand</v>
      </c>
      <c r="N2900" s="4" cm="1">
        <f t="array" ref="N2900">SUM(--(_xlfn.TEXTSPLIT($J$2448,, " ") = M2900))</f>
        <v>1</v>
      </c>
      <c r="O2900">
        <v>1</v>
      </c>
      <c r="P2900">
        <v>0</v>
      </c>
      <c r="Q2900">
        <v>1</v>
      </c>
    </row>
    <row r="2901" spans="5:17" x14ac:dyDescent="0.2">
      <c r="E2901" s="9" t="s">
        <v>30</v>
      </c>
      <c r="K2901" t="str">
        <v>this</v>
      </c>
      <c r="L2901" s="4" t="str">
        <f t="shared" si="54"/>
        <v>this</v>
      </c>
      <c r="N2901" s="4" cm="1">
        <f t="array" ref="N2901">SUM(--(_xlfn.TEXTSPLIT($J$2448,, " ") = M2901))</f>
        <v>1</v>
      </c>
      <c r="O2901">
        <v>1</v>
      </c>
      <c r="P2901">
        <v>0</v>
      </c>
      <c r="Q2901">
        <v>1</v>
      </c>
    </row>
    <row r="2902" spans="5:17" x14ac:dyDescent="0.2">
      <c r="E2902" s="9" t="s">
        <v>30</v>
      </c>
      <c r="K2902" t="str">
        <v>run-on</v>
      </c>
      <c r="L2902" s="4" t="str">
        <f t="shared" si="54"/>
        <v>run on</v>
      </c>
      <c r="N2902" s="4" cm="1">
        <f t="array" ref="N2902">SUM(--(_xlfn.TEXTSPLIT($J$2448,, " ") = M2902))</f>
        <v>1</v>
      </c>
      <c r="O2902">
        <v>1</v>
      </c>
      <c r="P2902">
        <v>0</v>
      </c>
      <c r="Q2902">
        <v>1</v>
      </c>
    </row>
    <row r="2903" spans="5:17" x14ac:dyDescent="0.2">
      <c r="E2903" s="9" t="s">
        <v>30</v>
      </c>
      <c r="K2903" t="str">
        <v xml:space="preserve">sentence
</v>
      </c>
      <c r="L2903" s="4" t="str">
        <f t="shared" si="54"/>
        <v xml:space="preserve">sentence </v>
      </c>
      <c r="N2903" s="4" cm="1">
        <f t="array" ref="N2903">SUM(--(_xlfn.TEXTSPLIT($J$2448,, " ") = M2903))</f>
        <v>1</v>
      </c>
      <c r="O2903">
        <v>1</v>
      </c>
      <c r="P2903">
        <v>0</v>
      </c>
      <c r="Q2903">
        <v>1</v>
      </c>
    </row>
    <row r="2904" spans="5:17" x14ac:dyDescent="0.2">
      <c r="E2904" s="9" t="s">
        <v>30</v>
      </c>
      <c r="K2904" t="str">
        <v>My</v>
      </c>
      <c r="L2904" s="4" t="str">
        <f t="shared" si="54"/>
        <v>My</v>
      </c>
      <c r="N2904" s="4" cm="1">
        <f t="array" ref="N2904">SUM(--(_xlfn.TEXTSPLIT($J$2448,, " ") = M2904))</f>
        <v>1</v>
      </c>
      <c r="O2904">
        <v>1</v>
      </c>
      <c r="P2904">
        <v>0</v>
      </c>
      <c r="Q2904">
        <v>1</v>
      </c>
    </row>
    <row r="2905" spans="5:17" x14ac:dyDescent="0.2">
      <c r="E2905" s="9" t="s">
        <v>30</v>
      </c>
      <c r="K2905" t="str">
        <v>tattoos</v>
      </c>
      <c r="L2905" s="4" t="str">
        <f t="shared" si="54"/>
        <v>tattoos</v>
      </c>
      <c r="N2905" s="4" cm="1">
        <f t="array" ref="N2905">SUM(--(_xlfn.TEXTSPLIT($J$2448,, " ") = M2905))</f>
        <v>1</v>
      </c>
      <c r="O2905">
        <v>1</v>
      </c>
      <c r="P2905">
        <v>0</v>
      </c>
      <c r="Q2905">
        <v>1</v>
      </c>
    </row>
    <row r="2906" spans="5:17" x14ac:dyDescent="0.2">
      <c r="E2906" s="9" t="s">
        <v>30</v>
      </c>
      <c r="K2906" t="str">
        <v>only</v>
      </c>
      <c r="L2906" s="4" t="str">
        <f t="shared" si="54"/>
        <v>only</v>
      </c>
      <c r="N2906" s="4" cm="1">
        <f t="array" ref="N2906">SUM(--(_xlfn.TEXTSPLIT($J$2448,, " ") = M2906))</f>
        <v>1</v>
      </c>
      <c r="O2906">
        <v>1</v>
      </c>
      <c r="P2906">
        <v>0</v>
      </c>
      <c r="Q2906">
        <v>1</v>
      </c>
    </row>
    <row r="2907" spans="5:17" x14ac:dyDescent="0.2">
      <c r="E2907" s="9" t="s">
        <v>30</v>
      </c>
      <c r="K2907" t="str">
        <v>hurt</v>
      </c>
      <c r="L2907" s="4" t="str">
        <f t="shared" si="54"/>
        <v>hurt</v>
      </c>
      <c r="N2907" s="4" cm="1">
        <f t="array" ref="N2907">SUM(--(_xlfn.TEXTSPLIT($J$2448,, " ") = M2907))</f>
        <v>1</v>
      </c>
      <c r="O2907">
        <v>1</v>
      </c>
      <c r="P2907">
        <v>0</v>
      </c>
      <c r="Q2907">
        <v>1</v>
      </c>
    </row>
    <row r="2908" spans="5:17" x14ac:dyDescent="0.2">
      <c r="E2908" s="9" t="s">
        <v>30</v>
      </c>
      <c r="K2908" t="str">
        <v>when</v>
      </c>
      <c r="L2908" s="4" t="str">
        <f t="shared" si="54"/>
        <v>when</v>
      </c>
      <c r="N2908" s="4" cm="1">
        <f t="array" ref="N2908">SUM(--(_xlfn.TEXTSPLIT($J$2448,, " ") = M2908))</f>
        <v>1</v>
      </c>
      <c r="O2908">
        <v>1</v>
      </c>
      <c r="P2908">
        <v>0</v>
      </c>
      <c r="Q2908">
        <v>1</v>
      </c>
    </row>
    <row r="2909" spans="5:17" x14ac:dyDescent="0.2">
      <c r="E2909" s="9" t="s">
        <v>30</v>
      </c>
      <c r="K2909" t="str">
        <v>meaning</v>
      </c>
      <c r="L2909" s="4" t="str">
        <f t="shared" si="54"/>
        <v>meaning</v>
      </c>
      <c r="N2909" s="4" cm="1">
        <f t="array" ref="N2909">SUM(--(_xlfn.TEXTSPLIT($J$2448,, " ") = M2909))</f>
        <v>1</v>
      </c>
      <c r="O2909">
        <v>1</v>
      </c>
      <c r="P2909">
        <v>0</v>
      </c>
      <c r="Q2909">
        <v>1</v>
      </c>
    </row>
    <row r="2910" spans="5:17" x14ac:dyDescent="0.2">
      <c r="E2910" s="9" t="s">
        <v>30</v>
      </c>
      <c r="K2910" t="str">
        <v xml:space="preserve">fades
</v>
      </c>
      <c r="L2910" s="4" t="str">
        <f t="shared" si="54"/>
        <v xml:space="preserve">fades </v>
      </c>
      <c r="N2910" s="4" cm="1">
        <f t="array" ref="N2910">SUM(--(_xlfn.TEXTSPLIT($J$2448,, " ") = M2910))</f>
        <v>1</v>
      </c>
      <c r="O2910">
        <v>1</v>
      </c>
      <c r="P2910">
        <v>0</v>
      </c>
      <c r="Q2910">
        <v>1</v>
      </c>
    </row>
    <row r="2911" spans="5:17" x14ac:dyDescent="0.2">
      <c r="E2911" s="9" t="s">
        <v>30</v>
      </c>
      <c r="K2911" t="str">
        <v>I</v>
      </c>
      <c r="L2911" s="4" t="str">
        <f t="shared" si="54"/>
        <v>I</v>
      </c>
      <c r="N2911" s="4" cm="1">
        <f t="array" ref="N2911">SUM(--(_xlfn.TEXTSPLIT($J$2448,, " ") = M2911))</f>
        <v>1</v>
      </c>
      <c r="O2911">
        <v>1</v>
      </c>
      <c r="P2911">
        <v>0</v>
      </c>
      <c r="Q2911">
        <v>1</v>
      </c>
    </row>
    <row r="2912" spans="5:17" x14ac:dyDescent="0.2">
      <c r="E2912" s="9" t="s">
        <v>30</v>
      </c>
      <c r="K2912" t="str">
        <v>think</v>
      </c>
      <c r="L2912" s="4" t="str">
        <f t="shared" si="54"/>
        <v>think</v>
      </c>
      <c r="N2912" s="4" cm="1">
        <f t="array" ref="N2912">SUM(--(_xlfn.TEXTSPLIT($J$2448,, " ") = M2912))</f>
        <v>1</v>
      </c>
      <c r="O2912">
        <v>1</v>
      </c>
      <c r="P2912">
        <v>0</v>
      </c>
      <c r="Q2912">
        <v>1</v>
      </c>
    </row>
    <row r="2913" spans="5:17" x14ac:dyDescent="0.2">
      <c r="E2913" s="9" t="s">
        <v>30</v>
      </c>
      <c r="K2913" t="str">
        <v>my</v>
      </c>
      <c r="L2913" s="4" t="str">
        <f t="shared" si="54"/>
        <v>my</v>
      </c>
      <c r="N2913" s="4" cm="1">
        <f t="array" ref="N2913">SUM(--(_xlfn.TEXTSPLIT($J$2448,, " ") = M2913))</f>
        <v>1</v>
      </c>
      <c r="O2913">
        <v>1</v>
      </c>
      <c r="P2913">
        <v>0</v>
      </c>
      <c r="Q2913">
        <v>1</v>
      </c>
    </row>
    <row r="2914" spans="5:17" x14ac:dyDescent="0.2">
      <c r="E2914" s="9" t="s">
        <v>30</v>
      </c>
      <c r="K2914" t="str">
        <v>skin</v>
      </c>
      <c r="L2914" s="4" t="str">
        <f t="shared" si="54"/>
        <v>skin</v>
      </c>
      <c r="N2914" s="4" cm="1">
        <f t="array" ref="N2914">SUM(--(_xlfn.TEXTSPLIT($J$2448,, " ") = M2914))</f>
        <v>1</v>
      </c>
      <c r="O2914">
        <v>1</v>
      </c>
      <c r="P2914">
        <v>0</v>
      </c>
      <c r="Q2914">
        <v>1</v>
      </c>
    </row>
    <row r="2915" spans="5:17" x14ac:dyDescent="0.2">
      <c r="E2915" s="9" t="s">
        <v>30</v>
      </c>
      <c r="K2915" t="str">
        <v>got</v>
      </c>
      <c r="L2915" s="4" t="str">
        <f t="shared" si="54"/>
        <v>got</v>
      </c>
      <c r="N2915" s="4" cm="1">
        <f t="array" ref="N2915">SUM(--(_xlfn.TEXTSPLIT($J$2448,, " ") = M2915))</f>
        <v>1</v>
      </c>
      <c r="O2915">
        <v>1</v>
      </c>
      <c r="P2915">
        <v>0</v>
      </c>
      <c r="Q2915">
        <v>1</v>
      </c>
    </row>
    <row r="2916" spans="5:17" x14ac:dyDescent="0.2">
      <c r="E2916" s="9" t="s">
        <v>30</v>
      </c>
      <c r="K2916" t="str">
        <v>worse</v>
      </c>
      <c r="L2916" s="4" t="str">
        <f t="shared" si="54"/>
        <v>worse</v>
      </c>
      <c r="N2916" s="4" cm="1">
        <f t="array" ref="N2916">SUM(--(_xlfn.TEXTSPLIT($J$2448,, " ") = M2916))</f>
        <v>1</v>
      </c>
      <c r="O2916">
        <v>1</v>
      </c>
      <c r="P2916">
        <v>0</v>
      </c>
      <c r="Q2916">
        <v>1</v>
      </c>
    </row>
    <row r="2917" spans="5:17" x14ac:dyDescent="0.2">
      <c r="E2917" s="9" t="s">
        <v>30</v>
      </c>
      <c r="K2917" t="str">
        <v>with</v>
      </c>
      <c r="L2917" s="4" t="str">
        <f t="shared" si="54"/>
        <v>with</v>
      </c>
      <c r="N2917" s="4" cm="1">
        <f t="array" ref="N2917">SUM(--(_xlfn.TEXTSPLIT($J$2448,, " ") = M2917))</f>
        <v>1</v>
      </c>
      <c r="O2917">
        <v>1</v>
      </c>
      <c r="P2917">
        <v>0</v>
      </c>
      <c r="Q2917">
        <v>1</v>
      </c>
    </row>
    <row r="2918" spans="5:17" x14ac:dyDescent="0.2">
      <c r="E2918" s="9" t="s">
        <v>30</v>
      </c>
      <c r="K2918" t="str">
        <v>good</v>
      </c>
      <c r="L2918" s="4" t="str">
        <f t="shared" si="54"/>
        <v>good</v>
      </c>
      <c r="N2918" s="4" cm="1">
        <f t="array" ref="N2918">SUM(--(_xlfn.TEXTSPLIT($J$2448,, " ") = M2918))</f>
        <v>1</v>
      </c>
      <c r="O2918">
        <v>1</v>
      </c>
      <c r="P2918">
        <v>0</v>
      </c>
      <c r="Q2918">
        <v>1</v>
      </c>
    </row>
    <row r="2919" spans="5:17" x14ac:dyDescent="0.2">
      <c r="E2919" s="9" t="s">
        <v>30</v>
      </c>
      <c r="K2919" t="str">
        <v xml:space="preserve">intentions
</v>
      </c>
      <c r="L2919" s="4" t="str">
        <f t="shared" si="54"/>
        <v xml:space="preserve">intentions </v>
      </c>
      <c r="N2919" s="4" cm="1">
        <f t="array" ref="N2919">SUM(--(_xlfn.TEXTSPLIT($J$2448,, " ") = M2919))</f>
        <v>1</v>
      </c>
      <c r="O2919">
        <v>1</v>
      </c>
      <c r="P2919">
        <v>0</v>
      </c>
      <c r="Q2919">
        <v>1</v>
      </c>
    </row>
    <row r="2920" spans="5:17" x14ac:dyDescent="0.2">
      <c r="E2920" s="9" t="s">
        <v>30</v>
      </c>
      <c r="K2920" t="str">
        <v>I</v>
      </c>
      <c r="L2920" s="4" t="str">
        <f t="shared" si="54"/>
        <v>I</v>
      </c>
      <c r="N2920" s="4" cm="1">
        <f t="array" ref="N2920">SUM(--(_xlfn.TEXTSPLIT($J$2448,, " ") = M2920))</f>
        <v>1</v>
      </c>
      <c r="O2920">
        <v>1</v>
      </c>
      <c r="P2920">
        <v>0</v>
      </c>
      <c r="Q2920">
        <v>1</v>
      </c>
    </row>
    <row r="2921" spans="5:17" x14ac:dyDescent="0.2">
      <c r="E2921" s="9" t="s">
        <v>30</v>
      </c>
      <c r="K2921" t="str">
        <v>don't</v>
      </c>
      <c r="L2921" s="4" t="str">
        <f t="shared" si="54"/>
        <v>don t</v>
      </c>
      <c r="N2921" s="4" cm="1">
        <f t="array" ref="N2921">SUM(--(_xlfn.TEXTSPLIT($J$2448,, " ") = M2921))</f>
        <v>1</v>
      </c>
      <c r="O2921">
        <v>1</v>
      </c>
      <c r="P2921">
        <v>0</v>
      </c>
      <c r="Q2921">
        <v>1</v>
      </c>
    </row>
    <row r="2922" spans="5:17" x14ac:dyDescent="0.2">
      <c r="E2922" s="9" t="s">
        <v>30</v>
      </c>
      <c r="K2922" t="str">
        <v>want</v>
      </c>
      <c r="L2922" s="4" t="str">
        <f t="shared" si="54"/>
        <v>want</v>
      </c>
      <c r="N2922" s="4" cm="1">
        <f t="array" ref="N2922">SUM(--(_xlfn.TEXTSPLIT($J$2448,, " ") = M2922))</f>
        <v>1</v>
      </c>
      <c r="O2922">
        <v>1</v>
      </c>
      <c r="P2922">
        <v>0</v>
      </c>
      <c r="Q2922">
        <v>1</v>
      </c>
    </row>
    <row r="2923" spans="5:17" x14ac:dyDescent="0.2">
      <c r="E2923" s="9" t="s">
        <v>30</v>
      </c>
      <c r="K2923" t="str">
        <v>to</v>
      </c>
      <c r="L2923" s="4" t="str">
        <f t="shared" si="54"/>
        <v>to</v>
      </c>
      <c r="N2923" s="4" cm="1">
        <f t="array" ref="N2923">SUM(--(_xlfn.TEXTSPLIT($J$2448,, " ") = M2923))</f>
        <v>1</v>
      </c>
      <c r="O2923">
        <v>1</v>
      </c>
      <c r="P2923">
        <v>0</v>
      </c>
      <c r="Q2923">
        <v>1</v>
      </c>
    </row>
    <row r="2924" spans="5:17" x14ac:dyDescent="0.2">
      <c r="E2924" s="9" t="s">
        <v>30</v>
      </c>
      <c r="K2924" t="str">
        <v>say</v>
      </c>
      <c r="L2924" s="4" t="str">
        <f t="shared" si="54"/>
        <v>say</v>
      </c>
      <c r="N2924" s="4" cm="1">
        <f t="array" ref="N2924">SUM(--(_xlfn.TEXTSPLIT($J$2448,, " ") = M2924))</f>
        <v>1</v>
      </c>
      <c r="O2924">
        <v>1</v>
      </c>
      <c r="P2924">
        <v>0</v>
      </c>
      <c r="Q2924">
        <v>1</v>
      </c>
    </row>
    <row r="2925" spans="5:17" x14ac:dyDescent="0.2">
      <c r="E2925" s="9" t="s">
        <v>30</v>
      </c>
      <c r="K2925" t="str">
        <v>what</v>
      </c>
      <c r="L2925" s="4" t="str">
        <f t="shared" si="54"/>
        <v>what</v>
      </c>
      <c r="N2925" s="4" cm="1">
        <f t="array" ref="N2925">SUM(--(_xlfn.TEXTSPLIT($J$2448,, " ") = M2925))</f>
        <v>1</v>
      </c>
      <c r="O2925">
        <v>1</v>
      </c>
      <c r="P2925">
        <v>0</v>
      </c>
      <c r="Q2925">
        <v>1</v>
      </c>
    </row>
    <row r="2926" spans="5:17" x14ac:dyDescent="0.2">
      <c r="E2926" s="9" t="s">
        <v>30</v>
      </c>
      <c r="K2926" t="str">
        <v>happened,</v>
      </c>
      <c r="L2926" s="4" t="str">
        <f t="shared" si="54"/>
        <v xml:space="preserve">happened </v>
      </c>
      <c r="N2926" s="4" cm="1">
        <f t="array" ref="N2926">SUM(--(_xlfn.TEXTSPLIT($J$2448,, " ") = M2926))</f>
        <v>1</v>
      </c>
      <c r="O2926">
        <v>1</v>
      </c>
      <c r="P2926">
        <v>0</v>
      </c>
      <c r="Q2926">
        <v>1</v>
      </c>
    </row>
    <row r="2927" spans="5:17" x14ac:dyDescent="0.2">
      <c r="E2927" s="9" t="s">
        <v>30</v>
      </c>
      <c r="K2927" t="str">
        <v>I</v>
      </c>
      <c r="L2927" s="4" t="str">
        <f t="shared" si="54"/>
        <v>I</v>
      </c>
      <c r="N2927" s="4" cm="1">
        <f t="array" ref="N2927">SUM(--(_xlfn.TEXTSPLIT($J$2448,, " ") = M2927))</f>
        <v>1</v>
      </c>
      <c r="O2927">
        <v>1</v>
      </c>
      <c r="P2927">
        <v>0</v>
      </c>
      <c r="Q2927">
        <v>1</v>
      </c>
    </row>
    <row r="2928" spans="5:17" x14ac:dyDescent="0.2">
      <c r="E2928" s="9" t="s">
        <v>30</v>
      </c>
      <c r="K2928" t="str">
        <v>just</v>
      </c>
      <c r="L2928" s="4" t="str">
        <f t="shared" si="54"/>
        <v>just</v>
      </c>
      <c r="N2928" s="4" cm="1">
        <f t="array" ref="N2928">SUM(--(_xlfn.TEXTSPLIT($J$2448,, " ") = M2928))</f>
        <v>1</v>
      </c>
      <c r="O2928">
        <v>1</v>
      </c>
      <c r="P2928">
        <v>0</v>
      </c>
      <c r="Q2928">
        <v>1</v>
      </c>
    </row>
    <row r="2929" spans="5:17" x14ac:dyDescent="0.2">
      <c r="E2929" s="9" t="s">
        <v>30</v>
      </c>
      <c r="K2929" t="str">
        <v>want</v>
      </c>
      <c r="L2929" s="4" t="str">
        <f t="shared" si="54"/>
        <v>want</v>
      </c>
      <c r="N2929" s="4" cm="1">
        <f t="array" ref="N2929">SUM(--(_xlfn.TEXTSPLIT($J$2448,, " ") = M2929))</f>
        <v>1</v>
      </c>
      <c r="O2929">
        <v>1</v>
      </c>
      <c r="P2929">
        <v>0</v>
      </c>
      <c r="Q2929">
        <v>1</v>
      </c>
    </row>
    <row r="2930" spans="5:17" x14ac:dyDescent="0.2">
      <c r="E2930" s="9" t="s">
        <v>30</v>
      </c>
      <c r="K2930" t="str">
        <v>to</v>
      </c>
      <c r="L2930" s="4" t="str">
        <f t="shared" si="54"/>
        <v>to</v>
      </c>
      <c r="N2930" s="4" cm="1">
        <f t="array" ref="N2930">SUM(--(_xlfn.TEXTSPLIT($J$2448,, " ") = M2930))</f>
        <v>1</v>
      </c>
      <c r="O2930">
        <v>1</v>
      </c>
      <c r="P2930">
        <v>0</v>
      </c>
      <c r="Q2930">
        <v>1</v>
      </c>
    </row>
    <row r="2931" spans="5:17" x14ac:dyDescent="0.2">
      <c r="E2931" s="9" t="s">
        <v>30</v>
      </c>
      <c r="K2931" t="str">
        <v>let</v>
      </c>
      <c r="L2931" s="4" t="str">
        <f t="shared" si="54"/>
        <v>let</v>
      </c>
      <c r="N2931" s="4" cm="1">
        <f t="array" ref="N2931">SUM(--(_xlfn.TEXTSPLIT($J$2448,, " ") = M2931))</f>
        <v>1</v>
      </c>
      <c r="O2931">
        <v>1</v>
      </c>
      <c r="P2931">
        <v>0</v>
      </c>
      <c r="Q2931">
        <v>1</v>
      </c>
    </row>
    <row r="2932" spans="5:17" x14ac:dyDescent="0.2">
      <c r="E2932" s="9" t="s">
        <v>30</v>
      </c>
      <c r="K2932" t="str">
        <v>it</v>
      </c>
      <c r="L2932" s="4" t="str">
        <f t="shared" si="54"/>
        <v>it</v>
      </c>
      <c r="N2932" s="4" cm="1">
        <f t="array" ref="N2932">SUM(--(_xlfn.TEXTSPLIT($J$2448,, " ") = M2932))</f>
        <v>1</v>
      </c>
      <c r="O2932">
        <v>1</v>
      </c>
      <c r="P2932">
        <v>0</v>
      </c>
      <c r="Q2932">
        <v>1</v>
      </c>
    </row>
    <row r="2933" spans="5:17" x14ac:dyDescent="0.2">
      <c r="E2933" s="9" t="s">
        <v>30</v>
      </c>
      <c r="K2933" t="str">
        <v xml:space="preserve">go
</v>
      </c>
      <c r="L2933" s="4" t="str">
        <f t="shared" si="54"/>
        <v xml:space="preserve">go </v>
      </c>
      <c r="N2933" s="4" cm="1">
        <f t="array" ref="N2933">SUM(--(_xlfn.TEXTSPLIT($J$2448,, " ") = M2933))</f>
        <v>1</v>
      </c>
      <c r="O2933">
        <v>1</v>
      </c>
      <c r="P2933">
        <v>0</v>
      </c>
      <c r="Q2933">
        <v>1</v>
      </c>
    </row>
    <row r="2934" spans="5:17" x14ac:dyDescent="0.2">
      <c r="E2934" s="9" t="s">
        <v>30</v>
      </c>
      <c r="K2934" t="str">
        <v>Nothing</v>
      </c>
      <c r="L2934" s="4" t="str">
        <f t="shared" si="54"/>
        <v>Nothing</v>
      </c>
      <c r="N2934" s="4" cm="1">
        <f t="array" ref="N2934">SUM(--(_xlfn.TEXTSPLIT($J$2448,, " ") = M2934))</f>
        <v>1</v>
      </c>
      <c r="O2934">
        <v>1</v>
      </c>
      <c r="P2934">
        <v>0</v>
      </c>
      <c r="Q2934">
        <v>1</v>
      </c>
    </row>
    <row r="2935" spans="5:17" x14ac:dyDescent="0.2">
      <c r="E2935" s="9" t="s">
        <v>30</v>
      </c>
      <c r="K2935" t="str">
        <v>was</v>
      </c>
      <c r="L2935" s="4" t="str">
        <f t="shared" si="54"/>
        <v>was</v>
      </c>
      <c r="N2935" s="4" cm="1">
        <f t="array" ref="N2935">SUM(--(_xlfn.TEXTSPLIT($J$2448,, " ") = M2935))</f>
        <v>1</v>
      </c>
      <c r="O2935">
        <v>1</v>
      </c>
      <c r="P2935">
        <v>0</v>
      </c>
      <c r="Q2935">
        <v>1</v>
      </c>
    </row>
    <row r="2936" spans="5:17" x14ac:dyDescent="0.2">
      <c r="E2936" s="9" t="s">
        <v>30</v>
      </c>
      <c r="K2936" t="str">
        <v>the</v>
      </c>
      <c r="L2936" s="4" t="str">
        <f t="shared" si="54"/>
        <v>the</v>
      </c>
      <c r="N2936" s="4" cm="1">
        <f t="array" ref="N2936">SUM(--(_xlfn.TEXTSPLIT($J$2448,, " ") = M2936))</f>
        <v>1</v>
      </c>
      <c r="O2936">
        <v>1</v>
      </c>
      <c r="P2936">
        <v>0</v>
      </c>
      <c r="Q2936">
        <v>1</v>
      </c>
    </row>
    <row r="2937" spans="5:17" x14ac:dyDescent="0.2">
      <c r="E2937" s="9" t="s">
        <v>30</v>
      </c>
      <c r="K2937" t="str">
        <v>same</v>
      </c>
      <c r="L2937" s="4" t="str">
        <f t="shared" si="54"/>
        <v>same</v>
      </c>
      <c r="N2937" s="4" cm="1">
        <f t="array" ref="N2937">SUM(--(_xlfn.TEXTSPLIT($J$2448,, " ") = M2937))</f>
        <v>1</v>
      </c>
      <c r="O2937">
        <v>1</v>
      </c>
      <c r="P2937">
        <v>0</v>
      </c>
      <c r="Q2937">
        <v>1</v>
      </c>
    </row>
    <row r="2938" spans="5:17" x14ac:dyDescent="0.2">
      <c r="E2938" s="9" t="s">
        <v>30</v>
      </c>
      <c r="K2938" t="str">
        <v>right</v>
      </c>
      <c r="L2938" s="4" t="str">
        <f t="shared" si="54"/>
        <v>right</v>
      </c>
      <c r="N2938" s="4" cm="1">
        <f t="array" ref="N2938">SUM(--(_xlfn.TEXTSPLIT($J$2448,, " ") = M2938))</f>
        <v>1</v>
      </c>
      <c r="O2938">
        <v>1</v>
      </c>
      <c r="P2938">
        <v>0</v>
      </c>
      <c r="Q2938">
        <v>1</v>
      </c>
    </row>
    <row r="2939" spans="5:17" x14ac:dyDescent="0.2">
      <c r="E2939" s="9" t="s">
        <v>30</v>
      </c>
      <c r="K2939" t="str">
        <v>after,</v>
      </c>
      <c r="L2939" s="4" t="str">
        <f t="shared" si="54"/>
        <v xml:space="preserve">after </v>
      </c>
      <c r="N2939" s="4" cm="1">
        <f t="array" ref="N2939">SUM(--(_xlfn.TEXTSPLIT($J$2448,, " ") = M2939))</f>
        <v>1</v>
      </c>
      <c r="O2939">
        <v>1</v>
      </c>
      <c r="P2939">
        <v>0</v>
      </c>
      <c r="Q2939">
        <v>1</v>
      </c>
    </row>
    <row r="2940" spans="5:17" x14ac:dyDescent="0.2">
      <c r="E2940" s="9" t="s">
        <v>30</v>
      </c>
      <c r="K2940" t="str">
        <v>I</v>
      </c>
      <c r="L2940" s="4" t="str">
        <f t="shared" si="54"/>
        <v>I</v>
      </c>
      <c r="N2940" s="4" cm="1">
        <f t="array" ref="N2940">SUM(--(_xlfn.TEXTSPLIT($J$2448,, " ") = M2940))</f>
        <v>1</v>
      </c>
      <c r="O2940">
        <v>1</v>
      </c>
      <c r="P2940">
        <v>0</v>
      </c>
      <c r="Q2940">
        <v>1</v>
      </c>
    </row>
    <row r="2941" spans="5:17" x14ac:dyDescent="0.2">
      <c r="E2941" s="9" t="s">
        <v>30</v>
      </c>
      <c r="K2941" t="str">
        <v>went</v>
      </c>
      <c r="L2941" s="4" t="str">
        <f t="shared" si="54"/>
        <v>went</v>
      </c>
      <c r="N2941" s="4" cm="1">
        <f t="array" ref="N2941">SUM(--(_xlfn.TEXTSPLIT($J$2448,, " ") = M2941))</f>
        <v>1</v>
      </c>
      <c r="O2941">
        <v>1</v>
      </c>
      <c r="P2941">
        <v>0</v>
      </c>
      <c r="Q2941">
        <v>1</v>
      </c>
    </row>
    <row r="2942" spans="5:17" x14ac:dyDescent="0.2">
      <c r="E2942" s="9" t="s">
        <v>30</v>
      </c>
      <c r="K2942" t="str">
        <v>to</v>
      </c>
      <c r="L2942" s="4" t="str">
        <f t="shared" si="54"/>
        <v>to</v>
      </c>
      <c r="N2942" s="4" cm="1">
        <f t="array" ref="N2942">SUM(--(_xlfn.TEXTSPLIT($J$2448,, " ") = M2942))</f>
        <v>1</v>
      </c>
      <c r="O2942">
        <v>1</v>
      </c>
      <c r="P2942">
        <v>0</v>
      </c>
      <c r="Q2942">
        <v>1</v>
      </c>
    </row>
    <row r="2943" spans="5:17" x14ac:dyDescent="0.2">
      <c r="E2943" s="9" t="s">
        <v>30</v>
      </c>
      <c r="K2943" t="str">
        <v>the</v>
      </c>
      <c r="L2943" s="4" t="str">
        <f t="shared" si="54"/>
        <v>the</v>
      </c>
      <c r="N2943" s="4" cm="1">
        <f t="array" ref="N2943">SUM(--(_xlfn.TEXTSPLIT($J$2448,, " ") = M2943))</f>
        <v>1</v>
      </c>
      <c r="O2943">
        <v>1</v>
      </c>
      <c r="P2943">
        <v>0</v>
      </c>
      <c r="Q2943">
        <v>1</v>
      </c>
    </row>
    <row r="2944" spans="5:17" x14ac:dyDescent="0.2">
      <c r="E2944" s="9" t="s">
        <v>30</v>
      </c>
      <c r="K2944" t="str">
        <v xml:space="preserve">funeral
</v>
      </c>
      <c r="L2944" s="4" t="str">
        <f t="shared" si="54"/>
        <v xml:space="preserve">funeral </v>
      </c>
      <c r="N2944" s="4" cm="1">
        <f t="array" ref="N2944">SUM(--(_xlfn.TEXTSPLIT($J$2448,, " ") = M2944))</f>
        <v>1</v>
      </c>
      <c r="O2944">
        <v>1</v>
      </c>
      <c r="P2944">
        <v>0</v>
      </c>
      <c r="Q2944">
        <v>1</v>
      </c>
    </row>
    <row r="2945" spans="5:17" x14ac:dyDescent="0.2">
      <c r="E2945" s="9" t="s">
        <v>30</v>
      </c>
      <c r="K2945" t="str">
        <v>I</v>
      </c>
      <c r="L2945" s="4" t="str">
        <f t="shared" si="54"/>
        <v>I</v>
      </c>
      <c r="N2945" s="4" cm="1">
        <f t="array" ref="N2945">SUM(--(_xlfn.TEXTSPLIT($J$2448,, " ") = M2945))</f>
        <v>1</v>
      </c>
      <c r="O2945">
        <v>1</v>
      </c>
      <c r="P2945">
        <v>0</v>
      </c>
      <c r="Q2945">
        <v>1</v>
      </c>
    </row>
    <row r="2946" spans="5:17" x14ac:dyDescent="0.2">
      <c r="E2946" s="9" t="s">
        <v>30</v>
      </c>
      <c r="K2946" t="str">
        <v>miss</v>
      </c>
      <c r="L2946" s="4" t="str">
        <f t="shared" si="54"/>
        <v>miss</v>
      </c>
      <c r="N2946" s="4" cm="1">
        <f t="array" ref="N2946">SUM(--(_xlfn.TEXTSPLIT($J$2448,, " ") = M2946))</f>
        <v>1</v>
      </c>
      <c r="O2946">
        <v>1</v>
      </c>
      <c r="P2946">
        <v>0</v>
      </c>
      <c r="Q2946">
        <v>1</v>
      </c>
    </row>
    <row r="2947" spans="5:17" x14ac:dyDescent="0.2">
      <c r="E2947" s="9" t="s">
        <v>30</v>
      </c>
      <c r="K2947" t="str">
        <v>you</v>
      </c>
      <c r="L2947" s="4" t="str">
        <f t="shared" si="54"/>
        <v>you</v>
      </c>
      <c r="N2947" s="4" cm="1">
        <f t="array" ref="N2947">SUM(--(_xlfn.TEXTSPLIT($J$2448,, " ") = M2947))</f>
        <v>1</v>
      </c>
      <c r="O2947">
        <v>1</v>
      </c>
      <c r="P2947">
        <v>0</v>
      </c>
      <c r="Q2947">
        <v>1</v>
      </c>
    </row>
    <row r="2948" spans="5:17" x14ac:dyDescent="0.2">
      <c r="E2948" s="9" t="s">
        <v>30</v>
      </c>
      <c r="K2948" t="str">
        <v>so,</v>
      </c>
      <c r="L2948" s="4" t="str">
        <f t="shared" si="54"/>
        <v xml:space="preserve">so </v>
      </c>
      <c r="N2948" s="4" cm="1">
        <f t="array" ref="N2948">SUM(--(_xlfn.TEXTSPLIT($J$2448,, " ") = M2948))</f>
        <v>1</v>
      </c>
      <c r="O2948">
        <v>1</v>
      </c>
      <c r="P2948">
        <v>0</v>
      </c>
      <c r="Q2948">
        <v>1</v>
      </c>
    </row>
    <row r="2949" spans="5:17" x14ac:dyDescent="0.2">
      <c r="E2949" s="9" t="s">
        <v>30</v>
      </c>
      <c r="K2949" t="str">
        <v>so</v>
      </c>
      <c r="L2949" s="4" t="str">
        <f t="shared" si="54"/>
        <v>so</v>
      </c>
      <c r="N2949" s="4" cm="1">
        <f t="array" ref="N2949">SUM(--(_xlfn.TEXTSPLIT($J$2448,, " ") = M2949))</f>
        <v>1</v>
      </c>
      <c r="O2949">
        <v>1</v>
      </c>
      <c r="P2949">
        <v>0</v>
      </c>
      <c r="Q2949">
        <v>1</v>
      </c>
    </row>
    <row r="2950" spans="5:17" x14ac:dyDescent="0.2">
      <c r="E2950" s="9" t="s">
        <v>30</v>
      </c>
      <c r="K2950" t="str">
        <v>much,</v>
      </c>
      <c r="L2950" s="4" t="str">
        <f t="shared" si="54"/>
        <v xml:space="preserve">much </v>
      </c>
      <c r="N2950" s="4" cm="1">
        <f t="array" ref="N2950">SUM(--(_xlfn.TEXTSPLIT($J$2448,, " ") = M2950))</f>
        <v>1</v>
      </c>
      <c r="O2950">
        <v>1</v>
      </c>
      <c r="P2950">
        <v>0</v>
      </c>
      <c r="Q2950">
        <v>1</v>
      </c>
    </row>
    <row r="2951" spans="5:17" x14ac:dyDescent="0.2">
      <c r="E2951" s="9" t="s">
        <v>30</v>
      </c>
      <c r="K2951" t="str">
        <v>take</v>
      </c>
      <c r="L2951" s="4" t="str">
        <f t="shared" si="54"/>
        <v>take</v>
      </c>
      <c r="N2951" s="4" cm="1">
        <f t="array" ref="N2951">SUM(--(_xlfn.TEXTSPLIT($J$2448,, " ") = M2951))</f>
        <v>1</v>
      </c>
      <c r="O2951">
        <v>1</v>
      </c>
      <c r="P2951">
        <v>0</v>
      </c>
      <c r="Q2951">
        <v>1</v>
      </c>
    </row>
    <row r="2952" spans="5:17" x14ac:dyDescent="0.2">
      <c r="E2952" s="9" t="s">
        <v>30</v>
      </c>
      <c r="K2952" t="str">
        <v>what</v>
      </c>
      <c r="L2952" s="4" t="str">
        <f t="shared" si="54"/>
        <v>what</v>
      </c>
      <c r="N2952" s="4" cm="1">
        <f t="array" ref="N2952">SUM(--(_xlfn.TEXTSPLIT($J$2448,, " ") = M2952))</f>
        <v>1</v>
      </c>
      <c r="O2952">
        <v>1</v>
      </c>
      <c r="P2952">
        <v>0</v>
      </c>
      <c r="Q2952">
        <v>1</v>
      </c>
    </row>
    <row r="2953" spans="5:17" x14ac:dyDescent="0.2">
      <c r="E2953" s="9" t="s">
        <v>30</v>
      </c>
      <c r="K2953" t="str">
        <v>you</v>
      </c>
      <c r="L2953" s="4" t="str">
        <f t="shared" si="54"/>
        <v>you</v>
      </c>
      <c r="N2953" s="4" cm="1">
        <f t="array" ref="N2953">SUM(--(_xlfn.TEXTSPLIT($J$2448,, " ") = M2953))</f>
        <v>1</v>
      </c>
      <c r="O2953">
        <v>1</v>
      </c>
      <c r="P2953">
        <v>0</v>
      </c>
      <c r="Q2953">
        <v>1</v>
      </c>
    </row>
    <row r="2954" spans="5:17" x14ac:dyDescent="0.2">
      <c r="E2954" s="9" t="s">
        <v>30</v>
      </c>
      <c r="K2954" t="str">
        <v xml:space="preserve">want
</v>
      </c>
      <c r="L2954" s="4" t="str">
        <f t="shared" si="54"/>
        <v xml:space="preserve">want </v>
      </c>
      <c r="N2954" s="4" cm="1">
        <f t="array" ref="N2954">SUM(--(_xlfn.TEXTSPLIT($J$2448,, " ") = M2954))</f>
        <v>1</v>
      </c>
      <c r="O2954">
        <v>1</v>
      </c>
      <c r="P2954">
        <v>0</v>
      </c>
      <c r="Q2954">
        <v>1</v>
      </c>
    </row>
    <row r="2955" spans="5:17" x14ac:dyDescent="0.2">
      <c r="E2955" s="9" t="s">
        <v>30</v>
      </c>
      <c r="K2955" t="str">
        <v>Take</v>
      </c>
      <c r="L2955" s="4" t="str">
        <f t="shared" si="54"/>
        <v>Take</v>
      </c>
      <c r="N2955" s="4" cm="1">
        <f t="array" ref="N2955">SUM(--(_xlfn.TEXTSPLIT($J$2448,, " ") = M2955))</f>
        <v>1</v>
      </c>
      <c r="O2955">
        <v>1</v>
      </c>
      <c r="P2955">
        <v>0</v>
      </c>
      <c r="Q2955">
        <v>1</v>
      </c>
    </row>
    <row r="2956" spans="5:17" x14ac:dyDescent="0.2">
      <c r="E2956" s="9" t="s">
        <v>30</v>
      </c>
      <c r="K2956" t="str">
        <v>what</v>
      </c>
      <c r="L2956" s="4" t="str">
        <f t="shared" si="54"/>
        <v>what</v>
      </c>
      <c r="N2956" s="4" cm="1">
        <f t="array" ref="N2956">SUM(--(_xlfn.TEXTSPLIT($J$2448,, " ") = M2956))</f>
        <v>1</v>
      </c>
      <c r="O2956">
        <v>1</v>
      </c>
      <c r="P2956">
        <v>0</v>
      </c>
      <c r="Q2956">
        <v>1</v>
      </c>
    </row>
    <row r="2957" spans="5:17" x14ac:dyDescent="0.2">
      <c r="E2957" s="9" t="s">
        <v>30</v>
      </c>
      <c r="K2957" t="str">
        <v>you</v>
      </c>
      <c r="L2957" s="4" t="str">
        <f t="shared" si="54"/>
        <v>you</v>
      </c>
      <c r="N2957" s="4" cm="1">
        <f t="array" ref="N2957">SUM(--(_xlfn.TEXTSPLIT($J$2448,, " ") = M2957))</f>
        <v>1</v>
      </c>
      <c r="O2957">
        <v>1</v>
      </c>
      <c r="P2957">
        <v>0</v>
      </c>
      <c r="Q2957">
        <v>1</v>
      </c>
    </row>
    <row r="2958" spans="5:17" x14ac:dyDescent="0.2">
      <c r="E2958" s="9" t="s">
        <v>30</v>
      </c>
      <c r="K2958" t="str">
        <v>want</v>
      </c>
      <c r="L2958" s="4" t="str">
        <f t="shared" si="54"/>
        <v>want</v>
      </c>
      <c r="N2958" s="4" cm="1">
        <f t="array" ref="N2958">SUM(--(_xlfn.TEXTSPLIT($J$2448,, " ") = M2958))</f>
        <v>1</v>
      </c>
      <c r="O2958">
        <v>1</v>
      </c>
      <c r="P2958">
        <v>0</v>
      </c>
      <c r="Q2958">
        <v>1</v>
      </c>
    </row>
    <row r="2959" spans="5:17" x14ac:dyDescent="0.2">
      <c r="E2959" s="9" t="s">
        <v>30</v>
      </c>
      <c r="K2959" t="str">
        <v>from</v>
      </c>
      <c r="L2959" s="4" t="str">
        <f t="shared" si="54"/>
        <v>from</v>
      </c>
      <c r="N2959" s="4" cm="1">
        <f t="array" ref="N2959">SUM(--(_xlfn.TEXTSPLIT($J$2448,, " ") = M2959))</f>
        <v>1</v>
      </c>
      <c r="O2959">
        <v>1</v>
      </c>
      <c r="P2959">
        <v>0</v>
      </c>
      <c r="Q2959">
        <v>1</v>
      </c>
    </row>
    <row r="2960" spans="5:17" x14ac:dyDescent="0.2">
      <c r="E2960" s="9" t="s">
        <v>30</v>
      </c>
      <c r="K2960" t="str">
        <v xml:space="preserve">me
</v>
      </c>
      <c r="L2960" s="4" t="str">
        <f t="shared" si="54"/>
        <v xml:space="preserve">me </v>
      </c>
      <c r="N2960" s="4" cm="1">
        <f t="array" ref="N2960">SUM(--(_xlfn.TEXTSPLIT($J$2448,, " ") = M2960))</f>
        <v>1</v>
      </c>
      <c r="O2960">
        <v>1</v>
      </c>
      <c r="P2960">
        <v>0</v>
      </c>
      <c r="Q2960">
        <v>1</v>
      </c>
    </row>
    <row r="2961" spans="5:17" x14ac:dyDescent="0.2">
      <c r="E2961" s="9" t="s">
        <v>30</v>
      </c>
      <c r="K2961" t="str">
        <v>Took</v>
      </c>
      <c r="L2961" s="4" t="str">
        <f t="shared" ref="L2961:L2989" si="55">_xlfn.REGEXREPLACE(K2961, "[^A-Za-z ]", " ")</f>
        <v>Took</v>
      </c>
      <c r="N2961" s="4" cm="1">
        <f t="array" ref="N2961">SUM(--(_xlfn.TEXTSPLIT($J$2448,, " ") = M2961))</f>
        <v>1</v>
      </c>
      <c r="O2961">
        <v>1</v>
      </c>
      <c r="P2961">
        <v>0</v>
      </c>
      <c r="Q2961">
        <v>1</v>
      </c>
    </row>
    <row r="2962" spans="5:17" x14ac:dyDescent="0.2">
      <c r="E2962" s="9" t="s">
        <v>30</v>
      </c>
      <c r="K2962" t="str">
        <v>you</v>
      </c>
      <c r="L2962" s="4" t="str">
        <f t="shared" si="55"/>
        <v>you</v>
      </c>
      <c r="N2962" s="4" cm="1">
        <f t="array" ref="N2962">SUM(--(_xlfn.TEXTSPLIT($J$2448,, " ") = M2962))</f>
        <v>1</v>
      </c>
      <c r="O2962">
        <v>1</v>
      </c>
      <c r="P2962">
        <v>0</v>
      </c>
      <c r="Q2962">
        <v>1</v>
      </c>
    </row>
    <row r="2963" spans="5:17" x14ac:dyDescent="0.2">
      <c r="E2963" s="9" t="s">
        <v>30</v>
      </c>
      <c r="K2963" t="str">
        <v>for</v>
      </c>
      <c r="L2963" s="4" t="str">
        <f t="shared" si="55"/>
        <v>for</v>
      </c>
      <c r="N2963" s="4" cm="1">
        <f t="array" ref="N2963">SUM(--(_xlfn.TEXTSPLIT($J$2448,, " ") = M2963))</f>
        <v>1</v>
      </c>
      <c r="O2963">
        <v>1</v>
      </c>
      <c r="P2963">
        <v>0</v>
      </c>
      <c r="Q2963">
        <v>1</v>
      </c>
    </row>
    <row r="2964" spans="5:17" x14ac:dyDescent="0.2">
      <c r="E2964" s="9" t="s">
        <v>30</v>
      </c>
      <c r="K2964" t="str">
        <v xml:space="preserve">granted
</v>
      </c>
      <c r="L2964" s="4" t="str">
        <f t="shared" si="55"/>
        <v xml:space="preserve">granted </v>
      </c>
      <c r="N2964" s="4" cm="1">
        <f t="array" ref="N2964">SUM(--(_xlfn.TEXTSPLIT($J$2448,, " ") = M2964))</f>
        <v>1</v>
      </c>
      <c r="O2964">
        <v>1</v>
      </c>
      <c r="P2964">
        <v>0</v>
      </c>
      <c r="Q2964">
        <v>1</v>
      </c>
    </row>
    <row r="2965" spans="5:17" x14ac:dyDescent="0.2">
      <c r="E2965" s="9" t="s">
        <v>30</v>
      </c>
      <c r="K2965" t="str">
        <v>They</v>
      </c>
      <c r="L2965" s="4" t="str">
        <f t="shared" si="55"/>
        <v>They</v>
      </c>
      <c r="N2965" s="4" cm="1">
        <f t="array" ref="N2965">SUM(--(_xlfn.TEXTSPLIT($J$2448,, " ") = M2965))</f>
        <v>1</v>
      </c>
      <c r="O2965">
        <v>1</v>
      </c>
      <c r="P2965">
        <v>0</v>
      </c>
      <c r="Q2965">
        <v>1</v>
      </c>
    </row>
    <row r="2966" spans="5:17" x14ac:dyDescent="0.2">
      <c r="E2966" s="9" t="s">
        <v>30</v>
      </c>
      <c r="K2966" t="str">
        <v>call</v>
      </c>
      <c r="L2966" s="4" t="str">
        <f t="shared" si="55"/>
        <v>call</v>
      </c>
      <c r="N2966" s="4" cm="1">
        <f t="array" ref="N2966">SUM(--(_xlfn.TEXTSPLIT($J$2448,, " ") = M2966))</f>
        <v>1</v>
      </c>
      <c r="O2966">
        <v>1</v>
      </c>
      <c r="P2966">
        <v>0</v>
      </c>
      <c r="Q2966">
        <v>1</v>
      </c>
    </row>
    <row r="2967" spans="5:17" x14ac:dyDescent="0.2">
      <c r="E2967" s="9" t="s">
        <v>30</v>
      </c>
      <c r="K2967" t="str">
        <v>it</v>
      </c>
      <c r="L2967" s="4" t="str">
        <f t="shared" si="55"/>
        <v>it</v>
      </c>
      <c r="N2967" s="4" cm="1">
        <f t="array" ref="N2967">SUM(--(_xlfn.TEXTSPLIT($J$2448,, " ") = M2967))</f>
        <v>1</v>
      </c>
      <c r="O2967">
        <v>1</v>
      </c>
      <c r="P2967">
        <v>0</v>
      </c>
      <c r="Q2967">
        <v>1</v>
      </c>
    </row>
    <row r="2968" spans="5:17" x14ac:dyDescent="0.2">
      <c r="E2968" s="9" t="s">
        <v>30</v>
      </c>
      <c r="K2968" t="str">
        <v>center</v>
      </c>
      <c r="L2968" s="4" t="str">
        <f t="shared" si="55"/>
        <v>center</v>
      </c>
      <c r="N2968" s="4" cm="1">
        <f t="array" ref="N2968">SUM(--(_xlfn.TEXTSPLIT($J$2448,, " ") = M2968))</f>
        <v>1</v>
      </c>
      <c r="O2968">
        <v>1</v>
      </c>
      <c r="P2968">
        <v>0</v>
      </c>
      <c r="Q2968">
        <v>1</v>
      </c>
    </row>
    <row r="2969" spans="5:17" x14ac:dyDescent="0.2">
      <c r="E2969" s="9" t="s">
        <v>30</v>
      </c>
      <c r="K2969" t="str">
        <v>mass,</v>
      </c>
      <c r="L2969" s="4" t="str">
        <f t="shared" si="55"/>
        <v xml:space="preserve">mass </v>
      </c>
      <c r="N2969" s="4" cm="1">
        <f t="array" ref="N2969">SUM(--(_xlfn.TEXTSPLIT($J$2448,, " ") = M2969))</f>
        <v>1</v>
      </c>
      <c r="O2969">
        <v>1</v>
      </c>
      <c r="P2969">
        <v>0</v>
      </c>
      <c r="Q2969">
        <v>1</v>
      </c>
    </row>
    <row r="2970" spans="5:17" x14ac:dyDescent="0.2">
      <c r="E2970" s="9" t="s">
        <v>30</v>
      </c>
      <c r="K2970" t="str">
        <v>that</v>
      </c>
      <c r="L2970" s="4" t="str">
        <f t="shared" si="55"/>
        <v>that</v>
      </c>
      <c r="N2970" s="4" cm="1">
        <f t="array" ref="N2970">SUM(--(_xlfn.TEXTSPLIT($J$2448,, " ") = M2970))</f>
        <v>1</v>
      </c>
      <c r="O2970">
        <v>1</v>
      </c>
      <c r="P2970">
        <v>0</v>
      </c>
      <c r="Q2970">
        <v>1</v>
      </c>
    </row>
    <row r="2971" spans="5:17" x14ac:dyDescent="0.2">
      <c r="E2971" s="9" t="s">
        <v>30</v>
      </c>
      <c r="K2971" t="str">
        <v>part</v>
      </c>
      <c r="L2971" s="4" t="str">
        <f t="shared" si="55"/>
        <v>part</v>
      </c>
      <c r="N2971" s="4" cm="1">
        <f t="array" ref="N2971">SUM(--(_xlfn.TEXTSPLIT($J$2448,, " ") = M2971))</f>
        <v>1</v>
      </c>
      <c r="O2971">
        <v>1</v>
      </c>
      <c r="P2971">
        <v>0</v>
      </c>
      <c r="Q2971">
        <v>1</v>
      </c>
    </row>
    <row r="2972" spans="5:17" x14ac:dyDescent="0.2">
      <c r="E2972" s="9" t="s">
        <v>30</v>
      </c>
      <c r="K2972" t="str">
        <v>they</v>
      </c>
      <c r="L2972" s="4" t="str">
        <f t="shared" si="55"/>
        <v>they</v>
      </c>
      <c r="N2972" s="4" cm="1">
        <f t="array" ref="N2972">SUM(--(_xlfn.TEXTSPLIT($J$2448,, " ") = M2972))</f>
        <v>1</v>
      </c>
      <c r="O2972">
        <v>1</v>
      </c>
      <c r="P2972">
        <v>0</v>
      </c>
      <c r="Q2972">
        <v>1</v>
      </c>
    </row>
    <row r="2973" spans="5:17" x14ac:dyDescent="0.2">
      <c r="E2973" s="9" t="s">
        <v>30</v>
      </c>
      <c r="K2973" t="str">
        <v>aim</v>
      </c>
      <c r="L2973" s="4" t="str">
        <f t="shared" si="55"/>
        <v>aim</v>
      </c>
      <c r="N2973" s="4" cm="1">
        <f t="array" ref="N2973">SUM(--(_xlfn.TEXTSPLIT($J$2448,, " ") = M2973))</f>
        <v>1</v>
      </c>
      <c r="O2973">
        <v>1</v>
      </c>
      <c r="P2973">
        <v>0</v>
      </c>
      <c r="Q2973">
        <v>1</v>
      </c>
    </row>
    <row r="2974" spans="5:17" x14ac:dyDescent="0.2">
      <c r="E2974" s="9" t="s">
        <v>30</v>
      </c>
      <c r="K2974" t="str">
        <v xml:space="preserve">for
</v>
      </c>
      <c r="L2974" s="4" t="str">
        <f t="shared" si="55"/>
        <v xml:space="preserve">for </v>
      </c>
      <c r="N2974" s="4" cm="1">
        <f t="array" ref="N2974">SUM(--(_xlfn.TEXTSPLIT($J$2448,, " ") = M2974))</f>
        <v>1</v>
      </c>
      <c r="O2974">
        <v>1</v>
      </c>
      <c r="P2974">
        <v>0</v>
      </c>
      <c r="Q2974">
        <v>1</v>
      </c>
    </row>
    <row r="2975" spans="5:17" x14ac:dyDescent="0.2">
      <c r="E2975" s="9" t="s">
        <v>30</v>
      </c>
      <c r="K2975" t="str">
        <v>That</v>
      </c>
      <c r="L2975" s="4" t="str">
        <f t="shared" si="55"/>
        <v>That</v>
      </c>
      <c r="N2975" s="4" cm="1">
        <f t="array" ref="N2975">SUM(--(_xlfn.TEXTSPLIT($J$2448,, " ") = M2975))</f>
        <v>1</v>
      </c>
      <c r="O2975">
        <v>1</v>
      </c>
      <c r="P2975">
        <v>0</v>
      </c>
      <c r="Q2975">
        <v>1</v>
      </c>
    </row>
    <row r="2976" spans="5:17" x14ac:dyDescent="0.2">
      <c r="E2976" s="9" t="s">
        <v>30</v>
      </c>
      <c r="K2976" t="str">
        <v>part</v>
      </c>
      <c r="L2976" s="4" t="str">
        <f t="shared" si="55"/>
        <v>part</v>
      </c>
      <c r="N2976" s="4" cm="1">
        <f t="array" ref="N2976">SUM(--(_xlfn.TEXTSPLIT($J$2448,, " ") = M2976))</f>
        <v>1</v>
      </c>
      <c r="O2976">
        <v>1</v>
      </c>
      <c r="P2976">
        <v>0</v>
      </c>
      <c r="Q2976">
        <v>1</v>
      </c>
    </row>
    <row r="2977" spans="1:17" x14ac:dyDescent="0.2">
      <c r="E2977" s="9" t="s">
        <v>30</v>
      </c>
      <c r="K2977" t="str">
        <v>they</v>
      </c>
      <c r="L2977" s="4" t="str">
        <f t="shared" si="55"/>
        <v>they</v>
      </c>
      <c r="N2977" s="4" cm="1">
        <f t="array" ref="N2977">SUM(--(_xlfn.TEXTSPLIT($J$2448,, " ") = M2977))</f>
        <v>1</v>
      </c>
      <c r="O2977">
        <v>1</v>
      </c>
      <c r="P2977">
        <v>0</v>
      </c>
      <c r="Q2977">
        <v>1</v>
      </c>
    </row>
    <row r="2978" spans="1:17" x14ac:dyDescent="0.2">
      <c r="E2978" s="9" t="s">
        <v>30</v>
      </c>
      <c r="K2978" t="str">
        <v>aim</v>
      </c>
      <c r="L2978" s="4" t="str">
        <f t="shared" si="55"/>
        <v>aim</v>
      </c>
      <c r="N2978" s="4" cm="1">
        <f t="array" ref="N2978">SUM(--(_xlfn.TEXTSPLIT($J$2448,, " ") = M2978))</f>
        <v>1</v>
      </c>
      <c r="O2978">
        <v>1</v>
      </c>
      <c r="P2978">
        <v>0</v>
      </c>
      <c r="Q2978">
        <v>1</v>
      </c>
    </row>
    <row r="2979" spans="1:17" x14ac:dyDescent="0.2">
      <c r="E2979" s="9" t="s">
        <v>30</v>
      </c>
      <c r="K2979" t="str">
        <v xml:space="preserve">for
</v>
      </c>
      <c r="L2979" s="4" t="str">
        <f t="shared" si="55"/>
        <v xml:space="preserve">for </v>
      </c>
      <c r="N2979" s="4" cm="1">
        <f t="array" ref="N2979">SUM(--(_xlfn.TEXTSPLIT($J$2448,, " ") = M2979))</f>
        <v>1</v>
      </c>
      <c r="O2979">
        <v>1</v>
      </c>
      <c r="P2979">
        <v>0</v>
      </c>
      <c r="Q2979">
        <v>1</v>
      </c>
    </row>
    <row r="2980" spans="1:17" x14ac:dyDescent="0.2">
      <c r="E2980" s="9" t="s">
        <v>30</v>
      </c>
      <c r="K2980" t="str">
        <v>That</v>
      </c>
      <c r="L2980" s="4" t="str">
        <f t="shared" si="55"/>
        <v>That</v>
      </c>
      <c r="N2980" s="4" cm="1">
        <f t="array" ref="N2980">SUM(--(_xlfn.TEXTSPLIT($J$2448,, " ") = M2980))</f>
        <v>1</v>
      </c>
      <c r="O2980">
        <v>1</v>
      </c>
      <c r="P2980">
        <v>0</v>
      </c>
      <c r="Q2980">
        <v>1</v>
      </c>
    </row>
    <row r="2981" spans="1:17" x14ac:dyDescent="0.2">
      <c r="E2981" s="9" t="s">
        <v>30</v>
      </c>
      <c r="K2981" t="str">
        <v>part</v>
      </c>
      <c r="L2981" s="4" t="str">
        <f t="shared" si="55"/>
        <v>part</v>
      </c>
      <c r="N2981" s="4" cm="1">
        <f t="array" ref="N2981">SUM(--(_xlfn.TEXTSPLIT($J$2448,, " ") = M2981))</f>
        <v>1</v>
      </c>
      <c r="O2981">
        <v>1</v>
      </c>
      <c r="P2981">
        <v>0</v>
      </c>
      <c r="Q2981">
        <v>1</v>
      </c>
    </row>
    <row r="2982" spans="1:17" x14ac:dyDescent="0.2">
      <c r="E2982" s="9" t="s">
        <v>30</v>
      </c>
      <c r="K2982" t="str">
        <v>they</v>
      </c>
      <c r="L2982" s="4" t="str">
        <f t="shared" si="55"/>
        <v>they</v>
      </c>
      <c r="N2982" s="4" cm="1">
        <f t="array" ref="N2982">SUM(--(_xlfn.TEXTSPLIT($J$2448,, " ") = M2982))</f>
        <v>1</v>
      </c>
      <c r="O2982">
        <v>1</v>
      </c>
      <c r="P2982">
        <v>0</v>
      </c>
      <c r="Q2982">
        <v>1</v>
      </c>
    </row>
    <row r="2983" spans="1:17" x14ac:dyDescent="0.2">
      <c r="E2983" s="9" t="s">
        <v>30</v>
      </c>
      <c r="K2983" t="str">
        <v>aim</v>
      </c>
      <c r="L2983" s="4" t="str">
        <f t="shared" si="55"/>
        <v>aim</v>
      </c>
      <c r="N2983" s="4" cm="1">
        <f t="array" ref="N2983">SUM(--(_xlfn.TEXTSPLIT($J$2448,, " ") = M2983))</f>
        <v>1</v>
      </c>
      <c r="O2983">
        <v>1</v>
      </c>
      <c r="P2983">
        <v>0</v>
      </c>
      <c r="Q2983">
        <v>1</v>
      </c>
    </row>
    <row r="2984" spans="1:17" x14ac:dyDescent="0.2">
      <c r="E2984" s="9" t="s">
        <v>30</v>
      </c>
      <c r="K2984" t="str">
        <v xml:space="preserve">for
</v>
      </c>
      <c r="L2984" s="4" t="str">
        <f t="shared" si="55"/>
        <v xml:space="preserve">for </v>
      </c>
      <c r="N2984" s="4" cm="1">
        <f t="array" ref="N2984">SUM(--(_xlfn.TEXTSPLIT($J$2448,, " ") = M2984))</f>
        <v>1</v>
      </c>
      <c r="O2984">
        <v>1</v>
      </c>
      <c r="P2984">
        <v>0</v>
      </c>
      <c r="Q2984">
        <v>1</v>
      </c>
    </row>
    <row r="2985" spans="1:17" x14ac:dyDescent="0.2">
      <c r="E2985" s="9" t="s">
        <v>30</v>
      </c>
      <c r="K2985" t="str">
        <v>That</v>
      </c>
      <c r="L2985" s="4" t="str">
        <f t="shared" si="55"/>
        <v>That</v>
      </c>
      <c r="N2985" s="4" cm="1">
        <f t="array" ref="N2985">SUM(--(_xlfn.TEXTSPLIT($J$2448,, " ") = M2985))</f>
        <v>1</v>
      </c>
      <c r="O2985">
        <v>1</v>
      </c>
      <c r="P2985">
        <v>0</v>
      </c>
      <c r="Q2985">
        <v>1</v>
      </c>
    </row>
    <row r="2986" spans="1:17" x14ac:dyDescent="0.2">
      <c r="E2986" s="9" t="s">
        <v>30</v>
      </c>
      <c r="K2986" t="str">
        <v>part</v>
      </c>
      <c r="L2986" s="4" t="str">
        <f t="shared" si="55"/>
        <v>part</v>
      </c>
      <c r="N2986" s="4" cm="1">
        <f t="array" ref="N2986">SUM(--(_xlfn.TEXTSPLIT($J$2448,, " ") = M2986))</f>
        <v>1</v>
      </c>
      <c r="O2986">
        <v>1</v>
      </c>
      <c r="P2986">
        <v>0</v>
      </c>
      <c r="Q2986">
        <v>1</v>
      </c>
    </row>
    <row r="2987" spans="1:17" x14ac:dyDescent="0.2">
      <c r="E2987" s="9" t="s">
        <v>30</v>
      </c>
      <c r="K2987" t="str">
        <v>they</v>
      </c>
      <c r="L2987" s="4" t="str">
        <f t="shared" si="55"/>
        <v>they</v>
      </c>
      <c r="N2987" s="4" cm="1">
        <f t="array" ref="N2987">SUM(--(_xlfn.TEXTSPLIT($J$2448,, " ") = M2987))</f>
        <v>1</v>
      </c>
      <c r="O2987">
        <v>1</v>
      </c>
      <c r="P2987">
        <v>0</v>
      </c>
      <c r="Q2987">
        <v>1</v>
      </c>
    </row>
    <row r="2988" spans="1:17" x14ac:dyDescent="0.2">
      <c r="E2988" s="9" t="s">
        <v>30</v>
      </c>
      <c r="K2988" t="str">
        <v>aim</v>
      </c>
      <c r="L2988" s="4" t="str">
        <f t="shared" si="55"/>
        <v>aim</v>
      </c>
      <c r="N2988" s="4" cm="1">
        <f t="array" ref="N2988">SUM(--(_xlfn.TEXTSPLIT($J$2448,, " ") = M2988))</f>
        <v>1</v>
      </c>
      <c r="O2988">
        <v>1</v>
      </c>
      <c r="P2988">
        <v>0</v>
      </c>
      <c r="Q2988">
        <v>1</v>
      </c>
    </row>
    <row r="2989" spans="1:17" x14ac:dyDescent="0.2">
      <c r="E2989" s="9" t="s">
        <v>30</v>
      </c>
      <c r="K2989" t="str">
        <v>for</v>
      </c>
      <c r="L2989" s="4" t="str">
        <f t="shared" si="55"/>
        <v>for</v>
      </c>
      <c r="N2989" s="4" cm="1">
        <f t="array" ref="N2989">SUM(--(_xlfn.TEXTSPLIT($J$2448,, " ") = M2989))</f>
        <v>1</v>
      </c>
      <c r="O2989">
        <v>1</v>
      </c>
      <c r="P2989">
        <v>0</v>
      </c>
      <c r="Q2989">
        <v>1</v>
      </c>
    </row>
    <row r="2990" spans="1:17" x14ac:dyDescent="0.2">
      <c r="A2990" s="4">
        <v>9</v>
      </c>
      <c r="B2990" s="5">
        <v>45912</v>
      </c>
      <c r="C2990" s="6">
        <v>0.13055555555555556</v>
      </c>
      <c r="D2990" s="7">
        <v>188</v>
      </c>
      <c r="E2990" s="9" t="s">
        <v>35</v>
      </c>
      <c r="F2990" s="4">
        <v>9</v>
      </c>
      <c r="G2990" s="8" t="s">
        <v>15</v>
      </c>
      <c r="H2990" s="9" t="s">
        <v>36</v>
      </c>
      <c r="I2990" s="4">
        <v>1</v>
      </c>
      <c r="J2990" s="4" t="str">
        <f>_xlfn.TEXTJOIN(" ", TRUE, H2990:H3003)</f>
        <v xml:space="preserve"> Can't believe you're gone for good
 Someone chopped you down
 Thought you'd just fall in the woods
 But she heard that sound
 No, I don't, no, I don't remember
 Last we spoke
 No, I don't, no, I don't remember
 Remember
 Remember
 Remember
 I look back in time through a telescope
 I've been catching my
 I've been catching my
 My reflection already looking
 Most are blown down in a storm
 But the wind was tame
 You weren't waiting anymore
 Were you sad or brave?
 No I don't, no, I don't condemn you
 Back and forth
 No I don't, no, I don't condemn you
 Condemn you
 Condemn you
 Condemn you
 I look back in time through a telescope
 I've been catching my
 I've been catching my
 My reflection already looking
 You tore me up more than you know
 You tore me up more than you know
 You tore me up more than you know
 You tore me up
 I look back in time through a telescope
 I've been catching my
 I've been catching my
 My reflection already looking"</v>
      </c>
      <c r="K2990" s="4" t="str" cm="1">
        <f t="array" ref="K2990:K3166">_xlfn.TEXTSPLIT(J2990, ," ")</f>
        <v/>
      </c>
      <c r="L2990" s="4" t="str">
        <f>_xlfn.REGEXREPLACE(K2990, "[^A-Za-z ]", " ")</f>
        <v/>
      </c>
      <c r="M2990" s="4" t="str" cm="1">
        <f t="array" ref="M2990:M3064">_xlfn.UNIQUE(_xlfn.TEXTSPLIT(J2990, , " "))</f>
        <v/>
      </c>
      <c r="N2990" s="4" cm="1">
        <f t="array" ref="N2990">SUM(--(_xlfn.TEXTSPLIT($J$2990,, " ") = M2990))</f>
        <v>1</v>
      </c>
      <c r="O2990" s="4" cm="1">
        <f t="array" ref="O2990:O3166">_xlfn._xlws.SORT(N2990:N3166, ,-1)</f>
        <v>11</v>
      </c>
      <c r="P2990" s="4" t="str" cm="1">
        <f t="array" ref="P2990:Q3166">_xlfn.SORTBY(M2990:N3166, N2990:N3166, -1)</f>
        <v>I</v>
      </c>
      <c r="Q2990" s="4">
        <v>11</v>
      </c>
    </row>
    <row r="2991" spans="1:17" x14ac:dyDescent="0.2">
      <c r="E2991" s="9" t="s">
        <v>35</v>
      </c>
      <c r="K2991" t="str">
        <v>Can't</v>
      </c>
      <c r="L2991" s="4" t="str">
        <f>_xlfn.REGEXREPLACE(K2991, "[^A-Za-z ]", " ")</f>
        <v>Can t</v>
      </c>
      <c r="M2991" t="str">
        <v>Can't</v>
      </c>
      <c r="N2991" s="4" cm="1">
        <f t="array" ref="N2991">SUM(--(_xlfn.TEXTSPLIT($J$2990,, " ") = M2991))</f>
        <v>1</v>
      </c>
      <c r="O2991">
        <v>10</v>
      </c>
      <c r="P2991" s="4" t="str">
        <v>you</v>
      </c>
      <c r="Q2991">
        <v>10</v>
      </c>
    </row>
    <row r="2992" spans="1:17" x14ac:dyDescent="0.2">
      <c r="E2992" s="9" t="s">
        <v>35</v>
      </c>
      <c r="K2992" t="str">
        <v>believe</v>
      </c>
      <c r="L2992" s="4" t="str">
        <f t="shared" ref="L2992:L3055" si="56">_xlfn.REGEXREPLACE(K2992, "[^A-Za-z ]", " ")</f>
        <v>believe</v>
      </c>
      <c r="M2992" t="str">
        <v>believe</v>
      </c>
      <c r="N2992" s="4" cm="1">
        <f t="array" ref="N2992">SUM(--(_xlfn.TEXTSPLIT($J$2990,, " ") = M2992))</f>
        <v>1</v>
      </c>
      <c r="O2992">
        <v>6</v>
      </c>
      <c r="P2992" t="str">
        <v>No,</v>
      </c>
      <c r="Q2992">
        <v>6</v>
      </c>
    </row>
    <row r="2993" spans="5:17" x14ac:dyDescent="0.2">
      <c r="E2993" s="9" t="s">
        <v>35</v>
      </c>
      <c r="K2993" t="str">
        <v>you're</v>
      </c>
      <c r="L2993" s="4" t="str">
        <f t="shared" si="56"/>
        <v>you re</v>
      </c>
      <c r="M2993" t="str">
        <v>you're</v>
      </c>
      <c r="N2993" s="4" cm="1">
        <f t="array" ref="N2993">SUM(--(_xlfn.TEXTSPLIT($J$2990,, " ") = M2993))</f>
        <v>1</v>
      </c>
      <c r="O2993">
        <v>6</v>
      </c>
      <c r="P2993" t="str">
        <v>I've</v>
      </c>
      <c r="Q2993">
        <v>6</v>
      </c>
    </row>
    <row r="2994" spans="5:17" x14ac:dyDescent="0.2">
      <c r="E2994" s="9" t="s">
        <v>35</v>
      </c>
      <c r="K2994" t="str">
        <v>gone</v>
      </c>
      <c r="L2994" s="4" t="str">
        <f t="shared" si="56"/>
        <v>gone</v>
      </c>
      <c r="M2994" t="str">
        <v>gone</v>
      </c>
      <c r="N2994" s="4" cm="1">
        <f t="array" ref="N2994">SUM(--(_xlfn.TEXTSPLIT($J$2990,, " ") = M2994))</f>
        <v>1</v>
      </c>
      <c r="O2994">
        <v>6</v>
      </c>
      <c r="P2994" t="str">
        <v>been</v>
      </c>
      <c r="Q2994">
        <v>6</v>
      </c>
    </row>
    <row r="2995" spans="5:17" x14ac:dyDescent="0.2">
      <c r="E2995" s="9" t="s">
        <v>35</v>
      </c>
      <c r="K2995" t="str">
        <v>for</v>
      </c>
      <c r="L2995" s="4" t="str">
        <f t="shared" si="56"/>
        <v>for</v>
      </c>
      <c r="M2995" t="str">
        <v>for</v>
      </c>
      <c r="N2995" s="4" cm="1">
        <f t="array" ref="N2995">SUM(--(_xlfn.TEXTSPLIT($J$2990,, " ") = M2995))</f>
        <v>1</v>
      </c>
      <c r="O2995">
        <v>6</v>
      </c>
      <c r="P2995" t="str">
        <v>catching</v>
      </c>
      <c r="Q2995">
        <v>6</v>
      </c>
    </row>
    <row r="2996" spans="5:17" x14ac:dyDescent="0.2">
      <c r="E2996" s="9" t="s">
        <v>35</v>
      </c>
      <c r="K2996" t="str">
        <v xml:space="preserve">good
</v>
      </c>
      <c r="L2996" s="4" t="str">
        <f t="shared" si="56"/>
        <v xml:space="preserve">good </v>
      </c>
      <c r="M2996" t="str">
        <v xml:space="preserve">good
</v>
      </c>
      <c r="N2996" s="4" cm="1">
        <f t="array" ref="N2996">SUM(--(_xlfn.TEXTSPLIT($J$2990,, " ") = M2996))</f>
        <v>1</v>
      </c>
      <c r="O2996">
        <v>6</v>
      </c>
      <c r="P2996" t="str">
        <v xml:space="preserve">my
</v>
      </c>
      <c r="Q2996">
        <v>6</v>
      </c>
    </row>
    <row r="2997" spans="5:17" x14ac:dyDescent="0.2">
      <c r="E2997" s="9" t="s">
        <v>35</v>
      </c>
      <c r="K2997" t="str">
        <v>Someone</v>
      </c>
      <c r="L2997" s="4" t="str">
        <f t="shared" si="56"/>
        <v>Someone</v>
      </c>
      <c r="M2997" t="str">
        <v>Someone</v>
      </c>
      <c r="N2997" s="4" cm="1">
        <f t="array" ref="N2997">SUM(--(_xlfn.TEXTSPLIT($J$2990,, " ") = M2997))</f>
        <v>1</v>
      </c>
      <c r="O2997">
        <v>5</v>
      </c>
      <c r="P2997" t="str">
        <v>in</v>
      </c>
      <c r="Q2997">
        <v>5</v>
      </c>
    </row>
    <row r="2998" spans="5:17" x14ac:dyDescent="0.2">
      <c r="E2998" s="9" t="s">
        <v>35</v>
      </c>
      <c r="K2998" t="str">
        <v>chopped</v>
      </c>
      <c r="L2998" s="4" t="str">
        <f t="shared" si="56"/>
        <v>chopped</v>
      </c>
      <c r="M2998" t="str">
        <v>chopped</v>
      </c>
      <c r="N2998" s="4" cm="1">
        <f t="array" ref="N2998">SUM(--(_xlfn.TEXTSPLIT($J$2990,, " ") = M2998))</f>
        <v>1</v>
      </c>
      <c r="O2998">
        <v>5</v>
      </c>
      <c r="P2998" t="str">
        <v>condemn</v>
      </c>
      <c r="Q2998">
        <v>5</v>
      </c>
    </row>
    <row r="2999" spans="5:17" x14ac:dyDescent="0.2">
      <c r="E2999" s="9" t="s">
        <v>35</v>
      </c>
      <c r="K2999" t="str">
        <v>you</v>
      </c>
      <c r="L2999" s="4" t="str">
        <f t="shared" si="56"/>
        <v>you</v>
      </c>
      <c r="M2999" t="str">
        <v>you</v>
      </c>
      <c r="N2999" s="4" cm="1">
        <f t="array" ref="N2999">SUM(--(_xlfn.TEXTSPLIT($J$2990,, " ") = M2999))</f>
        <v>10</v>
      </c>
      <c r="O2999">
        <v>4</v>
      </c>
      <c r="P2999" t="str">
        <v>don't,</v>
      </c>
      <c r="Q2999">
        <v>4</v>
      </c>
    </row>
    <row r="3000" spans="5:17" x14ac:dyDescent="0.2">
      <c r="E3000" s="9" t="s">
        <v>35</v>
      </c>
      <c r="K3000" t="str">
        <v xml:space="preserve">down
</v>
      </c>
      <c r="L3000" s="4" t="str">
        <f t="shared" si="56"/>
        <v xml:space="preserve">down </v>
      </c>
      <c r="M3000" t="str">
        <v xml:space="preserve">down
</v>
      </c>
      <c r="N3000" s="4" cm="1">
        <f t="array" ref="N3000">SUM(--(_xlfn.TEXTSPLIT($J$2990,, " ") = M3000))</f>
        <v>1</v>
      </c>
      <c r="O3000">
        <v>4</v>
      </c>
      <c r="P3000" t="str">
        <v>don't</v>
      </c>
      <c r="Q3000">
        <v>4</v>
      </c>
    </row>
    <row r="3001" spans="5:17" x14ac:dyDescent="0.2">
      <c r="E3001" s="9" t="s">
        <v>35</v>
      </c>
      <c r="K3001" t="str">
        <v>Thought</v>
      </c>
      <c r="L3001" s="4" t="str">
        <f t="shared" si="56"/>
        <v>Thought</v>
      </c>
      <c r="M3001" t="str">
        <v>Thought</v>
      </c>
      <c r="N3001" s="4" cm="1">
        <f t="array" ref="N3001">SUM(--(_xlfn.TEXTSPLIT($J$2990,, " ") = M3001))</f>
        <v>1</v>
      </c>
      <c r="O3001">
        <v>4</v>
      </c>
      <c r="P3001" t="str">
        <v>back</v>
      </c>
      <c r="Q3001">
        <v>4</v>
      </c>
    </row>
    <row r="3002" spans="5:17" x14ac:dyDescent="0.2">
      <c r="E3002" s="9" t="s">
        <v>35</v>
      </c>
      <c r="K3002" t="str">
        <v>you'd</v>
      </c>
      <c r="L3002" s="4" t="str">
        <f t="shared" si="56"/>
        <v>you d</v>
      </c>
      <c r="M3002" t="str">
        <v>you'd</v>
      </c>
      <c r="N3002" s="4" cm="1">
        <f t="array" ref="N3002">SUM(--(_xlfn.TEXTSPLIT($J$2990,, " ") = M3002))</f>
        <v>1</v>
      </c>
      <c r="O3002">
        <v>4</v>
      </c>
      <c r="P3002" t="str">
        <v>a</v>
      </c>
      <c r="Q3002">
        <v>4</v>
      </c>
    </row>
    <row r="3003" spans="5:17" x14ac:dyDescent="0.2">
      <c r="E3003" s="9" t="s">
        <v>35</v>
      </c>
      <c r="K3003" t="str">
        <v>just</v>
      </c>
      <c r="L3003" s="4" t="str">
        <f t="shared" si="56"/>
        <v>just</v>
      </c>
      <c r="M3003" t="str">
        <v>just</v>
      </c>
      <c r="N3003" s="4" cm="1">
        <f t="array" ref="N3003">SUM(--(_xlfn.TEXTSPLIT($J$2990,, " ") = M3003))</f>
        <v>1</v>
      </c>
      <c r="O3003">
        <v>4</v>
      </c>
      <c r="P3003" t="str">
        <v>tore</v>
      </c>
      <c r="Q3003">
        <v>4</v>
      </c>
    </row>
    <row r="3004" spans="5:17" x14ac:dyDescent="0.2">
      <c r="E3004" s="9" t="s">
        <v>35</v>
      </c>
      <c r="K3004" t="str">
        <v>fall</v>
      </c>
      <c r="L3004" s="4" t="str">
        <f t="shared" si="56"/>
        <v>fall</v>
      </c>
      <c r="M3004" t="str">
        <v>fall</v>
      </c>
      <c r="N3004" s="4" cm="1">
        <f t="array" ref="N3004">SUM(--(_xlfn.TEXTSPLIT($J$2990,, " ") = M3004))</f>
        <v>1</v>
      </c>
      <c r="O3004">
        <v>4</v>
      </c>
      <c r="P3004" t="str">
        <v>me</v>
      </c>
      <c r="Q3004">
        <v>4</v>
      </c>
    </row>
    <row r="3005" spans="5:17" x14ac:dyDescent="0.2">
      <c r="E3005" s="9" t="s">
        <v>35</v>
      </c>
      <c r="K3005" t="str">
        <v>in</v>
      </c>
      <c r="L3005" s="4" t="str">
        <f t="shared" si="56"/>
        <v>in</v>
      </c>
      <c r="M3005" t="str">
        <v>in</v>
      </c>
      <c r="N3005" s="4" cm="1">
        <f t="array" ref="N3005">SUM(--(_xlfn.TEXTSPLIT($J$2990,, " ") = M3005))</f>
        <v>5</v>
      </c>
      <c r="O3005">
        <v>3</v>
      </c>
      <c r="P3005" t="str">
        <v xml:space="preserve">remember
</v>
      </c>
      <c r="Q3005">
        <v>3</v>
      </c>
    </row>
    <row r="3006" spans="5:17" x14ac:dyDescent="0.2">
      <c r="E3006" s="9" t="s">
        <v>35</v>
      </c>
      <c r="K3006" t="str">
        <v>the</v>
      </c>
      <c r="L3006" s="4" t="str">
        <f t="shared" si="56"/>
        <v>the</v>
      </c>
      <c r="M3006" t="str">
        <v>the</v>
      </c>
      <c r="N3006" s="4" cm="1">
        <f t="array" ref="N3006">SUM(--(_xlfn.TEXTSPLIT($J$2990,, " ") = M3006))</f>
        <v>2</v>
      </c>
      <c r="O3006">
        <v>3</v>
      </c>
      <c r="P3006" t="str">
        <v>look</v>
      </c>
      <c r="Q3006">
        <v>3</v>
      </c>
    </row>
    <row r="3007" spans="5:17" x14ac:dyDescent="0.2">
      <c r="E3007" s="9" t="s">
        <v>35</v>
      </c>
      <c r="K3007" t="str">
        <v xml:space="preserve">woods
</v>
      </c>
      <c r="L3007" s="4" t="str">
        <f t="shared" si="56"/>
        <v xml:space="preserve">woods </v>
      </c>
      <c r="M3007" t="str">
        <v xml:space="preserve">woods
</v>
      </c>
      <c r="N3007" s="4" cm="1">
        <f t="array" ref="N3007">SUM(--(_xlfn.TEXTSPLIT($J$2990,, " ") = M3007))</f>
        <v>1</v>
      </c>
      <c r="O3007">
        <v>3</v>
      </c>
      <c r="P3007" t="str">
        <v>time</v>
      </c>
      <c r="Q3007">
        <v>3</v>
      </c>
    </row>
    <row r="3008" spans="5:17" x14ac:dyDescent="0.2">
      <c r="E3008" s="9" t="s">
        <v>35</v>
      </c>
      <c r="K3008" t="str">
        <v>But</v>
      </c>
      <c r="L3008" s="4" t="str">
        <f t="shared" si="56"/>
        <v>But</v>
      </c>
      <c r="M3008" t="str">
        <v>But</v>
      </c>
      <c r="N3008" s="4" cm="1">
        <f t="array" ref="N3008">SUM(--(_xlfn.TEXTSPLIT($J$2990,, " ") = M3008))</f>
        <v>2</v>
      </c>
      <c r="O3008">
        <v>3</v>
      </c>
      <c r="P3008" t="str">
        <v>through</v>
      </c>
      <c r="Q3008">
        <v>3</v>
      </c>
    </row>
    <row r="3009" spans="5:17" x14ac:dyDescent="0.2">
      <c r="E3009" s="9" t="s">
        <v>35</v>
      </c>
      <c r="K3009" t="str">
        <v>she</v>
      </c>
      <c r="L3009" s="4" t="str">
        <f t="shared" si="56"/>
        <v>she</v>
      </c>
      <c r="M3009" t="str">
        <v>she</v>
      </c>
      <c r="N3009" s="4" cm="1">
        <f t="array" ref="N3009">SUM(--(_xlfn.TEXTSPLIT($J$2990,, " ") = M3009))</f>
        <v>1</v>
      </c>
      <c r="O3009">
        <v>3</v>
      </c>
      <c r="P3009" t="str">
        <v xml:space="preserve">telescope
</v>
      </c>
      <c r="Q3009">
        <v>3</v>
      </c>
    </row>
    <row r="3010" spans="5:17" x14ac:dyDescent="0.2">
      <c r="E3010" s="9" t="s">
        <v>35</v>
      </c>
      <c r="K3010" t="str">
        <v>heard</v>
      </c>
      <c r="L3010" s="4" t="str">
        <f t="shared" si="56"/>
        <v>heard</v>
      </c>
      <c r="M3010" t="str">
        <v>heard</v>
      </c>
      <c r="N3010" s="4" cm="1">
        <f t="array" ref="N3010">SUM(--(_xlfn.TEXTSPLIT($J$2990,, " ") = M3010))</f>
        <v>1</v>
      </c>
      <c r="O3010">
        <v>3</v>
      </c>
      <c r="P3010" t="str">
        <v>My</v>
      </c>
      <c r="Q3010">
        <v>3</v>
      </c>
    </row>
    <row r="3011" spans="5:17" x14ac:dyDescent="0.2">
      <c r="E3011" s="9" t="s">
        <v>35</v>
      </c>
      <c r="K3011" t="str">
        <v>that</v>
      </c>
      <c r="L3011" s="4" t="str">
        <f t="shared" si="56"/>
        <v>that</v>
      </c>
      <c r="M3011" t="str">
        <v>that</v>
      </c>
      <c r="N3011" s="4" cm="1">
        <f t="array" ref="N3011">SUM(--(_xlfn.TEXTSPLIT($J$2990,, " ") = M3011))</f>
        <v>1</v>
      </c>
      <c r="O3011">
        <v>3</v>
      </c>
      <c r="P3011" t="str">
        <v>reflection</v>
      </c>
      <c r="Q3011">
        <v>3</v>
      </c>
    </row>
    <row r="3012" spans="5:17" x14ac:dyDescent="0.2">
      <c r="E3012" s="9" t="s">
        <v>35</v>
      </c>
      <c r="K3012" t="str">
        <v xml:space="preserve">sound
</v>
      </c>
      <c r="L3012" s="4" t="str">
        <f t="shared" si="56"/>
        <v xml:space="preserve">sound </v>
      </c>
      <c r="M3012" t="str">
        <v xml:space="preserve">sound
</v>
      </c>
      <c r="N3012" s="4" cm="1">
        <f t="array" ref="N3012">SUM(--(_xlfn.TEXTSPLIT($J$2990,, " ") = M3012))</f>
        <v>1</v>
      </c>
      <c r="O3012">
        <v>3</v>
      </c>
      <c r="P3012" t="str">
        <v>already</v>
      </c>
      <c r="Q3012">
        <v>3</v>
      </c>
    </row>
    <row r="3013" spans="5:17" x14ac:dyDescent="0.2">
      <c r="E3013" s="9" t="s">
        <v>35</v>
      </c>
      <c r="K3013" t="str">
        <v>No,</v>
      </c>
      <c r="L3013" s="4" t="str">
        <f t="shared" si="56"/>
        <v xml:space="preserve">No </v>
      </c>
      <c r="M3013" t="str">
        <v>No,</v>
      </c>
      <c r="N3013" s="4" cm="1">
        <f t="array" ref="N3013">SUM(--(_xlfn.TEXTSPLIT($J$2990,, " ") = M3013))</f>
        <v>6</v>
      </c>
      <c r="O3013">
        <v>3</v>
      </c>
      <c r="P3013" t="str">
        <v xml:space="preserve">you
</v>
      </c>
      <c r="Q3013">
        <v>3</v>
      </c>
    </row>
    <row r="3014" spans="5:17" x14ac:dyDescent="0.2">
      <c r="E3014" s="9" t="s">
        <v>35</v>
      </c>
      <c r="K3014" t="str">
        <v>I</v>
      </c>
      <c r="L3014" s="4" t="str">
        <f t="shared" si="56"/>
        <v>I</v>
      </c>
      <c r="M3014" t="str">
        <v>I</v>
      </c>
      <c r="N3014" s="4" cm="1">
        <f t="array" ref="N3014">SUM(--(_xlfn.TEXTSPLIT($J$2990,, " ") = M3014))</f>
        <v>11</v>
      </c>
      <c r="O3014">
        <v>3</v>
      </c>
      <c r="P3014" t="str">
        <v>up</v>
      </c>
      <c r="Q3014">
        <v>3</v>
      </c>
    </row>
    <row r="3015" spans="5:17" x14ac:dyDescent="0.2">
      <c r="E3015" s="9" t="s">
        <v>35</v>
      </c>
      <c r="K3015" t="str">
        <v>don't,</v>
      </c>
      <c r="L3015" s="4" t="str">
        <f t="shared" si="56"/>
        <v xml:space="preserve">don t </v>
      </c>
      <c r="M3015" t="str">
        <v>don't,</v>
      </c>
      <c r="N3015" s="4" cm="1">
        <f t="array" ref="N3015">SUM(--(_xlfn.TEXTSPLIT($J$2990,, " ") = M3015))</f>
        <v>4</v>
      </c>
      <c r="O3015">
        <v>3</v>
      </c>
      <c r="P3015" t="str">
        <v>more</v>
      </c>
      <c r="Q3015">
        <v>3</v>
      </c>
    </row>
    <row r="3016" spans="5:17" x14ac:dyDescent="0.2">
      <c r="E3016" s="9" t="s">
        <v>35</v>
      </c>
      <c r="K3016" t="str">
        <v>no,</v>
      </c>
      <c r="L3016" s="4" t="str">
        <f t="shared" si="56"/>
        <v xml:space="preserve">no </v>
      </c>
      <c r="M3016" t="str">
        <v>don't</v>
      </c>
      <c r="N3016" s="4" cm="1">
        <f t="array" ref="N3016">SUM(--(_xlfn.TEXTSPLIT($J$2990,, " ") = M3016))</f>
        <v>4</v>
      </c>
      <c r="O3016">
        <v>3</v>
      </c>
      <c r="P3016" t="str">
        <v>than</v>
      </c>
      <c r="Q3016">
        <v>3</v>
      </c>
    </row>
    <row r="3017" spans="5:17" x14ac:dyDescent="0.2">
      <c r="E3017" s="9" t="s">
        <v>35</v>
      </c>
      <c r="K3017" t="str">
        <v>I</v>
      </c>
      <c r="L3017" s="4" t="str">
        <f t="shared" si="56"/>
        <v>I</v>
      </c>
      <c r="M3017" t="str">
        <v xml:space="preserve">remember
</v>
      </c>
      <c r="N3017" s="4" cm="1">
        <f t="array" ref="N3017">SUM(--(_xlfn.TEXTSPLIT($J$2990,, " ") = M3017))</f>
        <v>3</v>
      </c>
      <c r="O3017">
        <v>3</v>
      </c>
      <c r="P3017" t="str">
        <v xml:space="preserve">know
</v>
      </c>
      <c r="Q3017">
        <v>3</v>
      </c>
    </row>
    <row r="3018" spans="5:17" x14ac:dyDescent="0.2">
      <c r="E3018" s="9" t="s">
        <v>35</v>
      </c>
      <c r="K3018" t="str">
        <v>don't</v>
      </c>
      <c r="L3018" s="4" t="str">
        <f t="shared" si="56"/>
        <v>don t</v>
      </c>
      <c r="M3018" t="str">
        <v>Last</v>
      </c>
      <c r="N3018" s="4" cm="1">
        <f t="array" ref="N3018">SUM(--(_xlfn.TEXTSPLIT($J$2990,, " ") = M3018))</f>
        <v>1</v>
      </c>
      <c r="O3018">
        <v>2</v>
      </c>
      <c r="P3018" t="str">
        <v>the</v>
      </c>
      <c r="Q3018">
        <v>2</v>
      </c>
    </row>
    <row r="3019" spans="5:17" x14ac:dyDescent="0.2">
      <c r="E3019" s="9" t="s">
        <v>35</v>
      </c>
      <c r="K3019" t="str">
        <v xml:space="preserve">remember
</v>
      </c>
      <c r="L3019" s="4" t="str">
        <f t="shared" si="56"/>
        <v xml:space="preserve">remember </v>
      </c>
      <c r="M3019" t="str">
        <v>we</v>
      </c>
      <c r="N3019" s="4" cm="1">
        <f t="array" ref="N3019">SUM(--(_xlfn.TEXTSPLIT($J$2990,, " ") = M3019))</f>
        <v>1</v>
      </c>
      <c r="O3019">
        <v>2</v>
      </c>
      <c r="P3019" t="str">
        <v>But</v>
      </c>
      <c r="Q3019">
        <v>2</v>
      </c>
    </row>
    <row r="3020" spans="5:17" x14ac:dyDescent="0.2">
      <c r="E3020" s="9" t="s">
        <v>35</v>
      </c>
      <c r="K3020" t="str">
        <v>Last</v>
      </c>
      <c r="L3020" s="4" t="str">
        <f t="shared" si="56"/>
        <v>Last</v>
      </c>
      <c r="M3020" t="str">
        <v xml:space="preserve">spoke
</v>
      </c>
      <c r="N3020" s="4" cm="1">
        <f t="array" ref="N3020">SUM(--(_xlfn.TEXTSPLIT($J$2990,, " ") = M3020))</f>
        <v>1</v>
      </c>
      <c r="O3020">
        <v>2</v>
      </c>
      <c r="P3020" t="str">
        <v xml:space="preserve">remember
</v>
      </c>
      <c r="Q3020">
        <v>2</v>
      </c>
    </row>
    <row r="3021" spans="5:17" x14ac:dyDescent="0.2">
      <c r="E3021" s="9" t="s">
        <v>35</v>
      </c>
      <c r="K3021" t="str">
        <v>we</v>
      </c>
      <c r="L3021" s="4" t="str">
        <f t="shared" si="56"/>
        <v>we</v>
      </c>
      <c r="M3021" t="str">
        <v xml:space="preserve">remember
</v>
      </c>
      <c r="N3021" s="4" cm="1">
        <f t="array" ref="N3021">SUM(--(_xlfn.TEXTSPLIT($J$2990,, " ") = M3021))</f>
        <v>2</v>
      </c>
      <c r="O3021">
        <v>2</v>
      </c>
      <c r="P3021" t="str">
        <v xml:space="preserve">looking
</v>
      </c>
      <c r="Q3021">
        <v>2</v>
      </c>
    </row>
    <row r="3022" spans="5:17" x14ac:dyDescent="0.2">
      <c r="E3022" s="9" t="s">
        <v>35</v>
      </c>
      <c r="K3022" t="str">
        <v xml:space="preserve">spoke
</v>
      </c>
      <c r="L3022" s="4" t="str">
        <f t="shared" si="56"/>
        <v xml:space="preserve">spoke </v>
      </c>
      <c r="M3022" t="str">
        <v>look</v>
      </c>
      <c r="N3022" s="4" cm="1">
        <f t="array" ref="N3022">SUM(--(_xlfn.TEXTSPLIT($J$2990,, " ") = M3022))</f>
        <v>3</v>
      </c>
      <c r="O3022">
        <v>2</v>
      </c>
      <c r="P3022" t="str">
        <v>No</v>
      </c>
      <c r="Q3022">
        <v>2</v>
      </c>
    </row>
    <row r="3023" spans="5:17" x14ac:dyDescent="0.2">
      <c r="E3023" s="9" t="s">
        <v>35</v>
      </c>
      <c r="K3023" t="str">
        <v>No,</v>
      </c>
      <c r="L3023" s="4" t="str">
        <f t="shared" si="56"/>
        <v xml:space="preserve">No </v>
      </c>
      <c r="M3023" t="str">
        <v>back</v>
      </c>
      <c r="N3023" s="4" cm="1">
        <f t="array" ref="N3023">SUM(--(_xlfn.TEXTSPLIT($J$2990,, " ") = M3023))</f>
        <v>4</v>
      </c>
      <c r="O3023">
        <v>2</v>
      </c>
      <c r="P3023" t="str">
        <v xml:space="preserve">you
</v>
      </c>
      <c r="Q3023">
        <v>2</v>
      </c>
    </row>
    <row r="3024" spans="5:17" x14ac:dyDescent="0.2">
      <c r="E3024" s="9" t="s">
        <v>35</v>
      </c>
      <c r="K3024" t="str">
        <v>I</v>
      </c>
      <c r="L3024" s="4" t="str">
        <f t="shared" si="56"/>
        <v>I</v>
      </c>
      <c r="M3024" t="str">
        <v>time</v>
      </c>
      <c r="N3024" s="4" cm="1">
        <f t="array" ref="N3024">SUM(--(_xlfn.TEXTSPLIT($J$2990,, " ") = M3024))</f>
        <v>3</v>
      </c>
      <c r="O3024">
        <v>1</v>
      </c>
      <c r="P3024" t="str">
        <v/>
      </c>
      <c r="Q3024">
        <v>1</v>
      </c>
    </row>
    <row r="3025" spans="5:17" x14ac:dyDescent="0.2">
      <c r="E3025" s="9" t="s">
        <v>35</v>
      </c>
      <c r="K3025" t="str">
        <v>don't,</v>
      </c>
      <c r="L3025" s="4" t="str">
        <f t="shared" si="56"/>
        <v xml:space="preserve">don t </v>
      </c>
      <c r="M3025" t="str">
        <v>through</v>
      </c>
      <c r="N3025" s="4" cm="1">
        <f t="array" ref="N3025">SUM(--(_xlfn.TEXTSPLIT($J$2990,, " ") = M3025))</f>
        <v>3</v>
      </c>
      <c r="O3025">
        <v>1</v>
      </c>
      <c r="P3025" t="str">
        <v>Can't</v>
      </c>
      <c r="Q3025">
        <v>1</v>
      </c>
    </row>
    <row r="3026" spans="5:17" x14ac:dyDescent="0.2">
      <c r="E3026" s="9" t="s">
        <v>35</v>
      </c>
      <c r="K3026" t="str">
        <v>no,</v>
      </c>
      <c r="L3026" s="4" t="str">
        <f t="shared" si="56"/>
        <v xml:space="preserve">no </v>
      </c>
      <c r="M3026" t="str">
        <v>a</v>
      </c>
      <c r="N3026" s="4" cm="1">
        <f t="array" ref="N3026">SUM(--(_xlfn.TEXTSPLIT($J$2990,, " ") = M3026))</f>
        <v>4</v>
      </c>
      <c r="O3026">
        <v>1</v>
      </c>
      <c r="P3026" t="str">
        <v>believe</v>
      </c>
      <c r="Q3026">
        <v>1</v>
      </c>
    </row>
    <row r="3027" spans="5:17" x14ac:dyDescent="0.2">
      <c r="E3027" s="9" t="s">
        <v>35</v>
      </c>
      <c r="K3027" t="str">
        <v>I</v>
      </c>
      <c r="L3027" s="4" t="str">
        <f t="shared" si="56"/>
        <v>I</v>
      </c>
      <c r="M3027" t="str">
        <v xml:space="preserve">telescope
</v>
      </c>
      <c r="N3027" s="4" cm="1">
        <f t="array" ref="N3027">SUM(--(_xlfn.TEXTSPLIT($J$2990,, " ") = M3027))</f>
        <v>3</v>
      </c>
      <c r="O3027">
        <v>1</v>
      </c>
      <c r="P3027" t="str">
        <v>you're</v>
      </c>
      <c r="Q3027">
        <v>1</v>
      </c>
    </row>
    <row r="3028" spans="5:17" x14ac:dyDescent="0.2">
      <c r="E3028" s="9" t="s">
        <v>35</v>
      </c>
      <c r="K3028" t="str">
        <v>don't</v>
      </c>
      <c r="L3028" s="4" t="str">
        <f t="shared" si="56"/>
        <v>don t</v>
      </c>
      <c r="M3028" t="str">
        <v>I've</v>
      </c>
      <c r="N3028" s="4" cm="1">
        <f t="array" ref="N3028">SUM(--(_xlfn.TEXTSPLIT($J$2990,, " ") = M3028))</f>
        <v>6</v>
      </c>
      <c r="O3028">
        <v>1</v>
      </c>
      <c r="P3028" t="str">
        <v>gone</v>
      </c>
      <c r="Q3028">
        <v>1</v>
      </c>
    </row>
    <row r="3029" spans="5:17" x14ac:dyDescent="0.2">
      <c r="E3029" s="9" t="s">
        <v>35</v>
      </c>
      <c r="K3029" t="str">
        <v xml:space="preserve">remember
</v>
      </c>
      <c r="L3029" s="4" t="str">
        <f t="shared" si="56"/>
        <v xml:space="preserve">remember  </v>
      </c>
      <c r="M3029" t="str">
        <v>been</v>
      </c>
      <c r="N3029" s="4" cm="1">
        <f t="array" ref="N3029">SUM(--(_xlfn.TEXTSPLIT($J$2990,, " ") = M3029))</f>
        <v>6</v>
      </c>
      <c r="O3029">
        <v>1</v>
      </c>
      <c r="P3029" t="str">
        <v>for</v>
      </c>
      <c r="Q3029">
        <v>1</v>
      </c>
    </row>
    <row r="3030" spans="5:17" x14ac:dyDescent="0.2">
      <c r="E3030" s="9" t="s">
        <v>35</v>
      </c>
      <c r="K3030" t="str">
        <v xml:space="preserve">Remember
</v>
      </c>
      <c r="L3030" s="4" t="str">
        <f t="shared" si="56"/>
        <v xml:space="preserve">Remember </v>
      </c>
      <c r="M3030" t="str">
        <v>catching</v>
      </c>
      <c r="N3030" s="4" cm="1">
        <f t="array" ref="N3030">SUM(--(_xlfn.TEXTSPLIT($J$2990,, " ") = M3030))</f>
        <v>6</v>
      </c>
      <c r="O3030">
        <v>1</v>
      </c>
      <c r="P3030" t="str">
        <v xml:space="preserve">good
</v>
      </c>
      <c r="Q3030">
        <v>1</v>
      </c>
    </row>
    <row r="3031" spans="5:17" x14ac:dyDescent="0.2">
      <c r="E3031" s="9" t="s">
        <v>35</v>
      </c>
      <c r="K3031" t="str">
        <v xml:space="preserve">Remember
</v>
      </c>
      <c r="L3031" s="4" t="str">
        <f t="shared" si="56"/>
        <v xml:space="preserve">Remember </v>
      </c>
      <c r="M3031" t="str">
        <v xml:space="preserve">my
</v>
      </c>
      <c r="N3031" s="4" cm="1">
        <f t="array" ref="N3031">SUM(--(_xlfn.TEXTSPLIT($J$2990,, " ") = M3031))</f>
        <v>6</v>
      </c>
      <c r="O3031">
        <v>1</v>
      </c>
      <c r="P3031" t="str">
        <v>Someone</v>
      </c>
      <c r="Q3031">
        <v>1</v>
      </c>
    </row>
    <row r="3032" spans="5:17" x14ac:dyDescent="0.2">
      <c r="E3032" s="9" t="s">
        <v>35</v>
      </c>
      <c r="K3032" t="str">
        <v xml:space="preserve">Remember
</v>
      </c>
      <c r="L3032" s="4" t="str">
        <f t="shared" si="56"/>
        <v xml:space="preserve">Remember  </v>
      </c>
      <c r="M3032" t="str">
        <v>My</v>
      </c>
      <c r="N3032" s="4" cm="1">
        <f t="array" ref="N3032">SUM(--(_xlfn.TEXTSPLIT($J$2990,, " ") = M3032))</f>
        <v>3</v>
      </c>
      <c r="O3032">
        <v>1</v>
      </c>
      <c r="P3032" t="str">
        <v>chopped</v>
      </c>
      <c r="Q3032">
        <v>1</v>
      </c>
    </row>
    <row r="3033" spans="5:17" x14ac:dyDescent="0.2">
      <c r="E3033" s="9" t="s">
        <v>35</v>
      </c>
      <c r="K3033" t="str">
        <v>I</v>
      </c>
      <c r="L3033" s="4" t="str">
        <f t="shared" si="56"/>
        <v>I</v>
      </c>
      <c r="M3033" t="str">
        <v>reflection</v>
      </c>
      <c r="N3033" s="4" cm="1">
        <f t="array" ref="N3033">SUM(--(_xlfn.TEXTSPLIT($J$2990,, " ") = M3033))</f>
        <v>3</v>
      </c>
      <c r="O3033">
        <v>1</v>
      </c>
      <c r="P3033" t="str">
        <v xml:space="preserve">down
</v>
      </c>
      <c r="Q3033">
        <v>1</v>
      </c>
    </row>
    <row r="3034" spans="5:17" x14ac:dyDescent="0.2">
      <c r="E3034" s="9" t="s">
        <v>35</v>
      </c>
      <c r="K3034" t="str">
        <v>look</v>
      </c>
      <c r="L3034" s="4" t="str">
        <f t="shared" si="56"/>
        <v>look</v>
      </c>
      <c r="M3034" t="str">
        <v>already</v>
      </c>
      <c r="N3034" s="4" cm="1">
        <f t="array" ref="N3034">SUM(--(_xlfn.TEXTSPLIT($J$2990,, " ") = M3034))</f>
        <v>3</v>
      </c>
      <c r="O3034">
        <v>1</v>
      </c>
      <c r="P3034" t="str">
        <v>Thought</v>
      </c>
      <c r="Q3034">
        <v>1</v>
      </c>
    </row>
    <row r="3035" spans="5:17" x14ac:dyDescent="0.2">
      <c r="E3035" s="9" t="s">
        <v>35</v>
      </c>
      <c r="K3035" t="str">
        <v>back</v>
      </c>
      <c r="L3035" s="4" t="str">
        <f t="shared" si="56"/>
        <v>back</v>
      </c>
      <c r="M3035" t="str">
        <v xml:space="preserve">looking
</v>
      </c>
      <c r="N3035" s="4" cm="1">
        <f t="array" ref="N3035">SUM(--(_xlfn.TEXTSPLIT($J$2990,, " ") = M3035))</f>
        <v>2</v>
      </c>
      <c r="O3035">
        <v>1</v>
      </c>
      <c r="P3035" t="str">
        <v>you'd</v>
      </c>
      <c r="Q3035">
        <v>1</v>
      </c>
    </row>
    <row r="3036" spans="5:17" x14ac:dyDescent="0.2">
      <c r="E3036" s="9" t="s">
        <v>35</v>
      </c>
      <c r="K3036" t="str">
        <v>in</v>
      </c>
      <c r="L3036" s="4" t="str">
        <f t="shared" si="56"/>
        <v>in</v>
      </c>
      <c r="M3036" t="str">
        <v>Most</v>
      </c>
      <c r="N3036" s="4" cm="1">
        <f t="array" ref="N3036">SUM(--(_xlfn.TEXTSPLIT($J$2990,, " ") = M3036))</f>
        <v>1</v>
      </c>
      <c r="O3036">
        <v>1</v>
      </c>
      <c r="P3036" t="str">
        <v>just</v>
      </c>
      <c r="Q3036">
        <v>1</v>
      </c>
    </row>
    <row r="3037" spans="5:17" x14ac:dyDescent="0.2">
      <c r="E3037" s="9" t="s">
        <v>35</v>
      </c>
      <c r="K3037" t="str">
        <v>time</v>
      </c>
      <c r="L3037" s="4" t="str">
        <f t="shared" si="56"/>
        <v>time</v>
      </c>
      <c r="M3037" t="str">
        <v>are</v>
      </c>
      <c r="N3037" s="4" cm="1">
        <f t="array" ref="N3037">SUM(--(_xlfn.TEXTSPLIT($J$2990,, " ") = M3037))</f>
        <v>1</v>
      </c>
      <c r="O3037">
        <v>1</v>
      </c>
      <c r="P3037" t="str">
        <v>fall</v>
      </c>
      <c r="Q3037">
        <v>1</v>
      </c>
    </row>
    <row r="3038" spans="5:17" x14ac:dyDescent="0.2">
      <c r="E3038" s="9" t="s">
        <v>35</v>
      </c>
      <c r="K3038" t="str">
        <v>through</v>
      </c>
      <c r="L3038" s="4" t="str">
        <f t="shared" si="56"/>
        <v>through</v>
      </c>
      <c r="M3038" t="str">
        <v>blown</v>
      </c>
      <c r="N3038" s="4" cm="1">
        <f t="array" ref="N3038">SUM(--(_xlfn.TEXTSPLIT($J$2990,, " ") = M3038))</f>
        <v>1</v>
      </c>
      <c r="O3038">
        <v>1</v>
      </c>
      <c r="P3038" t="str">
        <v xml:space="preserve">woods
</v>
      </c>
      <c r="Q3038">
        <v>1</v>
      </c>
    </row>
    <row r="3039" spans="5:17" x14ac:dyDescent="0.2">
      <c r="E3039" s="9" t="s">
        <v>35</v>
      </c>
      <c r="K3039" t="str">
        <v>a</v>
      </c>
      <c r="L3039" s="4" t="str">
        <f t="shared" si="56"/>
        <v>a</v>
      </c>
      <c r="M3039" t="str">
        <v>down</v>
      </c>
      <c r="N3039" s="4" cm="1">
        <f t="array" ref="N3039">SUM(--(_xlfn.TEXTSPLIT($J$2990,, " ") = M3039))</f>
        <v>1</v>
      </c>
      <c r="O3039">
        <v>1</v>
      </c>
      <c r="P3039" t="str">
        <v>she</v>
      </c>
      <c r="Q3039">
        <v>1</v>
      </c>
    </row>
    <row r="3040" spans="5:17" x14ac:dyDescent="0.2">
      <c r="E3040" s="9" t="s">
        <v>35</v>
      </c>
      <c r="K3040" t="str">
        <v xml:space="preserve">telescope
</v>
      </c>
      <c r="L3040" s="4" t="str">
        <f t="shared" si="56"/>
        <v xml:space="preserve">telescope </v>
      </c>
      <c r="M3040" t="str">
        <v xml:space="preserve">storm
</v>
      </c>
      <c r="N3040" s="4" cm="1">
        <f t="array" ref="N3040">SUM(--(_xlfn.TEXTSPLIT($J$2990,, " ") = M3040))</f>
        <v>1</v>
      </c>
      <c r="O3040">
        <v>1</v>
      </c>
      <c r="P3040" t="str">
        <v>heard</v>
      </c>
      <c r="Q3040">
        <v>1</v>
      </c>
    </row>
    <row r="3041" spans="5:17" x14ac:dyDescent="0.2">
      <c r="E3041" s="9" t="s">
        <v>35</v>
      </c>
      <c r="K3041" t="str">
        <v>I've</v>
      </c>
      <c r="L3041" s="4" t="str">
        <f t="shared" si="56"/>
        <v>I ve</v>
      </c>
      <c r="M3041" t="str">
        <v>wind</v>
      </c>
      <c r="N3041" s="4" cm="1">
        <f t="array" ref="N3041">SUM(--(_xlfn.TEXTSPLIT($J$2990,, " ") = M3041))</f>
        <v>1</v>
      </c>
      <c r="O3041">
        <v>1</v>
      </c>
      <c r="P3041" t="str">
        <v>that</v>
      </c>
      <c r="Q3041">
        <v>1</v>
      </c>
    </row>
    <row r="3042" spans="5:17" x14ac:dyDescent="0.2">
      <c r="E3042" s="9" t="s">
        <v>35</v>
      </c>
      <c r="K3042" t="str">
        <v>been</v>
      </c>
      <c r="L3042" s="4" t="str">
        <f t="shared" si="56"/>
        <v>been</v>
      </c>
      <c r="M3042" t="str">
        <v>was</v>
      </c>
      <c r="N3042" s="4" cm="1">
        <f t="array" ref="N3042">SUM(--(_xlfn.TEXTSPLIT($J$2990,, " ") = M3042))</f>
        <v>1</v>
      </c>
      <c r="O3042">
        <v>1</v>
      </c>
      <c r="P3042" t="str">
        <v xml:space="preserve">sound
</v>
      </c>
      <c r="Q3042">
        <v>1</v>
      </c>
    </row>
    <row r="3043" spans="5:17" x14ac:dyDescent="0.2">
      <c r="E3043" s="9" t="s">
        <v>35</v>
      </c>
      <c r="K3043" t="str">
        <v>catching</v>
      </c>
      <c r="L3043" s="4" t="str">
        <f t="shared" si="56"/>
        <v>catching</v>
      </c>
      <c r="M3043" t="str">
        <v xml:space="preserve">tame
</v>
      </c>
      <c r="N3043" s="4" cm="1">
        <f t="array" ref="N3043">SUM(--(_xlfn.TEXTSPLIT($J$2990,, " ") = M3043))</f>
        <v>1</v>
      </c>
      <c r="O3043">
        <v>1</v>
      </c>
      <c r="P3043" t="str">
        <v>Last</v>
      </c>
      <c r="Q3043">
        <v>1</v>
      </c>
    </row>
    <row r="3044" spans="5:17" x14ac:dyDescent="0.2">
      <c r="E3044" s="9" t="s">
        <v>35</v>
      </c>
      <c r="K3044" t="str">
        <v xml:space="preserve">my
</v>
      </c>
      <c r="L3044" s="4" t="str">
        <f t="shared" si="56"/>
        <v xml:space="preserve">my </v>
      </c>
      <c r="M3044" t="str">
        <v>weren't</v>
      </c>
      <c r="N3044" s="4" cm="1">
        <f t="array" ref="N3044">SUM(--(_xlfn.TEXTSPLIT($J$2990,, " ") = M3044))</f>
        <v>1</v>
      </c>
      <c r="O3044">
        <v>1</v>
      </c>
      <c r="P3044" t="str">
        <v>we</v>
      </c>
      <c r="Q3044">
        <v>1</v>
      </c>
    </row>
    <row r="3045" spans="5:17" x14ac:dyDescent="0.2">
      <c r="E3045" s="9" t="s">
        <v>35</v>
      </c>
      <c r="K3045" t="str">
        <v>I've</v>
      </c>
      <c r="L3045" s="4" t="str">
        <f t="shared" si="56"/>
        <v>I ve</v>
      </c>
      <c r="M3045" t="str">
        <v>waiting</v>
      </c>
      <c r="N3045" s="4" cm="1">
        <f t="array" ref="N3045">SUM(--(_xlfn.TEXTSPLIT($J$2990,, " ") = M3045))</f>
        <v>1</v>
      </c>
      <c r="O3045">
        <v>1</v>
      </c>
      <c r="P3045" t="str">
        <v xml:space="preserve">spoke
</v>
      </c>
      <c r="Q3045">
        <v>1</v>
      </c>
    </row>
    <row r="3046" spans="5:17" x14ac:dyDescent="0.2">
      <c r="E3046" s="9" t="s">
        <v>35</v>
      </c>
      <c r="K3046" t="str">
        <v>been</v>
      </c>
      <c r="L3046" s="4" t="str">
        <f t="shared" si="56"/>
        <v>been</v>
      </c>
      <c r="M3046" t="str">
        <v xml:space="preserve">anymore
</v>
      </c>
      <c r="N3046" s="4" cm="1">
        <f t="array" ref="N3046">SUM(--(_xlfn.TEXTSPLIT($J$2990,, " ") = M3046))</f>
        <v>1</v>
      </c>
      <c r="O3046">
        <v>1</v>
      </c>
      <c r="P3046" t="str">
        <v>Most</v>
      </c>
      <c r="Q3046">
        <v>1</v>
      </c>
    </row>
    <row r="3047" spans="5:17" x14ac:dyDescent="0.2">
      <c r="E3047" s="9" t="s">
        <v>35</v>
      </c>
      <c r="K3047" t="str">
        <v>catching</v>
      </c>
      <c r="L3047" s="4" t="str">
        <f t="shared" si="56"/>
        <v>catching</v>
      </c>
      <c r="M3047" t="str">
        <v>Were</v>
      </c>
      <c r="N3047" s="4" cm="1">
        <f t="array" ref="N3047">SUM(--(_xlfn.TEXTSPLIT($J$2990,, " ") = M3047))</f>
        <v>1</v>
      </c>
      <c r="O3047">
        <v>1</v>
      </c>
      <c r="P3047" t="str">
        <v>are</v>
      </c>
      <c r="Q3047">
        <v>1</v>
      </c>
    </row>
    <row r="3048" spans="5:17" x14ac:dyDescent="0.2">
      <c r="E3048" s="9" t="s">
        <v>35</v>
      </c>
      <c r="K3048" t="str">
        <v xml:space="preserve">my
</v>
      </c>
      <c r="L3048" s="4" t="str">
        <f t="shared" si="56"/>
        <v xml:space="preserve">my </v>
      </c>
      <c r="M3048" t="str">
        <v>sad</v>
      </c>
      <c r="N3048" s="4" cm="1">
        <f t="array" ref="N3048">SUM(--(_xlfn.TEXTSPLIT($J$2990,, " ") = M3048))</f>
        <v>1</v>
      </c>
      <c r="O3048">
        <v>1</v>
      </c>
      <c r="P3048" t="str">
        <v>blown</v>
      </c>
      <c r="Q3048">
        <v>1</v>
      </c>
    </row>
    <row r="3049" spans="5:17" x14ac:dyDescent="0.2">
      <c r="E3049" s="9" t="s">
        <v>35</v>
      </c>
      <c r="K3049" t="str">
        <v>My</v>
      </c>
      <c r="L3049" s="4" t="str">
        <f t="shared" si="56"/>
        <v>My</v>
      </c>
      <c r="M3049" t="str">
        <v>or</v>
      </c>
      <c r="N3049" s="4" cm="1">
        <f t="array" ref="N3049">SUM(--(_xlfn.TEXTSPLIT($J$2990,, " ") = M3049))</f>
        <v>1</v>
      </c>
      <c r="O3049">
        <v>1</v>
      </c>
      <c r="P3049" t="str">
        <v>down</v>
      </c>
      <c r="Q3049">
        <v>1</v>
      </c>
    </row>
    <row r="3050" spans="5:17" x14ac:dyDescent="0.2">
      <c r="E3050" s="9" t="s">
        <v>35</v>
      </c>
      <c r="K3050" t="str">
        <v>reflection</v>
      </c>
      <c r="L3050" s="4" t="str">
        <f t="shared" si="56"/>
        <v>reflection</v>
      </c>
      <c r="M3050" t="str">
        <v xml:space="preserve">brave?
</v>
      </c>
      <c r="N3050" s="4" cm="1">
        <f t="array" ref="N3050">SUM(--(_xlfn.TEXTSPLIT($J$2990,, " ") = M3050))</f>
        <v>1</v>
      </c>
      <c r="O3050">
        <v>1</v>
      </c>
      <c r="P3050" t="str">
        <v xml:space="preserve">storm
</v>
      </c>
      <c r="Q3050">
        <v>1</v>
      </c>
    </row>
    <row r="3051" spans="5:17" x14ac:dyDescent="0.2">
      <c r="E3051" s="9" t="s">
        <v>35</v>
      </c>
      <c r="K3051" t="str">
        <v>already</v>
      </c>
      <c r="L3051" s="4" t="str">
        <f t="shared" si="56"/>
        <v>already</v>
      </c>
      <c r="M3051" t="str">
        <v>No</v>
      </c>
      <c r="N3051" s="4" cm="1">
        <f t="array" ref="N3051">SUM(--(_xlfn.TEXTSPLIT($J$2990,, " ") = M3051))</f>
        <v>2</v>
      </c>
      <c r="O3051">
        <v>1</v>
      </c>
      <c r="P3051" t="str">
        <v>wind</v>
      </c>
      <c r="Q3051">
        <v>1</v>
      </c>
    </row>
    <row r="3052" spans="5:17" x14ac:dyDescent="0.2">
      <c r="E3052" s="9" t="s">
        <v>35</v>
      </c>
      <c r="K3052" t="str">
        <v xml:space="preserve">looking
</v>
      </c>
      <c r="L3052" s="4" t="str">
        <f t="shared" si="56"/>
        <v xml:space="preserve">looking  </v>
      </c>
      <c r="M3052" t="str">
        <v>condemn</v>
      </c>
      <c r="N3052" s="4" cm="1">
        <f t="array" ref="N3052">SUM(--(_xlfn.TEXTSPLIT($J$2990,, " ") = M3052))</f>
        <v>5</v>
      </c>
      <c r="O3052">
        <v>1</v>
      </c>
      <c r="P3052" t="str">
        <v>was</v>
      </c>
      <c r="Q3052">
        <v>1</v>
      </c>
    </row>
    <row r="3053" spans="5:17" x14ac:dyDescent="0.2">
      <c r="E3053" s="9" t="s">
        <v>35</v>
      </c>
      <c r="K3053" t="str">
        <v>Most</v>
      </c>
      <c r="L3053" s="4" t="str">
        <f t="shared" si="56"/>
        <v>Most</v>
      </c>
      <c r="M3053" t="str">
        <v xml:space="preserve">you
</v>
      </c>
      <c r="N3053" s="4" cm="1">
        <f t="array" ref="N3053">SUM(--(_xlfn.TEXTSPLIT($J$2990,, " ") = M3053))</f>
        <v>3</v>
      </c>
      <c r="O3053">
        <v>1</v>
      </c>
      <c r="P3053" t="str">
        <v xml:space="preserve">tame
</v>
      </c>
      <c r="Q3053">
        <v>1</v>
      </c>
    </row>
    <row r="3054" spans="5:17" x14ac:dyDescent="0.2">
      <c r="E3054" s="9" t="s">
        <v>35</v>
      </c>
      <c r="K3054" t="str">
        <v>are</v>
      </c>
      <c r="L3054" s="4" t="str">
        <f t="shared" si="56"/>
        <v>are</v>
      </c>
      <c r="M3054" t="str">
        <v>and</v>
      </c>
      <c r="N3054" s="4" cm="1">
        <f t="array" ref="N3054">SUM(--(_xlfn.TEXTSPLIT($J$2990,, " ") = M3054))</f>
        <v>1</v>
      </c>
      <c r="O3054">
        <v>1</v>
      </c>
      <c r="P3054" t="str">
        <v>weren't</v>
      </c>
      <c r="Q3054">
        <v>1</v>
      </c>
    </row>
    <row r="3055" spans="5:17" x14ac:dyDescent="0.2">
      <c r="E3055" s="9" t="s">
        <v>35</v>
      </c>
      <c r="K3055" t="str">
        <v>blown</v>
      </c>
      <c r="L3055" s="4" t="str">
        <f t="shared" si="56"/>
        <v>blown</v>
      </c>
      <c r="M3055" t="str">
        <v xml:space="preserve">forth
</v>
      </c>
      <c r="N3055" s="4" cm="1">
        <f t="array" ref="N3055">SUM(--(_xlfn.TEXTSPLIT($J$2990,, " ") = M3055))</f>
        <v>1</v>
      </c>
      <c r="O3055">
        <v>1</v>
      </c>
      <c r="P3055" t="str">
        <v>waiting</v>
      </c>
      <c r="Q3055">
        <v>1</v>
      </c>
    </row>
    <row r="3056" spans="5:17" x14ac:dyDescent="0.2">
      <c r="E3056" s="9" t="s">
        <v>35</v>
      </c>
      <c r="K3056" t="str">
        <v>down</v>
      </c>
      <c r="L3056" s="4" t="str">
        <f t="shared" ref="L3056:L3119" si="57">_xlfn.REGEXREPLACE(K3056, "[^A-Za-z ]", " ")</f>
        <v>down</v>
      </c>
      <c r="M3056" t="str">
        <v xml:space="preserve">you
</v>
      </c>
      <c r="N3056" s="4" cm="1">
        <f t="array" ref="N3056">SUM(--(_xlfn.TEXTSPLIT($J$2990,, " ") = M3056))</f>
        <v>2</v>
      </c>
      <c r="O3056">
        <v>1</v>
      </c>
      <c r="P3056" t="str">
        <v xml:space="preserve">anymore
</v>
      </c>
      <c r="Q3056">
        <v>1</v>
      </c>
    </row>
    <row r="3057" spans="5:17" x14ac:dyDescent="0.2">
      <c r="E3057" s="9" t="s">
        <v>35</v>
      </c>
      <c r="K3057" t="str">
        <v>in</v>
      </c>
      <c r="L3057" s="4" t="str">
        <f t="shared" si="57"/>
        <v>in</v>
      </c>
      <c r="M3057" t="str">
        <v>tore</v>
      </c>
      <c r="N3057" s="4" cm="1">
        <f t="array" ref="N3057">SUM(--(_xlfn.TEXTSPLIT($J$2990,, " ") = M3057))</f>
        <v>4</v>
      </c>
      <c r="O3057">
        <v>1</v>
      </c>
      <c r="P3057" t="str">
        <v>Were</v>
      </c>
      <c r="Q3057">
        <v>1</v>
      </c>
    </row>
    <row r="3058" spans="5:17" x14ac:dyDescent="0.2">
      <c r="E3058" s="9" t="s">
        <v>35</v>
      </c>
      <c r="K3058" t="str">
        <v>a</v>
      </c>
      <c r="L3058" s="4" t="str">
        <f t="shared" si="57"/>
        <v>a</v>
      </c>
      <c r="M3058" t="str">
        <v>me</v>
      </c>
      <c r="N3058" s="4" cm="1">
        <f t="array" ref="N3058">SUM(--(_xlfn.TEXTSPLIT($J$2990,, " ") = M3058))</f>
        <v>4</v>
      </c>
      <c r="O3058">
        <v>1</v>
      </c>
      <c r="P3058" t="str">
        <v>sad</v>
      </c>
      <c r="Q3058">
        <v>1</v>
      </c>
    </row>
    <row r="3059" spans="5:17" x14ac:dyDescent="0.2">
      <c r="E3059" s="9" t="s">
        <v>35</v>
      </c>
      <c r="K3059" t="str">
        <v xml:space="preserve">storm
</v>
      </c>
      <c r="L3059" s="4" t="str">
        <f t="shared" si="57"/>
        <v xml:space="preserve">storm </v>
      </c>
      <c r="M3059" t="str">
        <v>up</v>
      </c>
      <c r="N3059" s="4" cm="1">
        <f t="array" ref="N3059">SUM(--(_xlfn.TEXTSPLIT($J$2990,, " ") = M3059))</f>
        <v>3</v>
      </c>
      <c r="O3059">
        <v>1</v>
      </c>
      <c r="P3059" t="str">
        <v>or</v>
      </c>
      <c r="Q3059">
        <v>1</v>
      </c>
    </row>
    <row r="3060" spans="5:17" x14ac:dyDescent="0.2">
      <c r="E3060" s="9" t="s">
        <v>35</v>
      </c>
      <c r="K3060" t="str">
        <v>But</v>
      </c>
      <c r="L3060" s="4" t="str">
        <f t="shared" si="57"/>
        <v>But</v>
      </c>
      <c r="M3060" t="str">
        <v>more</v>
      </c>
      <c r="N3060" s="4" cm="1">
        <f t="array" ref="N3060">SUM(--(_xlfn.TEXTSPLIT($J$2990,, " ") = M3060))</f>
        <v>3</v>
      </c>
      <c r="O3060">
        <v>1</v>
      </c>
      <c r="P3060" t="str">
        <v xml:space="preserve">brave?
</v>
      </c>
      <c r="Q3060">
        <v>1</v>
      </c>
    </row>
    <row r="3061" spans="5:17" x14ac:dyDescent="0.2">
      <c r="E3061" s="9" t="s">
        <v>35</v>
      </c>
      <c r="K3061" t="str">
        <v>the</v>
      </c>
      <c r="L3061" s="4" t="str">
        <f t="shared" si="57"/>
        <v>the</v>
      </c>
      <c r="M3061" t="str">
        <v>than</v>
      </c>
      <c r="N3061" s="4" cm="1">
        <f t="array" ref="N3061">SUM(--(_xlfn.TEXTSPLIT($J$2990,, " ") = M3061))</f>
        <v>3</v>
      </c>
      <c r="O3061">
        <v>1</v>
      </c>
      <c r="P3061" t="str">
        <v>and</v>
      </c>
      <c r="Q3061">
        <v>1</v>
      </c>
    </row>
    <row r="3062" spans="5:17" x14ac:dyDescent="0.2">
      <c r="E3062" s="9" t="s">
        <v>35</v>
      </c>
      <c r="K3062" t="str">
        <v>wind</v>
      </c>
      <c r="L3062" s="4" t="str">
        <f t="shared" si="57"/>
        <v>wind</v>
      </c>
      <c r="M3062" t="str">
        <v xml:space="preserve">know
</v>
      </c>
      <c r="N3062" s="4" cm="1">
        <f t="array" ref="N3062">SUM(--(_xlfn.TEXTSPLIT($J$2990,, " ") = M3062))</f>
        <v>3</v>
      </c>
      <c r="O3062">
        <v>1</v>
      </c>
      <c r="P3062" t="str">
        <v xml:space="preserve">forth
</v>
      </c>
      <c r="Q3062">
        <v>1</v>
      </c>
    </row>
    <row r="3063" spans="5:17" x14ac:dyDescent="0.2">
      <c r="E3063" s="9" t="s">
        <v>35</v>
      </c>
      <c r="K3063" t="str">
        <v>was</v>
      </c>
      <c r="L3063" s="4" t="str">
        <f t="shared" si="57"/>
        <v>was</v>
      </c>
      <c r="M3063" t="str">
        <v xml:space="preserve">up
</v>
      </c>
      <c r="N3063" s="4" cm="1">
        <f t="array" ref="N3063">SUM(--(_xlfn.TEXTSPLIT($J$2990,, " ") = M3063))</f>
        <v>1</v>
      </c>
      <c r="O3063">
        <v>1</v>
      </c>
      <c r="P3063" t="str">
        <v xml:space="preserve">up
</v>
      </c>
      <c r="Q3063">
        <v>1</v>
      </c>
    </row>
    <row r="3064" spans="5:17" x14ac:dyDescent="0.2">
      <c r="E3064" s="9" t="s">
        <v>35</v>
      </c>
      <c r="K3064" t="str">
        <v xml:space="preserve">tame
</v>
      </c>
      <c r="L3064" s="4" t="str">
        <f t="shared" si="57"/>
        <v xml:space="preserve">tame </v>
      </c>
      <c r="M3064" t="str">
        <v>looking"</v>
      </c>
      <c r="N3064" s="4" cm="1">
        <f t="array" ref="N3064">SUM(--(_xlfn.TEXTSPLIT($J$2990,, " ") = M3064))</f>
        <v>1</v>
      </c>
      <c r="O3064">
        <v>1</v>
      </c>
      <c r="P3064" t="str">
        <v>looking"</v>
      </c>
      <c r="Q3064">
        <v>1</v>
      </c>
    </row>
    <row r="3065" spans="5:17" x14ac:dyDescent="0.2">
      <c r="E3065" s="9" t="s">
        <v>35</v>
      </c>
      <c r="K3065" t="str">
        <v>You</v>
      </c>
      <c r="L3065" s="4" t="str">
        <f t="shared" si="57"/>
        <v>You</v>
      </c>
      <c r="N3065" s="4" cm="1">
        <f t="array" ref="N3065">SUM(--(_xlfn.TEXTSPLIT($J$2990,, " ") = M3065))</f>
        <v>1</v>
      </c>
      <c r="O3065">
        <v>1</v>
      </c>
      <c r="P3065">
        <v>0</v>
      </c>
      <c r="Q3065">
        <v>1</v>
      </c>
    </row>
    <row r="3066" spans="5:17" x14ac:dyDescent="0.2">
      <c r="E3066" s="9" t="s">
        <v>35</v>
      </c>
      <c r="K3066" t="str">
        <v>weren't</v>
      </c>
      <c r="L3066" s="4" t="str">
        <f t="shared" si="57"/>
        <v>weren t</v>
      </c>
      <c r="N3066" s="4" cm="1">
        <f t="array" ref="N3066">SUM(--(_xlfn.TEXTSPLIT($J$2990,, " ") = M3066))</f>
        <v>1</v>
      </c>
      <c r="O3066">
        <v>1</v>
      </c>
      <c r="P3066">
        <v>0</v>
      </c>
      <c r="Q3066">
        <v>1</v>
      </c>
    </row>
    <row r="3067" spans="5:17" x14ac:dyDescent="0.2">
      <c r="E3067" s="9" t="s">
        <v>35</v>
      </c>
      <c r="K3067" t="str">
        <v>waiting</v>
      </c>
      <c r="L3067" s="4" t="str">
        <f t="shared" si="57"/>
        <v>waiting</v>
      </c>
      <c r="N3067" s="4" cm="1">
        <f t="array" ref="N3067">SUM(--(_xlfn.TEXTSPLIT($J$2990,, " ") = M3067))</f>
        <v>1</v>
      </c>
      <c r="O3067">
        <v>1</v>
      </c>
      <c r="P3067">
        <v>0</v>
      </c>
      <c r="Q3067">
        <v>1</v>
      </c>
    </row>
    <row r="3068" spans="5:17" x14ac:dyDescent="0.2">
      <c r="E3068" s="9" t="s">
        <v>35</v>
      </c>
      <c r="K3068" t="str">
        <v xml:space="preserve">anymore
</v>
      </c>
      <c r="L3068" s="4" t="str">
        <f t="shared" si="57"/>
        <v xml:space="preserve">anymore </v>
      </c>
      <c r="N3068" s="4" cm="1">
        <f t="array" ref="N3068">SUM(--(_xlfn.TEXTSPLIT($J$2990,, " ") = M3068))</f>
        <v>1</v>
      </c>
      <c r="O3068">
        <v>1</v>
      </c>
      <c r="P3068">
        <v>0</v>
      </c>
      <c r="Q3068">
        <v>1</v>
      </c>
    </row>
    <row r="3069" spans="5:17" x14ac:dyDescent="0.2">
      <c r="E3069" s="9" t="s">
        <v>35</v>
      </c>
      <c r="K3069" t="str">
        <v>Were</v>
      </c>
      <c r="L3069" s="4" t="str">
        <f t="shared" si="57"/>
        <v>Were</v>
      </c>
      <c r="N3069" s="4" cm="1">
        <f t="array" ref="N3069">SUM(--(_xlfn.TEXTSPLIT($J$2990,, " ") = M3069))</f>
        <v>1</v>
      </c>
      <c r="O3069">
        <v>1</v>
      </c>
      <c r="P3069">
        <v>0</v>
      </c>
      <c r="Q3069">
        <v>1</v>
      </c>
    </row>
    <row r="3070" spans="5:17" x14ac:dyDescent="0.2">
      <c r="E3070" s="9" t="s">
        <v>35</v>
      </c>
      <c r="K3070" t="str">
        <v>you</v>
      </c>
      <c r="L3070" s="4" t="str">
        <f t="shared" si="57"/>
        <v>you</v>
      </c>
      <c r="N3070" s="4" cm="1">
        <f t="array" ref="N3070">SUM(--(_xlfn.TEXTSPLIT($J$2990,, " ") = M3070))</f>
        <v>1</v>
      </c>
      <c r="O3070">
        <v>1</v>
      </c>
      <c r="P3070">
        <v>0</v>
      </c>
      <c r="Q3070">
        <v>1</v>
      </c>
    </row>
    <row r="3071" spans="5:17" x14ac:dyDescent="0.2">
      <c r="E3071" s="9" t="s">
        <v>35</v>
      </c>
      <c r="K3071" t="str">
        <v>sad</v>
      </c>
      <c r="L3071" s="4" t="str">
        <f t="shared" si="57"/>
        <v>sad</v>
      </c>
      <c r="N3071" s="4" cm="1">
        <f t="array" ref="N3071">SUM(--(_xlfn.TEXTSPLIT($J$2990,, " ") = M3071))</f>
        <v>1</v>
      </c>
      <c r="O3071">
        <v>1</v>
      </c>
      <c r="P3071">
        <v>0</v>
      </c>
      <c r="Q3071">
        <v>1</v>
      </c>
    </row>
    <row r="3072" spans="5:17" x14ac:dyDescent="0.2">
      <c r="E3072" s="9" t="s">
        <v>35</v>
      </c>
      <c r="K3072" t="str">
        <v>or</v>
      </c>
      <c r="L3072" s="4" t="str">
        <f t="shared" si="57"/>
        <v>or</v>
      </c>
      <c r="N3072" s="4" cm="1">
        <f t="array" ref="N3072">SUM(--(_xlfn.TEXTSPLIT($J$2990,, " ") = M3072))</f>
        <v>1</v>
      </c>
      <c r="O3072">
        <v>1</v>
      </c>
      <c r="P3072">
        <v>0</v>
      </c>
      <c r="Q3072">
        <v>1</v>
      </c>
    </row>
    <row r="3073" spans="5:17" x14ac:dyDescent="0.2">
      <c r="E3073" s="9" t="s">
        <v>35</v>
      </c>
      <c r="K3073" t="str">
        <v xml:space="preserve">brave?
</v>
      </c>
      <c r="L3073" s="4" t="str">
        <f t="shared" si="57"/>
        <v xml:space="preserve">brave  </v>
      </c>
      <c r="N3073" s="4" cm="1">
        <f t="array" ref="N3073">SUM(--(_xlfn.TEXTSPLIT($J$2990,, " ") = M3073))</f>
        <v>1</v>
      </c>
      <c r="O3073">
        <v>1</v>
      </c>
      <c r="P3073">
        <v>0</v>
      </c>
      <c r="Q3073">
        <v>1</v>
      </c>
    </row>
    <row r="3074" spans="5:17" x14ac:dyDescent="0.2">
      <c r="E3074" s="9" t="s">
        <v>35</v>
      </c>
      <c r="K3074" t="str">
        <v>No</v>
      </c>
      <c r="L3074" s="4" t="str">
        <f t="shared" si="57"/>
        <v>No</v>
      </c>
      <c r="N3074" s="4" cm="1">
        <f t="array" ref="N3074">SUM(--(_xlfn.TEXTSPLIT($J$2990,, " ") = M3074))</f>
        <v>1</v>
      </c>
      <c r="O3074">
        <v>1</v>
      </c>
      <c r="P3074">
        <v>0</v>
      </c>
      <c r="Q3074">
        <v>1</v>
      </c>
    </row>
    <row r="3075" spans="5:17" x14ac:dyDescent="0.2">
      <c r="E3075" s="9" t="s">
        <v>35</v>
      </c>
      <c r="K3075" t="str">
        <v>I</v>
      </c>
      <c r="L3075" s="4" t="str">
        <f t="shared" si="57"/>
        <v>I</v>
      </c>
      <c r="N3075" s="4" cm="1">
        <f t="array" ref="N3075">SUM(--(_xlfn.TEXTSPLIT($J$2990,, " ") = M3075))</f>
        <v>1</v>
      </c>
      <c r="O3075">
        <v>1</v>
      </c>
      <c r="P3075">
        <v>0</v>
      </c>
      <c r="Q3075">
        <v>1</v>
      </c>
    </row>
    <row r="3076" spans="5:17" x14ac:dyDescent="0.2">
      <c r="E3076" s="9" t="s">
        <v>35</v>
      </c>
      <c r="K3076" t="str">
        <v>don't,</v>
      </c>
      <c r="L3076" s="4" t="str">
        <f t="shared" si="57"/>
        <v xml:space="preserve">don t </v>
      </c>
      <c r="N3076" s="4" cm="1">
        <f t="array" ref="N3076">SUM(--(_xlfn.TEXTSPLIT($J$2990,, " ") = M3076))</f>
        <v>1</v>
      </c>
      <c r="O3076">
        <v>1</v>
      </c>
      <c r="P3076">
        <v>0</v>
      </c>
      <c r="Q3076">
        <v>1</v>
      </c>
    </row>
    <row r="3077" spans="5:17" x14ac:dyDescent="0.2">
      <c r="E3077" s="9" t="s">
        <v>35</v>
      </c>
      <c r="K3077" t="str">
        <v>no,</v>
      </c>
      <c r="L3077" s="4" t="str">
        <f t="shared" si="57"/>
        <v xml:space="preserve">no </v>
      </c>
      <c r="N3077" s="4" cm="1">
        <f t="array" ref="N3077">SUM(--(_xlfn.TEXTSPLIT($J$2990,, " ") = M3077))</f>
        <v>1</v>
      </c>
      <c r="O3077">
        <v>1</v>
      </c>
      <c r="P3077">
        <v>0</v>
      </c>
      <c r="Q3077">
        <v>1</v>
      </c>
    </row>
    <row r="3078" spans="5:17" x14ac:dyDescent="0.2">
      <c r="E3078" s="9" t="s">
        <v>35</v>
      </c>
      <c r="K3078" t="str">
        <v>I</v>
      </c>
      <c r="L3078" s="4" t="str">
        <f t="shared" si="57"/>
        <v>I</v>
      </c>
      <c r="N3078" s="4" cm="1">
        <f t="array" ref="N3078">SUM(--(_xlfn.TEXTSPLIT($J$2990,, " ") = M3078))</f>
        <v>1</v>
      </c>
      <c r="O3078">
        <v>1</v>
      </c>
      <c r="P3078">
        <v>0</v>
      </c>
      <c r="Q3078">
        <v>1</v>
      </c>
    </row>
    <row r="3079" spans="5:17" x14ac:dyDescent="0.2">
      <c r="E3079" s="9" t="s">
        <v>35</v>
      </c>
      <c r="K3079" t="str">
        <v>don't</v>
      </c>
      <c r="L3079" s="4" t="str">
        <f t="shared" si="57"/>
        <v>don t</v>
      </c>
      <c r="N3079" s="4" cm="1">
        <f t="array" ref="N3079">SUM(--(_xlfn.TEXTSPLIT($J$2990,, " ") = M3079))</f>
        <v>1</v>
      </c>
      <c r="O3079">
        <v>1</v>
      </c>
      <c r="P3079">
        <v>0</v>
      </c>
      <c r="Q3079">
        <v>1</v>
      </c>
    </row>
    <row r="3080" spans="5:17" x14ac:dyDescent="0.2">
      <c r="E3080" s="9" t="s">
        <v>35</v>
      </c>
      <c r="K3080" t="str">
        <v>condemn</v>
      </c>
      <c r="L3080" s="4" t="str">
        <f t="shared" si="57"/>
        <v>condemn</v>
      </c>
      <c r="N3080" s="4" cm="1">
        <f t="array" ref="N3080">SUM(--(_xlfn.TEXTSPLIT($J$2990,, " ") = M3080))</f>
        <v>1</v>
      </c>
      <c r="O3080">
        <v>1</v>
      </c>
      <c r="P3080">
        <v>0</v>
      </c>
      <c r="Q3080">
        <v>1</v>
      </c>
    </row>
    <row r="3081" spans="5:17" x14ac:dyDescent="0.2">
      <c r="E3081" s="9" t="s">
        <v>35</v>
      </c>
      <c r="K3081" t="str">
        <v xml:space="preserve">you
</v>
      </c>
      <c r="L3081" s="4" t="str">
        <f t="shared" si="57"/>
        <v xml:space="preserve">you </v>
      </c>
      <c r="N3081" s="4" cm="1">
        <f t="array" ref="N3081">SUM(--(_xlfn.TEXTSPLIT($J$2990,, " ") = M3081))</f>
        <v>1</v>
      </c>
      <c r="O3081">
        <v>1</v>
      </c>
      <c r="P3081">
        <v>0</v>
      </c>
      <c r="Q3081">
        <v>1</v>
      </c>
    </row>
    <row r="3082" spans="5:17" x14ac:dyDescent="0.2">
      <c r="E3082" s="9" t="s">
        <v>35</v>
      </c>
      <c r="K3082" t="str">
        <v>Back</v>
      </c>
      <c r="L3082" s="4" t="str">
        <f t="shared" si="57"/>
        <v>Back</v>
      </c>
      <c r="N3082" s="4" cm="1">
        <f t="array" ref="N3082">SUM(--(_xlfn.TEXTSPLIT($J$2990,, " ") = M3082))</f>
        <v>1</v>
      </c>
      <c r="O3082">
        <v>1</v>
      </c>
      <c r="P3082">
        <v>0</v>
      </c>
      <c r="Q3082">
        <v>1</v>
      </c>
    </row>
    <row r="3083" spans="5:17" x14ac:dyDescent="0.2">
      <c r="E3083" s="9" t="s">
        <v>35</v>
      </c>
      <c r="K3083" t="str">
        <v>and</v>
      </c>
      <c r="L3083" s="4" t="str">
        <f t="shared" si="57"/>
        <v>and</v>
      </c>
      <c r="N3083" s="4" cm="1">
        <f t="array" ref="N3083">SUM(--(_xlfn.TEXTSPLIT($J$2990,, " ") = M3083))</f>
        <v>1</v>
      </c>
      <c r="O3083">
        <v>1</v>
      </c>
      <c r="P3083">
        <v>0</v>
      </c>
      <c r="Q3083">
        <v>1</v>
      </c>
    </row>
    <row r="3084" spans="5:17" x14ac:dyDescent="0.2">
      <c r="E3084" s="9" t="s">
        <v>35</v>
      </c>
      <c r="K3084" t="str">
        <v xml:space="preserve">forth
</v>
      </c>
      <c r="L3084" s="4" t="str">
        <f t="shared" si="57"/>
        <v xml:space="preserve">forth </v>
      </c>
      <c r="N3084" s="4" cm="1">
        <f t="array" ref="N3084">SUM(--(_xlfn.TEXTSPLIT($J$2990,, " ") = M3084))</f>
        <v>1</v>
      </c>
      <c r="O3084">
        <v>1</v>
      </c>
      <c r="P3084">
        <v>0</v>
      </c>
      <c r="Q3084">
        <v>1</v>
      </c>
    </row>
    <row r="3085" spans="5:17" x14ac:dyDescent="0.2">
      <c r="E3085" s="9" t="s">
        <v>35</v>
      </c>
      <c r="K3085" t="str">
        <v>No</v>
      </c>
      <c r="L3085" s="4" t="str">
        <f t="shared" si="57"/>
        <v>No</v>
      </c>
      <c r="N3085" s="4" cm="1">
        <f t="array" ref="N3085">SUM(--(_xlfn.TEXTSPLIT($J$2990,, " ") = M3085))</f>
        <v>1</v>
      </c>
      <c r="O3085">
        <v>1</v>
      </c>
      <c r="P3085">
        <v>0</v>
      </c>
      <c r="Q3085">
        <v>1</v>
      </c>
    </row>
    <row r="3086" spans="5:17" x14ac:dyDescent="0.2">
      <c r="E3086" s="9" t="s">
        <v>35</v>
      </c>
      <c r="K3086" t="str">
        <v>I</v>
      </c>
      <c r="L3086" s="4" t="str">
        <f t="shared" si="57"/>
        <v>I</v>
      </c>
      <c r="N3086" s="4" cm="1">
        <f t="array" ref="N3086">SUM(--(_xlfn.TEXTSPLIT($J$2990,, " ") = M3086))</f>
        <v>1</v>
      </c>
      <c r="O3086">
        <v>1</v>
      </c>
      <c r="P3086">
        <v>0</v>
      </c>
      <c r="Q3086">
        <v>1</v>
      </c>
    </row>
    <row r="3087" spans="5:17" x14ac:dyDescent="0.2">
      <c r="E3087" s="9" t="s">
        <v>35</v>
      </c>
      <c r="K3087" t="str">
        <v>don't,</v>
      </c>
      <c r="L3087" s="4" t="str">
        <f t="shared" si="57"/>
        <v xml:space="preserve">don t </v>
      </c>
      <c r="N3087" s="4" cm="1">
        <f t="array" ref="N3087">SUM(--(_xlfn.TEXTSPLIT($J$2990,, " ") = M3087))</f>
        <v>1</v>
      </c>
      <c r="O3087">
        <v>1</v>
      </c>
      <c r="P3087">
        <v>0</v>
      </c>
      <c r="Q3087">
        <v>1</v>
      </c>
    </row>
    <row r="3088" spans="5:17" x14ac:dyDescent="0.2">
      <c r="E3088" s="9" t="s">
        <v>35</v>
      </c>
      <c r="K3088" t="str">
        <v>no,</v>
      </c>
      <c r="L3088" s="4" t="str">
        <f t="shared" si="57"/>
        <v xml:space="preserve">no </v>
      </c>
      <c r="N3088" s="4" cm="1">
        <f t="array" ref="N3088">SUM(--(_xlfn.TEXTSPLIT($J$2990,, " ") = M3088))</f>
        <v>1</v>
      </c>
      <c r="O3088">
        <v>1</v>
      </c>
      <c r="P3088">
        <v>0</v>
      </c>
      <c r="Q3088">
        <v>1</v>
      </c>
    </row>
    <row r="3089" spans="5:17" x14ac:dyDescent="0.2">
      <c r="E3089" s="9" t="s">
        <v>35</v>
      </c>
      <c r="K3089" t="str">
        <v>I</v>
      </c>
      <c r="L3089" s="4" t="str">
        <f t="shared" si="57"/>
        <v>I</v>
      </c>
      <c r="N3089" s="4" cm="1">
        <f t="array" ref="N3089">SUM(--(_xlfn.TEXTSPLIT($J$2990,, " ") = M3089))</f>
        <v>1</v>
      </c>
      <c r="O3089">
        <v>1</v>
      </c>
      <c r="P3089">
        <v>0</v>
      </c>
      <c r="Q3089">
        <v>1</v>
      </c>
    </row>
    <row r="3090" spans="5:17" x14ac:dyDescent="0.2">
      <c r="E3090" s="9" t="s">
        <v>35</v>
      </c>
      <c r="K3090" t="str">
        <v>don't</v>
      </c>
      <c r="L3090" s="4" t="str">
        <f t="shared" si="57"/>
        <v>don t</v>
      </c>
      <c r="N3090" s="4" cm="1">
        <f t="array" ref="N3090">SUM(--(_xlfn.TEXTSPLIT($J$2990,, " ") = M3090))</f>
        <v>1</v>
      </c>
      <c r="O3090">
        <v>1</v>
      </c>
      <c r="P3090">
        <v>0</v>
      </c>
      <c r="Q3090">
        <v>1</v>
      </c>
    </row>
    <row r="3091" spans="5:17" x14ac:dyDescent="0.2">
      <c r="E3091" s="9" t="s">
        <v>35</v>
      </c>
      <c r="K3091" t="str">
        <v>condemn</v>
      </c>
      <c r="L3091" s="4" t="str">
        <f t="shared" si="57"/>
        <v>condemn</v>
      </c>
      <c r="N3091" s="4" cm="1">
        <f t="array" ref="N3091">SUM(--(_xlfn.TEXTSPLIT($J$2990,, " ") = M3091))</f>
        <v>1</v>
      </c>
      <c r="O3091">
        <v>1</v>
      </c>
      <c r="P3091">
        <v>0</v>
      </c>
      <c r="Q3091">
        <v>1</v>
      </c>
    </row>
    <row r="3092" spans="5:17" x14ac:dyDescent="0.2">
      <c r="E3092" s="9" t="s">
        <v>35</v>
      </c>
      <c r="K3092" t="str">
        <v xml:space="preserve">you
</v>
      </c>
      <c r="L3092" s="4" t="str">
        <f t="shared" si="57"/>
        <v xml:space="preserve">you  </v>
      </c>
      <c r="N3092" s="4" cm="1">
        <f t="array" ref="N3092">SUM(--(_xlfn.TEXTSPLIT($J$2990,, " ") = M3092))</f>
        <v>1</v>
      </c>
      <c r="O3092">
        <v>1</v>
      </c>
      <c r="P3092">
        <v>0</v>
      </c>
      <c r="Q3092">
        <v>1</v>
      </c>
    </row>
    <row r="3093" spans="5:17" x14ac:dyDescent="0.2">
      <c r="E3093" s="9" t="s">
        <v>35</v>
      </c>
      <c r="K3093" t="str">
        <v>Condemn</v>
      </c>
      <c r="L3093" s="4" t="str">
        <f t="shared" si="57"/>
        <v>Condemn</v>
      </c>
      <c r="N3093" s="4" cm="1">
        <f t="array" ref="N3093">SUM(--(_xlfn.TEXTSPLIT($J$2990,, " ") = M3093))</f>
        <v>1</v>
      </c>
      <c r="O3093">
        <v>1</v>
      </c>
      <c r="P3093">
        <v>0</v>
      </c>
      <c r="Q3093">
        <v>1</v>
      </c>
    </row>
    <row r="3094" spans="5:17" x14ac:dyDescent="0.2">
      <c r="E3094" s="9" t="s">
        <v>35</v>
      </c>
      <c r="K3094" t="str">
        <v xml:space="preserve">you
</v>
      </c>
      <c r="L3094" s="4" t="str">
        <f t="shared" si="57"/>
        <v xml:space="preserve">you </v>
      </c>
      <c r="N3094" s="4" cm="1">
        <f t="array" ref="N3094">SUM(--(_xlfn.TEXTSPLIT($J$2990,, " ") = M3094))</f>
        <v>1</v>
      </c>
      <c r="O3094">
        <v>1</v>
      </c>
      <c r="P3094">
        <v>0</v>
      </c>
      <c r="Q3094">
        <v>1</v>
      </c>
    </row>
    <row r="3095" spans="5:17" x14ac:dyDescent="0.2">
      <c r="E3095" s="9" t="s">
        <v>35</v>
      </c>
      <c r="K3095" t="str">
        <v>Condemn</v>
      </c>
      <c r="L3095" s="4" t="str">
        <f t="shared" si="57"/>
        <v>Condemn</v>
      </c>
      <c r="N3095" s="4" cm="1">
        <f t="array" ref="N3095">SUM(--(_xlfn.TEXTSPLIT($J$2990,, " ") = M3095))</f>
        <v>1</v>
      </c>
      <c r="O3095">
        <v>1</v>
      </c>
      <c r="P3095">
        <v>0</v>
      </c>
      <c r="Q3095">
        <v>1</v>
      </c>
    </row>
    <row r="3096" spans="5:17" x14ac:dyDescent="0.2">
      <c r="E3096" s="9" t="s">
        <v>35</v>
      </c>
      <c r="K3096" t="str">
        <v xml:space="preserve">you
</v>
      </c>
      <c r="L3096" s="4" t="str">
        <f t="shared" si="57"/>
        <v xml:space="preserve">you </v>
      </c>
      <c r="N3096" s="4" cm="1">
        <f t="array" ref="N3096">SUM(--(_xlfn.TEXTSPLIT($J$2990,, " ") = M3096))</f>
        <v>1</v>
      </c>
      <c r="O3096">
        <v>1</v>
      </c>
      <c r="P3096">
        <v>0</v>
      </c>
      <c r="Q3096">
        <v>1</v>
      </c>
    </row>
    <row r="3097" spans="5:17" x14ac:dyDescent="0.2">
      <c r="E3097" s="9" t="s">
        <v>35</v>
      </c>
      <c r="K3097" t="str">
        <v>Condemn</v>
      </c>
      <c r="L3097" s="4" t="str">
        <f t="shared" si="57"/>
        <v>Condemn</v>
      </c>
      <c r="N3097" s="4" cm="1">
        <f t="array" ref="N3097">SUM(--(_xlfn.TEXTSPLIT($J$2990,, " ") = M3097))</f>
        <v>1</v>
      </c>
      <c r="O3097">
        <v>1</v>
      </c>
      <c r="P3097">
        <v>0</v>
      </c>
      <c r="Q3097">
        <v>1</v>
      </c>
    </row>
    <row r="3098" spans="5:17" x14ac:dyDescent="0.2">
      <c r="E3098" s="9" t="s">
        <v>35</v>
      </c>
      <c r="K3098" t="str">
        <v xml:space="preserve">you
</v>
      </c>
      <c r="L3098" s="4" t="str">
        <f t="shared" si="57"/>
        <v xml:space="preserve">you  </v>
      </c>
      <c r="N3098" s="4" cm="1">
        <f t="array" ref="N3098">SUM(--(_xlfn.TEXTSPLIT($J$2990,, " ") = M3098))</f>
        <v>1</v>
      </c>
      <c r="O3098">
        <v>1</v>
      </c>
      <c r="P3098">
        <v>0</v>
      </c>
      <c r="Q3098">
        <v>1</v>
      </c>
    </row>
    <row r="3099" spans="5:17" x14ac:dyDescent="0.2">
      <c r="E3099" s="9" t="s">
        <v>35</v>
      </c>
      <c r="K3099" t="str">
        <v>I</v>
      </c>
      <c r="L3099" s="4" t="str">
        <f t="shared" si="57"/>
        <v>I</v>
      </c>
      <c r="N3099" s="4" cm="1">
        <f t="array" ref="N3099">SUM(--(_xlfn.TEXTSPLIT($J$2990,, " ") = M3099))</f>
        <v>1</v>
      </c>
      <c r="O3099">
        <v>1</v>
      </c>
      <c r="P3099">
        <v>0</v>
      </c>
      <c r="Q3099">
        <v>1</v>
      </c>
    </row>
    <row r="3100" spans="5:17" x14ac:dyDescent="0.2">
      <c r="E3100" s="9" t="s">
        <v>35</v>
      </c>
      <c r="K3100" t="str">
        <v>look</v>
      </c>
      <c r="L3100" s="4" t="str">
        <f t="shared" si="57"/>
        <v>look</v>
      </c>
      <c r="N3100" s="4" cm="1">
        <f t="array" ref="N3100">SUM(--(_xlfn.TEXTSPLIT($J$2990,, " ") = M3100))</f>
        <v>1</v>
      </c>
      <c r="O3100">
        <v>1</v>
      </c>
      <c r="P3100">
        <v>0</v>
      </c>
      <c r="Q3100">
        <v>1</v>
      </c>
    </row>
    <row r="3101" spans="5:17" x14ac:dyDescent="0.2">
      <c r="E3101" s="9" t="s">
        <v>35</v>
      </c>
      <c r="K3101" t="str">
        <v>back</v>
      </c>
      <c r="L3101" s="4" t="str">
        <f t="shared" si="57"/>
        <v>back</v>
      </c>
      <c r="N3101" s="4" cm="1">
        <f t="array" ref="N3101">SUM(--(_xlfn.TEXTSPLIT($J$2990,, " ") = M3101))</f>
        <v>1</v>
      </c>
      <c r="O3101">
        <v>1</v>
      </c>
      <c r="P3101">
        <v>0</v>
      </c>
      <c r="Q3101">
        <v>1</v>
      </c>
    </row>
    <row r="3102" spans="5:17" x14ac:dyDescent="0.2">
      <c r="E3102" s="9" t="s">
        <v>35</v>
      </c>
      <c r="K3102" t="str">
        <v>in</v>
      </c>
      <c r="L3102" s="4" t="str">
        <f t="shared" si="57"/>
        <v>in</v>
      </c>
      <c r="N3102" s="4" cm="1">
        <f t="array" ref="N3102">SUM(--(_xlfn.TEXTSPLIT($J$2990,, " ") = M3102))</f>
        <v>1</v>
      </c>
      <c r="O3102">
        <v>1</v>
      </c>
      <c r="P3102">
        <v>0</v>
      </c>
      <c r="Q3102">
        <v>1</v>
      </c>
    </row>
    <row r="3103" spans="5:17" x14ac:dyDescent="0.2">
      <c r="E3103" s="9" t="s">
        <v>35</v>
      </c>
      <c r="K3103" t="str">
        <v>time</v>
      </c>
      <c r="L3103" s="4" t="str">
        <f t="shared" si="57"/>
        <v>time</v>
      </c>
      <c r="N3103" s="4" cm="1">
        <f t="array" ref="N3103">SUM(--(_xlfn.TEXTSPLIT($J$2990,, " ") = M3103))</f>
        <v>1</v>
      </c>
      <c r="O3103">
        <v>1</v>
      </c>
      <c r="P3103">
        <v>0</v>
      </c>
      <c r="Q3103">
        <v>1</v>
      </c>
    </row>
    <row r="3104" spans="5:17" x14ac:dyDescent="0.2">
      <c r="E3104" s="9" t="s">
        <v>35</v>
      </c>
      <c r="K3104" t="str">
        <v>through</v>
      </c>
      <c r="L3104" s="4" t="str">
        <f t="shared" si="57"/>
        <v>through</v>
      </c>
      <c r="N3104" s="4" cm="1">
        <f t="array" ref="N3104">SUM(--(_xlfn.TEXTSPLIT($J$2990,, " ") = M3104))</f>
        <v>1</v>
      </c>
      <c r="O3104">
        <v>1</v>
      </c>
      <c r="P3104">
        <v>0</v>
      </c>
      <c r="Q3104">
        <v>1</v>
      </c>
    </row>
    <row r="3105" spans="5:17" x14ac:dyDescent="0.2">
      <c r="E3105" s="9" t="s">
        <v>35</v>
      </c>
      <c r="K3105" t="str">
        <v>a</v>
      </c>
      <c r="L3105" s="4" t="str">
        <f t="shared" si="57"/>
        <v>a</v>
      </c>
      <c r="N3105" s="4" cm="1">
        <f t="array" ref="N3105">SUM(--(_xlfn.TEXTSPLIT($J$2990,, " ") = M3105))</f>
        <v>1</v>
      </c>
      <c r="O3105">
        <v>1</v>
      </c>
      <c r="P3105">
        <v>0</v>
      </c>
      <c r="Q3105">
        <v>1</v>
      </c>
    </row>
    <row r="3106" spans="5:17" x14ac:dyDescent="0.2">
      <c r="E3106" s="9" t="s">
        <v>35</v>
      </c>
      <c r="K3106" t="str">
        <v xml:space="preserve">telescope
</v>
      </c>
      <c r="L3106" s="4" t="str">
        <f t="shared" si="57"/>
        <v xml:space="preserve">telescope </v>
      </c>
      <c r="N3106" s="4" cm="1">
        <f t="array" ref="N3106">SUM(--(_xlfn.TEXTSPLIT($J$2990,, " ") = M3106))</f>
        <v>1</v>
      </c>
      <c r="O3106">
        <v>1</v>
      </c>
      <c r="P3106">
        <v>0</v>
      </c>
      <c r="Q3106">
        <v>1</v>
      </c>
    </row>
    <row r="3107" spans="5:17" x14ac:dyDescent="0.2">
      <c r="E3107" s="9" t="s">
        <v>35</v>
      </c>
      <c r="K3107" t="str">
        <v>I've</v>
      </c>
      <c r="L3107" s="4" t="str">
        <f t="shared" si="57"/>
        <v>I ve</v>
      </c>
      <c r="N3107" s="4" cm="1">
        <f t="array" ref="N3107">SUM(--(_xlfn.TEXTSPLIT($J$2990,, " ") = M3107))</f>
        <v>1</v>
      </c>
      <c r="O3107">
        <v>1</v>
      </c>
      <c r="P3107">
        <v>0</v>
      </c>
      <c r="Q3107">
        <v>1</v>
      </c>
    </row>
    <row r="3108" spans="5:17" x14ac:dyDescent="0.2">
      <c r="E3108" s="9" t="s">
        <v>35</v>
      </c>
      <c r="K3108" t="str">
        <v>been</v>
      </c>
      <c r="L3108" s="4" t="str">
        <f t="shared" si="57"/>
        <v>been</v>
      </c>
      <c r="N3108" s="4" cm="1">
        <f t="array" ref="N3108">SUM(--(_xlfn.TEXTSPLIT($J$2990,, " ") = M3108))</f>
        <v>1</v>
      </c>
      <c r="O3108">
        <v>1</v>
      </c>
      <c r="P3108">
        <v>0</v>
      </c>
      <c r="Q3108">
        <v>1</v>
      </c>
    </row>
    <row r="3109" spans="5:17" x14ac:dyDescent="0.2">
      <c r="E3109" s="9" t="s">
        <v>35</v>
      </c>
      <c r="K3109" t="str">
        <v>catching</v>
      </c>
      <c r="L3109" s="4" t="str">
        <f t="shared" si="57"/>
        <v>catching</v>
      </c>
      <c r="N3109" s="4" cm="1">
        <f t="array" ref="N3109">SUM(--(_xlfn.TEXTSPLIT($J$2990,, " ") = M3109))</f>
        <v>1</v>
      </c>
      <c r="O3109">
        <v>1</v>
      </c>
      <c r="P3109">
        <v>0</v>
      </c>
      <c r="Q3109">
        <v>1</v>
      </c>
    </row>
    <row r="3110" spans="5:17" x14ac:dyDescent="0.2">
      <c r="E3110" s="9" t="s">
        <v>35</v>
      </c>
      <c r="K3110" t="str">
        <v xml:space="preserve">my
</v>
      </c>
      <c r="L3110" s="4" t="str">
        <f t="shared" si="57"/>
        <v xml:space="preserve">my </v>
      </c>
      <c r="N3110" s="4" cm="1">
        <f t="array" ref="N3110">SUM(--(_xlfn.TEXTSPLIT($J$2990,, " ") = M3110))</f>
        <v>1</v>
      </c>
      <c r="O3110">
        <v>1</v>
      </c>
      <c r="P3110">
        <v>0</v>
      </c>
      <c r="Q3110">
        <v>1</v>
      </c>
    </row>
    <row r="3111" spans="5:17" x14ac:dyDescent="0.2">
      <c r="E3111" s="9" t="s">
        <v>35</v>
      </c>
      <c r="K3111" t="str">
        <v>I've</v>
      </c>
      <c r="L3111" s="4" t="str">
        <f t="shared" si="57"/>
        <v>I ve</v>
      </c>
      <c r="N3111" s="4" cm="1">
        <f t="array" ref="N3111">SUM(--(_xlfn.TEXTSPLIT($J$2990,, " ") = M3111))</f>
        <v>1</v>
      </c>
      <c r="O3111">
        <v>1</v>
      </c>
      <c r="P3111">
        <v>0</v>
      </c>
      <c r="Q3111">
        <v>1</v>
      </c>
    </row>
    <row r="3112" spans="5:17" x14ac:dyDescent="0.2">
      <c r="E3112" s="9" t="s">
        <v>35</v>
      </c>
      <c r="K3112" t="str">
        <v>been</v>
      </c>
      <c r="L3112" s="4" t="str">
        <f t="shared" si="57"/>
        <v>been</v>
      </c>
      <c r="N3112" s="4" cm="1">
        <f t="array" ref="N3112">SUM(--(_xlfn.TEXTSPLIT($J$2990,, " ") = M3112))</f>
        <v>1</v>
      </c>
      <c r="O3112">
        <v>1</v>
      </c>
      <c r="P3112">
        <v>0</v>
      </c>
      <c r="Q3112">
        <v>1</v>
      </c>
    </row>
    <row r="3113" spans="5:17" x14ac:dyDescent="0.2">
      <c r="E3113" s="9" t="s">
        <v>35</v>
      </c>
      <c r="K3113" t="str">
        <v>catching</v>
      </c>
      <c r="L3113" s="4" t="str">
        <f t="shared" si="57"/>
        <v>catching</v>
      </c>
      <c r="N3113" s="4" cm="1">
        <f t="array" ref="N3113">SUM(--(_xlfn.TEXTSPLIT($J$2990,, " ") = M3113))</f>
        <v>1</v>
      </c>
      <c r="O3113">
        <v>1</v>
      </c>
      <c r="P3113">
        <v>0</v>
      </c>
      <c r="Q3113">
        <v>1</v>
      </c>
    </row>
    <row r="3114" spans="5:17" x14ac:dyDescent="0.2">
      <c r="E3114" s="9" t="s">
        <v>35</v>
      </c>
      <c r="K3114" t="str">
        <v xml:space="preserve">my
</v>
      </c>
      <c r="L3114" s="4" t="str">
        <f t="shared" si="57"/>
        <v xml:space="preserve">my </v>
      </c>
      <c r="N3114" s="4" cm="1">
        <f t="array" ref="N3114">SUM(--(_xlfn.TEXTSPLIT($J$2990,, " ") = M3114))</f>
        <v>1</v>
      </c>
      <c r="O3114">
        <v>1</v>
      </c>
      <c r="P3114">
        <v>0</v>
      </c>
      <c r="Q3114">
        <v>1</v>
      </c>
    </row>
    <row r="3115" spans="5:17" x14ac:dyDescent="0.2">
      <c r="E3115" s="9" t="s">
        <v>35</v>
      </c>
      <c r="K3115" t="str">
        <v>My</v>
      </c>
      <c r="L3115" s="4" t="str">
        <f t="shared" si="57"/>
        <v>My</v>
      </c>
      <c r="N3115" s="4" cm="1">
        <f t="array" ref="N3115">SUM(--(_xlfn.TEXTSPLIT($J$2990,, " ") = M3115))</f>
        <v>1</v>
      </c>
      <c r="O3115">
        <v>1</v>
      </c>
      <c r="P3115">
        <v>0</v>
      </c>
      <c r="Q3115">
        <v>1</v>
      </c>
    </row>
    <row r="3116" spans="5:17" x14ac:dyDescent="0.2">
      <c r="E3116" s="9" t="s">
        <v>35</v>
      </c>
      <c r="K3116" t="str">
        <v>reflection</v>
      </c>
      <c r="L3116" s="4" t="str">
        <f t="shared" si="57"/>
        <v>reflection</v>
      </c>
      <c r="N3116" s="4" cm="1">
        <f t="array" ref="N3116">SUM(--(_xlfn.TEXTSPLIT($J$2990,, " ") = M3116))</f>
        <v>1</v>
      </c>
      <c r="O3116">
        <v>1</v>
      </c>
      <c r="P3116">
        <v>0</v>
      </c>
      <c r="Q3116">
        <v>1</v>
      </c>
    </row>
    <row r="3117" spans="5:17" x14ac:dyDescent="0.2">
      <c r="E3117" s="9" t="s">
        <v>35</v>
      </c>
      <c r="K3117" t="str">
        <v>already</v>
      </c>
      <c r="L3117" s="4" t="str">
        <f t="shared" si="57"/>
        <v>already</v>
      </c>
      <c r="N3117" s="4" cm="1">
        <f t="array" ref="N3117">SUM(--(_xlfn.TEXTSPLIT($J$2990,, " ") = M3117))</f>
        <v>1</v>
      </c>
      <c r="O3117">
        <v>1</v>
      </c>
      <c r="P3117">
        <v>0</v>
      </c>
      <c r="Q3117">
        <v>1</v>
      </c>
    </row>
    <row r="3118" spans="5:17" x14ac:dyDescent="0.2">
      <c r="E3118" s="9" t="s">
        <v>35</v>
      </c>
      <c r="K3118" t="str">
        <v xml:space="preserve">looking
</v>
      </c>
      <c r="L3118" s="4" t="str">
        <f t="shared" si="57"/>
        <v xml:space="preserve">looking  </v>
      </c>
      <c r="N3118" s="4" cm="1">
        <f t="array" ref="N3118">SUM(--(_xlfn.TEXTSPLIT($J$2990,, " ") = M3118))</f>
        <v>1</v>
      </c>
      <c r="O3118">
        <v>1</v>
      </c>
      <c r="P3118">
        <v>0</v>
      </c>
      <c r="Q3118">
        <v>1</v>
      </c>
    </row>
    <row r="3119" spans="5:17" x14ac:dyDescent="0.2">
      <c r="E3119" s="9" t="s">
        <v>35</v>
      </c>
      <c r="K3119" t="str">
        <v>You</v>
      </c>
      <c r="L3119" s="4" t="str">
        <f t="shared" si="57"/>
        <v>You</v>
      </c>
      <c r="N3119" s="4" cm="1">
        <f t="array" ref="N3119">SUM(--(_xlfn.TEXTSPLIT($J$2990,, " ") = M3119))</f>
        <v>1</v>
      </c>
      <c r="O3119">
        <v>1</v>
      </c>
      <c r="P3119">
        <v>0</v>
      </c>
      <c r="Q3119">
        <v>1</v>
      </c>
    </row>
    <row r="3120" spans="5:17" x14ac:dyDescent="0.2">
      <c r="E3120" s="9" t="s">
        <v>35</v>
      </c>
      <c r="K3120" t="str">
        <v>tore</v>
      </c>
      <c r="L3120" s="4" t="str">
        <f t="shared" ref="L3120:L3166" si="58">_xlfn.REGEXREPLACE(K3120, "[^A-Za-z ]", " ")</f>
        <v>tore</v>
      </c>
      <c r="N3120" s="4" cm="1">
        <f t="array" ref="N3120">SUM(--(_xlfn.TEXTSPLIT($J$2990,, " ") = M3120))</f>
        <v>1</v>
      </c>
      <c r="O3120">
        <v>1</v>
      </c>
      <c r="P3120">
        <v>0</v>
      </c>
      <c r="Q3120">
        <v>1</v>
      </c>
    </row>
    <row r="3121" spans="5:17" x14ac:dyDescent="0.2">
      <c r="E3121" s="9" t="s">
        <v>35</v>
      </c>
      <c r="K3121" t="str">
        <v>me</v>
      </c>
      <c r="L3121" s="4" t="str">
        <f t="shared" si="58"/>
        <v>me</v>
      </c>
      <c r="N3121" s="4" cm="1">
        <f t="array" ref="N3121">SUM(--(_xlfn.TEXTSPLIT($J$2990,, " ") = M3121))</f>
        <v>1</v>
      </c>
      <c r="O3121">
        <v>1</v>
      </c>
      <c r="P3121">
        <v>0</v>
      </c>
      <c r="Q3121">
        <v>1</v>
      </c>
    </row>
    <row r="3122" spans="5:17" x14ac:dyDescent="0.2">
      <c r="E3122" s="9" t="s">
        <v>35</v>
      </c>
      <c r="K3122" t="str">
        <v>up</v>
      </c>
      <c r="L3122" s="4" t="str">
        <f t="shared" si="58"/>
        <v>up</v>
      </c>
      <c r="N3122" s="4" cm="1">
        <f t="array" ref="N3122">SUM(--(_xlfn.TEXTSPLIT($J$2990,, " ") = M3122))</f>
        <v>1</v>
      </c>
      <c r="O3122">
        <v>1</v>
      </c>
      <c r="P3122">
        <v>0</v>
      </c>
      <c r="Q3122">
        <v>1</v>
      </c>
    </row>
    <row r="3123" spans="5:17" x14ac:dyDescent="0.2">
      <c r="E3123" s="9" t="s">
        <v>35</v>
      </c>
      <c r="K3123" t="str">
        <v>more</v>
      </c>
      <c r="L3123" s="4" t="str">
        <f t="shared" si="58"/>
        <v>more</v>
      </c>
      <c r="N3123" s="4" cm="1">
        <f t="array" ref="N3123">SUM(--(_xlfn.TEXTSPLIT($J$2990,, " ") = M3123))</f>
        <v>1</v>
      </c>
      <c r="O3123">
        <v>1</v>
      </c>
      <c r="P3123">
        <v>0</v>
      </c>
      <c r="Q3123">
        <v>1</v>
      </c>
    </row>
    <row r="3124" spans="5:17" x14ac:dyDescent="0.2">
      <c r="E3124" s="9" t="s">
        <v>35</v>
      </c>
      <c r="K3124" t="str">
        <v>than</v>
      </c>
      <c r="L3124" s="4" t="str">
        <f t="shared" si="58"/>
        <v>than</v>
      </c>
      <c r="N3124" s="4" cm="1">
        <f t="array" ref="N3124">SUM(--(_xlfn.TEXTSPLIT($J$2990,, " ") = M3124))</f>
        <v>1</v>
      </c>
      <c r="O3124">
        <v>1</v>
      </c>
      <c r="P3124">
        <v>0</v>
      </c>
      <c r="Q3124">
        <v>1</v>
      </c>
    </row>
    <row r="3125" spans="5:17" x14ac:dyDescent="0.2">
      <c r="E3125" s="9" t="s">
        <v>35</v>
      </c>
      <c r="K3125" t="str">
        <v>you</v>
      </c>
      <c r="L3125" s="4" t="str">
        <f t="shared" si="58"/>
        <v>you</v>
      </c>
      <c r="N3125" s="4" cm="1">
        <f t="array" ref="N3125">SUM(--(_xlfn.TEXTSPLIT($J$2990,, " ") = M3125))</f>
        <v>1</v>
      </c>
      <c r="O3125">
        <v>1</v>
      </c>
      <c r="P3125">
        <v>0</v>
      </c>
      <c r="Q3125">
        <v>1</v>
      </c>
    </row>
    <row r="3126" spans="5:17" x14ac:dyDescent="0.2">
      <c r="E3126" s="9" t="s">
        <v>35</v>
      </c>
      <c r="K3126" t="str">
        <v xml:space="preserve">know
</v>
      </c>
      <c r="L3126" s="4" t="str">
        <f t="shared" si="58"/>
        <v xml:space="preserve">know </v>
      </c>
      <c r="N3126" s="4" cm="1">
        <f t="array" ref="N3126">SUM(--(_xlfn.TEXTSPLIT($J$2990,, " ") = M3126))</f>
        <v>1</v>
      </c>
      <c r="O3126">
        <v>1</v>
      </c>
      <c r="P3126">
        <v>0</v>
      </c>
      <c r="Q3126">
        <v>1</v>
      </c>
    </row>
    <row r="3127" spans="5:17" x14ac:dyDescent="0.2">
      <c r="E3127" s="9" t="s">
        <v>35</v>
      </c>
      <c r="K3127" t="str">
        <v>You</v>
      </c>
      <c r="L3127" s="4" t="str">
        <f t="shared" si="58"/>
        <v>You</v>
      </c>
      <c r="N3127" s="4" cm="1">
        <f t="array" ref="N3127">SUM(--(_xlfn.TEXTSPLIT($J$2990,, " ") = M3127))</f>
        <v>1</v>
      </c>
      <c r="O3127">
        <v>1</v>
      </c>
      <c r="P3127">
        <v>0</v>
      </c>
      <c r="Q3127">
        <v>1</v>
      </c>
    </row>
    <row r="3128" spans="5:17" x14ac:dyDescent="0.2">
      <c r="E3128" s="9" t="s">
        <v>35</v>
      </c>
      <c r="K3128" t="str">
        <v>tore</v>
      </c>
      <c r="L3128" s="4" t="str">
        <f t="shared" si="58"/>
        <v>tore</v>
      </c>
      <c r="N3128" s="4" cm="1">
        <f t="array" ref="N3128">SUM(--(_xlfn.TEXTSPLIT($J$2990,, " ") = M3128))</f>
        <v>1</v>
      </c>
      <c r="O3128">
        <v>1</v>
      </c>
      <c r="P3128">
        <v>0</v>
      </c>
      <c r="Q3128">
        <v>1</v>
      </c>
    </row>
    <row r="3129" spans="5:17" x14ac:dyDescent="0.2">
      <c r="E3129" s="9" t="s">
        <v>35</v>
      </c>
      <c r="K3129" t="str">
        <v>me</v>
      </c>
      <c r="L3129" s="4" t="str">
        <f t="shared" si="58"/>
        <v>me</v>
      </c>
      <c r="N3129" s="4" cm="1">
        <f t="array" ref="N3129">SUM(--(_xlfn.TEXTSPLIT($J$2990,, " ") = M3129))</f>
        <v>1</v>
      </c>
      <c r="O3129">
        <v>1</v>
      </c>
      <c r="P3129">
        <v>0</v>
      </c>
      <c r="Q3129">
        <v>1</v>
      </c>
    </row>
    <row r="3130" spans="5:17" x14ac:dyDescent="0.2">
      <c r="E3130" s="9" t="s">
        <v>35</v>
      </c>
      <c r="K3130" t="str">
        <v>up</v>
      </c>
      <c r="L3130" s="4" t="str">
        <f t="shared" si="58"/>
        <v>up</v>
      </c>
      <c r="N3130" s="4" cm="1">
        <f t="array" ref="N3130">SUM(--(_xlfn.TEXTSPLIT($J$2990,, " ") = M3130))</f>
        <v>1</v>
      </c>
      <c r="O3130">
        <v>1</v>
      </c>
      <c r="P3130">
        <v>0</v>
      </c>
      <c r="Q3130">
        <v>1</v>
      </c>
    </row>
    <row r="3131" spans="5:17" x14ac:dyDescent="0.2">
      <c r="E3131" s="9" t="s">
        <v>35</v>
      </c>
      <c r="K3131" t="str">
        <v>more</v>
      </c>
      <c r="L3131" s="4" t="str">
        <f t="shared" si="58"/>
        <v>more</v>
      </c>
      <c r="N3131" s="4" cm="1">
        <f t="array" ref="N3131">SUM(--(_xlfn.TEXTSPLIT($J$2990,, " ") = M3131))</f>
        <v>1</v>
      </c>
      <c r="O3131">
        <v>1</v>
      </c>
      <c r="P3131">
        <v>0</v>
      </c>
      <c r="Q3131">
        <v>1</v>
      </c>
    </row>
    <row r="3132" spans="5:17" x14ac:dyDescent="0.2">
      <c r="E3132" s="9" t="s">
        <v>35</v>
      </c>
      <c r="K3132" t="str">
        <v>than</v>
      </c>
      <c r="L3132" s="4" t="str">
        <f t="shared" si="58"/>
        <v>than</v>
      </c>
      <c r="N3132" s="4" cm="1">
        <f t="array" ref="N3132">SUM(--(_xlfn.TEXTSPLIT($J$2990,, " ") = M3132))</f>
        <v>1</v>
      </c>
      <c r="O3132">
        <v>1</v>
      </c>
      <c r="P3132">
        <v>0</v>
      </c>
      <c r="Q3132">
        <v>1</v>
      </c>
    </row>
    <row r="3133" spans="5:17" x14ac:dyDescent="0.2">
      <c r="E3133" s="9" t="s">
        <v>35</v>
      </c>
      <c r="K3133" t="str">
        <v>you</v>
      </c>
      <c r="L3133" s="4" t="str">
        <f t="shared" si="58"/>
        <v>you</v>
      </c>
      <c r="N3133" s="4" cm="1">
        <f t="array" ref="N3133">SUM(--(_xlfn.TEXTSPLIT($J$2990,, " ") = M3133))</f>
        <v>1</v>
      </c>
      <c r="O3133">
        <v>1</v>
      </c>
      <c r="P3133">
        <v>0</v>
      </c>
      <c r="Q3133">
        <v>1</v>
      </c>
    </row>
    <row r="3134" spans="5:17" x14ac:dyDescent="0.2">
      <c r="E3134" s="9" t="s">
        <v>35</v>
      </c>
      <c r="K3134" t="str">
        <v xml:space="preserve">know
</v>
      </c>
      <c r="L3134" s="4" t="str">
        <f t="shared" si="58"/>
        <v xml:space="preserve">know </v>
      </c>
      <c r="N3134" s="4" cm="1">
        <f t="array" ref="N3134">SUM(--(_xlfn.TEXTSPLIT($J$2990,, " ") = M3134))</f>
        <v>1</v>
      </c>
      <c r="O3134">
        <v>1</v>
      </c>
      <c r="P3134">
        <v>0</v>
      </c>
      <c r="Q3134">
        <v>1</v>
      </c>
    </row>
    <row r="3135" spans="5:17" x14ac:dyDescent="0.2">
      <c r="E3135" s="9" t="s">
        <v>35</v>
      </c>
      <c r="K3135" t="str">
        <v>You</v>
      </c>
      <c r="L3135" s="4" t="str">
        <f t="shared" si="58"/>
        <v>You</v>
      </c>
      <c r="N3135" s="4" cm="1">
        <f t="array" ref="N3135">SUM(--(_xlfn.TEXTSPLIT($J$2990,, " ") = M3135))</f>
        <v>1</v>
      </c>
      <c r="O3135">
        <v>1</v>
      </c>
      <c r="P3135">
        <v>0</v>
      </c>
      <c r="Q3135">
        <v>1</v>
      </c>
    </row>
    <row r="3136" spans="5:17" x14ac:dyDescent="0.2">
      <c r="E3136" s="9" t="s">
        <v>35</v>
      </c>
      <c r="K3136" t="str">
        <v>tore</v>
      </c>
      <c r="L3136" s="4" t="str">
        <f t="shared" si="58"/>
        <v>tore</v>
      </c>
      <c r="N3136" s="4" cm="1">
        <f t="array" ref="N3136">SUM(--(_xlfn.TEXTSPLIT($J$2990,, " ") = M3136))</f>
        <v>1</v>
      </c>
      <c r="O3136">
        <v>1</v>
      </c>
      <c r="P3136">
        <v>0</v>
      </c>
      <c r="Q3136">
        <v>1</v>
      </c>
    </row>
    <row r="3137" spans="5:17" x14ac:dyDescent="0.2">
      <c r="E3137" s="9" t="s">
        <v>35</v>
      </c>
      <c r="K3137" t="str">
        <v>me</v>
      </c>
      <c r="L3137" s="4" t="str">
        <f t="shared" si="58"/>
        <v>me</v>
      </c>
      <c r="N3137" s="4" cm="1">
        <f t="array" ref="N3137">SUM(--(_xlfn.TEXTSPLIT($J$2990,, " ") = M3137))</f>
        <v>1</v>
      </c>
      <c r="O3137">
        <v>1</v>
      </c>
      <c r="P3137">
        <v>0</v>
      </c>
      <c r="Q3137">
        <v>1</v>
      </c>
    </row>
    <row r="3138" spans="5:17" x14ac:dyDescent="0.2">
      <c r="E3138" s="9" t="s">
        <v>35</v>
      </c>
      <c r="K3138" t="str">
        <v>up</v>
      </c>
      <c r="L3138" s="4" t="str">
        <f t="shared" si="58"/>
        <v>up</v>
      </c>
      <c r="N3138" s="4" cm="1">
        <f t="array" ref="N3138">SUM(--(_xlfn.TEXTSPLIT($J$2990,, " ") = M3138))</f>
        <v>1</v>
      </c>
      <c r="O3138">
        <v>1</v>
      </c>
      <c r="P3138">
        <v>0</v>
      </c>
      <c r="Q3138">
        <v>1</v>
      </c>
    </row>
    <row r="3139" spans="5:17" x14ac:dyDescent="0.2">
      <c r="E3139" s="9" t="s">
        <v>35</v>
      </c>
      <c r="K3139" t="str">
        <v>more</v>
      </c>
      <c r="L3139" s="4" t="str">
        <f t="shared" si="58"/>
        <v>more</v>
      </c>
      <c r="N3139" s="4" cm="1">
        <f t="array" ref="N3139">SUM(--(_xlfn.TEXTSPLIT($J$2990,, " ") = M3139))</f>
        <v>1</v>
      </c>
      <c r="O3139">
        <v>1</v>
      </c>
      <c r="P3139">
        <v>0</v>
      </c>
      <c r="Q3139">
        <v>1</v>
      </c>
    </row>
    <row r="3140" spans="5:17" x14ac:dyDescent="0.2">
      <c r="E3140" s="9" t="s">
        <v>35</v>
      </c>
      <c r="K3140" t="str">
        <v>than</v>
      </c>
      <c r="L3140" s="4" t="str">
        <f t="shared" si="58"/>
        <v>than</v>
      </c>
      <c r="N3140" s="4" cm="1">
        <f t="array" ref="N3140">SUM(--(_xlfn.TEXTSPLIT($J$2990,, " ") = M3140))</f>
        <v>1</v>
      </c>
      <c r="O3140">
        <v>1</v>
      </c>
      <c r="P3140">
        <v>0</v>
      </c>
      <c r="Q3140">
        <v>1</v>
      </c>
    </row>
    <row r="3141" spans="5:17" x14ac:dyDescent="0.2">
      <c r="E3141" s="9" t="s">
        <v>35</v>
      </c>
      <c r="K3141" t="str">
        <v>you</v>
      </c>
      <c r="L3141" s="4" t="str">
        <f t="shared" si="58"/>
        <v>you</v>
      </c>
      <c r="N3141" s="4" cm="1">
        <f t="array" ref="N3141">SUM(--(_xlfn.TEXTSPLIT($J$2990,, " ") = M3141))</f>
        <v>1</v>
      </c>
      <c r="O3141">
        <v>1</v>
      </c>
      <c r="P3141">
        <v>0</v>
      </c>
      <c r="Q3141">
        <v>1</v>
      </c>
    </row>
    <row r="3142" spans="5:17" x14ac:dyDescent="0.2">
      <c r="E3142" s="9" t="s">
        <v>35</v>
      </c>
      <c r="K3142" t="str">
        <v xml:space="preserve">know
</v>
      </c>
      <c r="L3142" s="4" t="str">
        <f t="shared" si="58"/>
        <v xml:space="preserve">know </v>
      </c>
      <c r="N3142" s="4" cm="1">
        <f t="array" ref="N3142">SUM(--(_xlfn.TEXTSPLIT($J$2990,, " ") = M3142))</f>
        <v>1</v>
      </c>
      <c r="O3142">
        <v>1</v>
      </c>
      <c r="P3142">
        <v>0</v>
      </c>
      <c r="Q3142">
        <v>1</v>
      </c>
    </row>
    <row r="3143" spans="5:17" x14ac:dyDescent="0.2">
      <c r="E3143" s="9" t="s">
        <v>35</v>
      </c>
      <c r="K3143" t="str">
        <v>You</v>
      </c>
      <c r="L3143" s="4" t="str">
        <f t="shared" si="58"/>
        <v>You</v>
      </c>
      <c r="N3143" s="4" cm="1">
        <f t="array" ref="N3143">SUM(--(_xlfn.TEXTSPLIT($J$2990,, " ") = M3143))</f>
        <v>1</v>
      </c>
      <c r="O3143">
        <v>1</v>
      </c>
      <c r="P3143">
        <v>0</v>
      </c>
      <c r="Q3143">
        <v>1</v>
      </c>
    </row>
    <row r="3144" spans="5:17" x14ac:dyDescent="0.2">
      <c r="E3144" s="9" t="s">
        <v>35</v>
      </c>
      <c r="K3144" t="str">
        <v>tore</v>
      </c>
      <c r="L3144" s="4" t="str">
        <f t="shared" si="58"/>
        <v>tore</v>
      </c>
      <c r="N3144" s="4" cm="1">
        <f t="array" ref="N3144">SUM(--(_xlfn.TEXTSPLIT($J$2990,, " ") = M3144))</f>
        <v>1</v>
      </c>
      <c r="O3144">
        <v>1</v>
      </c>
      <c r="P3144">
        <v>0</v>
      </c>
      <c r="Q3144">
        <v>1</v>
      </c>
    </row>
    <row r="3145" spans="5:17" x14ac:dyDescent="0.2">
      <c r="E3145" s="9" t="s">
        <v>35</v>
      </c>
      <c r="K3145" t="str">
        <v>me</v>
      </c>
      <c r="L3145" s="4" t="str">
        <f t="shared" si="58"/>
        <v>me</v>
      </c>
      <c r="N3145" s="4" cm="1">
        <f t="array" ref="N3145">SUM(--(_xlfn.TEXTSPLIT($J$2990,, " ") = M3145))</f>
        <v>1</v>
      </c>
      <c r="O3145">
        <v>1</v>
      </c>
      <c r="P3145">
        <v>0</v>
      </c>
      <c r="Q3145">
        <v>1</v>
      </c>
    </row>
    <row r="3146" spans="5:17" x14ac:dyDescent="0.2">
      <c r="E3146" s="9" t="s">
        <v>35</v>
      </c>
      <c r="K3146" t="str">
        <v xml:space="preserve">up
</v>
      </c>
      <c r="L3146" s="4" t="str">
        <f t="shared" si="58"/>
        <v xml:space="preserve">up  </v>
      </c>
      <c r="N3146" s="4" cm="1">
        <f t="array" ref="N3146">SUM(--(_xlfn.TEXTSPLIT($J$2990,, " ") = M3146))</f>
        <v>1</v>
      </c>
      <c r="O3146">
        <v>1</v>
      </c>
      <c r="P3146">
        <v>0</v>
      </c>
      <c r="Q3146">
        <v>1</v>
      </c>
    </row>
    <row r="3147" spans="5:17" x14ac:dyDescent="0.2">
      <c r="E3147" s="9" t="s">
        <v>35</v>
      </c>
      <c r="K3147" t="str">
        <v>I</v>
      </c>
      <c r="L3147" s="4" t="str">
        <f t="shared" si="58"/>
        <v>I</v>
      </c>
      <c r="N3147" s="4" cm="1">
        <f t="array" ref="N3147">SUM(--(_xlfn.TEXTSPLIT($J$2990,, " ") = M3147))</f>
        <v>1</v>
      </c>
      <c r="O3147">
        <v>1</v>
      </c>
      <c r="P3147">
        <v>0</v>
      </c>
      <c r="Q3147">
        <v>1</v>
      </c>
    </row>
    <row r="3148" spans="5:17" x14ac:dyDescent="0.2">
      <c r="E3148" s="9" t="s">
        <v>35</v>
      </c>
      <c r="K3148" t="str">
        <v>look</v>
      </c>
      <c r="L3148" s="4" t="str">
        <f t="shared" si="58"/>
        <v>look</v>
      </c>
      <c r="N3148" s="4" cm="1">
        <f t="array" ref="N3148">SUM(--(_xlfn.TEXTSPLIT($J$2990,, " ") = M3148))</f>
        <v>1</v>
      </c>
      <c r="O3148">
        <v>1</v>
      </c>
      <c r="P3148">
        <v>0</v>
      </c>
      <c r="Q3148">
        <v>1</v>
      </c>
    </row>
    <row r="3149" spans="5:17" x14ac:dyDescent="0.2">
      <c r="E3149" s="9" t="s">
        <v>35</v>
      </c>
      <c r="K3149" t="str">
        <v>back</v>
      </c>
      <c r="L3149" s="4" t="str">
        <f t="shared" si="58"/>
        <v>back</v>
      </c>
      <c r="N3149" s="4" cm="1">
        <f t="array" ref="N3149">SUM(--(_xlfn.TEXTSPLIT($J$2990,, " ") = M3149))</f>
        <v>1</v>
      </c>
      <c r="O3149">
        <v>1</v>
      </c>
      <c r="P3149">
        <v>0</v>
      </c>
      <c r="Q3149">
        <v>1</v>
      </c>
    </row>
    <row r="3150" spans="5:17" x14ac:dyDescent="0.2">
      <c r="E3150" s="9" t="s">
        <v>35</v>
      </c>
      <c r="K3150" t="str">
        <v>in</v>
      </c>
      <c r="L3150" s="4" t="str">
        <f t="shared" si="58"/>
        <v>in</v>
      </c>
      <c r="N3150" s="4" cm="1">
        <f t="array" ref="N3150">SUM(--(_xlfn.TEXTSPLIT($J$2990,, " ") = M3150))</f>
        <v>1</v>
      </c>
      <c r="O3150">
        <v>1</v>
      </c>
      <c r="P3150">
        <v>0</v>
      </c>
      <c r="Q3150">
        <v>1</v>
      </c>
    </row>
    <row r="3151" spans="5:17" x14ac:dyDescent="0.2">
      <c r="E3151" s="9" t="s">
        <v>35</v>
      </c>
      <c r="K3151" t="str">
        <v>time</v>
      </c>
      <c r="L3151" s="4" t="str">
        <f t="shared" si="58"/>
        <v>time</v>
      </c>
      <c r="N3151" s="4" cm="1">
        <f t="array" ref="N3151">SUM(--(_xlfn.TEXTSPLIT($J$2990,, " ") = M3151))</f>
        <v>1</v>
      </c>
      <c r="O3151">
        <v>1</v>
      </c>
      <c r="P3151">
        <v>0</v>
      </c>
      <c r="Q3151">
        <v>1</v>
      </c>
    </row>
    <row r="3152" spans="5:17" x14ac:dyDescent="0.2">
      <c r="E3152" s="9" t="s">
        <v>35</v>
      </c>
      <c r="K3152" t="str">
        <v>through</v>
      </c>
      <c r="L3152" s="4" t="str">
        <f t="shared" si="58"/>
        <v>through</v>
      </c>
      <c r="N3152" s="4" cm="1">
        <f t="array" ref="N3152">SUM(--(_xlfn.TEXTSPLIT($J$2990,, " ") = M3152))</f>
        <v>1</v>
      </c>
      <c r="O3152">
        <v>1</v>
      </c>
      <c r="P3152">
        <v>0</v>
      </c>
      <c r="Q3152">
        <v>1</v>
      </c>
    </row>
    <row r="3153" spans="1:17" x14ac:dyDescent="0.2">
      <c r="E3153" s="9" t="s">
        <v>35</v>
      </c>
      <c r="K3153" t="str">
        <v>a</v>
      </c>
      <c r="L3153" s="4" t="str">
        <f t="shared" si="58"/>
        <v>a</v>
      </c>
      <c r="N3153" s="4" cm="1">
        <f t="array" ref="N3153">SUM(--(_xlfn.TEXTSPLIT($J$2990,, " ") = M3153))</f>
        <v>1</v>
      </c>
      <c r="O3153">
        <v>1</v>
      </c>
      <c r="P3153">
        <v>0</v>
      </c>
      <c r="Q3153">
        <v>1</v>
      </c>
    </row>
    <row r="3154" spans="1:17" x14ac:dyDescent="0.2">
      <c r="E3154" s="9" t="s">
        <v>35</v>
      </c>
      <c r="K3154" t="str">
        <v xml:space="preserve">telescope
</v>
      </c>
      <c r="L3154" s="4" t="str">
        <f t="shared" si="58"/>
        <v xml:space="preserve">telescope </v>
      </c>
      <c r="N3154" s="4" cm="1">
        <f t="array" ref="N3154">SUM(--(_xlfn.TEXTSPLIT($J$2990,, " ") = M3154))</f>
        <v>1</v>
      </c>
      <c r="O3154">
        <v>1</v>
      </c>
      <c r="P3154">
        <v>0</v>
      </c>
      <c r="Q3154">
        <v>1</v>
      </c>
    </row>
    <row r="3155" spans="1:17" x14ac:dyDescent="0.2">
      <c r="E3155" s="9" t="s">
        <v>35</v>
      </c>
      <c r="K3155" t="str">
        <v>I've</v>
      </c>
      <c r="L3155" s="4" t="str">
        <f t="shared" si="58"/>
        <v>I ve</v>
      </c>
      <c r="N3155" s="4" cm="1">
        <f t="array" ref="N3155">SUM(--(_xlfn.TEXTSPLIT($J$2990,, " ") = M3155))</f>
        <v>1</v>
      </c>
      <c r="O3155">
        <v>1</v>
      </c>
      <c r="P3155">
        <v>0</v>
      </c>
      <c r="Q3155">
        <v>1</v>
      </c>
    </row>
    <row r="3156" spans="1:17" x14ac:dyDescent="0.2">
      <c r="E3156" s="9" t="s">
        <v>35</v>
      </c>
      <c r="K3156" t="str">
        <v>been</v>
      </c>
      <c r="L3156" s="4" t="str">
        <f t="shared" si="58"/>
        <v>been</v>
      </c>
      <c r="N3156" s="4" cm="1">
        <f t="array" ref="N3156">SUM(--(_xlfn.TEXTSPLIT($J$2990,, " ") = M3156))</f>
        <v>1</v>
      </c>
      <c r="O3156">
        <v>1</v>
      </c>
      <c r="P3156">
        <v>0</v>
      </c>
      <c r="Q3156">
        <v>1</v>
      </c>
    </row>
    <row r="3157" spans="1:17" x14ac:dyDescent="0.2">
      <c r="E3157" s="9" t="s">
        <v>35</v>
      </c>
      <c r="K3157" t="str">
        <v>catching</v>
      </c>
      <c r="L3157" s="4" t="str">
        <f t="shared" si="58"/>
        <v>catching</v>
      </c>
      <c r="N3157" s="4" cm="1">
        <f t="array" ref="N3157">SUM(--(_xlfn.TEXTSPLIT($J$2990,, " ") = M3157))</f>
        <v>1</v>
      </c>
      <c r="O3157">
        <v>1</v>
      </c>
      <c r="P3157">
        <v>0</v>
      </c>
      <c r="Q3157">
        <v>1</v>
      </c>
    </row>
    <row r="3158" spans="1:17" x14ac:dyDescent="0.2">
      <c r="E3158" s="9" t="s">
        <v>35</v>
      </c>
      <c r="K3158" t="str">
        <v xml:space="preserve">my
</v>
      </c>
      <c r="L3158" s="4" t="str">
        <f t="shared" si="58"/>
        <v xml:space="preserve">my </v>
      </c>
      <c r="N3158" s="4" cm="1">
        <f t="array" ref="N3158">SUM(--(_xlfn.TEXTSPLIT($J$2990,, " ") = M3158))</f>
        <v>1</v>
      </c>
      <c r="O3158">
        <v>1</v>
      </c>
      <c r="P3158">
        <v>0</v>
      </c>
      <c r="Q3158">
        <v>1</v>
      </c>
    </row>
    <row r="3159" spans="1:17" x14ac:dyDescent="0.2">
      <c r="E3159" s="9" t="s">
        <v>35</v>
      </c>
      <c r="K3159" t="str">
        <v>I've</v>
      </c>
      <c r="L3159" s="4" t="str">
        <f t="shared" si="58"/>
        <v>I ve</v>
      </c>
      <c r="N3159" s="4" cm="1">
        <f t="array" ref="N3159">SUM(--(_xlfn.TEXTSPLIT($J$2990,, " ") = M3159))</f>
        <v>1</v>
      </c>
      <c r="O3159">
        <v>1</v>
      </c>
      <c r="P3159">
        <v>0</v>
      </c>
      <c r="Q3159">
        <v>1</v>
      </c>
    </row>
    <row r="3160" spans="1:17" x14ac:dyDescent="0.2">
      <c r="E3160" s="9" t="s">
        <v>35</v>
      </c>
      <c r="K3160" t="str">
        <v>been</v>
      </c>
      <c r="L3160" s="4" t="str">
        <f t="shared" si="58"/>
        <v>been</v>
      </c>
      <c r="N3160" s="4" cm="1">
        <f t="array" ref="N3160">SUM(--(_xlfn.TEXTSPLIT($J$2990,, " ") = M3160))</f>
        <v>1</v>
      </c>
      <c r="O3160">
        <v>1</v>
      </c>
      <c r="P3160">
        <v>0</v>
      </c>
      <c r="Q3160">
        <v>1</v>
      </c>
    </row>
    <row r="3161" spans="1:17" x14ac:dyDescent="0.2">
      <c r="E3161" s="9" t="s">
        <v>35</v>
      </c>
      <c r="K3161" t="str">
        <v>catching</v>
      </c>
      <c r="L3161" s="4" t="str">
        <f t="shared" si="58"/>
        <v>catching</v>
      </c>
      <c r="N3161" s="4" cm="1">
        <f t="array" ref="N3161">SUM(--(_xlfn.TEXTSPLIT($J$2990,, " ") = M3161))</f>
        <v>1</v>
      </c>
      <c r="O3161">
        <v>1</v>
      </c>
      <c r="P3161">
        <v>0</v>
      </c>
      <c r="Q3161">
        <v>1</v>
      </c>
    </row>
    <row r="3162" spans="1:17" x14ac:dyDescent="0.2">
      <c r="E3162" s="9" t="s">
        <v>35</v>
      </c>
      <c r="K3162" t="str">
        <v xml:space="preserve">my
</v>
      </c>
      <c r="L3162" s="4" t="str">
        <f t="shared" si="58"/>
        <v xml:space="preserve">my </v>
      </c>
      <c r="N3162" s="4" cm="1">
        <f t="array" ref="N3162">SUM(--(_xlfn.TEXTSPLIT($J$2990,, " ") = M3162))</f>
        <v>1</v>
      </c>
      <c r="O3162">
        <v>1</v>
      </c>
      <c r="P3162">
        <v>0</v>
      </c>
      <c r="Q3162">
        <v>1</v>
      </c>
    </row>
    <row r="3163" spans="1:17" x14ac:dyDescent="0.2">
      <c r="E3163" s="9" t="s">
        <v>35</v>
      </c>
      <c r="K3163" t="str">
        <v>My</v>
      </c>
      <c r="L3163" s="4" t="str">
        <f t="shared" si="58"/>
        <v>My</v>
      </c>
      <c r="N3163" s="4" cm="1">
        <f t="array" ref="N3163">SUM(--(_xlfn.TEXTSPLIT($J$2990,, " ") = M3163))</f>
        <v>1</v>
      </c>
      <c r="O3163">
        <v>1</v>
      </c>
      <c r="P3163">
        <v>0</v>
      </c>
      <c r="Q3163">
        <v>1</v>
      </c>
    </row>
    <row r="3164" spans="1:17" x14ac:dyDescent="0.2">
      <c r="E3164" s="9" t="s">
        <v>35</v>
      </c>
      <c r="K3164" t="str">
        <v>reflection</v>
      </c>
      <c r="L3164" s="4" t="str">
        <f t="shared" si="58"/>
        <v>reflection</v>
      </c>
      <c r="N3164" s="4" cm="1">
        <f t="array" ref="N3164">SUM(--(_xlfn.TEXTSPLIT($J$2990,, " ") = M3164))</f>
        <v>1</v>
      </c>
      <c r="O3164">
        <v>1</v>
      </c>
      <c r="P3164">
        <v>0</v>
      </c>
      <c r="Q3164">
        <v>1</v>
      </c>
    </row>
    <row r="3165" spans="1:17" x14ac:dyDescent="0.2">
      <c r="E3165" s="9" t="s">
        <v>35</v>
      </c>
      <c r="K3165" t="str">
        <v>already</v>
      </c>
      <c r="L3165" s="4" t="str">
        <f t="shared" si="58"/>
        <v>already</v>
      </c>
      <c r="N3165" s="4" cm="1">
        <f t="array" ref="N3165">SUM(--(_xlfn.TEXTSPLIT($J$2990,, " ") = M3165))</f>
        <v>1</v>
      </c>
      <c r="O3165">
        <v>1</v>
      </c>
      <c r="P3165">
        <v>0</v>
      </c>
      <c r="Q3165">
        <v>1</v>
      </c>
    </row>
    <row r="3166" spans="1:17" x14ac:dyDescent="0.2">
      <c r="E3166" s="9" t="s">
        <v>35</v>
      </c>
      <c r="K3166" t="str">
        <v>looking"</v>
      </c>
      <c r="L3166" s="4" t="str">
        <f t="shared" si="58"/>
        <v xml:space="preserve">looking </v>
      </c>
      <c r="N3166" s="4" cm="1">
        <f t="array" ref="N3166">SUM(--(_xlfn.TEXTSPLIT($J$2990,, " ") = M3166))</f>
        <v>1</v>
      </c>
      <c r="O3166">
        <v>1</v>
      </c>
      <c r="P3166">
        <v>0</v>
      </c>
      <c r="Q3166">
        <v>1</v>
      </c>
    </row>
    <row r="3167" spans="1:17" x14ac:dyDescent="0.2">
      <c r="A3167" s="4">
        <v>10</v>
      </c>
      <c r="B3167" s="5">
        <v>45912</v>
      </c>
      <c r="C3167" s="6">
        <v>0.11319444444444444</v>
      </c>
      <c r="D3167" s="7">
        <v>163</v>
      </c>
      <c r="E3167" s="9" t="s">
        <v>37</v>
      </c>
      <c r="F3167" s="4">
        <v>10</v>
      </c>
      <c r="G3167" s="8" t="s">
        <v>15</v>
      </c>
      <c r="H3167" s="9" t="s">
        <v>38</v>
      </c>
      <c r="I3167" s="4">
        <v>1</v>
      </c>
      <c r="J3167" s="4" t="str">
        <f>_xlfn.TEXTJOIN(" ", TRUE, H3167:H3180)</f>
        <v xml:space="preserve"> "I wanted to fly
 But they say a system's coming in
 The chances are high
 That this is a
 One way, one way, one way, one way
 Am I dreaming?
 If it's so
 Can I take back who I was before?
 If it's no
 Then all my dreams have
 Not been interesting in a while
 This has not been interesting in a while, while, while
 I wanted to fly
 But they say a system's coming in
 The chances are high
 That this is a
 One way, one way, one way, one way, one way (ooh)
 Me and my scene just ain't gelling
 Someone next to me keeps yelling
 Why am I still walking?
 Something must be wrong here
 I just don't belong here
 I wanted to fly
 But they say a system's coming in
 Chances are high
 That this is a
 One way, one way, one way, one way, one
 I wanted to fly
 But they say a system's coming in
 The chances are high
 That this is a
 One way, one way, one
 That this is a
 One way, one way, one
 That this is a
 One way, one way
 (This is a)</v>
      </c>
      <c r="K3167" s="4" t="str" cm="1">
        <f t="array" ref="K3167:K3361">_xlfn.TEXTSPLIT(J3167, ," ")</f>
        <v/>
      </c>
      <c r="L3167" s="4" t="str">
        <f>_xlfn.REGEXREPLACE(K3167, "[^A-Za-z ]", " ")</f>
        <v/>
      </c>
      <c r="M3167" s="4" t="str" cm="1">
        <f t="array" ref="M3167:M3243">_xlfn.UNIQUE(_xlfn.TEXTSPLIT(J3167, , " "))</f>
        <v/>
      </c>
      <c r="N3167" s="4" cm="1">
        <f t="array" ref="N3167">SUM(--(_xlfn.TEXTSPLIT($J$3167,, " ") = M3167))</f>
        <v>1</v>
      </c>
      <c r="O3167" s="4" cm="1">
        <f t="array" ref="O3167:O3361">_xlfn._xlws.SORT(N3167:N3361, ,-1)</f>
        <v>19</v>
      </c>
      <c r="P3167" s="4" t="str" cm="1">
        <f t="array" ref="P3167:Q3343">_xlfn.SORTBY(M3167:N3343, N3167:N3343, -1)</f>
        <v>One</v>
      </c>
      <c r="Q3167" s="4">
        <v>19</v>
      </c>
    </row>
    <row r="3168" spans="1:17" x14ac:dyDescent="0.2">
      <c r="E3168" s="9" t="s">
        <v>37</v>
      </c>
      <c r="K3168" t="str">
        <v>"I</v>
      </c>
      <c r="L3168" s="4" t="str">
        <f t="shared" ref="L3168:L3231" si="59">_xlfn.REGEXREPLACE(K3168, "[^A-Za-z ]", " ")</f>
        <v xml:space="preserve"> I</v>
      </c>
      <c r="M3168" t="str">
        <v>"I</v>
      </c>
      <c r="N3168" s="4" cm="1">
        <f t="array" ref="N3168">SUM(--(_xlfn.TEXTSPLIT($J$3167,, " ") = M3168))</f>
        <v>1</v>
      </c>
      <c r="O3168">
        <v>16</v>
      </c>
      <c r="P3168" t="str">
        <v>way,</v>
      </c>
      <c r="Q3168">
        <v>16</v>
      </c>
    </row>
    <row r="3169" spans="5:17" x14ac:dyDescent="0.2">
      <c r="E3169" s="9" t="s">
        <v>37</v>
      </c>
      <c r="K3169" t="str">
        <v>wanted</v>
      </c>
      <c r="L3169" s="4" t="str">
        <f t="shared" si="59"/>
        <v>wanted</v>
      </c>
      <c r="M3169" t="str">
        <v>wanted</v>
      </c>
      <c r="N3169" s="4" cm="1">
        <f t="array" ref="N3169">SUM(--(_xlfn.TEXTSPLIT($J$3167,, " ") = M3169))</f>
        <v>4</v>
      </c>
      <c r="O3169">
        <v>8</v>
      </c>
      <c r="P3169" t="str">
        <v>I</v>
      </c>
      <c r="Q3169">
        <v>8</v>
      </c>
    </row>
    <row r="3170" spans="5:17" x14ac:dyDescent="0.2">
      <c r="E3170" s="9" t="s">
        <v>37</v>
      </c>
      <c r="K3170" t="str">
        <v>to</v>
      </c>
      <c r="L3170" s="4" t="str">
        <f t="shared" si="59"/>
        <v>to</v>
      </c>
      <c r="M3170" t="str">
        <v>to</v>
      </c>
      <c r="N3170" s="4" cm="1">
        <f t="array" ref="N3170">SUM(--(_xlfn.TEXTSPLIT($J$3167,, " ") = M3170))</f>
        <v>5</v>
      </c>
      <c r="O3170">
        <v>7</v>
      </c>
      <c r="P3170" t="str">
        <v>this</v>
      </c>
      <c r="Q3170">
        <v>7</v>
      </c>
    </row>
    <row r="3171" spans="5:17" x14ac:dyDescent="0.2">
      <c r="E3171" s="9" t="s">
        <v>37</v>
      </c>
      <c r="K3171" t="str">
        <v xml:space="preserve">fly
</v>
      </c>
      <c r="L3171" s="4" t="str">
        <f t="shared" si="59"/>
        <v xml:space="preserve">fly </v>
      </c>
      <c r="M3171" t="str">
        <v xml:space="preserve">fly
</v>
      </c>
      <c r="N3171" s="4" cm="1">
        <f t="array" ref="N3171">SUM(--(_xlfn.TEXTSPLIT($J$3167,, " ") = M3171))</f>
        <v>4</v>
      </c>
      <c r="O3171">
        <v>7</v>
      </c>
      <c r="P3171" t="str">
        <v>is</v>
      </c>
      <c r="Q3171">
        <v>7</v>
      </c>
    </row>
    <row r="3172" spans="5:17" x14ac:dyDescent="0.2">
      <c r="E3172" s="9" t="s">
        <v>37</v>
      </c>
      <c r="K3172" t="str">
        <v>But</v>
      </c>
      <c r="L3172" s="4" t="str">
        <f t="shared" si="59"/>
        <v>But</v>
      </c>
      <c r="M3172" t="str">
        <v>But</v>
      </c>
      <c r="N3172" s="4" cm="1">
        <f t="array" ref="N3172">SUM(--(_xlfn.TEXTSPLIT($J$3167,, " ") = M3172))</f>
        <v>4</v>
      </c>
      <c r="O3172">
        <v>6</v>
      </c>
      <c r="P3172" t="str">
        <v>a</v>
      </c>
      <c r="Q3172">
        <v>6</v>
      </c>
    </row>
    <row r="3173" spans="5:17" x14ac:dyDescent="0.2">
      <c r="E3173" s="9" t="s">
        <v>37</v>
      </c>
      <c r="K3173" t="str">
        <v>they</v>
      </c>
      <c r="L3173" s="4" t="str">
        <f t="shared" si="59"/>
        <v>they</v>
      </c>
      <c r="M3173" t="str">
        <v>they</v>
      </c>
      <c r="N3173" s="4" cm="1">
        <f t="array" ref="N3173">SUM(--(_xlfn.TEXTSPLIT($J$3167,, " ") = M3173))</f>
        <v>4</v>
      </c>
      <c r="O3173">
        <v>6</v>
      </c>
      <c r="P3173" t="str">
        <v>That</v>
      </c>
      <c r="Q3173">
        <v>6</v>
      </c>
    </row>
    <row r="3174" spans="5:17" x14ac:dyDescent="0.2">
      <c r="E3174" s="9" t="s">
        <v>37</v>
      </c>
      <c r="K3174" t="str">
        <v>say</v>
      </c>
      <c r="L3174" s="4" t="str">
        <f t="shared" si="59"/>
        <v>say</v>
      </c>
      <c r="M3174" t="str">
        <v>say</v>
      </c>
      <c r="N3174" s="4" cm="1">
        <f t="array" ref="N3174">SUM(--(_xlfn.TEXTSPLIT($J$3167,, " ") = M3174))</f>
        <v>4</v>
      </c>
      <c r="O3174">
        <v>6</v>
      </c>
      <c r="P3174" t="str">
        <v xml:space="preserve">a
</v>
      </c>
      <c r="Q3174">
        <v>6</v>
      </c>
    </row>
    <row r="3175" spans="5:17" x14ac:dyDescent="0.2">
      <c r="E3175" s="9" t="s">
        <v>37</v>
      </c>
      <c r="K3175" t="str">
        <v>a</v>
      </c>
      <c r="L3175" s="4" t="str">
        <f t="shared" si="59"/>
        <v>a</v>
      </c>
      <c r="M3175" t="str">
        <v>a</v>
      </c>
      <c r="N3175" s="4" cm="1">
        <f t="array" ref="N3175">SUM(--(_xlfn.TEXTSPLIT($J$3167,, " ") = M3175))</f>
        <v>6</v>
      </c>
      <c r="O3175">
        <v>5</v>
      </c>
      <c r="P3175" t="str">
        <v>to</v>
      </c>
      <c r="Q3175">
        <v>5</v>
      </c>
    </row>
    <row r="3176" spans="5:17" x14ac:dyDescent="0.2">
      <c r="E3176" s="9" t="s">
        <v>37</v>
      </c>
      <c r="K3176" t="str">
        <v>system's</v>
      </c>
      <c r="L3176" s="4" t="str">
        <f t="shared" si="59"/>
        <v>system s</v>
      </c>
      <c r="M3176" t="str">
        <v>system's</v>
      </c>
      <c r="N3176" s="4" cm="1">
        <f t="array" ref="N3176">SUM(--(_xlfn.TEXTSPLIT($J$3167,, " ") = M3176))</f>
        <v>4</v>
      </c>
      <c r="O3176">
        <v>4</v>
      </c>
      <c r="P3176" t="str">
        <v>wanted</v>
      </c>
      <c r="Q3176">
        <v>4</v>
      </c>
    </row>
    <row r="3177" spans="5:17" x14ac:dyDescent="0.2">
      <c r="E3177" s="9" t="s">
        <v>37</v>
      </c>
      <c r="K3177" t="str">
        <v>coming</v>
      </c>
      <c r="L3177" s="4" t="str">
        <f t="shared" si="59"/>
        <v>coming</v>
      </c>
      <c r="M3177" t="str">
        <v>coming</v>
      </c>
      <c r="N3177" s="4" cm="1">
        <f t="array" ref="N3177">SUM(--(_xlfn.TEXTSPLIT($J$3167,, " ") = M3177))</f>
        <v>4</v>
      </c>
      <c r="O3177">
        <v>4</v>
      </c>
      <c r="P3177" t="str">
        <v xml:space="preserve">fly
</v>
      </c>
      <c r="Q3177">
        <v>4</v>
      </c>
    </row>
    <row r="3178" spans="5:17" x14ac:dyDescent="0.2">
      <c r="E3178" s="9" t="s">
        <v>37</v>
      </c>
      <c r="K3178" t="str">
        <v xml:space="preserve">in
</v>
      </c>
      <c r="L3178" s="4" t="str">
        <f t="shared" si="59"/>
        <v xml:space="preserve">in </v>
      </c>
      <c r="M3178" t="str">
        <v xml:space="preserve">in
</v>
      </c>
      <c r="N3178" s="4" cm="1">
        <f t="array" ref="N3178">SUM(--(_xlfn.TEXTSPLIT($J$3167,, " ") = M3178))</f>
        <v>4</v>
      </c>
      <c r="O3178">
        <v>4</v>
      </c>
      <c r="P3178" t="str">
        <v>But</v>
      </c>
      <c r="Q3178">
        <v>4</v>
      </c>
    </row>
    <row r="3179" spans="5:17" x14ac:dyDescent="0.2">
      <c r="E3179" s="9" t="s">
        <v>37</v>
      </c>
      <c r="K3179" t="str">
        <v>The</v>
      </c>
      <c r="L3179" s="4" t="str">
        <f t="shared" si="59"/>
        <v>The</v>
      </c>
      <c r="M3179" t="str">
        <v>The</v>
      </c>
      <c r="N3179" s="4" cm="1">
        <f t="array" ref="N3179">SUM(--(_xlfn.TEXTSPLIT($J$3167,, " ") = M3179))</f>
        <v>3</v>
      </c>
      <c r="O3179">
        <v>4</v>
      </c>
      <c r="P3179" t="str">
        <v>they</v>
      </c>
      <c r="Q3179">
        <v>4</v>
      </c>
    </row>
    <row r="3180" spans="5:17" x14ac:dyDescent="0.2">
      <c r="E3180" s="9" t="s">
        <v>37</v>
      </c>
      <c r="K3180" t="str">
        <v>chances</v>
      </c>
      <c r="L3180" s="4" t="str">
        <f t="shared" si="59"/>
        <v>chances</v>
      </c>
      <c r="M3180" t="str">
        <v>chances</v>
      </c>
      <c r="N3180" s="4" cm="1">
        <f t="array" ref="N3180">SUM(--(_xlfn.TEXTSPLIT($J$3167,, " ") = M3180))</f>
        <v>4</v>
      </c>
      <c r="O3180">
        <v>4</v>
      </c>
      <c r="P3180" t="str">
        <v>say</v>
      </c>
      <c r="Q3180">
        <v>4</v>
      </c>
    </row>
    <row r="3181" spans="5:17" x14ac:dyDescent="0.2">
      <c r="E3181" s="9" t="s">
        <v>37</v>
      </c>
      <c r="K3181" t="str">
        <v>are</v>
      </c>
      <c r="L3181" s="4" t="str">
        <f t="shared" si="59"/>
        <v>are</v>
      </c>
      <c r="M3181" t="str">
        <v>are</v>
      </c>
      <c r="N3181" s="4" cm="1">
        <f t="array" ref="N3181">SUM(--(_xlfn.TEXTSPLIT($J$3167,, " ") = M3181))</f>
        <v>4</v>
      </c>
      <c r="O3181">
        <v>4</v>
      </c>
      <c r="P3181" t="str">
        <v>system's</v>
      </c>
      <c r="Q3181">
        <v>4</v>
      </c>
    </row>
    <row r="3182" spans="5:17" x14ac:dyDescent="0.2">
      <c r="E3182" s="9" t="s">
        <v>37</v>
      </c>
      <c r="K3182" t="str">
        <v xml:space="preserve">high
</v>
      </c>
      <c r="L3182" s="4" t="str">
        <f t="shared" si="59"/>
        <v xml:space="preserve">high </v>
      </c>
      <c r="M3182" t="str">
        <v xml:space="preserve">high
</v>
      </c>
      <c r="N3182" s="4" cm="1">
        <f t="array" ref="N3182">SUM(--(_xlfn.TEXTSPLIT($J$3167,, " ") = M3182))</f>
        <v>4</v>
      </c>
      <c r="O3182">
        <v>4</v>
      </c>
      <c r="P3182" t="str">
        <v>coming</v>
      </c>
      <c r="Q3182">
        <v>4</v>
      </c>
    </row>
    <row r="3183" spans="5:17" x14ac:dyDescent="0.2">
      <c r="E3183" s="9" t="s">
        <v>37</v>
      </c>
      <c r="K3183" t="str">
        <v>That</v>
      </c>
      <c r="L3183" s="4" t="str">
        <f t="shared" si="59"/>
        <v>That</v>
      </c>
      <c r="M3183" t="str">
        <v>That</v>
      </c>
      <c r="N3183" s="4" cm="1">
        <f t="array" ref="N3183">SUM(--(_xlfn.TEXTSPLIT($J$3167,, " ") = M3183))</f>
        <v>6</v>
      </c>
      <c r="O3183">
        <v>4</v>
      </c>
      <c r="P3183" t="str">
        <v xml:space="preserve">in
</v>
      </c>
      <c r="Q3183">
        <v>4</v>
      </c>
    </row>
    <row r="3184" spans="5:17" x14ac:dyDescent="0.2">
      <c r="E3184" s="9" t="s">
        <v>37</v>
      </c>
      <c r="K3184" t="str">
        <v>this</v>
      </c>
      <c r="L3184" s="4" t="str">
        <f t="shared" si="59"/>
        <v>this</v>
      </c>
      <c r="M3184" t="str">
        <v>this</v>
      </c>
      <c r="N3184" s="4" cm="1">
        <f t="array" ref="N3184">SUM(--(_xlfn.TEXTSPLIT($J$3167,, " ") = M3184))</f>
        <v>7</v>
      </c>
      <c r="O3184">
        <v>4</v>
      </c>
      <c r="P3184" t="str">
        <v>chances</v>
      </c>
      <c r="Q3184">
        <v>4</v>
      </c>
    </row>
    <row r="3185" spans="5:17" x14ac:dyDescent="0.2">
      <c r="E3185" s="9" t="s">
        <v>37</v>
      </c>
      <c r="K3185" t="str">
        <v>is</v>
      </c>
      <c r="L3185" s="4" t="str">
        <f t="shared" si="59"/>
        <v>is</v>
      </c>
      <c r="M3185" t="str">
        <v>is</v>
      </c>
      <c r="N3185" s="4" cm="1">
        <f t="array" ref="N3185">SUM(--(_xlfn.TEXTSPLIT($J$3167,, " ") = M3185))</f>
        <v>7</v>
      </c>
      <c r="O3185">
        <v>4</v>
      </c>
      <c r="P3185" t="str">
        <v>are</v>
      </c>
      <c r="Q3185">
        <v>4</v>
      </c>
    </row>
    <row r="3186" spans="5:17" x14ac:dyDescent="0.2">
      <c r="E3186" s="9" t="s">
        <v>37</v>
      </c>
      <c r="K3186" t="str">
        <v xml:space="preserve">a
</v>
      </c>
      <c r="L3186" s="4" t="str">
        <f t="shared" si="59"/>
        <v xml:space="preserve">a </v>
      </c>
      <c r="M3186" t="str">
        <v xml:space="preserve">a
</v>
      </c>
      <c r="N3186" s="4" cm="1">
        <f t="array" ref="N3186">SUM(--(_xlfn.TEXTSPLIT($J$3167,, " ") = M3186))</f>
        <v>6</v>
      </c>
      <c r="O3186">
        <v>4</v>
      </c>
      <c r="P3186" t="str">
        <v xml:space="preserve">high
</v>
      </c>
      <c r="Q3186">
        <v>4</v>
      </c>
    </row>
    <row r="3187" spans="5:17" x14ac:dyDescent="0.2">
      <c r="E3187" s="9" t="s">
        <v>37</v>
      </c>
      <c r="K3187" t="str">
        <v>One</v>
      </c>
      <c r="L3187" s="4" t="str">
        <f t="shared" si="59"/>
        <v>One</v>
      </c>
      <c r="M3187" t="str">
        <v>One</v>
      </c>
      <c r="N3187" s="4" cm="1">
        <f t="array" ref="N3187">SUM(--(_xlfn.TEXTSPLIT($J$3167,, " ") = M3187))</f>
        <v>19</v>
      </c>
      <c r="O3187">
        <v>3</v>
      </c>
      <c r="P3187" t="str">
        <v>The</v>
      </c>
      <c r="Q3187">
        <v>3</v>
      </c>
    </row>
    <row r="3188" spans="5:17" x14ac:dyDescent="0.2">
      <c r="E3188" s="9" t="s">
        <v>37</v>
      </c>
      <c r="K3188" t="str">
        <v>way,</v>
      </c>
      <c r="L3188" s="4" t="str">
        <f t="shared" si="59"/>
        <v xml:space="preserve">way </v>
      </c>
      <c r="M3188" t="str">
        <v>way,</v>
      </c>
      <c r="N3188" s="4" cm="1">
        <f t="array" ref="N3188">SUM(--(_xlfn.TEXTSPLIT($J$3167,, " ") = M3188))</f>
        <v>16</v>
      </c>
      <c r="O3188">
        <v>2</v>
      </c>
      <c r="P3188" t="str">
        <v>Am</v>
      </c>
      <c r="Q3188">
        <v>2</v>
      </c>
    </row>
    <row r="3189" spans="5:17" x14ac:dyDescent="0.2">
      <c r="E3189" s="9" t="s">
        <v>37</v>
      </c>
      <c r="K3189" t="str">
        <v>one</v>
      </c>
      <c r="L3189" s="4" t="str">
        <f t="shared" si="59"/>
        <v>one</v>
      </c>
      <c r="M3189" t="str">
        <v xml:space="preserve">way
</v>
      </c>
      <c r="N3189" s="4" cm="1">
        <f t="array" ref="N3189">SUM(--(_xlfn.TEXTSPLIT($J$3167,, " ") = M3189))</f>
        <v>1</v>
      </c>
      <c r="O3189">
        <v>2</v>
      </c>
      <c r="P3189" t="str">
        <v>If</v>
      </c>
      <c r="Q3189">
        <v>2</v>
      </c>
    </row>
    <row r="3190" spans="5:17" x14ac:dyDescent="0.2">
      <c r="E3190" s="9" t="s">
        <v>37</v>
      </c>
      <c r="K3190" t="str">
        <v>way,</v>
      </c>
      <c r="L3190" s="4" t="str">
        <f t="shared" si="59"/>
        <v xml:space="preserve">way </v>
      </c>
      <c r="M3190" t="str">
        <v>Am</v>
      </c>
      <c r="N3190" s="4" cm="1">
        <f t="array" ref="N3190">SUM(--(_xlfn.TEXTSPLIT($J$3167,, " ") = M3190))</f>
        <v>2</v>
      </c>
      <c r="O3190">
        <v>2</v>
      </c>
      <c r="P3190" t="str">
        <v>it's</v>
      </c>
      <c r="Q3190">
        <v>2</v>
      </c>
    </row>
    <row r="3191" spans="5:17" x14ac:dyDescent="0.2">
      <c r="E3191" s="9" t="s">
        <v>37</v>
      </c>
      <c r="K3191" t="str">
        <v>one</v>
      </c>
      <c r="L3191" s="4" t="str">
        <f t="shared" si="59"/>
        <v>one</v>
      </c>
      <c r="M3191" t="str">
        <v>I</v>
      </c>
      <c r="N3191" s="4" cm="1">
        <f t="array" ref="N3191">SUM(--(_xlfn.TEXTSPLIT($J$3167,, " ") = M3191))</f>
        <v>8</v>
      </c>
      <c r="O3191">
        <v>2</v>
      </c>
      <c r="P3191" t="str">
        <v>my</v>
      </c>
      <c r="Q3191">
        <v>2</v>
      </c>
    </row>
    <row r="3192" spans="5:17" x14ac:dyDescent="0.2">
      <c r="E3192" s="9" t="s">
        <v>37</v>
      </c>
      <c r="K3192" t="str">
        <v>way,</v>
      </c>
      <c r="L3192" s="4" t="str">
        <f t="shared" si="59"/>
        <v xml:space="preserve">way </v>
      </c>
      <c r="M3192" t="str">
        <v xml:space="preserve">dreaming?
</v>
      </c>
      <c r="N3192" s="4" cm="1">
        <f t="array" ref="N3192">SUM(--(_xlfn.TEXTSPLIT($J$3167,, " ") = M3192))</f>
        <v>1</v>
      </c>
      <c r="O3192">
        <v>2</v>
      </c>
      <c r="P3192" t="str">
        <v>Not</v>
      </c>
      <c r="Q3192">
        <v>2</v>
      </c>
    </row>
    <row r="3193" spans="5:17" x14ac:dyDescent="0.2">
      <c r="E3193" s="9" t="s">
        <v>37</v>
      </c>
      <c r="K3193" t="str">
        <v>one</v>
      </c>
      <c r="L3193" s="4" t="str">
        <f t="shared" si="59"/>
        <v>one</v>
      </c>
      <c r="M3193" t="str">
        <v>If</v>
      </c>
      <c r="N3193" s="4" cm="1">
        <f t="array" ref="N3193">SUM(--(_xlfn.TEXTSPLIT($J$3167,, " ") = M3193))</f>
        <v>2</v>
      </c>
      <c r="O3193">
        <v>2</v>
      </c>
      <c r="P3193" t="str">
        <v>been</v>
      </c>
      <c r="Q3193">
        <v>2</v>
      </c>
    </row>
    <row r="3194" spans="5:17" x14ac:dyDescent="0.2">
      <c r="E3194" s="9" t="s">
        <v>37</v>
      </c>
      <c r="K3194" t="str">
        <v xml:space="preserve">way
</v>
      </c>
      <c r="L3194" s="4" t="str">
        <f t="shared" si="59"/>
        <v xml:space="preserve">way  </v>
      </c>
      <c r="M3194" t="str">
        <v>it's</v>
      </c>
      <c r="N3194" s="4" cm="1">
        <f t="array" ref="N3194">SUM(--(_xlfn.TEXTSPLIT($J$3167,, " ") = M3194))</f>
        <v>2</v>
      </c>
      <c r="O3194">
        <v>2</v>
      </c>
      <c r="P3194" t="str">
        <v>interesting</v>
      </c>
      <c r="Q3194">
        <v>2</v>
      </c>
    </row>
    <row r="3195" spans="5:17" x14ac:dyDescent="0.2">
      <c r="E3195" s="9" t="s">
        <v>37</v>
      </c>
      <c r="K3195" t="str">
        <v>Am</v>
      </c>
      <c r="L3195" s="4" t="str">
        <f t="shared" si="59"/>
        <v>Am</v>
      </c>
      <c r="M3195" t="str">
        <v xml:space="preserve">so
</v>
      </c>
      <c r="N3195" s="4" cm="1">
        <f t="array" ref="N3195">SUM(--(_xlfn.TEXTSPLIT($J$3167,, " ") = M3195))</f>
        <v>1</v>
      </c>
      <c r="O3195">
        <v>2</v>
      </c>
      <c r="P3195" t="str">
        <v>in</v>
      </c>
      <c r="Q3195">
        <v>2</v>
      </c>
    </row>
    <row r="3196" spans="5:17" x14ac:dyDescent="0.2">
      <c r="E3196" s="9" t="s">
        <v>37</v>
      </c>
      <c r="K3196" t="str">
        <v>I</v>
      </c>
      <c r="L3196" s="4" t="str">
        <f t="shared" si="59"/>
        <v>I</v>
      </c>
      <c r="M3196" t="str">
        <v>Can</v>
      </c>
      <c r="N3196" s="4" cm="1">
        <f t="array" ref="N3196">SUM(--(_xlfn.TEXTSPLIT($J$3167,, " ") = M3196))</f>
        <v>1</v>
      </c>
      <c r="O3196">
        <v>2</v>
      </c>
      <c r="P3196" t="str">
        <v>while,</v>
      </c>
      <c r="Q3196">
        <v>2</v>
      </c>
    </row>
    <row r="3197" spans="5:17" x14ac:dyDescent="0.2">
      <c r="E3197" s="9" t="s">
        <v>37</v>
      </c>
      <c r="K3197" t="str">
        <v xml:space="preserve">dreaming?
</v>
      </c>
      <c r="L3197" s="4" t="str">
        <f t="shared" si="59"/>
        <v xml:space="preserve">dreaming  </v>
      </c>
      <c r="M3197" t="str">
        <v>take</v>
      </c>
      <c r="N3197" s="4" cm="1">
        <f t="array" ref="N3197">SUM(--(_xlfn.TEXTSPLIT($J$3167,, " ") = M3197))</f>
        <v>1</v>
      </c>
      <c r="O3197">
        <v>2</v>
      </c>
      <c r="P3197" t="str">
        <v>Me</v>
      </c>
      <c r="Q3197">
        <v>2</v>
      </c>
    </row>
    <row r="3198" spans="5:17" x14ac:dyDescent="0.2">
      <c r="E3198" s="9" t="s">
        <v>37</v>
      </c>
      <c r="K3198" t="str">
        <v>If</v>
      </c>
      <c r="L3198" s="4" t="str">
        <f t="shared" si="59"/>
        <v>If</v>
      </c>
      <c r="M3198" t="str">
        <v>back</v>
      </c>
      <c r="N3198" s="4" cm="1">
        <f t="array" ref="N3198">SUM(--(_xlfn.TEXTSPLIT($J$3167,, " ") = M3198))</f>
        <v>1</v>
      </c>
      <c r="O3198">
        <v>2</v>
      </c>
      <c r="P3198" t="str">
        <v>just</v>
      </c>
      <c r="Q3198">
        <v>2</v>
      </c>
    </row>
    <row r="3199" spans="5:17" x14ac:dyDescent="0.2">
      <c r="E3199" s="9" t="s">
        <v>37</v>
      </c>
      <c r="K3199" t="str">
        <v>it's</v>
      </c>
      <c r="L3199" s="4" t="str">
        <f t="shared" si="59"/>
        <v>it s</v>
      </c>
      <c r="M3199" t="str">
        <v>who</v>
      </c>
      <c r="N3199" s="4" cm="1">
        <f t="array" ref="N3199">SUM(--(_xlfn.TEXTSPLIT($J$3167,, " ") = M3199))</f>
        <v>1</v>
      </c>
      <c r="O3199">
        <v>2</v>
      </c>
      <c r="P3199" t="str">
        <v xml:space="preserve">one
</v>
      </c>
      <c r="Q3199">
        <v>2</v>
      </c>
    </row>
    <row r="3200" spans="5:17" x14ac:dyDescent="0.2">
      <c r="E3200" s="9" t="s">
        <v>37</v>
      </c>
      <c r="K3200" t="str">
        <v xml:space="preserve">so
</v>
      </c>
      <c r="L3200" s="4" t="str">
        <f t="shared" si="59"/>
        <v xml:space="preserve">so </v>
      </c>
      <c r="M3200" t="str">
        <v>was</v>
      </c>
      <c r="N3200" s="4" cm="1">
        <f t="array" ref="N3200">SUM(--(_xlfn.TEXTSPLIT($J$3167,, " ") = M3200))</f>
        <v>1</v>
      </c>
      <c r="O3200">
        <v>1</v>
      </c>
      <c r="P3200" t="str">
        <v/>
      </c>
      <c r="Q3200">
        <v>1</v>
      </c>
    </row>
    <row r="3201" spans="5:17" x14ac:dyDescent="0.2">
      <c r="E3201" s="9" t="s">
        <v>37</v>
      </c>
      <c r="K3201" t="str">
        <v>Can</v>
      </c>
      <c r="L3201" s="4" t="str">
        <f t="shared" si="59"/>
        <v>Can</v>
      </c>
      <c r="M3201" t="str">
        <v xml:space="preserve">before?
</v>
      </c>
      <c r="N3201" s="4" cm="1">
        <f t="array" ref="N3201">SUM(--(_xlfn.TEXTSPLIT($J$3167,, " ") = M3201))</f>
        <v>1</v>
      </c>
      <c r="O3201">
        <v>1</v>
      </c>
      <c r="P3201" t="str">
        <v>"I</v>
      </c>
      <c r="Q3201">
        <v>1</v>
      </c>
    </row>
    <row r="3202" spans="5:17" x14ac:dyDescent="0.2">
      <c r="E3202" s="9" t="s">
        <v>37</v>
      </c>
      <c r="K3202" t="str">
        <v>I</v>
      </c>
      <c r="L3202" s="4" t="str">
        <f t="shared" si="59"/>
        <v>I</v>
      </c>
      <c r="M3202" t="str">
        <v xml:space="preserve">no
</v>
      </c>
      <c r="N3202" s="4" cm="1">
        <f t="array" ref="N3202">SUM(--(_xlfn.TEXTSPLIT($J$3167,, " ") = M3202))</f>
        <v>1</v>
      </c>
      <c r="O3202">
        <v>1</v>
      </c>
      <c r="P3202" t="str">
        <v xml:space="preserve">way
</v>
      </c>
      <c r="Q3202">
        <v>1</v>
      </c>
    </row>
    <row r="3203" spans="5:17" x14ac:dyDescent="0.2">
      <c r="E3203" s="9" t="s">
        <v>37</v>
      </c>
      <c r="K3203" t="str">
        <v>take</v>
      </c>
      <c r="L3203" s="4" t="str">
        <f t="shared" si="59"/>
        <v>take</v>
      </c>
      <c r="M3203" t="str">
        <v>Then</v>
      </c>
      <c r="N3203" s="4" cm="1">
        <f t="array" ref="N3203">SUM(--(_xlfn.TEXTSPLIT($J$3167,, " ") = M3203))</f>
        <v>1</v>
      </c>
      <c r="O3203">
        <v>1</v>
      </c>
      <c r="P3203" t="str">
        <v xml:space="preserve">dreaming?
</v>
      </c>
      <c r="Q3203">
        <v>1</v>
      </c>
    </row>
    <row r="3204" spans="5:17" x14ac:dyDescent="0.2">
      <c r="E3204" s="9" t="s">
        <v>37</v>
      </c>
      <c r="K3204" t="str">
        <v>back</v>
      </c>
      <c r="L3204" s="4" t="str">
        <f t="shared" si="59"/>
        <v>back</v>
      </c>
      <c r="M3204" t="str">
        <v>all</v>
      </c>
      <c r="N3204" s="4" cm="1">
        <f t="array" ref="N3204">SUM(--(_xlfn.TEXTSPLIT($J$3167,, " ") = M3204))</f>
        <v>1</v>
      </c>
      <c r="O3204">
        <v>1</v>
      </c>
      <c r="P3204" t="str">
        <v xml:space="preserve">so
</v>
      </c>
      <c r="Q3204">
        <v>1</v>
      </c>
    </row>
    <row r="3205" spans="5:17" x14ac:dyDescent="0.2">
      <c r="E3205" s="9" t="s">
        <v>37</v>
      </c>
      <c r="K3205" t="str">
        <v>who</v>
      </c>
      <c r="L3205" s="4" t="str">
        <f t="shared" si="59"/>
        <v>who</v>
      </c>
      <c r="M3205" t="str">
        <v>my</v>
      </c>
      <c r="N3205" s="4" cm="1">
        <f t="array" ref="N3205">SUM(--(_xlfn.TEXTSPLIT($J$3167,, " ") = M3205))</f>
        <v>2</v>
      </c>
      <c r="O3205">
        <v>1</v>
      </c>
      <c r="P3205" t="str">
        <v>Can</v>
      </c>
      <c r="Q3205">
        <v>1</v>
      </c>
    </row>
    <row r="3206" spans="5:17" x14ac:dyDescent="0.2">
      <c r="E3206" s="9" t="s">
        <v>37</v>
      </c>
      <c r="K3206" t="str">
        <v>I</v>
      </c>
      <c r="L3206" s="4" t="str">
        <f t="shared" si="59"/>
        <v>I</v>
      </c>
      <c r="M3206" t="str">
        <v>dreams</v>
      </c>
      <c r="N3206" s="4" cm="1">
        <f t="array" ref="N3206">SUM(--(_xlfn.TEXTSPLIT($J$3167,, " ") = M3206))</f>
        <v>1</v>
      </c>
      <c r="O3206">
        <v>1</v>
      </c>
      <c r="P3206" t="str">
        <v>take</v>
      </c>
      <c r="Q3206">
        <v>1</v>
      </c>
    </row>
    <row r="3207" spans="5:17" x14ac:dyDescent="0.2">
      <c r="E3207" s="9" t="s">
        <v>37</v>
      </c>
      <c r="K3207" t="str">
        <v>was</v>
      </c>
      <c r="L3207" s="4" t="str">
        <f t="shared" si="59"/>
        <v>was</v>
      </c>
      <c r="M3207" t="str">
        <v xml:space="preserve">have
</v>
      </c>
      <c r="N3207" s="4" cm="1">
        <f t="array" ref="N3207">SUM(--(_xlfn.TEXTSPLIT($J$3167,, " ") = M3207))</f>
        <v>1</v>
      </c>
      <c r="O3207">
        <v>1</v>
      </c>
      <c r="P3207" t="str">
        <v>back</v>
      </c>
      <c r="Q3207">
        <v>1</v>
      </c>
    </row>
    <row r="3208" spans="5:17" x14ac:dyDescent="0.2">
      <c r="E3208" s="9" t="s">
        <v>37</v>
      </c>
      <c r="K3208" t="str">
        <v xml:space="preserve">before?
</v>
      </c>
      <c r="L3208" s="4" t="str">
        <f t="shared" si="59"/>
        <v xml:space="preserve">before  </v>
      </c>
      <c r="M3208" t="str">
        <v>Not</v>
      </c>
      <c r="N3208" s="4" cm="1">
        <f t="array" ref="N3208">SUM(--(_xlfn.TEXTSPLIT($J$3167,, " ") = M3208))</f>
        <v>2</v>
      </c>
      <c r="O3208">
        <v>1</v>
      </c>
      <c r="P3208" t="str">
        <v>who</v>
      </c>
      <c r="Q3208">
        <v>1</v>
      </c>
    </row>
    <row r="3209" spans="5:17" x14ac:dyDescent="0.2">
      <c r="E3209" s="9" t="s">
        <v>37</v>
      </c>
      <c r="K3209" t="str">
        <v>If</v>
      </c>
      <c r="L3209" s="4" t="str">
        <f t="shared" si="59"/>
        <v>If</v>
      </c>
      <c r="M3209" t="str">
        <v>been</v>
      </c>
      <c r="N3209" s="4" cm="1">
        <f t="array" ref="N3209">SUM(--(_xlfn.TEXTSPLIT($J$3167,, " ") = M3209))</f>
        <v>2</v>
      </c>
      <c r="O3209">
        <v>1</v>
      </c>
      <c r="P3209" t="str">
        <v>was</v>
      </c>
      <c r="Q3209">
        <v>1</v>
      </c>
    </row>
    <row r="3210" spans="5:17" x14ac:dyDescent="0.2">
      <c r="E3210" s="9" t="s">
        <v>37</v>
      </c>
      <c r="K3210" t="str">
        <v>it's</v>
      </c>
      <c r="L3210" s="4" t="str">
        <f t="shared" si="59"/>
        <v>it s</v>
      </c>
      <c r="M3210" t="str">
        <v>interesting</v>
      </c>
      <c r="N3210" s="4" cm="1">
        <f t="array" ref="N3210">SUM(--(_xlfn.TEXTSPLIT($J$3167,, " ") = M3210))</f>
        <v>2</v>
      </c>
      <c r="O3210">
        <v>1</v>
      </c>
      <c r="P3210" t="str">
        <v xml:space="preserve">before?
</v>
      </c>
      <c r="Q3210">
        <v>1</v>
      </c>
    </row>
    <row r="3211" spans="5:17" x14ac:dyDescent="0.2">
      <c r="E3211" s="9" t="s">
        <v>37</v>
      </c>
      <c r="K3211" t="str">
        <v xml:space="preserve">no
</v>
      </c>
      <c r="L3211" s="4" t="str">
        <f t="shared" si="59"/>
        <v xml:space="preserve">no </v>
      </c>
      <c r="M3211" t="str">
        <v>in</v>
      </c>
      <c r="N3211" s="4" cm="1">
        <f t="array" ref="N3211">SUM(--(_xlfn.TEXTSPLIT($J$3167,, " ") = M3211))</f>
        <v>2</v>
      </c>
      <c r="O3211">
        <v>1</v>
      </c>
      <c r="P3211" t="str">
        <v xml:space="preserve">no
</v>
      </c>
      <c r="Q3211">
        <v>1</v>
      </c>
    </row>
    <row r="3212" spans="5:17" x14ac:dyDescent="0.2">
      <c r="E3212" s="9" t="s">
        <v>37</v>
      </c>
      <c r="K3212" t="str">
        <v>Then</v>
      </c>
      <c r="L3212" s="4" t="str">
        <f t="shared" si="59"/>
        <v>Then</v>
      </c>
      <c r="M3212" t="str">
        <v xml:space="preserve">while
</v>
      </c>
      <c r="N3212" s="4" cm="1">
        <f t="array" ref="N3212">SUM(--(_xlfn.TEXTSPLIT($J$3167,, " ") = M3212))</f>
        <v>1</v>
      </c>
      <c r="O3212">
        <v>1</v>
      </c>
      <c r="P3212" t="str">
        <v>Then</v>
      </c>
      <c r="Q3212">
        <v>1</v>
      </c>
    </row>
    <row r="3213" spans="5:17" x14ac:dyDescent="0.2">
      <c r="E3213" s="9" t="s">
        <v>37</v>
      </c>
      <c r="K3213" t="str">
        <v>all</v>
      </c>
      <c r="L3213" s="4" t="str">
        <f t="shared" si="59"/>
        <v>all</v>
      </c>
      <c r="M3213" t="str">
        <v>has</v>
      </c>
      <c r="N3213" s="4" cm="1">
        <f t="array" ref="N3213">SUM(--(_xlfn.TEXTSPLIT($J$3167,, " ") = M3213))</f>
        <v>1</v>
      </c>
      <c r="O3213">
        <v>1</v>
      </c>
      <c r="P3213" t="str">
        <v>all</v>
      </c>
      <c r="Q3213">
        <v>1</v>
      </c>
    </row>
    <row r="3214" spans="5:17" x14ac:dyDescent="0.2">
      <c r="E3214" s="9" t="s">
        <v>37</v>
      </c>
      <c r="K3214" t="str">
        <v>my</v>
      </c>
      <c r="L3214" s="4" t="str">
        <f t="shared" si="59"/>
        <v>my</v>
      </c>
      <c r="M3214" t="str">
        <v>while,</v>
      </c>
      <c r="N3214" s="4" cm="1">
        <f t="array" ref="N3214">SUM(--(_xlfn.TEXTSPLIT($J$3167,, " ") = M3214))</f>
        <v>2</v>
      </c>
      <c r="O3214">
        <v>1</v>
      </c>
      <c r="P3214" t="str">
        <v>dreams</v>
      </c>
      <c r="Q3214">
        <v>1</v>
      </c>
    </row>
    <row r="3215" spans="5:17" x14ac:dyDescent="0.2">
      <c r="E3215" s="9" t="s">
        <v>37</v>
      </c>
      <c r="K3215" t="str">
        <v>dreams</v>
      </c>
      <c r="L3215" s="4" t="str">
        <f t="shared" si="59"/>
        <v>dreams</v>
      </c>
      <c r="M3215" t="str">
        <v xml:space="preserve">while
</v>
      </c>
      <c r="N3215" s="4" cm="1">
        <f t="array" ref="N3215">SUM(--(_xlfn.TEXTSPLIT($J$3167,, " ") = M3215))</f>
        <v>1</v>
      </c>
      <c r="O3215">
        <v>1</v>
      </c>
      <c r="P3215" t="str">
        <v xml:space="preserve">have
</v>
      </c>
      <c r="Q3215">
        <v>1</v>
      </c>
    </row>
    <row r="3216" spans="5:17" x14ac:dyDescent="0.2">
      <c r="E3216" s="9" t="s">
        <v>37</v>
      </c>
      <c r="K3216" t="str">
        <v xml:space="preserve">have
</v>
      </c>
      <c r="L3216" s="4" t="str">
        <f t="shared" si="59"/>
        <v xml:space="preserve">have </v>
      </c>
      <c r="M3216" t="str">
        <v>way</v>
      </c>
      <c r="N3216" s="4" cm="1">
        <f t="array" ref="N3216">SUM(--(_xlfn.TEXTSPLIT($J$3167,, " ") = M3216))</f>
        <v>1</v>
      </c>
      <c r="O3216">
        <v>1</v>
      </c>
      <c r="P3216" t="str">
        <v xml:space="preserve">while
</v>
      </c>
      <c r="Q3216">
        <v>1</v>
      </c>
    </row>
    <row r="3217" spans="5:17" x14ac:dyDescent="0.2">
      <c r="E3217" s="9" t="s">
        <v>37</v>
      </c>
      <c r="K3217" t="str">
        <v>Not</v>
      </c>
      <c r="L3217" s="4" t="str">
        <f t="shared" si="59"/>
        <v>Not</v>
      </c>
      <c r="M3217" t="str">
        <v xml:space="preserve">(ooh)
</v>
      </c>
      <c r="N3217" s="4" cm="1">
        <f t="array" ref="N3217">SUM(--(_xlfn.TEXTSPLIT($J$3167,, " ") = M3217))</f>
        <v>1</v>
      </c>
      <c r="O3217">
        <v>1</v>
      </c>
      <c r="P3217" t="str">
        <v>has</v>
      </c>
      <c r="Q3217">
        <v>1</v>
      </c>
    </row>
    <row r="3218" spans="5:17" x14ac:dyDescent="0.2">
      <c r="E3218" s="9" t="s">
        <v>37</v>
      </c>
      <c r="K3218" t="str">
        <v>been</v>
      </c>
      <c r="L3218" s="4" t="str">
        <f t="shared" si="59"/>
        <v>been</v>
      </c>
      <c r="M3218" t="str">
        <v>Me</v>
      </c>
      <c r="N3218" s="4" cm="1">
        <f t="array" ref="N3218">SUM(--(_xlfn.TEXTSPLIT($J$3167,, " ") = M3218))</f>
        <v>2</v>
      </c>
      <c r="O3218">
        <v>1</v>
      </c>
      <c r="P3218" t="str">
        <v xml:space="preserve">while
</v>
      </c>
      <c r="Q3218">
        <v>1</v>
      </c>
    </row>
    <row r="3219" spans="5:17" x14ac:dyDescent="0.2">
      <c r="E3219" s="9" t="s">
        <v>37</v>
      </c>
      <c r="K3219" t="str">
        <v>interesting</v>
      </c>
      <c r="L3219" s="4" t="str">
        <f t="shared" si="59"/>
        <v>interesting</v>
      </c>
      <c r="M3219" t="str">
        <v>and</v>
      </c>
      <c r="N3219" s="4" cm="1">
        <f t="array" ref="N3219">SUM(--(_xlfn.TEXTSPLIT($J$3167,, " ") = M3219))</f>
        <v>1</v>
      </c>
      <c r="O3219">
        <v>1</v>
      </c>
      <c r="P3219" t="str">
        <v>way</v>
      </c>
      <c r="Q3219">
        <v>1</v>
      </c>
    </row>
    <row r="3220" spans="5:17" x14ac:dyDescent="0.2">
      <c r="E3220" s="9" t="s">
        <v>37</v>
      </c>
      <c r="K3220" t="str">
        <v>in</v>
      </c>
      <c r="L3220" s="4" t="str">
        <f t="shared" si="59"/>
        <v>in</v>
      </c>
      <c r="M3220" t="str">
        <v>scene</v>
      </c>
      <c r="N3220" s="4" cm="1">
        <f t="array" ref="N3220">SUM(--(_xlfn.TEXTSPLIT($J$3167,, " ") = M3220))</f>
        <v>1</v>
      </c>
      <c r="O3220">
        <v>1</v>
      </c>
      <c r="P3220" t="str">
        <v xml:space="preserve">(ooh)
</v>
      </c>
      <c r="Q3220">
        <v>1</v>
      </c>
    </row>
    <row r="3221" spans="5:17" x14ac:dyDescent="0.2">
      <c r="E3221" s="9" t="s">
        <v>37</v>
      </c>
      <c r="K3221" t="str">
        <v>a</v>
      </c>
      <c r="L3221" s="4" t="str">
        <f t="shared" si="59"/>
        <v>a</v>
      </c>
      <c r="M3221" t="str">
        <v>just</v>
      </c>
      <c r="N3221" s="4" cm="1">
        <f t="array" ref="N3221">SUM(--(_xlfn.TEXTSPLIT($J$3167,, " ") = M3221))</f>
        <v>2</v>
      </c>
      <c r="O3221">
        <v>1</v>
      </c>
      <c r="P3221" t="str">
        <v>and</v>
      </c>
      <c r="Q3221">
        <v>1</v>
      </c>
    </row>
    <row r="3222" spans="5:17" x14ac:dyDescent="0.2">
      <c r="E3222" s="9" t="s">
        <v>37</v>
      </c>
      <c r="K3222" t="str">
        <v xml:space="preserve">while
</v>
      </c>
      <c r="L3222" s="4" t="str">
        <f t="shared" si="59"/>
        <v xml:space="preserve">while </v>
      </c>
      <c r="M3222" t="str">
        <v>ain't</v>
      </c>
      <c r="N3222" s="4" cm="1">
        <f t="array" ref="N3222">SUM(--(_xlfn.TEXTSPLIT($J$3167,, " ") = M3222))</f>
        <v>1</v>
      </c>
      <c r="O3222">
        <v>1</v>
      </c>
      <c r="P3222" t="str">
        <v>scene</v>
      </c>
      <c r="Q3222">
        <v>1</v>
      </c>
    </row>
    <row r="3223" spans="5:17" x14ac:dyDescent="0.2">
      <c r="E3223" s="9" t="s">
        <v>37</v>
      </c>
      <c r="K3223" t="str">
        <v>This</v>
      </c>
      <c r="L3223" s="4" t="str">
        <f t="shared" si="59"/>
        <v>This</v>
      </c>
      <c r="M3223" t="str">
        <v xml:space="preserve">gelling
</v>
      </c>
      <c r="N3223" s="4" cm="1">
        <f t="array" ref="N3223">SUM(--(_xlfn.TEXTSPLIT($J$3167,, " ") = M3223))</f>
        <v>1</v>
      </c>
      <c r="O3223">
        <v>1</v>
      </c>
      <c r="P3223" t="str">
        <v>ain't</v>
      </c>
      <c r="Q3223">
        <v>1</v>
      </c>
    </row>
    <row r="3224" spans="5:17" x14ac:dyDescent="0.2">
      <c r="E3224" s="9" t="s">
        <v>37</v>
      </c>
      <c r="K3224" t="str">
        <v>has</v>
      </c>
      <c r="L3224" s="4" t="str">
        <f t="shared" si="59"/>
        <v>has</v>
      </c>
      <c r="M3224" t="str">
        <v>Someone</v>
      </c>
      <c r="N3224" s="4" cm="1">
        <f t="array" ref="N3224">SUM(--(_xlfn.TEXTSPLIT($J$3167,, " ") = M3224))</f>
        <v>1</v>
      </c>
      <c r="O3224">
        <v>1</v>
      </c>
      <c r="P3224" t="str">
        <v xml:space="preserve">gelling
</v>
      </c>
      <c r="Q3224">
        <v>1</v>
      </c>
    </row>
    <row r="3225" spans="5:17" x14ac:dyDescent="0.2">
      <c r="E3225" s="9" t="s">
        <v>37</v>
      </c>
      <c r="K3225" t="str">
        <v>not</v>
      </c>
      <c r="L3225" s="4" t="str">
        <f t="shared" si="59"/>
        <v>not</v>
      </c>
      <c r="M3225" t="str">
        <v>next</v>
      </c>
      <c r="N3225" s="4" cm="1">
        <f t="array" ref="N3225">SUM(--(_xlfn.TEXTSPLIT($J$3167,, " ") = M3225))</f>
        <v>1</v>
      </c>
      <c r="O3225">
        <v>1</v>
      </c>
      <c r="P3225" t="str">
        <v>Someone</v>
      </c>
      <c r="Q3225">
        <v>1</v>
      </c>
    </row>
    <row r="3226" spans="5:17" x14ac:dyDescent="0.2">
      <c r="E3226" s="9" t="s">
        <v>37</v>
      </c>
      <c r="K3226" t="str">
        <v>been</v>
      </c>
      <c r="L3226" s="4" t="str">
        <f t="shared" si="59"/>
        <v>been</v>
      </c>
      <c r="M3226" t="str">
        <v>keeps</v>
      </c>
      <c r="N3226" s="4" cm="1">
        <f t="array" ref="N3226">SUM(--(_xlfn.TEXTSPLIT($J$3167,, " ") = M3226))</f>
        <v>1</v>
      </c>
      <c r="O3226">
        <v>1</v>
      </c>
      <c r="P3226" t="str">
        <v>next</v>
      </c>
      <c r="Q3226">
        <v>1</v>
      </c>
    </row>
    <row r="3227" spans="5:17" x14ac:dyDescent="0.2">
      <c r="E3227" s="9" t="s">
        <v>37</v>
      </c>
      <c r="K3227" t="str">
        <v>interesting</v>
      </c>
      <c r="L3227" s="4" t="str">
        <f t="shared" si="59"/>
        <v>interesting</v>
      </c>
      <c r="M3227" t="str">
        <v xml:space="preserve">yelling
</v>
      </c>
      <c r="N3227" s="4" cm="1">
        <f t="array" ref="N3227">SUM(--(_xlfn.TEXTSPLIT($J$3167,, " ") = M3227))</f>
        <v>1</v>
      </c>
      <c r="O3227">
        <v>1</v>
      </c>
      <c r="P3227" t="str">
        <v>keeps</v>
      </c>
      <c r="Q3227">
        <v>1</v>
      </c>
    </row>
    <row r="3228" spans="5:17" x14ac:dyDescent="0.2">
      <c r="E3228" s="9" t="s">
        <v>37</v>
      </c>
      <c r="K3228" t="str">
        <v>in</v>
      </c>
      <c r="L3228" s="4" t="str">
        <f t="shared" si="59"/>
        <v>in</v>
      </c>
      <c r="M3228" t="str">
        <v>Why</v>
      </c>
      <c r="N3228" s="4" cm="1">
        <f t="array" ref="N3228">SUM(--(_xlfn.TEXTSPLIT($J$3167,, " ") = M3228))</f>
        <v>1</v>
      </c>
      <c r="O3228">
        <v>1</v>
      </c>
      <c r="P3228" t="str">
        <v xml:space="preserve">yelling
</v>
      </c>
      <c r="Q3228">
        <v>1</v>
      </c>
    </row>
    <row r="3229" spans="5:17" x14ac:dyDescent="0.2">
      <c r="E3229" s="9" t="s">
        <v>37</v>
      </c>
      <c r="K3229" t="str">
        <v>a</v>
      </c>
      <c r="L3229" s="4" t="str">
        <f t="shared" si="59"/>
        <v>a</v>
      </c>
      <c r="M3229" t="str">
        <v>still</v>
      </c>
      <c r="N3229" s="4" cm="1">
        <f t="array" ref="N3229">SUM(--(_xlfn.TEXTSPLIT($J$3167,, " ") = M3229))</f>
        <v>1</v>
      </c>
      <c r="O3229">
        <v>1</v>
      </c>
      <c r="P3229" t="str">
        <v>Why</v>
      </c>
      <c r="Q3229">
        <v>1</v>
      </c>
    </row>
    <row r="3230" spans="5:17" x14ac:dyDescent="0.2">
      <c r="E3230" s="9" t="s">
        <v>37</v>
      </c>
      <c r="K3230" t="str">
        <v>while,</v>
      </c>
      <c r="L3230" s="4" t="str">
        <f t="shared" si="59"/>
        <v xml:space="preserve">while </v>
      </c>
      <c r="M3230" t="str">
        <v xml:space="preserve">walking?
</v>
      </c>
      <c r="N3230" s="4" cm="1">
        <f t="array" ref="N3230">SUM(--(_xlfn.TEXTSPLIT($J$3167,, " ") = M3230))</f>
        <v>1</v>
      </c>
      <c r="O3230">
        <v>1</v>
      </c>
      <c r="P3230" t="str">
        <v>still</v>
      </c>
      <c r="Q3230">
        <v>1</v>
      </c>
    </row>
    <row r="3231" spans="5:17" x14ac:dyDescent="0.2">
      <c r="E3231" s="9" t="s">
        <v>37</v>
      </c>
      <c r="K3231" t="str">
        <v>while,</v>
      </c>
      <c r="L3231" s="4" t="str">
        <f t="shared" si="59"/>
        <v xml:space="preserve">while </v>
      </c>
      <c r="M3231" t="str">
        <v>Something</v>
      </c>
      <c r="N3231" s="4" cm="1">
        <f t="array" ref="N3231">SUM(--(_xlfn.TEXTSPLIT($J$3167,, " ") = M3231))</f>
        <v>1</v>
      </c>
      <c r="O3231">
        <v>1</v>
      </c>
      <c r="P3231" t="str">
        <v xml:space="preserve">walking?
</v>
      </c>
      <c r="Q3231">
        <v>1</v>
      </c>
    </row>
    <row r="3232" spans="5:17" x14ac:dyDescent="0.2">
      <c r="E3232" s="9" t="s">
        <v>37</v>
      </c>
      <c r="K3232" t="str">
        <v xml:space="preserve">while
</v>
      </c>
      <c r="L3232" s="4" t="str">
        <f t="shared" ref="L3232:L3295" si="60">_xlfn.REGEXREPLACE(K3232, "[^A-Za-z ]", " ")</f>
        <v xml:space="preserve">while  </v>
      </c>
      <c r="M3232" t="str">
        <v>must</v>
      </c>
      <c r="N3232" s="4" cm="1">
        <f t="array" ref="N3232">SUM(--(_xlfn.TEXTSPLIT($J$3167,, " ") = M3232))</f>
        <v>1</v>
      </c>
      <c r="O3232">
        <v>1</v>
      </c>
      <c r="P3232" t="str">
        <v>Something</v>
      </c>
      <c r="Q3232">
        <v>1</v>
      </c>
    </row>
    <row r="3233" spans="5:17" x14ac:dyDescent="0.2">
      <c r="E3233" s="9" t="s">
        <v>37</v>
      </c>
      <c r="K3233" t="str">
        <v>I</v>
      </c>
      <c r="L3233" s="4" t="str">
        <f t="shared" si="60"/>
        <v>I</v>
      </c>
      <c r="M3233" t="str">
        <v>be</v>
      </c>
      <c r="N3233" s="4" cm="1">
        <f t="array" ref="N3233">SUM(--(_xlfn.TEXTSPLIT($J$3167,, " ") = M3233))</f>
        <v>1</v>
      </c>
      <c r="O3233">
        <v>1</v>
      </c>
      <c r="P3233" t="str">
        <v>must</v>
      </c>
      <c r="Q3233">
        <v>1</v>
      </c>
    </row>
    <row r="3234" spans="5:17" x14ac:dyDescent="0.2">
      <c r="E3234" s="9" t="s">
        <v>37</v>
      </c>
      <c r="K3234" t="str">
        <v>wanted</v>
      </c>
      <c r="L3234" s="4" t="str">
        <f t="shared" si="60"/>
        <v>wanted</v>
      </c>
      <c r="M3234" t="str">
        <v>wrong</v>
      </c>
      <c r="N3234" s="4" cm="1">
        <f t="array" ref="N3234">SUM(--(_xlfn.TEXTSPLIT($J$3167,, " ") = M3234))</f>
        <v>1</v>
      </c>
      <c r="O3234">
        <v>1</v>
      </c>
      <c r="P3234" t="str">
        <v>be</v>
      </c>
      <c r="Q3234">
        <v>1</v>
      </c>
    </row>
    <row r="3235" spans="5:17" x14ac:dyDescent="0.2">
      <c r="E3235" s="9" t="s">
        <v>37</v>
      </c>
      <c r="K3235" t="str">
        <v>to</v>
      </c>
      <c r="L3235" s="4" t="str">
        <f t="shared" si="60"/>
        <v>to</v>
      </c>
      <c r="M3235" t="str">
        <v xml:space="preserve">here
</v>
      </c>
      <c r="N3235" s="4" cm="1">
        <f t="array" ref="N3235">SUM(--(_xlfn.TEXTSPLIT($J$3167,, " ") = M3235))</f>
        <v>1</v>
      </c>
      <c r="O3235">
        <v>1</v>
      </c>
      <c r="P3235" t="str">
        <v>wrong</v>
      </c>
      <c r="Q3235">
        <v>1</v>
      </c>
    </row>
    <row r="3236" spans="5:17" x14ac:dyDescent="0.2">
      <c r="E3236" s="9" t="s">
        <v>37</v>
      </c>
      <c r="K3236" t="str">
        <v xml:space="preserve">fly
</v>
      </c>
      <c r="L3236" s="4" t="str">
        <f t="shared" si="60"/>
        <v xml:space="preserve">fly </v>
      </c>
      <c r="M3236" t="str">
        <v>don't</v>
      </c>
      <c r="N3236" s="4" cm="1">
        <f t="array" ref="N3236">SUM(--(_xlfn.TEXTSPLIT($J$3167,, " ") = M3236))</f>
        <v>1</v>
      </c>
      <c r="O3236">
        <v>1</v>
      </c>
      <c r="P3236" t="str">
        <v xml:space="preserve">here
</v>
      </c>
      <c r="Q3236">
        <v>1</v>
      </c>
    </row>
    <row r="3237" spans="5:17" x14ac:dyDescent="0.2">
      <c r="E3237" s="9" t="s">
        <v>37</v>
      </c>
      <c r="K3237" t="str">
        <v>But</v>
      </c>
      <c r="L3237" s="4" t="str">
        <f t="shared" si="60"/>
        <v>But</v>
      </c>
      <c r="M3237" t="str">
        <v>belong</v>
      </c>
      <c r="N3237" s="4" cm="1">
        <f t="array" ref="N3237">SUM(--(_xlfn.TEXTSPLIT($J$3167,, " ") = M3237))</f>
        <v>1</v>
      </c>
      <c r="O3237">
        <v>1</v>
      </c>
      <c r="P3237" t="str">
        <v>don't</v>
      </c>
      <c r="Q3237">
        <v>1</v>
      </c>
    </row>
    <row r="3238" spans="5:17" x14ac:dyDescent="0.2">
      <c r="E3238" s="9" t="s">
        <v>37</v>
      </c>
      <c r="K3238" t="str">
        <v>they</v>
      </c>
      <c r="L3238" s="4" t="str">
        <f t="shared" si="60"/>
        <v>they</v>
      </c>
      <c r="M3238" t="str">
        <v xml:space="preserve">here
</v>
      </c>
      <c r="N3238" s="4" cm="1">
        <f t="array" ref="N3238">SUM(--(_xlfn.TEXTSPLIT($J$3167,, " ") = M3238))</f>
        <v>1</v>
      </c>
      <c r="O3238">
        <v>1</v>
      </c>
      <c r="P3238" t="str">
        <v>belong</v>
      </c>
      <c r="Q3238">
        <v>1</v>
      </c>
    </row>
    <row r="3239" spans="5:17" x14ac:dyDescent="0.2">
      <c r="E3239" s="9" t="s">
        <v>37</v>
      </c>
      <c r="K3239" t="str">
        <v>say</v>
      </c>
      <c r="L3239" s="4" t="str">
        <f t="shared" si="60"/>
        <v>say</v>
      </c>
      <c r="M3239" t="str">
        <v xml:space="preserve">one
</v>
      </c>
      <c r="N3239" s="4" cm="1">
        <f t="array" ref="N3239">SUM(--(_xlfn.TEXTSPLIT($J$3167,, " ") = M3239))</f>
        <v>1</v>
      </c>
      <c r="O3239">
        <v>1</v>
      </c>
      <c r="P3239" t="str">
        <v xml:space="preserve">here
</v>
      </c>
      <c r="Q3239">
        <v>1</v>
      </c>
    </row>
    <row r="3240" spans="5:17" x14ac:dyDescent="0.2">
      <c r="E3240" s="9" t="s">
        <v>37</v>
      </c>
      <c r="K3240" t="str">
        <v>a</v>
      </c>
      <c r="L3240" s="4" t="str">
        <f t="shared" si="60"/>
        <v>a</v>
      </c>
      <c r="M3240" t="str">
        <v xml:space="preserve">one
</v>
      </c>
      <c r="N3240" s="4" cm="1">
        <f t="array" ref="N3240">SUM(--(_xlfn.TEXTSPLIT($J$3167,, " ") = M3240))</f>
        <v>2</v>
      </c>
      <c r="O3240">
        <v>1</v>
      </c>
      <c r="P3240" t="str">
        <v xml:space="preserve">one
</v>
      </c>
      <c r="Q3240">
        <v>1</v>
      </c>
    </row>
    <row r="3241" spans="5:17" x14ac:dyDescent="0.2">
      <c r="E3241" s="9" t="s">
        <v>37</v>
      </c>
      <c r="K3241" t="str">
        <v>system's</v>
      </c>
      <c r="L3241" s="4" t="str">
        <f t="shared" si="60"/>
        <v>system s</v>
      </c>
      <c r="M3241" t="str">
        <v xml:space="preserve">way
</v>
      </c>
      <c r="N3241" s="4" cm="1">
        <f t="array" ref="N3241">SUM(--(_xlfn.TEXTSPLIT($J$3167,, " ") = M3241))</f>
        <v>1</v>
      </c>
      <c r="O3241">
        <v>1</v>
      </c>
      <c r="P3241" t="str">
        <v xml:space="preserve">way
</v>
      </c>
      <c r="Q3241">
        <v>1</v>
      </c>
    </row>
    <row r="3242" spans="5:17" x14ac:dyDescent="0.2">
      <c r="E3242" s="9" t="s">
        <v>37</v>
      </c>
      <c r="K3242" t="str">
        <v>coming</v>
      </c>
      <c r="L3242" s="4" t="str">
        <f t="shared" si="60"/>
        <v>coming</v>
      </c>
      <c r="M3242" t="str">
        <v>(This</v>
      </c>
      <c r="N3242" s="4" cm="1">
        <f t="array" ref="N3242">SUM(--(_xlfn.TEXTSPLIT($J$3167,, " ") = M3242))</f>
        <v>1</v>
      </c>
      <c r="O3242">
        <v>1</v>
      </c>
      <c r="P3242" t="str">
        <v>(This</v>
      </c>
      <c r="Q3242">
        <v>1</v>
      </c>
    </row>
    <row r="3243" spans="5:17" x14ac:dyDescent="0.2">
      <c r="E3243" s="9" t="s">
        <v>37</v>
      </c>
      <c r="K3243" t="str">
        <v xml:space="preserve">in
</v>
      </c>
      <c r="L3243" s="4" t="str">
        <f t="shared" si="60"/>
        <v xml:space="preserve">in </v>
      </c>
      <c r="M3243" t="str">
        <v>a)</v>
      </c>
      <c r="N3243" s="4" cm="1">
        <f t="array" ref="N3243">SUM(--(_xlfn.TEXTSPLIT($J$3167,, " ") = M3243))</f>
        <v>1</v>
      </c>
      <c r="O3243">
        <v>1</v>
      </c>
      <c r="P3243" t="str">
        <v>a)</v>
      </c>
      <c r="Q3243">
        <v>1</v>
      </c>
    </row>
    <row r="3244" spans="5:17" x14ac:dyDescent="0.2">
      <c r="E3244" s="9" t="s">
        <v>37</v>
      </c>
      <c r="K3244" t="str">
        <v>The</v>
      </c>
      <c r="L3244" s="4" t="str">
        <f t="shared" si="60"/>
        <v>The</v>
      </c>
      <c r="N3244" s="4" cm="1">
        <f t="array" ref="N3244">SUM(--(_xlfn.TEXTSPLIT($J$3167,, " ") = M3244))</f>
        <v>1</v>
      </c>
      <c r="O3244">
        <v>1</v>
      </c>
      <c r="P3244">
        <v>0</v>
      </c>
      <c r="Q3244">
        <v>1</v>
      </c>
    </row>
    <row r="3245" spans="5:17" x14ac:dyDescent="0.2">
      <c r="E3245" s="9" t="s">
        <v>37</v>
      </c>
      <c r="K3245" t="str">
        <v>chances</v>
      </c>
      <c r="L3245" s="4" t="str">
        <f t="shared" si="60"/>
        <v>chances</v>
      </c>
      <c r="N3245" s="4" cm="1">
        <f t="array" ref="N3245">SUM(--(_xlfn.TEXTSPLIT($J$3167,, " ") = M3245))</f>
        <v>1</v>
      </c>
      <c r="O3245">
        <v>1</v>
      </c>
      <c r="P3245">
        <v>0</v>
      </c>
      <c r="Q3245">
        <v>1</v>
      </c>
    </row>
    <row r="3246" spans="5:17" x14ac:dyDescent="0.2">
      <c r="E3246" s="9" t="s">
        <v>37</v>
      </c>
      <c r="K3246" t="str">
        <v>are</v>
      </c>
      <c r="L3246" s="4" t="str">
        <f t="shared" si="60"/>
        <v>are</v>
      </c>
      <c r="N3246" s="4" cm="1">
        <f t="array" ref="N3246">SUM(--(_xlfn.TEXTSPLIT($J$3167,, " ") = M3246))</f>
        <v>1</v>
      </c>
      <c r="O3246">
        <v>1</v>
      </c>
      <c r="P3246">
        <v>0</v>
      </c>
      <c r="Q3246">
        <v>1</v>
      </c>
    </row>
    <row r="3247" spans="5:17" x14ac:dyDescent="0.2">
      <c r="E3247" s="9" t="s">
        <v>37</v>
      </c>
      <c r="K3247" t="str">
        <v xml:space="preserve">high
</v>
      </c>
      <c r="L3247" s="4" t="str">
        <f t="shared" si="60"/>
        <v xml:space="preserve">high </v>
      </c>
      <c r="N3247" s="4" cm="1">
        <f t="array" ref="N3247">SUM(--(_xlfn.TEXTSPLIT($J$3167,, " ") = M3247))</f>
        <v>1</v>
      </c>
      <c r="O3247">
        <v>1</v>
      </c>
      <c r="P3247">
        <v>0</v>
      </c>
      <c r="Q3247">
        <v>1</v>
      </c>
    </row>
    <row r="3248" spans="5:17" x14ac:dyDescent="0.2">
      <c r="E3248" s="9" t="s">
        <v>37</v>
      </c>
      <c r="K3248" t="str">
        <v>That</v>
      </c>
      <c r="L3248" s="4" t="str">
        <f t="shared" si="60"/>
        <v>That</v>
      </c>
      <c r="N3248" s="4" cm="1">
        <f t="array" ref="N3248">SUM(--(_xlfn.TEXTSPLIT($J$3167,, " ") = M3248))</f>
        <v>1</v>
      </c>
      <c r="O3248">
        <v>1</v>
      </c>
      <c r="P3248">
        <v>0</v>
      </c>
      <c r="Q3248">
        <v>1</v>
      </c>
    </row>
    <row r="3249" spans="5:17" x14ac:dyDescent="0.2">
      <c r="E3249" s="9" t="s">
        <v>37</v>
      </c>
      <c r="K3249" t="str">
        <v>this</v>
      </c>
      <c r="L3249" s="4" t="str">
        <f t="shared" si="60"/>
        <v>this</v>
      </c>
      <c r="N3249" s="4" cm="1">
        <f t="array" ref="N3249">SUM(--(_xlfn.TEXTSPLIT($J$3167,, " ") = M3249))</f>
        <v>1</v>
      </c>
      <c r="O3249">
        <v>1</v>
      </c>
      <c r="P3249">
        <v>0</v>
      </c>
      <c r="Q3249">
        <v>1</v>
      </c>
    </row>
    <row r="3250" spans="5:17" x14ac:dyDescent="0.2">
      <c r="E3250" s="9" t="s">
        <v>37</v>
      </c>
      <c r="K3250" t="str">
        <v>is</v>
      </c>
      <c r="L3250" s="4" t="str">
        <f t="shared" si="60"/>
        <v>is</v>
      </c>
      <c r="N3250" s="4" cm="1">
        <f t="array" ref="N3250">SUM(--(_xlfn.TEXTSPLIT($J$3167,, " ") = M3250))</f>
        <v>1</v>
      </c>
      <c r="O3250">
        <v>1</v>
      </c>
      <c r="P3250">
        <v>0</v>
      </c>
      <c r="Q3250">
        <v>1</v>
      </c>
    </row>
    <row r="3251" spans="5:17" x14ac:dyDescent="0.2">
      <c r="E3251" s="9" t="s">
        <v>37</v>
      </c>
      <c r="K3251" t="str">
        <v xml:space="preserve">a
</v>
      </c>
      <c r="L3251" s="4" t="str">
        <f t="shared" si="60"/>
        <v xml:space="preserve">a </v>
      </c>
      <c r="N3251" s="4" cm="1">
        <f t="array" ref="N3251">SUM(--(_xlfn.TEXTSPLIT($J$3167,, " ") = M3251))</f>
        <v>1</v>
      </c>
      <c r="O3251">
        <v>1</v>
      </c>
      <c r="P3251">
        <v>0</v>
      </c>
      <c r="Q3251">
        <v>1</v>
      </c>
    </row>
    <row r="3252" spans="5:17" x14ac:dyDescent="0.2">
      <c r="E3252" s="9" t="s">
        <v>37</v>
      </c>
      <c r="K3252" t="str">
        <v>One</v>
      </c>
      <c r="L3252" s="4" t="str">
        <f t="shared" si="60"/>
        <v>One</v>
      </c>
      <c r="N3252" s="4" cm="1">
        <f t="array" ref="N3252">SUM(--(_xlfn.TEXTSPLIT($J$3167,, " ") = M3252))</f>
        <v>1</v>
      </c>
      <c r="O3252">
        <v>1</v>
      </c>
      <c r="P3252">
        <v>0</v>
      </c>
      <c r="Q3252">
        <v>1</v>
      </c>
    </row>
    <row r="3253" spans="5:17" x14ac:dyDescent="0.2">
      <c r="E3253" s="9" t="s">
        <v>37</v>
      </c>
      <c r="K3253" t="str">
        <v>way,</v>
      </c>
      <c r="L3253" s="4" t="str">
        <f t="shared" si="60"/>
        <v xml:space="preserve">way </v>
      </c>
      <c r="N3253" s="4" cm="1">
        <f t="array" ref="N3253">SUM(--(_xlfn.TEXTSPLIT($J$3167,, " ") = M3253))</f>
        <v>1</v>
      </c>
      <c r="O3253">
        <v>1</v>
      </c>
      <c r="P3253">
        <v>0</v>
      </c>
      <c r="Q3253">
        <v>1</v>
      </c>
    </row>
    <row r="3254" spans="5:17" x14ac:dyDescent="0.2">
      <c r="E3254" s="9" t="s">
        <v>37</v>
      </c>
      <c r="K3254" t="str">
        <v>one</v>
      </c>
      <c r="L3254" s="4" t="str">
        <f t="shared" si="60"/>
        <v>one</v>
      </c>
      <c r="N3254" s="4" cm="1">
        <f t="array" ref="N3254">SUM(--(_xlfn.TEXTSPLIT($J$3167,, " ") = M3254))</f>
        <v>1</v>
      </c>
      <c r="O3254">
        <v>1</v>
      </c>
      <c r="P3254">
        <v>0</v>
      </c>
      <c r="Q3254">
        <v>1</v>
      </c>
    </row>
    <row r="3255" spans="5:17" x14ac:dyDescent="0.2">
      <c r="E3255" s="9" t="s">
        <v>37</v>
      </c>
      <c r="K3255" t="str">
        <v>way,</v>
      </c>
      <c r="L3255" s="4" t="str">
        <f t="shared" si="60"/>
        <v xml:space="preserve">way </v>
      </c>
      <c r="N3255" s="4" cm="1">
        <f t="array" ref="N3255">SUM(--(_xlfn.TEXTSPLIT($J$3167,, " ") = M3255))</f>
        <v>1</v>
      </c>
      <c r="O3255">
        <v>1</v>
      </c>
      <c r="P3255">
        <v>0</v>
      </c>
      <c r="Q3255">
        <v>1</v>
      </c>
    </row>
    <row r="3256" spans="5:17" x14ac:dyDescent="0.2">
      <c r="E3256" s="9" t="s">
        <v>37</v>
      </c>
      <c r="K3256" t="str">
        <v>one</v>
      </c>
      <c r="L3256" s="4" t="str">
        <f t="shared" si="60"/>
        <v>one</v>
      </c>
      <c r="N3256" s="4" cm="1">
        <f t="array" ref="N3256">SUM(--(_xlfn.TEXTSPLIT($J$3167,, " ") = M3256))</f>
        <v>1</v>
      </c>
      <c r="O3256">
        <v>1</v>
      </c>
      <c r="P3256">
        <v>0</v>
      </c>
      <c r="Q3256">
        <v>1</v>
      </c>
    </row>
    <row r="3257" spans="5:17" x14ac:dyDescent="0.2">
      <c r="E3257" s="9" t="s">
        <v>37</v>
      </c>
      <c r="K3257" t="str">
        <v>way,</v>
      </c>
      <c r="L3257" s="4" t="str">
        <f t="shared" si="60"/>
        <v xml:space="preserve">way </v>
      </c>
      <c r="N3257" s="4" cm="1">
        <f t="array" ref="N3257">SUM(--(_xlfn.TEXTSPLIT($J$3167,, " ") = M3257))</f>
        <v>1</v>
      </c>
      <c r="O3257">
        <v>1</v>
      </c>
      <c r="P3257">
        <v>0</v>
      </c>
      <c r="Q3257">
        <v>1</v>
      </c>
    </row>
    <row r="3258" spans="5:17" x14ac:dyDescent="0.2">
      <c r="E3258" s="9" t="s">
        <v>37</v>
      </c>
      <c r="K3258" t="str">
        <v>one</v>
      </c>
      <c r="L3258" s="4" t="str">
        <f t="shared" si="60"/>
        <v>one</v>
      </c>
      <c r="N3258" s="4" cm="1">
        <f t="array" ref="N3258">SUM(--(_xlfn.TEXTSPLIT($J$3167,, " ") = M3258))</f>
        <v>1</v>
      </c>
      <c r="O3258">
        <v>1</v>
      </c>
      <c r="P3258">
        <v>0</v>
      </c>
      <c r="Q3258">
        <v>1</v>
      </c>
    </row>
    <row r="3259" spans="5:17" x14ac:dyDescent="0.2">
      <c r="E3259" s="9" t="s">
        <v>37</v>
      </c>
      <c r="K3259" t="str">
        <v>way,</v>
      </c>
      <c r="L3259" s="4" t="str">
        <f t="shared" si="60"/>
        <v xml:space="preserve">way </v>
      </c>
      <c r="N3259" s="4" cm="1">
        <f t="array" ref="N3259">SUM(--(_xlfn.TEXTSPLIT($J$3167,, " ") = M3259))</f>
        <v>1</v>
      </c>
      <c r="O3259">
        <v>1</v>
      </c>
      <c r="P3259">
        <v>0</v>
      </c>
      <c r="Q3259">
        <v>1</v>
      </c>
    </row>
    <row r="3260" spans="5:17" x14ac:dyDescent="0.2">
      <c r="E3260" s="9" t="s">
        <v>37</v>
      </c>
      <c r="K3260" t="str">
        <v>one</v>
      </c>
      <c r="L3260" s="4" t="str">
        <f t="shared" si="60"/>
        <v>one</v>
      </c>
      <c r="N3260" s="4" cm="1">
        <f t="array" ref="N3260">SUM(--(_xlfn.TEXTSPLIT($J$3167,, " ") = M3260))</f>
        <v>1</v>
      </c>
      <c r="O3260">
        <v>1</v>
      </c>
      <c r="P3260">
        <v>0</v>
      </c>
      <c r="Q3260">
        <v>1</v>
      </c>
    </row>
    <row r="3261" spans="5:17" x14ac:dyDescent="0.2">
      <c r="E3261" s="9" t="s">
        <v>37</v>
      </c>
      <c r="K3261" t="str">
        <v>way</v>
      </c>
      <c r="L3261" s="4" t="str">
        <f t="shared" si="60"/>
        <v>way</v>
      </c>
      <c r="N3261" s="4" cm="1">
        <f t="array" ref="N3261">SUM(--(_xlfn.TEXTSPLIT($J$3167,, " ") = M3261))</f>
        <v>1</v>
      </c>
      <c r="O3261">
        <v>1</v>
      </c>
      <c r="P3261">
        <v>0</v>
      </c>
      <c r="Q3261">
        <v>1</v>
      </c>
    </row>
    <row r="3262" spans="5:17" x14ac:dyDescent="0.2">
      <c r="E3262" s="9" t="s">
        <v>37</v>
      </c>
      <c r="K3262" t="str">
        <v xml:space="preserve">(ooh)
</v>
      </c>
      <c r="L3262" s="4" t="str">
        <f t="shared" si="60"/>
        <v xml:space="preserve"> ooh   </v>
      </c>
      <c r="N3262" s="4" cm="1">
        <f t="array" ref="N3262">SUM(--(_xlfn.TEXTSPLIT($J$3167,, " ") = M3262))</f>
        <v>1</v>
      </c>
      <c r="O3262">
        <v>1</v>
      </c>
      <c r="P3262">
        <v>0</v>
      </c>
      <c r="Q3262">
        <v>1</v>
      </c>
    </row>
    <row r="3263" spans="5:17" x14ac:dyDescent="0.2">
      <c r="E3263" s="9" t="s">
        <v>37</v>
      </c>
      <c r="K3263" t="str">
        <v>Me</v>
      </c>
      <c r="L3263" s="4" t="str">
        <f t="shared" si="60"/>
        <v>Me</v>
      </c>
      <c r="N3263" s="4" cm="1">
        <f t="array" ref="N3263">SUM(--(_xlfn.TEXTSPLIT($J$3167,, " ") = M3263))</f>
        <v>1</v>
      </c>
      <c r="O3263">
        <v>1</v>
      </c>
      <c r="P3263">
        <v>0</v>
      </c>
      <c r="Q3263">
        <v>1</v>
      </c>
    </row>
    <row r="3264" spans="5:17" x14ac:dyDescent="0.2">
      <c r="E3264" s="9" t="s">
        <v>37</v>
      </c>
      <c r="K3264" t="str">
        <v>and</v>
      </c>
      <c r="L3264" s="4" t="str">
        <f t="shared" si="60"/>
        <v>and</v>
      </c>
      <c r="N3264" s="4" cm="1">
        <f t="array" ref="N3264">SUM(--(_xlfn.TEXTSPLIT($J$3167,, " ") = M3264))</f>
        <v>1</v>
      </c>
      <c r="O3264">
        <v>1</v>
      </c>
      <c r="P3264">
        <v>0</v>
      </c>
      <c r="Q3264">
        <v>1</v>
      </c>
    </row>
    <row r="3265" spans="5:17" x14ac:dyDescent="0.2">
      <c r="E3265" s="9" t="s">
        <v>37</v>
      </c>
      <c r="K3265" t="str">
        <v>my</v>
      </c>
      <c r="L3265" s="4" t="str">
        <f t="shared" si="60"/>
        <v>my</v>
      </c>
      <c r="N3265" s="4" cm="1">
        <f t="array" ref="N3265">SUM(--(_xlfn.TEXTSPLIT($J$3167,, " ") = M3265))</f>
        <v>1</v>
      </c>
      <c r="O3265">
        <v>1</v>
      </c>
      <c r="P3265">
        <v>0</v>
      </c>
      <c r="Q3265">
        <v>1</v>
      </c>
    </row>
    <row r="3266" spans="5:17" x14ac:dyDescent="0.2">
      <c r="E3266" s="9" t="s">
        <v>37</v>
      </c>
      <c r="K3266" t="str">
        <v>scene</v>
      </c>
      <c r="L3266" s="4" t="str">
        <f t="shared" si="60"/>
        <v>scene</v>
      </c>
      <c r="N3266" s="4" cm="1">
        <f t="array" ref="N3266">SUM(--(_xlfn.TEXTSPLIT($J$3167,, " ") = M3266))</f>
        <v>1</v>
      </c>
      <c r="O3266">
        <v>1</v>
      </c>
      <c r="P3266">
        <v>0</v>
      </c>
      <c r="Q3266">
        <v>1</v>
      </c>
    </row>
    <row r="3267" spans="5:17" x14ac:dyDescent="0.2">
      <c r="E3267" s="9" t="s">
        <v>37</v>
      </c>
      <c r="K3267" t="str">
        <v>just</v>
      </c>
      <c r="L3267" s="4" t="str">
        <f t="shared" si="60"/>
        <v>just</v>
      </c>
      <c r="N3267" s="4" cm="1">
        <f t="array" ref="N3267">SUM(--(_xlfn.TEXTSPLIT($J$3167,, " ") = M3267))</f>
        <v>1</v>
      </c>
      <c r="O3267">
        <v>1</v>
      </c>
      <c r="P3267">
        <v>0</v>
      </c>
      <c r="Q3267">
        <v>1</v>
      </c>
    </row>
    <row r="3268" spans="5:17" x14ac:dyDescent="0.2">
      <c r="E3268" s="9" t="s">
        <v>37</v>
      </c>
      <c r="K3268" t="str">
        <v>ain't</v>
      </c>
      <c r="L3268" s="4" t="str">
        <f t="shared" si="60"/>
        <v>ain t</v>
      </c>
      <c r="N3268" s="4" cm="1">
        <f t="array" ref="N3268">SUM(--(_xlfn.TEXTSPLIT($J$3167,, " ") = M3268))</f>
        <v>1</v>
      </c>
      <c r="O3268">
        <v>1</v>
      </c>
      <c r="P3268">
        <v>0</v>
      </c>
      <c r="Q3268">
        <v>1</v>
      </c>
    </row>
    <row r="3269" spans="5:17" x14ac:dyDescent="0.2">
      <c r="E3269" s="9" t="s">
        <v>37</v>
      </c>
      <c r="K3269" t="str">
        <v xml:space="preserve">gelling
</v>
      </c>
      <c r="L3269" s="4" t="str">
        <f t="shared" si="60"/>
        <v xml:space="preserve">gelling </v>
      </c>
      <c r="N3269" s="4" cm="1">
        <f t="array" ref="N3269">SUM(--(_xlfn.TEXTSPLIT($J$3167,, " ") = M3269))</f>
        <v>1</v>
      </c>
      <c r="O3269">
        <v>1</v>
      </c>
      <c r="P3269">
        <v>0</v>
      </c>
      <c r="Q3269">
        <v>1</v>
      </c>
    </row>
    <row r="3270" spans="5:17" x14ac:dyDescent="0.2">
      <c r="E3270" s="9" t="s">
        <v>37</v>
      </c>
      <c r="K3270" t="str">
        <v>Someone</v>
      </c>
      <c r="L3270" s="4" t="str">
        <f t="shared" si="60"/>
        <v>Someone</v>
      </c>
      <c r="N3270" s="4" cm="1">
        <f t="array" ref="N3270">SUM(--(_xlfn.TEXTSPLIT($J$3167,, " ") = M3270))</f>
        <v>1</v>
      </c>
      <c r="O3270">
        <v>1</v>
      </c>
      <c r="P3270">
        <v>0</v>
      </c>
      <c r="Q3270">
        <v>1</v>
      </c>
    </row>
    <row r="3271" spans="5:17" x14ac:dyDescent="0.2">
      <c r="E3271" s="9" t="s">
        <v>37</v>
      </c>
      <c r="K3271" t="str">
        <v>next</v>
      </c>
      <c r="L3271" s="4" t="str">
        <f t="shared" si="60"/>
        <v>next</v>
      </c>
      <c r="N3271" s="4" cm="1">
        <f t="array" ref="N3271">SUM(--(_xlfn.TEXTSPLIT($J$3167,, " ") = M3271))</f>
        <v>1</v>
      </c>
      <c r="O3271">
        <v>1</v>
      </c>
      <c r="P3271">
        <v>0</v>
      </c>
      <c r="Q3271">
        <v>1</v>
      </c>
    </row>
    <row r="3272" spans="5:17" x14ac:dyDescent="0.2">
      <c r="E3272" s="9" t="s">
        <v>37</v>
      </c>
      <c r="K3272" t="str">
        <v>to</v>
      </c>
      <c r="L3272" s="4" t="str">
        <f t="shared" si="60"/>
        <v>to</v>
      </c>
      <c r="N3272" s="4" cm="1">
        <f t="array" ref="N3272">SUM(--(_xlfn.TEXTSPLIT($J$3167,, " ") = M3272))</f>
        <v>1</v>
      </c>
      <c r="O3272">
        <v>1</v>
      </c>
      <c r="P3272">
        <v>0</v>
      </c>
      <c r="Q3272">
        <v>1</v>
      </c>
    </row>
    <row r="3273" spans="5:17" x14ac:dyDescent="0.2">
      <c r="E3273" s="9" t="s">
        <v>37</v>
      </c>
      <c r="K3273" t="str">
        <v>me</v>
      </c>
      <c r="L3273" s="4" t="str">
        <f t="shared" si="60"/>
        <v>me</v>
      </c>
      <c r="N3273" s="4" cm="1">
        <f t="array" ref="N3273">SUM(--(_xlfn.TEXTSPLIT($J$3167,, " ") = M3273))</f>
        <v>1</v>
      </c>
      <c r="O3273">
        <v>1</v>
      </c>
      <c r="P3273">
        <v>0</v>
      </c>
      <c r="Q3273">
        <v>1</v>
      </c>
    </row>
    <row r="3274" spans="5:17" x14ac:dyDescent="0.2">
      <c r="E3274" s="9" t="s">
        <v>37</v>
      </c>
      <c r="K3274" t="str">
        <v>keeps</v>
      </c>
      <c r="L3274" s="4" t="str">
        <f t="shared" si="60"/>
        <v>keeps</v>
      </c>
      <c r="N3274" s="4" cm="1">
        <f t="array" ref="N3274">SUM(--(_xlfn.TEXTSPLIT($J$3167,, " ") = M3274))</f>
        <v>1</v>
      </c>
      <c r="O3274">
        <v>1</v>
      </c>
      <c r="P3274">
        <v>0</v>
      </c>
      <c r="Q3274">
        <v>1</v>
      </c>
    </row>
    <row r="3275" spans="5:17" x14ac:dyDescent="0.2">
      <c r="E3275" s="9" t="s">
        <v>37</v>
      </c>
      <c r="K3275" t="str">
        <v xml:space="preserve">yelling
</v>
      </c>
      <c r="L3275" s="4" t="str">
        <f t="shared" si="60"/>
        <v xml:space="preserve">yelling </v>
      </c>
      <c r="N3275" s="4" cm="1">
        <f t="array" ref="N3275">SUM(--(_xlfn.TEXTSPLIT($J$3167,, " ") = M3275))</f>
        <v>1</v>
      </c>
      <c r="O3275">
        <v>1</v>
      </c>
      <c r="P3275">
        <v>0</v>
      </c>
      <c r="Q3275">
        <v>1</v>
      </c>
    </row>
    <row r="3276" spans="5:17" x14ac:dyDescent="0.2">
      <c r="E3276" s="9" t="s">
        <v>37</v>
      </c>
      <c r="K3276" t="str">
        <v>Why</v>
      </c>
      <c r="L3276" s="4" t="str">
        <f t="shared" si="60"/>
        <v>Why</v>
      </c>
      <c r="N3276" s="4" cm="1">
        <f t="array" ref="N3276">SUM(--(_xlfn.TEXTSPLIT($J$3167,, " ") = M3276))</f>
        <v>1</v>
      </c>
      <c r="O3276">
        <v>1</v>
      </c>
      <c r="P3276">
        <v>0</v>
      </c>
      <c r="Q3276">
        <v>1</v>
      </c>
    </row>
    <row r="3277" spans="5:17" x14ac:dyDescent="0.2">
      <c r="E3277" s="9" t="s">
        <v>37</v>
      </c>
      <c r="K3277" t="str">
        <v>am</v>
      </c>
      <c r="L3277" s="4" t="str">
        <f t="shared" si="60"/>
        <v>am</v>
      </c>
      <c r="N3277" s="4" cm="1">
        <f t="array" ref="N3277">SUM(--(_xlfn.TEXTSPLIT($J$3167,, " ") = M3277))</f>
        <v>1</v>
      </c>
      <c r="O3277">
        <v>1</v>
      </c>
      <c r="P3277">
        <v>0</v>
      </c>
      <c r="Q3277">
        <v>1</v>
      </c>
    </row>
    <row r="3278" spans="5:17" x14ac:dyDescent="0.2">
      <c r="E3278" s="9" t="s">
        <v>37</v>
      </c>
      <c r="K3278" t="str">
        <v>I</v>
      </c>
      <c r="L3278" s="4" t="str">
        <f t="shared" si="60"/>
        <v>I</v>
      </c>
      <c r="N3278" s="4" cm="1">
        <f t="array" ref="N3278">SUM(--(_xlfn.TEXTSPLIT($J$3167,, " ") = M3278))</f>
        <v>1</v>
      </c>
      <c r="O3278">
        <v>1</v>
      </c>
      <c r="P3278">
        <v>0</v>
      </c>
      <c r="Q3278">
        <v>1</v>
      </c>
    </row>
    <row r="3279" spans="5:17" x14ac:dyDescent="0.2">
      <c r="E3279" s="9" t="s">
        <v>37</v>
      </c>
      <c r="K3279" t="str">
        <v>still</v>
      </c>
      <c r="L3279" s="4" t="str">
        <f t="shared" si="60"/>
        <v>still</v>
      </c>
      <c r="N3279" s="4" cm="1">
        <f t="array" ref="N3279">SUM(--(_xlfn.TEXTSPLIT($J$3167,, " ") = M3279))</f>
        <v>1</v>
      </c>
      <c r="O3279">
        <v>1</v>
      </c>
      <c r="P3279">
        <v>0</v>
      </c>
      <c r="Q3279">
        <v>1</v>
      </c>
    </row>
    <row r="3280" spans="5:17" x14ac:dyDescent="0.2">
      <c r="E3280" s="9" t="s">
        <v>37</v>
      </c>
      <c r="K3280" t="str">
        <v xml:space="preserve">walking?
</v>
      </c>
      <c r="L3280" s="4" t="str">
        <f t="shared" si="60"/>
        <v xml:space="preserve">walking  </v>
      </c>
      <c r="N3280" s="4" cm="1">
        <f t="array" ref="N3280">SUM(--(_xlfn.TEXTSPLIT($J$3167,, " ") = M3280))</f>
        <v>1</v>
      </c>
      <c r="O3280">
        <v>1</v>
      </c>
      <c r="P3280">
        <v>0</v>
      </c>
      <c r="Q3280">
        <v>1</v>
      </c>
    </row>
    <row r="3281" spans="5:17" x14ac:dyDescent="0.2">
      <c r="E3281" s="9" t="s">
        <v>37</v>
      </c>
      <c r="K3281" t="str">
        <v>Something</v>
      </c>
      <c r="L3281" s="4" t="str">
        <f t="shared" si="60"/>
        <v>Something</v>
      </c>
      <c r="N3281" s="4" cm="1">
        <f t="array" ref="N3281">SUM(--(_xlfn.TEXTSPLIT($J$3167,, " ") = M3281))</f>
        <v>1</v>
      </c>
      <c r="O3281">
        <v>1</v>
      </c>
      <c r="P3281">
        <v>0</v>
      </c>
      <c r="Q3281">
        <v>1</v>
      </c>
    </row>
    <row r="3282" spans="5:17" x14ac:dyDescent="0.2">
      <c r="E3282" s="9" t="s">
        <v>37</v>
      </c>
      <c r="K3282" t="str">
        <v>must</v>
      </c>
      <c r="L3282" s="4" t="str">
        <f t="shared" si="60"/>
        <v>must</v>
      </c>
      <c r="N3282" s="4" cm="1">
        <f t="array" ref="N3282">SUM(--(_xlfn.TEXTSPLIT($J$3167,, " ") = M3282))</f>
        <v>1</v>
      </c>
      <c r="O3282">
        <v>1</v>
      </c>
      <c r="P3282">
        <v>0</v>
      </c>
      <c r="Q3282">
        <v>1</v>
      </c>
    </row>
    <row r="3283" spans="5:17" x14ac:dyDescent="0.2">
      <c r="E3283" s="9" t="s">
        <v>37</v>
      </c>
      <c r="K3283" t="str">
        <v>be</v>
      </c>
      <c r="L3283" s="4" t="str">
        <f t="shared" si="60"/>
        <v>be</v>
      </c>
      <c r="N3283" s="4" cm="1">
        <f t="array" ref="N3283">SUM(--(_xlfn.TEXTSPLIT($J$3167,, " ") = M3283))</f>
        <v>1</v>
      </c>
      <c r="O3283">
        <v>1</v>
      </c>
      <c r="P3283">
        <v>0</v>
      </c>
      <c r="Q3283">
        <v>1</v>
      </c>
    </row>
    <row r="3284" spans="5:17" x14ac:dyDescent="0.2">
      <c r="E3284" s="9" t="s">
        <v>37</v>
      </c>
      <c r="K3284" t="str">
        <v>wrong</v>
      </c>
      <c r="L3284" s="4" t="str">
        <f t="shared" si="60"/>
        <v>wrong</v>
      </c>
      <c r="N3284" s="4" cm="1">
        <f t="array" ref="N3284">SUM(--(_xlfn.TEXTSPLIT($J$3167,, " ") = M3284))</f>
        <v>1</v>
      </c>
      <c r="O3284">
        <v>1</v>
      </c>
      <c r="P3284">
        <v>0</v>
      </c>
      <c r="Q3284">
        <v>1</v>
      </c>
    </row>
    <row r="3285" spans="5:17" x14ac:dyDescent="0.2">
      <c r="E3285" s="9" t="s">
        <v>37</v>
      </c>
      <c r="K3285" t="str">
        <v xml:space="preserve">here
</v>
      </c>
      <c r="L3285" s="4" t="str">
        <f t="shared" si="60"/>
        <v xml:space="preserve">here </v>
      </c>
      <c r="N3285" s="4" cm="1">
        <f t="array" ref="N3285">SUM(--(_xlfn.TEXTSPLIT($J$3167,, " ") = M3285))</f>
        <v>1</v>
      </c>
      <c r="O3285">
        <v>1</v>
      </c>
      <c r="P3285">
        <v>0</v>
      </c>
      <c r="Q3285">
        <v>1</v>
      </c>
    </row>
    <row r="3286" spans="5:17" x14ac:dyDescent="0.2">
      <c r="E3286" s="9" t="s">
        <v>37</v>
      </c>
      <c r="K3286" t="str">
        <v>I</v>
      </c>
      <c r="L3286" s="4" t="str">
        <f t="shared" si="60"/>
        <v>I</v>
      </c>
      <c r="N3286" s="4" cm="1">
        <f t="array" ref="N3286">SUM(--(_xlfn.TEXTSPLIT($J$3167,, " ") = M3286))</f>
        <v>1</v>
      </c>
      <c r="O3286">
        <v>1</v>
      </c>
      <c r="P3286">
        <v>0</v>
      </c>
      <c r="Q3286">
        <v>1</v>
      </c>
    </row>
    <row r="3287" spans="5:17" x14ac:dyDescent="0.2">
      <c r="E3287" s="9" t="s">
        <v>37</v>
      </c>
      <c r="K3287" t="str">
        <v>just</v>
      </c>
      <c r="L3287" s="4" t="str">
        <f t="shared" si="60"/>
        <v>just</v>
      </c>
      <c r="N3287" s="4" cm="1">
        <f t="array" ref="N3287">SUM(--(_xlfn.TEXTSPLIT($J$3167,, " ") = M3287))</f>
        <v>1</v>
      </c>
      <c r="O3287">
        <v>1</v>
      </c>
      <c r="P3287">
        <v>0</v>
      </c>
      <c r="Q3287">
        <v>1</v>
      </c>
    </row>
    <row r="3288" spans="5:17" x14ac:dyDescent="0.2">
      <c r="E3288" s="9" t="s">
        <v>37</v>
      </c>
      <c r="K3288" t="str">
        <v>don't</v>
      </c>
      <c r="L3288" s="4" t="str">
        <f t="shared" si="60"/>
        <v>don t</v>
      </c>
      <c r="N3288" s="4" cm="1">
        <f t="array" ref="N3288">SUM(--(_xlfn.TEXTSPLIT($J$3167,, " ") = M3288))</f>
        <v>1</v>
      </c>
      <c r="O3288">
        <v>1</v>
      </c>
      <c r="P3288">
        <v>0</v>
      </c>
      <c r="Q3288">
        <v>1</v>
      </c>
    </row>
    <row r="3289" spans="5:17" x14ac:dyDescent="0.2">
      <c r="E3289" s="9" t="s">
        <v>37</v>
      </c>
      <c r="K3289" t="str">
        <v>belong</v>
      </c>
      <c r="L3289" s="4" t="str">
        <f t="shared" si="60"/>
        <v>belong</v>
      </c>
      <c r="N3289" s="4" cm="1">
        <f t="array" ref="N3289">SUM(--(_xlfn.TEXTSPLIT($J$3167,, " ") = M3289))</f>
        <v>1</v>
      </c>
      <c r="O3289">
        <v>1</v>
      </c>
      <c r="P3289">
        <v>0</v>
      </c>
      <c r="Q3289">
        <v>1</v>
      </c>
    </row>
    <row r="3290" spans="5:17" x14ac:dyDescent="0.2">
      <c r="E3290" s="9" t="s">
        <v>37</v>
      </c>
      <c r="K3290" t="str">
        <v xml:space="preserve">here
</v>
      </c>
      <c r="L3290" s="4" t="str">
        <f t="shared" si="60"/>
        <v xml:space="preserve">here  </v>
      </c>
      <c r="N3290" s="4" cm="1">
        <f t="array" ref="N3290">SUM(--(_xlfn.TEXTSPLIT($J$3167,, " ") = M3290))</f>
        <v>1</v>
      </c>
      <c r="O3290">
        <v>1</v>
      </c>
      <c r="P3290">
        <v>0</v>
      </c>
      <c r="Q3290">
        <v>1</v>
      </c>
    </row>
    <row r="3291" spans="5:17" x14ac:dyDescent="0.2">
      <c r="E3291" s="9" t="s">
        <v>37</v>
      </c>
      <c r="K3291" t="str">
        <v>I</v>
      </c>
      <c r="L3291" s="4" t="str">
        <f t="shared" si="60"/>
        <v>I</v>
      </c>
      <c r="N3291" s="4" cm="1">
        <f t="array" ref="N3291">SUM(--(_xlfn.TEXTSPLIT($J$3167,, " ") = M3291))</f>
        <v>1</v>
      </c>
      <c r="O3291">
        <v>1</v>
      </c>
      <c r="P3291">
        <v>0</v>
      </c>
      <c r="Q3291">
        <v>1</v>
      </c>
    </row>
    <row r="3292" spans="5:17" x14ac:dyDescent="0.2">
      <c r="E3292" s="9" t="s">
        <v>37</v>
      </c>
      <c r="K3292" t="str">
        <v>wanted</v>
      </c>
      <c r="L3292" s="4" t="str">
        <f t="shared" si="60"/>
        <v>wanted</v>
      </c>
      <c r="N3292" s="4" cm="1">
        <f t="array" ref="N3292">SUM(--(_xlfn.TEXTSPLIT($J$3167,, " ") = M3292))</f>
        <v>1</v>
      </c>
      <c r="O3292">
        <v>1</v>
      </c>
      <c r="P3292">
        <v>0</v>
      </c>
      <c r="Q3292">
        <v>1</v>
      </c>
    </row>
    <row r="3293" spans="5:17" x14ac:dyDescent="0.2">
      <c r="E3293" s="9" t="s">
        <v>37</v>
      </c>
      <c r="K3293" t="str">
        <v>to</v>
      </c>
      <c r="L3293" s="4" t="str">
        <f t="shared" si="60"/>
        <v>to</v>
      </c>
      <c r="N3293" s="4" cm="1">
        <f t="array" ref="N3293">SUM(--(_xlfn.TEXTSPLIT($J$3167,, " ") = M3293))</f>
        <v>1</v>
      </c>
      <c r="O3293">
        <v>1</v>
      </c>
      <c r="P3293">
        <v>0</v>
      </c>
      <c r="Q3293">
        <v>1</v>
      </c>
    </row>
    <row r="3294" spans="5:17" x14ac:dyDescent="0.2">
      <c r="E3294" s="9" t="s">
        <v>37</v>
      </c>
      <c r="K3294" t="str">
        <v xml:space="preserve">fly
</v>
      </c>
      <c r="L3294" s="4" t="str">
        <f t="shared" si="60"/>
        <v xml:space="preserve">fly </v>
      </c>
      <c r="N3294" s="4" cm="1">
        <f t="array" ref="N3294">SUM(--(_xlfn.TEXTSPLIT($J$3167,, " ") = M3294))</f>
        <v>1</v>
      </c>
      <c r="O3294">
        <v>1</v>
      </c>
      <c r="P3294">
        <v>0</v>
      </c>
      <c r="Q3294">
        <v>1</v>
      </c>
    </row>
    <row r="3295" spans="5:17" x14ac:dyDescent="0.2">
      <c r="E3295" s="9" t="s">
        <v>37</v>
      </c>
      <c r="K3295" t="str">
        <v>But</v>
      </c>
      <c r="L3295" s="4" t="str">
        <f t="shared" si="60"/>
        <v>But</v>
      </c>
      <c r="N3295" s="4" cm="1">
        <f t="array" ref="N3295">SUM(--(_xlfn.TEXTSPLIT($J$3167,, " ") = M3295))</f>
        <v>1</v>
      </c>
      <c r="O3295">
        <v>1</v>
      </c>
      <c r="P3295">
        <v>0</v>
      </c>
      <c r="Q3295">
        <v>1</v>
      </c>
    </row>
    <row r="3296" spans="5:17" x14ac:dyDescent="0.2">
      <c r="E3296" s="9" t="s">
        <v>37</v>
      </c>
      <c r="K3296" t="str">
        <v>they</v>
      </c>
      <c r="L3296" s="4" t="str">
        <f t="shared" ref="L3296:L3359" si="61">_xlfn.REGEXREPLACE(K3296, "[^A-Za-z ]", " ")</f>
        <v>they</v>
      </c>
      <c r="N3296" s="4" cm="1">
        <f t="array" ref="N3296">SUM(--(_xlfn.TEXTSPLIT($J$3167,, " ") = M3296))</f>
        <v>1</v>
      </c>
      <c r="O3296">
        <v>1</v>
      </c>
      <c r="P3296">
        <v>0</v>
      </c>
      <c r="Q3296">
        <v>1</v>
      </c>
    </row>
    <row r="3297" spans="5:17" x14ac:dyDescent="0.2">
      <c r="E3297" s="9" t="s">
        <v>37</v>
      </c>
      <c r="K3297" t="str">
        <v>say</v>
      </c>
      <c r="L3297" s="4" t="str">
        <f t="shared" si="61"/>
        <v>say</v>
      </c>
      <c r="N3297" s="4" cm="1">
        <f t="array" ref="N3297">SUM(--(_xlfn.TEXTSPLIT($J$3167,, " ") = M3297))</f>
        <v>1</v>
      </c>
      <c r="O3297">
        <v>1</v>
      </c>
      <c r="P3297">
        <v>0</v>
      </c>
      <c r="Q3297">
        <v>1</v>
      </c>
    </row>
    <row r="3298" spans="5:17" x14ac:dyDescent="0.2">
      <c r="E3298" s="9" t="s">
        <v>37</v>
      </c>
      <c r="K3298" t="str">
        <v>a</v>
      </c>
      <c r="L3298" s="4" t="str">
        <f t="shared" si="61"/>
        <v>a</v>
      </c>
      <c r="N3298" s="4" cm="1">
        <f t="array" ref="N3298">SUM(--(_xlfn.TEXTSPLIT($J$3167,, " ") = M3298))</f>
        <v>1</v>
      </c>
      <c r="O3298">
        <v>1</v>
      </c>
      <c r="P3298">
        <v>0</v>
      </c>
      <c r="Q3298">
        <v>1</v>
      </c>
    </row>
    <row r="3299" spans="5:17" x14ac:dyDescent="0.2">
      <c r="E3299" s="9" t="s">
        <v>37</v>
      </c>
      <c r="K3299" t="str">
        <v>system's</v>
      </c>
      <c r="L3299" s="4" t="str">
        <f t="shared" si="61"/>
        <v>system s</v>
      </c>
      <c r="N3299" s="4" cm="1">
        <f t="array" ref="N3299">SUM(--(_xlfn.TEXTSPLIT($J$3167,, " ") = M3299))</f>
        <v>1</v>
      </c>
      <c r="O3299">
        <v>1</v>
      </c>
      <c r="P3299">
        <v>0</v>
      </c>
      <c r="Q3299">
        <v>1</v>
      </c>
    </row>
    <row r="3300" spans="5:17" x14ac:dyDescent="0.2">
      <c r="E3300" s="9" t="s">
        <v>37</v>
      </c>
      <c r="K3300" t="str">
        <v>coming</v>
      </c>
      <c r="L3300" s="4" t="str">
        <f t="shared" si="61"/>
        <v>coming</v>
      </c>
      <c r="N3300" s="4" cm="1">
        <f t="array" ref="N3300">SUM(--(_xlfn.TEXTSPLIT($J$3167,, " ") = M3300))</f>
        <v>1</v>
      </c>
      <c r="O3300">
        <v>1</v>
      </c>
      <c r="P3300">
        <v>0</v>
      </c>
      <c r="Q3300">
        <v>1</v>
      </c>
    </row>
    <row r="3301" spans="5:17" x14ac:dyDescent="0.2">
      <c r="E3301" s="9" t="s">
        <v>37</v>
      </c>
      <c r="K3301" t="str">
        <v xml:space="preserve">in
</v>
      </c>
      <c r="L3301" s="4" t="str">
        <f t="shared" si="61"/>
        <v xml:space="preserve">in </v>
      </c>
      <c r="N3301" s="4" cm="1">
        <f t="array" ref="N3301">SUM(--(_xlfn.TEXTSPLIT($J$3167,, " ") = M3301))</f>
        <v>1</v>
      </c>
      <c r="O3301">
        <v>1</v>
      </c>
      <c r="P3301">
        <v>0</v>
      </c>
      <c r="Q3301">
        <v>1</v>
      </c>
    </row>
    <row r="3302" spans="5:17" x14ac:dyDescent="0.2">
      <c r="E3302" s="9" t="s">
        <v>37</v>
      </c>
      <c r="K3302" t="str">
        <v>Chances</v>
      </c>
      <c r="L3302" s="4" t="str">
        <f t="shared" si="61"/>
        <v>Chances</v>
      </c>
      <c r="N3302" s="4" cm="1">
        <f t="array" ref="N3302">SUM(--(_xlfn.TEXTSPLIT($J$3167,, " ") = M3302))</f>
        <v>1</v>
      </c>
      <c r="O3302">
        <v>1</v>
      </c>
      <c r="P3302">
        <v>0</v>
      </c>
      <c r="Q3302">
        <v>1</v>
      </c>
    </row>
    <row r="3303" spans="5:17" x14ac:dyDescent="0.2">
      <c r="E3303" s="9" t="s">
        <v>37</v>
      </c>
      <c r="K3303" t="str">
        <v>are</v>
      </c>
      <c r="L3303" s="4" t="str">
        <f t="shared" si="61"/>
        <v>are</v>
      </c>
      <c r="N3303" s="4" cm="1">
        <f t="array" ref="N3303">SUM(--(_xlfn.TEXTSPLIT($J$3167,, " ") = M3303))</f>
        <v>1</v>
      </c>
      <c r="O3303">
        <v>1</v>
      </c>
      <c r="P3303">
        <v>0</v>
      </c>
      <c r="Q3303">
        <v>1</v>
      </c>
    </row>
    <row r="3304" spans="5:17" x14ac:dyDescent="0.2">
      <c r="E3304" s="9" t="s">
        <v>37</v>
      </c>
      <c r="K3304" t="str">
        <v xml:space="preserve">high
</v>
      </c>
      <c r="L3304" s="4" t="str">
        <f t="shared" si="61"/>
        <v xml:space="preserve">high </v>
      </c>
      <c r="N3304" s="4" cm="1">
        <f t="array" ref="N3304">SUM(--(_xlfn.TEXTSPLIT($J$3167,, " ") = M3304))</f>
        <v>1</v>
      </c>
      <c r="O3304">
        <v>1</v>
      </c>
      <c r="P3304">
        <v>0</v>
      </c>
      <c r="Q3304">
        <v>1</v>
      </c>
    </row>
    <row r="3305" spans="5:17" x14ac:dyDescent="0.2">
      <c r="E3305" s="9" t="s">
        <v>37</v>
      </c>
      <c r="K3305" t="str">
        <v>That</v>
      </c>
      <c r="L3305" s="4" t="str">
        <f t="shared" si="61"/>
        <v>That</v>
      </c>
      <c r="N3305" s="4" cm="1">
        <f t="array" ref="N3305">SUM(--(_xlfn.TEXTSPLIT($J$3167,, " ") = M3305))</f>
        <v>1</v>
      </c>
      <c r="O3305">
        <v>1</v>
      </c>
      <c r="P3305">
        <v>0</v>
      </c>
      <c r="Q3305">
        <v>1</v>
      </c>
    </row>
    <row r="3306" spans="5:17" x14ac:dyDescent="0.2">
      <c r="E3306" s="9" t="s">
        <v>37</v>
      </c>
      <c r="K3306" t="str">
        <v>this</v>
      </c>
      <c r="L3306" s="4" t="str">
        <f t="shared" si="61"/>
        <v>this</v>
      </c>
      <c r="N3306" s="4" cm="1">
        <f t="array" ref="N3306">SUM(--(_xlfn.TEXTSPLIT($J$3167,, " ") = M3306))</f>
        <v>1</v>
      </c>
      <c r="O3306">
        <v>1</v>
      </c>
      <c r="P3306">
        <v>0</v>
      </c>
      <c r="Q3306">
        <v>1</v>
      </c>
    </row>
    <row r="3307" spans="5:17" x14ac:dyDescent="0.2">
      <c r="E3307" s="9" t="s">
        <v>37</v>
      </c>
      <c r="K3307" t="str">
        <v>is</v>
      </c>
      <c r="L3307" s="4" t="str">
        <f t="shared" si="61"/>
        <v>is</v>
      </c>
      <c r="N3307" s="4" cm="1">
        <f t="array" ref="N3307">SUM(--(_xlfn.TEXTSPLIT($J$3167,, " ") = M3307))</f>
        <v>1</v>
      </c>
      <c r="O3307">
        <v>1</v>
      </c>
      <c r="P3307">
        <v>0</v>
      </c>
      <c r="Q3307">
        <v>1</v>
      </c>
    </row>
    <row r="3308" spans="5:17" x14ac:dyDescent="0.2">
      <c r="E3308" s="9" t="s">
        <v>37</v>
      </c>
      <c r="K3308" t="str">
        <v xml:space="preserve">a
</v>
      </c>
      <c r="L3308" s="4" t="str">
        <f t="shared" si="61"/>
        <v xml:space="preserve">a </v>
      </c>
      <c r="N3308" s="4" cm="1">
        <f t="array" ref="N3308">SUM(--(_xlfn.TEXTSPLIT($J$3167,, " ") = M3308))</f>
        <v>1</v>
      </c>
      <c r="O3308">
        <v>1</v>
      </c>
      <c r="P3308">
        <v>0</v>
      </c>
      <c r="Q3308">
        <v>1</v>
      </c>
    </row>
    <row r="3309" spans="5:17" x14ac:dyDescent="0.2">
      <c r="E3309" s="9" t="s">
        <v>37</v>
      </c>
      <c r="K3309" t="str">
        <v>One</v>
      </c>
      <c r="L3309" s="4" t="str">
        <f t="shared" si="61"/>
        <v>One</v>
      </c>
      <c r="N3309" s="4" cm="1">
        <f t="array" ref="N3309">SUM(--(_xlfn.TEXTSPLIT($J$3167,, " ") = M3309))</f>
        <v>1</v>
      </c>
      <c r="O3309">
        <v>1</v>
      </c>
      <c r="P3309">
        <v>0</v>
      </c>
      <c r="Q3309">
        <v>1</v>
      </c>
    </row>
    <row r="3310" spans="5:17" x14ac:dyDescent="0.2">
      <c r="E3310" s="9" t="s">
        <v>37</v>
      </c>
      <c r="K3310" t="str">
        <v>way,</v>
      </c>
      <c r="L3310" s="4" t="str">
        <f t="shared" si="61"/>
        <v xml:space="preserve">way </v>
      </c>
      <c r="N3310" s="4" cm="1">
        <f t="array" ref="N3310">SUM(--(_xlfn.TEXTSPLIT($J$3167,, " ") = M3310))</f>
        <v>1</v>
      </c>
      <c r="O3310">
        <v>1</v>
      </c>
      <c r="P3310">
        <v>0</v>
      </c>
      <c r="Q3310">
        <v>1</v>
      </c>
    </row>
    <row r="3311" spans="5:17" x14ac:dyDescent="0.2">
      <c r="E3311" s="9" t="s">
        <v>37</v>
      </c>
      <c r="K3311" t="str">
        <v>one</v>
      </c>
      <c r="L3311" s="4" t="str">
        <f t="shared" si="61"/>
        <v>one</v>
      </c>
      <c r="N3311" s="4" cm="1">
        <f t="array" ref="N3311">SUM(--(_xlfn.TEXTSPLIT($J$3167,, " ") = M3311))</f>
        <v>1</v>
      </c>
      <c r="O3311">
        <v>1</v>
      </c>
      <c r="P3311">
        <v>0</v>
      </c>
      <c r="Q3311">
        <v>1</v>
      </c>
    </row>
    <row r="3312" spans="5:17" x14ac:dyDescent="0.2">
      <c r="E3312" s="9" t="s">
        <v>37</v>
      </c>
      <c r="K3312" t="str">
        <v>way,</v>
      </c>
      <c r="L3312" s="4" t="str">
        <f t="shared" si="61"/>
        <v xml:space="preserve">way </v>
      </c>
      <c r="N3312" s="4" cm="1">
        <f t="array" ref="N3312">SUM(--(_xlfn.TEXTSPLIT($J$3167,, " ") = M3312))</f>
        <v>1</v>
      </c>
      <c r="O3312">
        <v>1</v>
      </c>
      <c r="P3312">
        <v>0</v>
      </c>
      <c r="Q3312">
        <v>1</v>
      </c>
    </row>
    <row r="3313" spans="5:17" x14ac:dyDescent="0.2">
      <c r="E3313" s="9" t="s">
        <v>37</v>
      </c>
      <c r="K3313" t="str">
        <v>one</v>
      </c>
      <c r="L3313" s="4" t="str">
        <f t="shared" si="61"/>
        <v>one</v>
      </c>
      <c r="N3313" s="4" cm="1">
        <f t="array" ref="N3313">SUM(--(_xlfn.TEXTSPLIT($J$3167,, " ") = M3313))</f>
        <v>1</v>
      </c>
      <c r="O3313">
        <v>1</v>
      </c>
      <c r="P3313">
        <v>0</v>
      </c>
      <c r="Q3313">
        <v>1</v>
      </c>
    </row>
    <row r="3314" spans="5:17" x14ac:dyDescent="0.2">
      <c r="E3314" s="9" t="s">
        <v>37</v>
      </c>
      <c r="K3314" t="str">
        <v>way,</v>
      </c>
      <c r="L3314" s="4" t="str">
        <f t="shared" si="61"/>
        <v xml:space="preserve">way </v>
      </c>
      <c r="N3314" s="4" cm="1">
        <f t="array" ref="N3314">SUM(--(_xlfn.TEXTSPLIT($J$3167,, " ") = M3314))</f>
        <v>1</v>
      </c>
      <c r="O3314">
        <v>1</v>
      </c>
      <c r="P3314">
        <v>0</v>
      </c>
      <c r="Q3314">
        <v>1</v>
      </c>
    </row>
    <row r="3315" spans="5:17" x14ac:dyDescent="0.2">
      <c r="E3315" s="9" t="s">
        <v>37</v>
      </c>
      <c r="K3315" t="str">
        <v>one</v>
      </c>
      <c r="L3315" s="4" t="str">
        <f t="shared" si="61"/>
        <v>one</v>
      </c>
      <c r="N3315" s="4" cm="1">
        <f t="array" ref="N3315">SUM(--(_xlfn.TEXTSPLIT($J$3167,, " ") = M3315))</f>
        <v>1</v>
      </c>
      <c r="O3315">
        <v>1</v>
      </c>
      <c r="P3315">
        <v>0</v>
      </c>
      <c r="Q3315">
        <v>1</v>
      </c>
    </row>
    <row r="3316" spans="5:17" x14ac:dyDescent="0.2">
      <c r="E3316" s="9" t="s">
        <v>37</v>
      </c>
      <c r="K3316" t="str">
        <v>way,</v>
      </c>
      <c r="L3316" s="4" t="str">
        <f t="shared" si="61"/>
        <v xml:space="preserve">way </v>
      </c>
      <c r="N3316" s="4" cm="1">
        <f t="array" ref="N3316">SUM(--(_xlfn.TEXTSPLIT($J$3167,, " ") = M3316))</f>
        <v>1</v>
      </c>
      <c r="O3316">
        <v>1</v>
      </c>
      <c r="P3316">
        <v>0</v>
      </c>
      <c r="Q3316">
        <v>1</v>
      </c>
    </row>
    <row r="3317" spans="5:17" x14ac:dyDescent="0.2">
      <c r="E3317" s="9" t="s">
        <v>37</v>
      </c>
      <c r="K3317" t="str">
        <v xml:space="preserve">one
</v>
      </c>
      <c r="L3317" s="4" t="str">
        <f t="shared" si="61"/>
        <v xml:space="preserve">one  </v>
      </c>
      <c r="N3317" s="4" cm="1">
        <f t="array" ref="N3317">SUM(--(_xlfn.TEXTSPLIT($J$3167,, " ") = M3317))</f>
        <v>1</v>
      </c>
      <c r="O3317">
        <v>1</v>
      </c>
      <c r="P3317">
        <v>0</v>
      </c>
      <c r="Q3317">
        <v>1</v>
      </c>
    </row>
    <row r="3318" spans="5:17" x14ac:dyDescent="0.2">
      <c r="E3318" s="9" t="s">
        <v>37</v>
      </c>
      <c r="K3318" t="str">
        <v>I</v>
      </c>
      <c r="L3318" s="4" t="str">
        <f t="shared" si="61"/>
        <v>I</v>
      </c>
      <c r="N3318" s="4" cm="1">
        <f t="array" ref="N3318">SUM(--(_xlfn.TEXTSPLIT($J$3167,, " ") = M3318))</f>
        <v>1</v>
      </c>
      <c r="O3318">
        <v>1</v>
      </c>
      <c r="P3318">
        <v>0</v>
      </c>
      <c r="Q3318">
        <v>1</v>
      </c>
    </row>
    <row r="3319" spans="5:17" x14ac:dyDescent="0.2">
      <c r="E3319" s="9" t="s">
        <v>37</v>
      </c>
      <c r="K3319" t="str">
        <v>wanted</v>
      </c>
      <c r="L3319" s="4" t="str">
        <f t="shared" si="61"/>
        <v>wanted</v>
      </c>
      <c r="N3319" s="4" cm="1">
        <f t="array" ref="N3319">SUM(--(_xlfn.TEXTSPLIT($J$3167,, " ") = M3319))</f>
        <v>1</v>
      </c>
      <c r="O3319">
        <v>1</v>
      </c>
      <c r="P3319">
        <v>0</v>
      </c>
      <c r="Q3319">
        <v>1</v>
      </c>
    </row>
    <row r="3320" spans="5:17" x14ac:dyDescent="0.2">
      <c r="E3320" s="9" t="s">
        <v>37</v>
      </c>
      <c r="K3320" t="str">
        <v>to</v>
      </c>
      <c r="L3320" s="4" t="str">
        <f t="shared" si="61"/>
        <v>to</v>
      </c>
      <c r="N3320" s="4" cm="1">
        <f t="array" ref="N3320">SUM(--(_xlfn.TEXTSPLIT($J$3167,, " ") = M3320))</f>
        <v>1</v>
      </c>
      <c r="O3320">
        <v>1</v>
      </c>
      <c r="P3320">
        <v>0</v>
      </c>
      <c r="Q3320">
        <v>1</v>
      </c>
    </row>
    <row r="3321" spans="5:17" x14ac:dyDescent="0.2">
      <c r="E3321" s="9" t="s">
        <v>37</v>
      </c>
      <c r="K3321" t="str">
        <v xml:space="preserve">fly
</v>
      </c>
      <c r="L3321" s="4" t="str">
        <f t="shared" si="61"/>
        <v xml:space="preserve">fly </v>
      </c>
      <c r="N3321" s="4" cm="1">
        <f t="array" ref="N3321">SUM(--(_xlfn.TEXTSPLIT($J$3167,, " ") = M3321))</f>
        <v>1</v>
      </c>
      <c r="O3321">
        <v>1</v>
      </c>
      <c r="P3321">
        <v>0</v>
      </c>
      <c r="Q3321">
        <v>1</v>
      </c>
    </row>
    <row r="3322" spans="5:17" x14ac:dyDescent="0.2">
      <c r="E3322" s="9" t="s">
        <v>37</v>
      </c>
      <c r="K3322" t="str">
        <v>But</v>
      </c>
      <c r="L3322" s="4" t="str">
        <f t="shared" si="61"/>
        <v>But</v>
      </c>
      <c r="N3322" s="4" cm="1">
        <f t="array" ref="N3322">SUM(--(_xlfn.TEXTSPLIT($J$3167,, " ") = M3322))</f>
        <v>1</v>
      </c>
      <c r="O3322">
        <v>1</v>
      </c>
      <c r="P3322">
        <v>0</v>
      </c>
      <c r="Q3322">
        <v>1</v>
      </c>
    </row>
    <row r="3323" spans="5:17" x14ac:dyDescent="0.2">
      <c r="E3323" s="9" t="s">
        <v>37</v>
      </c>
      <c r="K3323" t="str">
        <v>they</v>
      </c>
      <c r="L3323" s="4" t="str">
        <f t="shared" si="61"/>
        <v>they</v>
      </c>
      <c r="N3323" s="4" cm="1">
        <f t="array" ref="N3323">SUM(--(_xlfn.TEXTSPLIT($J$3167,, " ") = M3323))</f>
        <v>1</v>
      </c>
      <c r="O3323">
        <v>1</v>
      </c>
      <c r="P3323">
        <v>0</v>
      </c>
      <c r="Q3323">
        <v>1</v>
      </c>
    </row>
    <row r="3324" spans="5:17" x14ac:dyDescent="0.2">
      <c r="E3324" s="9" t="s">
        <v>37</v>
      </c>
      <c r="K3324" t="str">
        <v>say</v>
      </c>
      <c r="L3324" s="4" t="str">
        <f t="shared" si="61"/>
        <v>say</v>
      </c>
      <c r="N3324" s="4" cm="1">
        <f t="array" ref="N3324">SUM(--(_xlfn.TEXTSPLIT($J$3167,, " ") = M3324))</f>
        <v>1</v>
      </c>
      <c r="O3324">
        <v>1</v>
      </c>
      <c r="P3324">
        <v>0</v>
      </c>
      <c r="Q3324">
        <v>1</v>
      </c>
    </row>
    <row r="3325" spans="5:17" x14ac:dyDescent="0.2">
      <c r="E3325" s="9" t="s">
        <v>37</v>
      </c>
      <c r="K3325" t="str">
        <v>a</v>
      </c>
      <c r="L3325" s="4" t="str">
        <f t="shared" si="61"/>
        <v>a</v>
      </c>
      <c r="N3325" s="4" cm="1">
        <f t="array" ref="N3325">SUM(--(_xlfn.TEXTSPLIT($J$3167,, " ") = M3325))</f>
        <v>1</v>
      </c>
      <c r="O3325">
        <v>1</v>
      </c>
      <c r="P3325">
        <v>0</v>
      </c>
      <c r="Q3325">
        <v>1</v>
      </c>
    </row>
    <row r="3326" spans="5:17" x14ac:dyDescent="0.2">
      <c r="E3326" s="9" t="s">
        <v>37</v>
      </c>
      <c r="K3326" t="str">
        <v>system's</v>
      </c>
      <c r="L3326" s="4" t="str">
        <f t="shared" si="61"/>
        <v>system s</v>
      </c>
      <c r="N3326" s="4" cm="1">
        <f t="array" ref="N3326">SUM(--(_xlfn.TEXTSPLIT($J$3167,, " ") = M3326))</f>
        <v>1</v>
      </c>
      <c r="O3326">
        <v>1</v>
      </c>
      <c r="P3326">
        <v>0</v>
      </c>
      <c r="Q3326">
        <v>1</v>
      </c>
    </row>
    <row r="3327" spans="5:17" x14ac:dyDescent="0.2">
      <c r="E3327" s="9" t="s">
        <v>37</v>
      </c>
      <c r="K3327" t="str">
        <v>coming</v>
      </c>
      <c r="L3327" s="4" t="str">
        <f t="shared" si="61"/>
        <v>coming</v>
      </c>
      <c r="N3327" s="4" cm="1">
        <f t="array" ref="N3327">SUM(--(_xlfn.TEXTSPLIT($J$3167,, " ") = M3327))</f>
        <v>1</v>
      </c>
      <c r="O3327">
        <v>1</v>
      </c>
      <c r="P3327">
        <v>0</v>
      </c>
      <c r="Q3327">
        <v>1</v>
      </c>
    </row>
    <row r="3328" spans="5:17" x14ac:dyDescent="0.2">
      <c r="E3328" s="9" t="s">
        <v>37</v>
      </c>
      <c r="K3328" t="str">
        <v xml:space="preserve">in
</v>
      </c>
      <c r="L3328" s="4" t="str">
        <f t="shared" si="61"/>
        <v xml:space="preserve">in </v>
      </c>
      <c r="N3328" s="4" cm="1">
        <f t="array" ref="N3328">SUM(--(_xlfn.TEXTSPLIT($J$3167,, " ") = M3328))</f>
        <v>1</v>
      </c>
      <c r="O3328">
        <v>1</v>
      </c>
      <c r="P3328">
        <v>0</v>
      </c>
      <c r="Q3328">
        <v>1</v>
      </c>
    </row>
    <row r="3329" spans="5:17" x14ac:dyDescent="0.2">
      <c r="E3329" s="9" t="s">
        <v>37</v>
      </c>
      <c r="K3329" t="str">
        <v>The</v>
      </c>
      <c r="L3329" s="4" t="str">
        <f t="shared" si="61"/>
        <v>The</v>
      </c>
      <c r="N3329" s="4" cm="1">
        <f t="array" ref="N3329">SUM(--(_xlfn.TEXTSPLIT($J$3167,, " ") = M3329))</f>
        <v>1</v>
      </c>
      <c r="O3329">
        <v>1</v>
      </c>
      <c r="P3329">
        <v>0</v>
      </c>
      <c r="Q3329">
        <v>1</v>
      </c>
    </row>
    <row r="3330" spans="5:17" x14ac:dyDescent="0.2">
      <c r="E3330" s="9" t="s">
        <v>37</v>
      </c>
      <c r="K3330" t="str">
        <v>chances</v>
      </c>
      <c r="L3330" s="4" t="str">
        <f t="shared" si="61"/>
        <v>chances</v>
      </c>
      <c r="N3330" s="4" cm="1">
        <f t="array" ref="N3330">SUM(--(_xlfn.TEXTSPLIT($J$3167,, " ") = M3330))</f>
        <v>1</v>
      </c>
      <c r="O3330">
        <v>1</v>
      </c>
      <c r="P3330">
        <v>0</v>
      </c>
      <c r="Q3330">
        <v>1</v>
      </c>
    </row>
    <row r="3331" spans="5:17" x14ac:dyDescent="0.2">
      <c r="E3331" s="9" t="s">
        <v>37</v>
      </c>
      <c r="K3331" t="str">
        <v>are</v>
      </c>
      <c r="L3331" s="4" t="str">
        <f t="shared" si="61"/>
        <v>are</v>
      </c>
      <c r="N3331" s="4" cm="1">
        <f t="array" ref="N3331">SUM(--(_xlfn.TEXTSPLIT($J$3167,, " ") = M3331))</f>
        <v>1</v>
      </c>
      <c r="O3331">
        <v>1</v>
      </c>
      <c r="P3331">
        <v>0</v>
      </c>
      <c r="Q3331">
        <v>1</v>
      </c>
    </row>
    <row r="3332" spans="5:17" x14ac:dyDescent="0.2">
      <c r="E3332" s="9" t="s">
        <v>37</v>
      </c>
      <c r="K3332" t="str">
        <v xml:space="preserve">high
</v>
      </c>
      <c r="L3332" s="4" t="str">
        <f t="shared" si="61"/>
        <v xml:space="preserve">high </v>
      </c>
      <c r="N3332" s="4" cm="1">
        <f t="array" ref="N3332">SUM(--(_xlfn.TEXTSPLIT($J$3167,, " ") = M3332))</f>
        <v>1</v>
      </c>
      <c r="O3332">
        <v>1</v>
      </c>
      <c r="P3332">
        <v>0</v>
      </c>
      <c r="Q3332">
        <v>1</v>
      </c>
    </row>
    <row r="3333" spans="5:17" x14ac:dyDescent="0.2">
      <c r="E3333" s="9" t="s">
        <v>37</v>
      </c>
      <c r="K3333" t="str">
        <v>That</v>
      </c>
      <c r="L3333" s="4" t="str">
        <f t="shared" si="61"/>
        <v>That</v>
      </c>
      <c r="N3333" s="4" cm="1">
        <f t="array" ref="N3333">SUM(--(_xlfn.TEXTSPLIT($J$3167,, " ") = M3333))</f>
        <v>1</v>
      </c>
      <c r="O3333">
        <v>1</v>
      </c>
      <c r="P3333">
        <v>0</v>
      </c>
      <c r="Q3333">
        <v>1</v>
      </c>
    </row>
    <row r="3334" spans="5:17" x14ac:dyDescent="0.2">
      <c r="E3334" s="9" t="s">
        <v>37</v>
      </c>
      <c r="K3334" t="str">
        <v>this</v>
      </c>
      <c r="L3334" s="4" t="str">
        <f t="shared" si="61"/>
        <v>this</v>
      </c>
      <c r="N3334" s="4" cm="1">
        <f t="array" ref="N3334">SUM(--(_xlfn.TEXTSPLIT($J$3167,, " ") = M3334))</f>
        <v>1</v>
      </c>
      <c r="O3334">
        <v>1</v>
      </c>
      <c r="P3334">
        <v>0</v>
      </c>
      <c r="Q3334">
        <v>1</v>
      </c>
    </row>
    <row r="3335" spans="5:17" x14ac:dyDescent="0.2">
      <c r="E3335" s="9" t="s">
        <v>37</v>
      </c>
      <c r="K3335" t="str">
        <v>is</v>
      </c>
      <c r="L3335" s="4" t="str">
        <f t="shared" si="61"/>
        <v>is</v>
      </c>
      <c r="N3335" s="4" cm="1">
        <f t="array" ref="N3335">SUM(--(_xlfn.TEXTSPLIT($J$3167,, " ") = M3335))</f>
        <v>1</v>
      </c>
      <c r="O3335">
        <v>1</v>
      </c>
      <c r="P3335">
        <v>0</v>
      </c>
      <c r="Q3335">
        <v>1</v>
      </c>
    </row>
    <row r="3336" spans="5:17" x14ac:dyDescent="0.2">
      <c r="E3336" s="9" t="s">
        <v>37</v>
      </c>
      <c r="K3336" t="str">
        <v xml:space="preserve">a
</v>
      </c>
      <c r="L3336" s="4" t="str">
        <f t="shared" si="61"/>
        <v xml:space="preserve">a </v>
      </c>
      <c r="N3336" s="4" cm="1">
        <f t="array" ref="N3336">SUM(--(_xlfn.TEXTSPLIT($J$3167,, " ") = M3336))</f>
        <v>1</v>
      </c>
      <c r="O3336">
        <v>1</v>
      </c>
      <c r="P3336">
        <v>0</v>
      </c>
      <c r="Q3336">
        <v>1</v>
      </c>
    </row>
    <row r="3337" spans="5:17" x14ac:dyDescent="0.2">
      <c r="E3337" s="9" t="s">
        <v>37</v>
      </c>
      <c r="K3337" t="str">
        <v>One</v>
      </c>
      <c r="L3337" s="4" t="str">
        <f t="shared" si="61"/>
        <v>One</v>
      </c>
      <c r="N3337" s="4" cm="1">
        <f t="array" ref="N3337">SUM(--(_xlfn.TEXTSPLIT($J$3167,, " ") = M3337))</f>
        <v>1</v>
      </c>
      <c r="O3337">
        <v>1</v>
      </c>
      <c r="P3337">
        <v>0</v>
      </c>
      <c r="Q3337">
        <v>1</v>
      </c>
    </row>
    <row r="3338" spans="5:17" x14ac:dyDescent="0.2">
      <c r="E3338" s="9" t="s">
        <v>37</v>
      </c>
      <c r="K3338" t="str">
        <v>way,</v>
      </c>
      <c r="L3338" s="4" t="str">
        <f t="shared" si="61"/>
        <v xml:space="preserve">way </v>
      </c>
      <c r="N3338" s="4" cm="1">
        <f t="array" ref="N3338">SUM(--(_xlfn.TEXTSPLIT($J$3167,, " ") = M3338))</f>
        <v>1</v>
      </c>
      <c r="O3338">
        <v>1</v>
      </c>
      <c r="P3338">
        <v>0</v>
      </c>
      <c r="Q3338">
        <v>1</v>
      </c>
    </row>
    <row r="3339" spans="5:17" x14ac:dyDescent="0.2">
      <c r="E3339" s="9" t="s">
        <v>37</v>
      </c>
      <c r="K3339" t="str">
        <v>one</v>
      </c>
      <c r="L3339" s="4" t="str">
        <f t="shared" si="61"/>
        <v>one</v>
      </c>
      <c r="N3339" s="4" cm="1">
        <f t="array" ref="N3339">SUM(--(_xlfn.TEXTSPLIT($J$3167,, " ") = M3339))</f>
        <v>1</v>
      </c>
      <c r="O3339">
        <v>1</v>
      </c>
      <c r="P3339">
        <v>0</v>
      </c>
      <c r="Q3339">
        <v>1</v>
      </c>
    </row>
    <row r="3340" spans="5:17" x14ac:dyDescent="0.2">
      <c r="E3340" s="9" t="s">
        <v>37</v>
      </c>
      <c r="K3340" t="str">
        <v>way,</v>
      </c>
      <c r="L3340" s="4" t="str">
        <f t="shared" si="61"/>
        <v xml:space="preserve">way </v>
      </c>
      <c r="N3340" s="4" cm="1">
        <f t="array" ref="N3340">SUM(--(_xlfn.TEXTSPLIT($J$3167,, " ") = M3340))</f>
        <v>1</v>
      </c>
      <c r="O3340">
        <v>1</v>
      </c>
      <c r="P3340">
        <v>0</v>
      </c>
      <c r="Q3340">
        <v>1</v>
      </c>
    </row>
    <row r="3341" spans="5:17" x14ac:dyDescent="0.2">
      <c r="E3341" s="9" t="s">
        <v>37</v>
      </c>
      <c r="K3341" t="str">
        <v xml:space="preserve">one
</v>
      </c>
      <c r="L3341" s="4" t="str">
        <f t="shared" si="61"/>
        <v xml:space="preserve">one </v>
      </c>
      <c r="N3341" s="4" cm="1">
        <f t="array" ref="N3341">SUM(--(_xlfn.TEXTSPLIT($J$3167,, " ") = M3341))</f>
        <v>1</v>
      </c>
      <c r="O3341">
        <v>1</v>
      </c>
      <c r="P3341">
        <v>0</v>
      </c>
      <c r="Q3341">
        <v>1</v>
      </c>
    </row>
    <row r="3342" spans="5:17" x14ac:dyDescent="0.2">
      <c r="E3342" s="9" t="s">
        <v>37</v>
      </c>
      <c r="K3342" t="str">
        <v>That</v>
      </c>
      <c r="L3342" s="4" t="str">
        <f t="shared" si="61"/>
        <v>That</v>
      </c>
      <c r="N3342" s="4" cm="1">
        <f t="array" ref="N3342">SUM(--(_xlfn.TEXTSPLIT($J$3167,, " ") = M3342))</f>
        <v>1</v>
      </c>
      <c r="O3342">
        <v>1</v>
      </c>
      <c r="P3342">
        <v>0</v>
      </c>
      <c r="Q3342">
        <v>1</v>
      </c>
    </row>
    <row r="3343" spans="5:17" x14ac:dyDescent="0.2">
      <c r="E3343" s="9" t="s">
        <v>37</v>
      </c>
      <c r="K3343" t="str">
        <v>this</v>
      </c>
      <c r="L3343" s="4" t="str">
        <f t="shared" si="61"/>
        <v>this</v>
      </c>
      <c r="N3343" s="4" cm="1">
        <f t="array" ref="N3343">SUM(--(_xlfn.TEXTSPLIT($J$3167,, " ") = M3343))</f>
        <v>1</v>
      </c>
      <c r="O3343">
        <v>1</v>
      </c>
      <c r="P3343">
        <v>0</v>
      </c>
      <c r="Q3343">
        <v>1</v>
      </c>
    </row>
    <row r="3344" spans="5:17" x14ac:dyDescent="0.2">
      <c r="E3344" s="9" t="s">
        <v>37</v>
      </c>
      <c r="K3344" t="str">
        <v>is</v>
      </c>
      <c r="L3344" s="4" t="str">
        <f t="shared" si="61"/>
        <v>is</v>
      </c>
      <c r="N3344" s="4" cm="1">
        <f t="array" ref="N3344">SUM(--(_xlfn.TEXTSPLIT($J$3167,, " ") = M3344))</f>
        <v>1</v>
      </c>
      <c r="O3344">
        <v>1</v>
      </c>
    </row>
    <row r="3345" spans="5:15" x14ac:dyDescent="0.2">
      <c r="E3345" s="9" t="s">
        <v>37</v>
      </c>
      <c r="K3345" t="str">
        <v xml:space="preserve">a
</v>
      </c>
      <c r="L3345" s="4" t="str">
        <f t="shared" si="61"/>
        <v xml:space="preserve">a </v>
      </c>
      <c r="N3345" s="4" cm="1">
        <f t="array" ref="N3345">SUM(--(_xlfn.TEXTSPLIT($J$3167,, " ") = M3345))</f>
        <v>1</v>
      </c>
      <c r="O3345">
        <v>1</v>
      </c>
    </row>
    <row r="3346" spans="5:15" x14ac:dyDescent="0.2">
      <c r="E3346" s="9" t="s">
        <v>37</v>
      </c>
      <c r="K3346" t="str">
        <v>One</v>
      </c>
      <c r="L3346" s="4" t="str">
        <f t="shared" si="61"/>
        <v>One</v>
      </c>
      <c r="N3346" s="4" cm="1">
        <f t="array" ref="N3346">SUM(--(_xlfn.TEXTSPLIT($J$3167,, " ") = M3346))</f>
        <v>1</v>
      </c>
      <c r="O3346">
        <v>1</v>
      </c>
    </row>
    <row r="3347" spans="5:15" x14ac:dyDescent="0.2">
      <c r="E3347" s="9" t="s">
        <v>37</v>
      </c>
      <c r="K3347" t="str">
        <v>way,</v>
      </c>
      <c r="L3347" s="4" t="str">
        <f t="shared" si="61"/>
        <v xml:space="preserve">way </v>
      </c>
      <c r="N3347" s="4" cm="1">
        <f t="array" ref="N3347">SUM(--(_xlfn.TEXTSPLIT($J$3167,, " ") = M3347))</f>
        <v>1</v>
      </c>
      <c r="O3347">
        <v>1</v>
      </c>
    </row>
    <row r="3348" spans="5:15" x14ac:dyDescent="0.2">
      <c r="E3348" s="9" t="s">
        <v>37</v>
      </c>
      <c r="K3348" t="str">
        <v>one</v>
      </c>
      <c r="L3348" s="4" t="str">
        <f t="shared" si="61"/>
        <v>one</v>
      </c>
      <c r="N3348" s="4" cm="1">
        <f t="array" ref="N3348">SUM(--(_xlfn.TEXTSPLIT($J$3167,, " ") = M3348))</f>
        <v>1</v>
      </c>
      <c r="O3348">
        <v>1</v>
      </c>
    </row>
    <row r="3349" spans="5:15" x14ac:dyDescent="0.2">
      <c r="E3349" s="9" t="s">
        <v>37</v>
      </c>
      <c r="K3349" t="str">
        <v>way,</v>
      </c>
      <c r="L3349" s="4" t="str">
        <f t="shared" si="61"/>
        <v xml:space="preserve">way </v>
      </c>
      <c r="N3349" s="4" cm="1">
        <f t="array" ref="N3349">SUM(--(_xlfn.TEXTSPLIT($J$3167,, " ") = M3349))</f>
        <v>1</v>
      </c>
      <c r="O3349">
        <v>1</v>
      </c>
    </row>
    <row r="3350" spans="5:15" x14ac:dyDescent="0.2">
      <c r="E3350" s="9" t="s">
        <v>37</v>
      </c>
      <c r="K3350" t="str">
        <v xml:space="preserve">one
</v>
      </c>
      <c r="L3350" s="4" t="str">
        <f t="shared" si="61"/>
        <v xml:space="preserve">one </v>
      </c>
      <c r="N3350" s="4" cm="1">
        <f t="array" ref="N3350">SUM(--(_xlfn.TEXTSPLIT($J$3167,, " ") = M3350))</f>
        <v>1</v>
      </c>
      <c r="O3350">
        <v>1</v>
      </c>
    </row>
    <row r="3351" spans="5:15" x14ac:dyDescent="0.2">
      <c r="E3351" s="9" t="s">
        <v>37</v>
      </c>
      <c r="K3351" t="str">
        <v>That</v>
      </c>
      <c r="L3351" s="4" t="str">
        <f t="shared" si="61"/>
        <v>That</v>
      </c>
      <c r="N3351" s="4" cm="1">
        <f t="array" ref="N3351">SUM(--(_xlfn.TEXTSPLIT($J$3167,, " ") = M3351))</f>
        <v>1</v>
      </c>
      <c r="O3351">
        <v>1</v>
      </c>
    </row>
    <row r="3352" spans="5:15" x14ac:dyDescent="0.2">
      <c r="E3352" s="9" t="s">
        <v>37</v>
      </c>
      <c r="K3352" t="str">
        <v>this</v>
      </c>
      <c r="L3352" s="4" t="str">
        <f t="shared" si="61"/>
        <v>this</v>
      </c>
      <c r="N3352" s="4" cm="1">
        <f t="array" ref="N3352">SUM(--(_xlfn.TEXTSPLIT($J$3167,, " ") = M3352))</f>
        <v>1</v>
      </c>
      <c r="O3352">
        <v>1</v>
      </c>
    </row>
    <row r="3353" spans="5:15" x14ac:dyDescent="0.2">
      <c r="E3353" s="9" t="s">
        <v>37</v>
      </c>
      <c r="K3353" t="str">
        <v>is</v>
      </c>
      <c r="L3353" s="4" t="str">
        <f t="shared" si="61"/>
        <v>is</v>
      </c>
      <c r="N3353" s="4" cm="1">
        <f t="array" ref="N3353">SUM(--(_xlfn.TEXTSPLIT($J$3167,, " ") = M3353))</f>
        <v>1</v>
      </c>
      <c r="O3353">
        <v>1</v>
      </c>
    </row>
    <row r="3354" spans="5:15" x14ac:dyDescent="0.2">
      <c r="E3354" s="9" t="s">
        <v>37</v>
      </c>
      <c r="K3354" t="str">
        <v xml:space="preserve">a
</v>
      </c>
      <c r="L3354" s="4" t="str">
        <f t="shared" si="61"/>
        <v xml:space="preserve">a </v>
      </c>
      <c r="N3354" s="4" cm="1">
        <f t="array" ref="N3354">SUM(--(_xlfn.TEXTSPLIT($J$3167,, " ") = M3354))</f>
        <v>1</v>
      </c>
      <c r="O3354">
        <v>1</v>
      </c>
    </row>
    <row r="3355" spans="5:15" x14ac:dyDescent="0.2">
      <c r="E3355" s="9" t="s">
        <v>37</v>
      </c>
      <c r="K3355" t="str">
        <v>One</v>
      </c>
      <c r="L3355" s="4" t="str">
        <f t="shared" si="61"/>
        <v>One</v>
      </c>
      <c r="N3355" s="4" cm="1">
        <f t="array" ref="N3355">SUM(--(_xlfn.TEXTSPLIT($J$3167,, " ") = M3355))</f>
        <v>1</v>
      </c>
      <c r="O3355">
        <v>1</v>
      </c>
    </row>
    <row r="3356" spans="5:15" x14ac:dyDescent="0.2">
      <c r="E3356" s="9" t="s">
        <v>37</v>
      </c>
      <c r="K3356" t="str">
        <v>way,</v>
      </c>
      <c r="L3356" s="4" t="str">
        <f t="shared" si="61"/>
        <v xml:space="preserve">way </v>
      </c>
      <c r="N3356" s="4" cm="1">
        <f t="array" ref="N3356">SUM(--(_xlfn.TEXTSPLIT($J$3167,, " ") = M3356))</f>
        <v>1</v>
      </c>
      <c r="O3356">
        <v>1</v>
      </c>
    </row>
    <row r="3357" spans="5:15" x14ac:dyDescent="0.2">
      <c r="E3357" s="9" t="s">
        <v>37</v>
      </c>
      <c r="K3357" t="str">
        <v>one</v>
      </c>
      <c r="L3357" s="4" t="str">
        <f t="shared" si="61"/>
        <v>one</v>
      </c>
      <c r="N3357" s="4" cm="1">
        <f t="array" ref="N3357">SUM(--(_xlfn.TEXTSPLIT($J$3167,, " ") = M3357))</f>
        <v>1</v>
      </c>
      <c r="O3357">
        <v>1</v>
      </c>
    </row>
    <row r="3358" spans="5:15" x14ac:dyDescent="0.2">
      <c r="E3358" s="9" t="s">
        <v>37</v>
      </c>
      <c r="K3358" t="str">
        <v xml:space="preserve">way
</v>
      </c>
      <c r="L3358" s="4" t="str">
        <f t="shared" si="61"/>
        <v xml:space="preserve">way </v>
      </c>
      <c r="N3358" s="4" cm="1">
        <f t="array" ref="N3358">SUM(--(_xlfn.TEXTSPLIT($J$3167,, " ") = M3358))</f>
        <v>1</v>
      </c>
      <c r="O3358">
        <v>1</v>
      </c>
    </row>
    <row r="3359" spans="5:15" x14ac:dyDescent="0.2">
      <c r="E3359" s="9" t="s">
        <v>37</v>
      </c>
      <c r="K3359" t="str">
        <v>(This</v>
      </c>
      <c r="L3359" s="4" t="str">
        <f t="shared" si="61"/>
        <v xml:space="preserve"> This</v>
      </c>
      <c r="N3359" s="4" cm="1">
        <f t="array" ref="N3359">SUM(--(_xlfn.TEXTSPLIT($J$3167,, " ") = M3359))</f>
        <v>1</v>
      </c>
      <c r="O3359">
        <v>1</v>
      </c>
    </row>
    <row r="3360" spans="5:15" x14ac:dyDescent="0.2">
      <c r="E3360" s="9" t="s">
        <v>37</v>
      </c>
      <c r="K3360" t="str">
        <v>is</v>
      </c>
      <c r="L3360" s="4" t="str">
        <f t="shared" ref="L3360:L3361" si="62">_xlfn.REGEXREPLACE(K3360, "[^A-Za-z ]", " ")</f>
        <v>is</v>
      </c>
      <c r="N3360" s="4" cm="1">
        <f t="array" ref="N3360">SUM(--(_xlfn.TEXTSPLIT($J$3167,, " ") = M3360))</f>
        <v>1</v>
      </c>
      <c r="O3360">
        <v>1</v>
      </c>
    </row>
    <row r="3361" spans="1:18" x14ac:dyDescent="0.2">
      <c r="E3361" s="9" t="s">
        <v>37</v>
      </c>
      <c r="K3361" t="str">
        <v>a)</v>
      </c>
      <c r="L3361" s="4" t="str">
        <f t="shared" si="62"/>
        <v xml:space="preserve">a </v>
      </c>
      <c r="N3361" s="4" cm="1">
        <f t="array" ref="N3361">SUM(--(_xlfn.TEXTSPLIT($J$3167,, " ") = M3361))</f>
        <v>1</v>
      </c>
      <c r="O3361">
        <v>1</v>
      </c>
    </row>
    <row r="3362" spans="1:18" x14ac:dyDescent="0.2">
      <c r="A3362" s="4">
        <v>11</v>
      </c>
      <c r="B3362" s="5">
        <v>45912</v>
      </c>
      <c r="C3362" s="6">
        <v>0.14305555555555555</v>
      </c>
      <c r="D3362" s="7">
        <v>206</v>
      </c>
      <c r="E3362" s="9" t="s">
        <v>39</v>
      </c>
      <c r="F3362" s="4">
        <v>11</v>
      </c>
      <c r="G3362" s="8" t="s">
        <v>15</v>
      </c>
      <c r="H3362" s="9" t="s">
        <v>40</v>
      </c>
      <c r="I3362" s="4">
        <v>1</v>
      </c>
      <c r="J3362" s="4" t="str">
        <f>_xlfn.TEXTJOIN(" ", TRUE, H3362:H3375)</f>
        <v xml:space="preserve"> Hey it's Josh, call me back
 I'm not opposed to ""One Way"" going to ""Days Lie Dormant""
 But it does feel like quite a vibe change
 And uhh"
 "Ah
 You say, ""I should chase it""
 I'll never say ""No""
 Too narrow and too tight
 Somewhere you can't follow
 You say with your face
 Something else altogether
  My days lie dormant
 'Cause I just can't afford it
 To waste time in a city
 Where no one knows your name
 My days lie dormant
 'Cause I just can't afford it
 To waste my time inside a place you're not
 Don't make me waste my love
 It's everything I've got
 You say, ""Don't worry 'bout me though
 It looks so much warmer there""
 And I should try Topo Chico
 And get some more sun
 But you say with your face
 Something else altogether
 My days lie dormant
 'Cause I just can't afford it
 To waste time in a city
 Where no one knows your name
 My days lie dormant
 'Cause I just can't afford it
 To waste my time inside a place you're not
 Don't make me waste my love
 It's everything I've got
 My days lie dormant
 Frozen and distorted
 Robbed of my momentum
 And suspended in the air
 My days lie dormant
 It's feeling less important
 To waste my time inside a place you're not
 Don't make me waste my love
 It's everything I've got
 Yeah-yeah-yeah-yeah
 Yeah-yeah-yeah-yeah
 Yeah-yeah-yeah-yeah
 Yeah-yeah-yeah-yeah
 My days lie dormant
 'Cause I just can't afford it
 To waste time in a city
 Where no one knows your name
 My days lie dormant
 'Cause I just can't afford it
 To waste my time inside a place you're not
 Don't make me waste my love
 It's everything I've got"</v>
      </c>
      <c r="K3362" s="4" t="str" cm="1">
        <f t="array" ref="K3362:K3652">_xlfn.TEXTSPLIT(J3362, ," ")</f>
        <v/>
      </c>
      <c r="L3362" s="4" t="str">
        <f>_xlfn.REGEXREPLACE(K3362, "[^A-Za-z ]", " ")</f>
        <v/>
      </c>
      <c r="M3362" s="4" t="str" cm="1">
        <f t="array" ref="M3362:M3470">_xlfn.UNIQUE(_xlfn.TEXTSPLIT(J3362, , " "))</f>
        <v/>
      </c>
      <c r="N3362" s="4" cm="1">
        <f t="array" ref="N3362">SUM(--(_xlfn.TEXTSPLIT($J$3362,, " ") = M3362))</f>
        <v>2</v>
      </c>
      <c r="O3362" s="4" cm="1">
        <f t="array" ref="O3362:O3652">_xlfn._xlws.SORT(N3362:N3652, ,-1)</f>
        <v>17</v>
      </c>
      <c r="P3362" s="4" t="str" cm="1">
        <f t="array" ref="P3362:Q3652">_xlfn.SORTBY(M3362:N3652, N3362:N3652, -1)</f>
        <v>My</v>
      </c>
      <c r="Q3362" s="4">
        <v>17</v>
      </c>
      <c r="R3362">
        <v>3652</v>
      </c>
    </row>
    <row r="3363" spans="1:18" x14ac:dyDescent="0.2">
      <c r="E3363" s="9" t="s">
        <v>39</v>
      </c>
      <c r="K3363" t="str">
        <v>Hey</v>
      </c>
      <c r="L3363" s="4" t="str">
        <f t="shared" ref="L3363:L3426" si="63">_xlfn.REGEXREPLACE(K3363, "[^A-Za-z ]", " ")</f>
        <v>Hey</v>
      </c>
      <c r="M3363" t="str">
        <v>Hey</v>
      </c>
      <c r="N3363" s="4" cm="1">
        <f t="array" ref="N3363">SUM(--(_xlfn.TEXTSPLIT($J$3362,, " ") = M3363))</f>
        <v>1</v>
      </c>
      <c r="O3363">
        <v>11</v>
      </c>
      <c r="P3363" t="str">
        <v>waste</v>
      </c>
      <c r="Q3363">
        <v>11</v>
      </c>
    </row>
    <row r="3364" spans="1:18" x14ac:dyDescent="0.2">
      <c r="E3364" s="9" t="s">
        <v>39</v>
      </c>
      <c r="K3364" t="str">
        <v>it's</v>
      </c>
      <c r="L3364" s="4" t="str">
        <f t="shared" si="63"/>
        <v>it s</v>
      </c>
      <c r="M3364" t="str">
        <v>it's</v>
      </c>
      <c r="N3364" s="4" cm="1">
        <f t="array" ref="N3364">SUM(--(_xlfn.TEXTSPLIT($J$3362,, " ") = M3364))</f>
        <v>6</v>
      </c>
      <c r="O3364">
        <v>9</v>
      </c>
      <c r="P3364" t="str">
        <v>to</v>
      </c>
      <c r="Q3364">
        <v>9</v>
      </c>
    </row>
    <row r="3365" spans="1:18" x14ac:dyDescent="0.2">
      <c r="E3365" s="9" t="s">
        <v>39</v>
      </c>
      <c r="K3365" t="str">
        <v>Josh,</v>
      </c>
      <c r="L3365" s="4" t="str">
        <f t="shared" si="63"/>
        <v xml:space="preserve">Josh </v>
      </c>
      <c r="M3365" t="str">
        <v>Josh,</v>
      </c>
      <c r="N3365" s="4" cm="1">
        <f t="array" ref="N3365">SUM(--(_xlfn.TEXTSPLIT($J$3362,, " ") = M3365))</f>
        <v>1</v>
      </c>
      <c r="O3365">
        <v>9</v>
      </c>
      <c r="P3365" t="str">
        <v>Lie</v>
      </c>
      <c r="Q3365">
        <v>9</v>
      </c>
    </row>
    <row r="3366" spans="1:18" x14ac:dyDescent="0.2">
      <c r="E3366" s="9" t="s">
        <v>39</v>
      </c>
      <c r="K3366" t="str">
        <v>call</v>
      </c>
      <c r="L3366" s="4" t="str">
        <f t="shared" si="63"/>
        <v>call</v>
      </c>
      <c r="M3366" t="str">
        <v>call</v>
      </c>
      <c r="N3366" s="4" cm="1">
        <f t="array" ref="N3366">SUM(--(_xlfn.TEXTSPLIT($J$3362,, " ") = M3366))</f>
        <v>1</v>
      </c>
      <c r="O3366">
        <v>8</v>
      </c>
      <c r="P3366" t="str">
        <v>a</v>
      </c>
      <c r="Q3366">
        <v>8</v>
      </c>
    </row>
    <row r="3367" spans="1:18" x14ac:dyDescent="0.2">
      <c r="E3367" s="9" t="s">
        <v>39</v>
      </c>
      <c r="K3367" t="str">
        <v>me</v>
      </c>
      <c r="L3367" s="4" t="str">
        <f t="shared" si="63"/>
        <v>me</v>
      </c>
      <c r="M3367" t="str">
        <v>me</v>
      </c>
      <c r="N3367" s="4" cm="1">
        <f t="array" ref="N3367">SUM(--(_xlfn.TEXTSPLIT($J$3362,, " ") = M3367))</f>
        <v>6</v>
      </c>
      <c r="O3367">
        <v>8</v>
      </c>
      <c r="P3367" t="str">
        <v>days</v>
      </c>
      <c r="Q3367">
        <v>8</v>
      </c>
    </row>
    <row r="3368" spans="1:18" x14ac:dyDescent="0.2">
      <c r="E3368" s="9" t="s">
        <v>39</v>
      </c>
      <c r="K3368" t="str">
        <v xml:space="preserve">back
</v>
      </c>
      <c r="L3368" s="4" t="str">
        <f t="shared" si="63"/>
        <v xml:space="preserve">back </v>
      </c>
      <c r="M3368" t="str">
        <v xml:space="preserve">back
</v>
      </c>
      <c r="N3368" s="4" cm="1">
        <f t="array" ref="N3368">SUM(--(_xlfn.TEXTSPLIT($J$3362,, " ") = M3368))</f>
        <v>1</v>
      </c>
      <c r="O3368">
        <v>8</v>
      </c>
      <c r="P3368" t="str">
        <v xml:space="preserve">dormant
</v>
      </c>
      <c r="Q3368">
        <v>8</v>
      </c>
    </row>
    <row r="3369" spans="1:18" x14ac:dyDescent="0.2">
      <c r="E3369" s="9" t="s">
        <v>39</v>
      </c>
      <c r="K3369" t="str">
        <v>I'm</v>
      </c>
      <c r="L3369" s="4" t="str">
        <f t="shared" si="63"/>
        <v>I m</v>
      </c>
      <c r="M3369" t="str">
        <v>I'm</v>
      </c>
      <c r="N3369" s="4" cm="1">
        <f t="array" ref="N3369">SUM(--(_xlfn.TEXTSPLIT($J$3362,, " ") = M3369))</f>
        <v>1</v>
      </c>
      <c r="O3369">
        <v>7</v>
      </c>
      <c r="P3369" t="str">
        <v>can't</v>
      </c>
      <c r="Q3369">
        <v>7</v>
      </c>
    </row>
    <row r="3370" spans="1:18" x14ac:dyDescent="0.2">
      <c r="E3370" s="9" t="s">
        <v>39</v>
      </c>
      <c r="K3370" t="str">
        <v>not</v>
      </c>
      <c r="L3370" s="4" t="str">
        <f t="shared" si="63"/>
        <v>not</v>
      </c>
      <c r="M3370" t="str">
        <v>not</v>
      </c>
      <c r="N3370" s="4" cm="1">
        <f t="array" ref="N3370">SUM(--(_xlfn.TEXTSPLIT($J$3362,, " ") = M3370))</f>
        <v>1</v>
      </c>
      <c r="O3370">
        <v>7</v>
      </c>
      <c r="P3370" t="str">
        <v>I</v>
      </c>
      <c r="Q3370">
        <v>7</v>
      </c>
    </row>
    <row r="3371" spans="1:18" x14ac:dyDescent="0.2">
      <c r="E3371" s="9" t="s">
        <v>39</v>
      </c>
      <c r="K3371" t="str">
        <v>opposed</v>
      </c>
      <c r="L3371" s="4" t="str">
        <f t="shared" si="63"/>
        <v>opposed</v>
      </c>
      <c r="M3371" t="str">
        <v>opposed</v>
      </c>
      <c r="N3371" s="4" cm="1">
        <f t="array" ref="N3371">SUM(--(_xlfn.TEXTSPLIT($J$3362,, " ") = M3371))</f>
        <v>1</v>
      </c>
      <c r="O3371">
        <v>7</v>
      </c>
      <c r="P3371" t="str">
        <v>time</v>
      </c>
      <c r="Q3371">
        <v>7</v>
      </c>
    </row>
    <row r="3372" spans="1:18" x14ac:dyDescent="0.2">
      <c r="E3372" s="9" t="s">
        <v>39</v>
      </c>
      <c r="K3372" t="str">
        <v>to</v>
      </c>
      <c r="L3372" s="4" t="str">
        <f t="shared" si="63"/>
        <v>to</v>
      </c>
      <c r="M3372" t="str">
        <v>to</v>
      </c>
      <c r="N3372" s="4" cm="1">
        <f t="array" ref="N3372">SUM(--(_xlfn.TEXTSPLIT($J$3362,, " ") = M3372))</f>
        <v>9</v>
      </c>
      <c r="O3372">
        <v>6</v>
      </c>
      <c r="P3372" t="str">
        <v>it's</v>
      </c>
      <c r="Q3372">
        <v>6</v>
      </c>
    </row>
    <row r="3373" spans="1:18" x14ac:dyDescent="0.2">
      <c r="E3373" s="9" t="s">
        <v>39</v>
      </c>
      <c r="K3373" t="str">
        <v>""One</v>
      </c>
      <c r="L3373" s="4" t="str">
        <f t="shared" si="63"/>
        <v xml:space="preserve">  One</v>
      </c>
      <c r="M3373" t="str">
        <v>""One</v>
      </c>
      <c r="N3373" s="4" cm="1">
        <f t="array" ref="N3373">SUM(--(_xlfn.TEXTSPLIT($J$3362,, " ") = M3373))</f>
        <v>1</v>
      </c>
      <c r="O3373">
        <v>6</v>
      </c>
      <c r="P3373" t="str">
        <v>me</v>
      </c>
      <c r="Q3373">
        <v>6</v>
      </c>
    </row>
    <row r="3374" spans="1:18" x14ac:dyDescent="0.2">
      <c r="E3374" s="9" t="s">
        <v>39</v>
      </c>
      <c r="K3374" t="str">
        <v>Way""</v>
      </c>
      <c r="L3374" s="4" t="str">
        <f t="shared" si="63"/>
        <v xml:space="preserve">Way  </v>
      </c>
      <c r="M3374" t="str">
        <v>Way""</v>
      </c>
      <c r="N3374" s="4" cm="1">
        <f t="array" ref="N3374">SUM(--(_xlfn.TEXTSPLIT($J$3362,, " ") = M3374))</f>
        <v>1</v>
      </c>
      <c r="O3374">
        <v>6</v>
      </c>
      <c r="P3374" t="str">
        <v>And</v>
      </c>
      <c r="Q3374">
        <v>6</v>
      </c>
    </row>
    <row r="3375" spans="1:18" x14ac:dyDescent="0.2">
      <c r="E3375" s="9" t="s">
        <v>39</v>
      </c>
      <c r="K3375" t="str">
        <v>going</v>
      </c>
      <c r="L3375" s="4" t="str">
        <f t="shared" si="63"/>
        <v>going</v>
      </c>
      <c r="M3375" t="str">
        <v>going</v>
      </c>
      <c r="N3375" s="4" cm="1">
        <f t="array" ref="N3375">SUM(--(_xlfn.TEXTSPLIT($J$3362,, " ") = M3375))</f>
        <v>1</v>
      </c>
      <c r="O3375">
        <v>6</v>
      </c>
      <c r="P3375" t="str">
        <v>'Cause</v>
      </c>
      <c r="Q3375">
        <v>6</v>
      </c>
    </row>
    <row r="3376" spans="1:18" x14ac:dyDescent="0.2">
      <c r="E3376" s="9" t="s">
        <v>39</v>
      </c>
      <c r="K3376" t="str">
        <v>to</v>
      </c>
      <c r="L3376" s="4" t="str">
        <f t="shared" si="63"/>
        <v>to</v>
      </c>
      <c r="M3376" t="str">
        <v>""Days</v>
      </c>
      <c r="N3376" s="4" cm="1">
        <f t="array" ref="N3376">SUM(--(_xlfn.TEXTSPLIT($J$3362,, " ") = M3376))</f>
        <v>1</v>
      </c>
      <c r="O3376">
        <v>6</v>
      </c>
      <c r="P3376" t="str">
        <v>just</v>
      </c>
      <c r="Q3376">
        <v>6</v>
      </c>
    </row>
    <row r="3377" spans="5:17" x14ac:dyDescent="0.2">
      <c r="E3377" s="9" t="s">
        <v>39</v>
      </c>
      <c r="K3377" t="str">
        <v>""Days</v>
      </c>
      <c r="L3377" s="4" t="str">
        <f t="shared" si="63"/>
        <v xml:space="preserve">  Days</v>
      </c>
      <c r="M3377" t="str">
        <v>Lie</v>
      </c>
      <c r="N3377" s="4" cm="1">
        <f t="array" ref="N3377">SUM(--(_xlfn.TEXTSPLIT($J$3362,, " ") = M3377))</f>
        <v>9</v>
      </c>
      <c r="O3377">
        <v>6</v>
      </c>
      <c r="P3377" t="str">
        <v>afford</v>
      </c>
      <c r="Q3377">
        <v>6</v>
      </c>
    </row>
    <row r="3378" spans="5:17" x14ac:dyDescent="0.2">
      <c r="E3378" s="9" t="s">
        <v>39</v>
      </c>
      <c r="K3378" t="str">
        <v>Lie</v>
      </c>
      <c r="L3378" s="4" t="str">
        <f t="shared" si="63"/>
        <v>Lie</v>
      </c>
      <c r="M3378" t="str">
        <v xml:space="preserve">Dormant""
</v>
      </c>
      <c r="N3378" s="4" cm="1">
        <f t="array" ref="N3378">SUM(--(_xlfn.TEXTSPLIT($J$3362,, " ") = M3378))</f>
        <v>1</v>
      </c>
      <c r="O3378">
        <v>6</v>
      </c>
      <c r="P3378" t="str">
        <v xml:space="preserve">it
</v>
      </c>
      <c r="Q3378">
        <v>6</v>
      </c>
    </row>
    <row r="3379" spans="5:17" x14ac:dyDescent="0.2">
      <c r="E3379" s="9" t="s">
        <v>39</v>
      </c>
      <c r="K3379" t="str">
        <v xml:space="preserve">Dormant""
</v>
      </c>
      <c r="L3379" s="4" t="str">
        <f t="shared" si="63"/>
        <v xml:space="preserve">Dormant   </v>
      </c>
      <c r="M3379" t="str">
        <v>But</v>
      </c>
      <c r="N3379" s="4" cm="1">
        <f t="array" ref="N3379">SUM(--(_xlfn.TEXTSPLIT($J$3362,, " ") = M3379))</f>
        <v>2</v>
      </c>
      <c r="O3379">
        <v>5</v>
      </c>
      <c r="P3379" t="str">
        <v>You</v>
      </c>
      <c r="Q3379">
        <v>5</v>
      </c>
    </row>
    <row r="3380" spans="5:17" x14ac:dyDescent="0.2">
      <c r="E3380" s="9" t="s">
        <v>39</v>
      </c>
      <c r="K3380" t="str">
        <v>But</v>
      </c>
      <c r="L3380" s="4" t="str">
        <f t="shared" si="63"/>
        <v>But</v>
      </c>
      <c r="M3380" t="str">
        <v>it</v>
      </c>
      <c r="N3380" s="4" cm="1">
        <f t="array" ref="N3380">SUM(--(_xlfn.TEXTSPLIT($J$3362,, " ") = M3380))</f>
        <v>2</v>
      </c>
      <c r="O3380">
        <v>5</v>
      </c>
      <c r="P3380" t="str">
        <v>your</v>
      </c>
      <c r="Q3380">
        <v>5</v>
      </c>
    </row>
    <row r="3381" spans="5:17" x14ac:dyDescent="0.2">
      <c r="E3381" s="9" t="s">
        <v>39</v>
      </c>
      <c r="K3381" t="str">
        <v>it</v>
      </c>
      <c r="L3381" s="4" t="str">
        <f t="shared" si="63"/>
        <v>it</v>
      </c>
      <c r="M3381" t="str">
        <v>does</v>
      </c>
      <c r="N3381" s="4" cm="1">
        <f t="array" ref="N3381">SUM(--(_xlfn.TEXTSPLIT($J$3362,, " ") = M3381))</f>
        <v>1</v>
      </c>
      <c r="O3381">
        <v>4</v>
      </c>
      <c r="P3381" t="str">
        <v>in</v>
      </c>
      <c r="Q3381">
        <v>4</v>
      </c>
    </row>
    <row r="3382" spans="5:17" x14ac:dyDescent="0.2">
      <c r="E3382" s="9" t="s">
        <v>39</v>
      </c>
      <c r="K3382" t="str">
        <v>does</v>
      </c>
      <c r="L3382" s="4" t="str">
        <f t="shared" si="63"/>
        <v>does</v>
      </c>
      <c r="M3382" t="str">
        <v>feel</v>
      </c>
      <c r="N3382" s="4" cm="1">
        <f t="array" ref="N3382">SUM(--(_xlfn.TEXTSPLIT($J$3362,, " ") = M3382))</f>
        <v>1</v>
      </c>
      <c r="O3382">
        <v>4</v>
      </c>
      <c r="P3382" t="str">
        <v>inside</v>
      </c>
      <c r="Q3382">
        <v>4</v>
      </c>
    </row>
    <row r="3383" spans="5:17" x14ac:dyDescent="0.2">
      <c r="E3383" s="9" t="s">
        <v>39</v>
      </c>
      <c r="K3383" t="str">
        <v>feel</v>
      </c>
      <c r="L3383" s="4" t="str">
        <f t="shared" si="63"/>
        <v>feel</v>
      </c>
      <c r="M3383" t="str">
        <v>like</v>
      </c>
      <c r="N3383" s="4" cm="1">
        <f t="array" ref="N3383">SUM(--(_xlfn.TEXTSPLIT($J$3362,, " ") = M3383))</f>
        <v>1</v>
      </c>
      <c r="O3383">
        <v>4</v>
      </c>
      <c r="P3383" t="str">
        <v>place</v>
      </c>
      <c r="Q3383">
        <v>4</v>
      </c>
    </row>
    <row r="3384" spans="5:17" x14ac:dyDescent="0.2">
      <c r="E3384" s="9" t="s">
        <v>39</v>
      </c>
      <c r="K3384" t="str">
        <v>like</v>
      </c>
      <c r="L3384" s="4" t="str">
        <f t="shared" si="63"/>
        <v>like</v>
      </c>
      <c r="M3384" t="str">
        <v>quite</v>
      </c>
      <c r="N3384" s="4" cm="1">
        <f t="array" ref="N3384">SUM(--(_xlfn.TEXTSPLIT($J$3362,, " ") = M3384))</f>
        <v>1</v>
      </c>
      <c r="O3384">
        <v>4</v>
      </c>
      <c r="P3384" t="str">
        <v>you're</v>
      </c>
      <c r="Q3384">
        <v>4</v>
      </c>
    </row>
    <row r="3385" spans="5:17" x14ac:dyDescent="0.2">
      <c r="E3385" s="9" t="s">
        <v>39</v>
      </c>
      <c r="K3385" t="str">
        <v>quite</v>
      </c>
      <c r="L3385" s="4" t="str">
        <f t="shared" si="63"/>
        <v>quite</v>
      </c>
      <c r="M3385" t="str">
        <v>a</v>
      </c>
      <c r="N3385" s="4" cm="1">
        <f t="array" ref="N3385">SUM(--(_xlfn.TEXTSPLIT($J$3362,, " ") = M3385))</f>
        <v>8</v>
      </c>
      <c r="O3385">
        <v>4</v>
      </c>
      <c r="P3385" t="str">
        <v xml:space="preserve">not
</v>
      </c>
      <c r="Q3385">
        <v>4</v>
      </c>
    </row>
    <row r="3386" spans="5:17" x14ac:dyDescent="0.2">
      <c r="E3386" s="9" t="s">
        <v>39</v>
      </c>
      <c r="K3386" t="str">
        <v>a</v>
      </c>
      <c r="L3386" s="4" t="str">
        <f t="shared" si="63"/>
        <v>a</v>
      </c>
      <c r="M3386" t="str">
        <v>vibe</v>
      </c>
      <c r="N3386" s="4" cm="1">
        <f t="array" ref="N3386">SUM(--(_xlfn.TEXTSPLIT($J$3362,, " ") = M3386))</f>
        <v>1</v>
      </c>
      <c r="O3386">
        <v>4</v>
      </c>
      <c r="P3386" t="str">
        <v>Don't</v>
      </c>
      <c r="Q3386">
        <v>4</v>
      </c>
    </row>
    <row r="3387" spans="5:17" x14ac:dyDescent="0.2">
      <c r="E3387" s="9" t="s">
        <v>39</v>
      </c>
      <c r="K3387" t="str">
        <v>vibe</v>
      </c>
      <c r="L3387" s="4" t="str">
        <f t="shared" si="63"/>
        <v>vibe</v>
      </c>
      <c r="M3387" t="str">
        <v xml:space="preserve">change
</v>
      </c>
      <c r="N3387" s="4" cm="1">
        <f t="array" ref="N3387">SUM(--(_xlfn.TEXTSPLIT($J$3362,, " ") = M3387))</f>
        <v>1</v>
      </c>
      <c r="O3387">
        <v>4</v>
      </c>
      <c r="P3387" t="str">
        <v>make</v>
      </c>
      <c r="Q3387">
        <v>4</v>
      </c>
    </row>
    <row r="3388" spans="5:17" x14ac:dyDescent="0.2">
      <c r="E3388" s="9" t="s">
        <v>39</v>
      </c>
      <c r="K3388" t="str">
        <v xml:space="preserve">change
</v>
      </c>
      <c r="L3388" s="4" t="str">
        <f t="shared" si="63"/>
        <v xml:space="preserve">change </v>
      </c>
      <c r="M3388" t="str">
        <v>And</v>
      </c>
      <c r="N3388" s="4" cm="1">
        <f t="array" ref="N3388">SUM(--(_xlfn.TEXTSPLIT($J$3362,, " ") = M3388))</f>
        <v>6</v>
      </c>
      <c r="O3388">
        <v>4</v>
      </c>
      <c r="P3388" t="str">
        <v xml:space="preserve">love
</v>
      </c>
      <c r="Q3388">
        <v>4</v>
      </c>
    </row>
    <row r="3389" spans="5:17" x14ac:dyDescent="0.2">
      <c r="E3389" s="9" t="s">
        <v>39</v>
      </c>
      <c r="K3389" t="str">
        <v>And</v>
      </c>
      <c r="L3389" s="4" t="str">
        <f t="shared" si="63"/>
        <v>And</v>
      </c>
      <c r="M3389" t="str">
        <v xml:space="preserve">uhh"
</v>
      </c>
      <c r="N3389" s="4" cm="1">
        <f t="array" ref="N3389">SUM(--(_xlfn.TEXTSPLIT($J$3362,, " ") = M3389))</f>
        <v>1</v>
      </c>
      <c r="O3389">
        <v>4</v>
      </c>
      <c r="P3389" t="str">
        <v>everything</v>
      </c>
      <c r="Q3389">
        <v>4</v>
      </c>
    </row>
    <row r="3390" spans="5:17" x14ac:dyDescent="0.2">
      <c r="E3390" s="9" t="s">
        <v>39</v>
      </c>
      <c r="K3390" t="str">
        <v xml:space="preserve">uhh"
</v>
      </c>
      <c r="L3390" s="4" t="str">
        <f t="shared" si="63"/>
        <v xml:space="preserve">uhh  </v>
      </c>
      <c r="M3390" t="str">
        <v xml:space="preserve">"Ah
</v>
      </c>
      <c r="N3390" s="4" cm="1">
        <f t="array" ref="N3390">SUM(--(_xlfn.TEXTSPLIT($J$3362,, " ") = M3390))</f>
        <v>1</v>
      </c>
      <c r="O3390">
        <v>4</v>
      </c>
      <c r="P3390" t="str">
        <v>I've</v>
      </c>
      <c r="Q3390">
        <v>4</v>
      </c>
    </row>
    <row r="3391" spans="5:17" x14ac:dyDescent="0.2">
      <c r="E3391" s="9" t="s">
        <v>39</v>
      </c>
      <c r="K3391" t="str">
        <v xml:space="preserve">"Ah
</v>
      </c>
      <c r="L3391" s="4" t="str">
        <f t="shared" si="63"/>
        <v xml:space="preserve"> Ah  </v>
      </c>
      <c r="M3391" t="str">
        <v>You</v>
      </c>
      <c r="N3391" s="4" cm="1">
        <f t="array" ref="N3391">SUM(--(_xlfn.TEXTSPLIT($J$3362,, " ") = M3391))</f>
        <v>5</v>
      </c>
      <c r="O3391">
        <v>3</v>
      </c>
      <c r="P3391" t="str">
        <v>say</v>
      </c>
      <c r="Q3391">
        <v>3</v>
      </c>
    </row>
    <row r="3392" spans="5:17" x14ac:dyDescent="0.2">
      <c r="E3392" s="9" t="s">
        <v>39</v>
      </c>
      <c r="K3392" t="str">
        <v>You</v>
      </c>
      <c r="L3392" s="4" t="str">
        <f t="shared" si="63"/>
        <v>You</v>
      </c>
      <c r="M3392" t="str">
        <v>say,</v>
      </c>
      <c r="N3392" s="4" cm="1">
        <f t="array" ref="N3392">SUM(--(_xlfn.TEXTSPLIT($J$3362,, " ") = M3392))</f>
        <v>2</v>
      </c>
      <c r="O3392">
        <v>3</v>
      </c>
      <c r="P3392" t="str">
        <v xml:space="preserve">city
</v>
      </c>
      <c r="Q3392">
        <v>3</v>
      </c>
    </row>
    <row r="3393" spans="5:17" x14ac:dyDescent="0.2">
      <c r="E3393" s="9" t="s">
        <v>39</v>
      </c>
      <c r="K3393" t="str">
        <v>say,</v>
      </c>
      <c r="L3393" s="4" t="str">
        <f t="shared" si="63"/>
        <v xml:space="preserve">say </v>
      </c>
      <c r="M3393" t="str">
        <v>""I</v>
      </c>
      <c r="N3393" s="4" cm="1">
        <f t="array" ref="N3393">SUM(--(_xlfn.TEXTSPLIT($J$3362,, " ") = M3393))</f>
        <v>1</v>
      </c>
      <c r="O3393">
        <v>3</v>
      </c>
      <c r="P3393" t="str">
        <v>Where</v>
      </c>
      <c r="Q3393">
        <v>3</v>
      </c>
    </row>
    <row r="3394" spans="5:17" x14ac:dyDescent="0.2">
      <c r="E3394" s="9" t="s">
        <v>39</v>
      </c>
      <c r="K3394" t="str">
        <v>""I</v>
      </c>
      <c r="L3394" s="4" t="str">
        <f t="shared" si="63"/>
        <v xml:space="preserve">  I</v>
      </c>
      <c r="M3394" t="str">
        <v>should</v>
      </c>
      <c r="N3394" s="4" cm="1">
        <f t="array" ref="N3394">SUM(--(_xlfn.TEXTSPLIT($J$3362,, " ") = M3394))</f>
        <v>2</v>
      </c>
      <c r="O3394">
        <v>3</v>
      </c>
      <c r="P3394" t="str">
        <v>no</v>
      </c>
      <c r="Q3394">
        <v>3</v>
      </c>
    </row>
    <row r="3395" spans="5:17" x14ac:dyDescent="0.2">
      <c r="E3395" s="9" t="s">
        <v>39</v>
      </c>
      <c r="K3395" t="str">
        <v>should</v>
      </c>
      <c r="L3395" s="4" t="str">
        <f t="shared" si="63"/>
        <v>should</v>
      </c>
      <c r="M3395" t="str">
        <v>chase</v>
      </c>
      <c r="N3395" s="4" cm="1">
        <f t="array" ref="N3395">SUM(--(_xlfn.TEXTSPLIT($J$3362,, " ") = M3395))</f>
        <v>1</v>
      </c>
      <c r="O3395">
        <v>3</v>
      </c>
      <c r="P3395" t="str">
        <v>one</v>
      </c>
      <c r="Q3395">
        <v>3</v>
      </c>
    </row>
    <row r="3396" spans="5:17" x14ac:dyDescent="0.2">
      <c r="E3396" s="9" t="s">
        <v>39</v>
      </c>
      <c r="K3396" t="str">
        <v>chase</v>
      </c>
      <c r="L3396" s="4" t="str">
        <f t="shared" si="63"/>
        <v>chase</v>
      </c>
      <c r="M3396" t="str">
        <v xml:space="preserve">it""
</v>
      </c>
      <c r="N3396" s="4" cm="1">
        <f t="array" ref="N3396">SUM(--(_xlfn.TEXTSPLIT($J$3362,, " ") = M3396))</f>
        <v>1</v>
      </c>
      <c r="O3396">
        <v>3</v>
      </c>
      <c r="P3396" t="str">
        <v>knows</v>
      </c>
      <c r="Q3396">
        <v>3</v>
      </c>
    </row>
    <row r="3397" spans="5:17" x14ac:dyDescent="0.2">
      <c r="E3397" s="9" t="s">
        <v>39</v>
      </c>
      <c r="K3397" t="str">
        <v xml:space="preserve">it""
</v>
      </c>
      <c r="L3397" s="4" t="str">
        <f t="shared" si="63"/>
        <v xml:space="preserve">it   </v>
      </c>
      <c r="M3397" t="str">
        <v>I'll</v>
      </c>
      <c r="N3397" s="4" cm="1">
        <f t="array" ref="N3397">SUM(--(_xlfn.TEXTSPLIT($J$3362,, " ") = M3397))</f>
        <v>1</v>
      </c>
      <c r="O3397">
        <v>3</v>
      </c>
      <c r="P3397" t="str">
        <v xml:space="preserve">name
</v>
      </c>
      <c r="Q3397">
        <v>3</v>
      </c>
    </row>
    <row r="3398" spans="5:17" x14ac:dyDescent="0.2">
      <c r="E3398" s="9" t="s">
        <v>39</v>
      </c>
      <c r="K3398" t="str">
        <v>I'll</v>
      </c>
      <c r="L3398" s="4" t="str">
        <f t="shared" si="63"/>
        <v>I ll</v>
      </c>
      <c r="M3398" t="str">
        <v>never</v>
      </c>
      <c r="N3398" s="4" cm="1">
        <f t="array" ref="N3398">SUM(--(_xlfn.TEXTSPLIT($J$3362,, " ") = M3398))</f>
        <v>1</v>
      </c>
      <c r="O3398">
        <v>3</v>
      </c>
      <c r="P3398" t="str">
        <v xml:space="preserve">Yeah-yeah-yeah-yeah
</v>
      </c>
      <c r="Q3398">
        <v>3</v>
      </c>
    </row>
    <row r="3399" spans="5:17" x14ac:dyDescent="0.2">
      <c r="E3399" s="9" t="s">
        <v>39</v>
      </c>
      <c r="K3399" t="str">
        <v>never</v>
      </c>
      <c r="L3399" s="4" t="str">
        <f t="shared" si="63"/>
        <v>never</v>
      </c>
      <c r="M3399" t="str">
        <v>say</v>
      </c>
      <c r="N3399" s="4" cm="1">
        <f t="array" ref="N3399">SUM(--(_xlfn.TEXTSPLIT($J$3362,, " ") = M3399))</f>
        <v>3</v>
      </c>
      <c r="O3399">
        <v>2</v>
      </c>
      <c r="P3399" t="str">
        <v/>
      </c>
      <c r="Q3399">
        <v>2</v>
      </c>
    </row>
    <row r="3400" spans="5:17" x14ac:dyDescent="0.2">
      <c r="E3400" s="9" t="s">
        <v>39</v>
      </c>
      <c r="K3400" t="str">
        <v>say</v>
      </c>
      <c r="L3400" s="4" t="str">
        <f t="shared" si="63"/>
        <v>say</v>
      </c>
      <c r="M3400" t="str">
        <v xml:space="preserve">""No""
</v>
      </c>
      <c r="N3400" s="4" cm="1">
        <f t="array" ref="N3400">SUM(--(_xlfn.TEXTSPLIT($J$3362,, " ") = M3400))</f>
        <v>1</v>
      </c>
      <c r="O3400">
        <v>2</v>
      </c>
      <c r="P3400" t="str">
        <v>But</v>
      </c>
      <c r="Q3400">
        <v>2</v>
      </c>
    </row>
    <row r="3401" spans="5:17" x14ac:dyDescent="0.2">
      <c r="E3401" s="9" t="s">
        <v>39</v>
      </c>
      <c r="K3401" t="str">
        <v xml:space="preserve">""No""
</v>
      </c>
      <c r="L3401" s="4" t="str">
        <f t="shared" si="63"/>
        <v xml:space="preserve">  No   </v>
      </c>
      <c r="M3401" t="str">
        <v>Too</v>
      </c>
      <c r="N3401" s="4" cm="1">
        <f t="array" ref="N3401">SUM(--(_xlfn.TEXTSPLIT($J$3362,, " ") = M3401))</f>
        <v>2</v>
      </c>
      <c r="O3401">
        <v>2</v>
      </c>
      <c r="P3401" t="str">
        <v>it</v>
      </c>
      <c r="Q3401">
        <v>2</v>
      </c>
    </row>
    <row r="3402" spans="5:17" x14ac:dyDescent="0.2">
      <c r="E3402" s="9" t="s">
        <v>39</v>
      </c>
      <c r="K3402" t="str">
        <v>Too</v>
      </c>
      <c r="L3402" s="4" t="str">
        <f t="shared" si="63"/>
        <v>Too</v>
      </c>
      <c r="M3402" t="str">
        <v>narrow</v>
      </c>
      <c r="N3402" s="4" cm="1">
        <f t="array" ref="N3402">SUM(--(_xlfn.TEXTSPLIT($J$3362,, " ") = M3402))</f>
        <v>1</v>
      </c>
      <c r="O3402">
        <v>2</v>
      </c>
      <c r="P3402" t="str">
        <v>say,</v>
      </c>
      <c r="Q3402">
        <v>2</v>
      </c>
    </row>
    <row r="3403" spans="5:17" x14ac:dyDescent="0.2">
      <c r="E3403" s="9" t="s">
        <v>39</v>
      </c>
      <c r="K3403" t="str">
        <v>narrow</v>
      </c>
      <c r="L3403" s="4" t="str">
        <f t="shared" si="63"/>
        <v>narrow</v>
      </c>
      <c r="M3403" t="str">
        <v xml:space="preserve">tight
</v>
      </c>
      <c r="N3403" s="4" cm="1">
        <f t="array" ref="N3403">SUM(--(_xlfn.TEXTSPLIT($J$3362,, " ") = M3403))</f>
        <v>1</v>
      </c>
      <c r="O3403">
        <v>2</v>
      </c>
      <c r="P3403" t="str">
        <v>should</v>
      </c>
      <c r="Q3403">
        <v>2</v>
      </c>
    </row>
    <row r="3404" spans="5:17" x14ac:dyDescent="0.2">
      <c r="E3404" s="9" t="s">
        <v>39</v>
      </c>
      <c r="K3404" t="str">
        <v>and</v>
      </c>
      <c r="L3404" s="4" t="str">
        <f t="shared" si="63"/>
        <v>and</v>
      </c>
      <c r="M3404" t="str">
        <v>Somewhere</v>
      </c>
      <c r="N3404" s="4" cm="1">
        <f t="array" ref="N3404">SUM(--(_xlfn.TEXTSPLIT($J$3362,, " ") = M3404))</f>
        <v>1</v>
      </c>
      <c r="O3404">
        <v>2</v>
      </c>
      <c r="P3404" t="str">
        <v>Too</v>
      </c>
      <c r="Q3404">
        <v>2</v>
      </c>
    </row>
    <row r="3405" spans="5:17" x14ac:dyDescent="0.2">
      <c r="E3405" s="9" t="s">
        <v>39</v>
      </c>
      <c r="K3405" t="str">
        <v>too</v>
      </c>
      <c r="L3405" s="4" t="str">
        <f t="shared" si="63"/>
        <v>too</v>
      </c>
      <c r="M3405" t="str">
        <v>can't</v>
      </c>
      <c r="N3405" s="4" cm="1">
        <f t="array" ref="N3405">SUM(--(_xlfn.TEXTSPLIT($J$3362,, " ") = M3405))</f>
        <v>7</v>
      </c>
      <c r="O3405">
        <v>2</v>
      </c>
      <c r="P3405" t="str">
        <v>with</v>
      </c>
      <c r="Q3405">
        <v>2</v>
      </c>
    </row>
    <row r="3406" spans="5:17" x14ac:dyDescent="0.2">
      <c r="E3406" s="9" t="s">
        <v>39</v>
      </c>
      <c r="K3406" t="str">
        <v xml:space="preserve">tight
</v>
      </c>
      <c r="L3406" s="4" t="str">
        <f t="shared" si="63"/>
        <v xml:space="preserve">tight </v>
      </c>
      <c r="M3406" t="str">
        <v xml:space="preserve">follow
</v>
      </c>
      <c r="N3406" s="4" cm="1">
        <f t="array" ref="N3406">SUM(--(_xlfn.TEXTSPLIT($J$3362,, " ") = M3406))</f>
        <v>1</v>
      </c>
      <c r="O3406">
        <v>2</v>
      </c>
      <c r="P3406" t="str">
        <v xml:space="preserve">face
</v>
      </c>
      <c r="Q3406">
        <v>2</v>
      </c>
    </row>
    <row r="3407" spans="5:17" x14ac:dyDescent="0.2">
      <c r="E3407" s="9" t="s">
        <v>39</v>
      </c>
      <c r="K3407" t="str">
        <v>Somewhere</v>
      </c>
      <c r="L3407" s="4" t="str">
        <f t="shared" si="63"/>
        <v>Somewhere</v>
      </c>
      <c r="M3407" t="str">
        <v>with</v>
      </c>
      <c r="N3407" s="4" cm="1">
        <f t="array" ref="N3407">SUM(--(_xlfn.TEXTSPLIT($J$3362,, " ") = M3407))</f>
        <v>2</v>
      </c>
      <c r="O3407">
        <v>2</v>
      </c>
      <c r="P3407" t="str">
        <v>Something</v>
      </c>
      <c r="Q3407">
        <v>2</v>
      </c>
    </row>
    <row r="3408" spans="5:17" x14ac:dyDescent="0.2">
      <c r="E3408" s="9" t="s">
        <v>39</v>
      </c>
      <c r="K3408" t="str">
        <v>you</v>
      </c>
      <c r="L3408" s="4" t="str">
        <f t="shared" si="63"/>
        <v>you</v>
      </c>
      <c r="M3408" t="str">
        <v>your</v>
      </c>
      <c r="N3408" s="4" cm="1">
        <f t="array" ref="N3408">SUM(--(_xlfn.TEXTSPLIT($J$3362,, " ") = M3408))</f>
        <v>5</v>
      </c>
      <c r="O3408">
        <v>2</v>
      </c>
      <c r="P3408" t="str">
        <v>else</v>
      </c>
      <c r="Q3408">
        <v>2</v>
      </c>
    </row>
    <row r="3409" spans="5:17" x14ac:dyDescent="0.2">
      <c r="E3409" s="9" t="s">
        <v>39</v>
      </c>
      <c r="K3409" t="str">
        <v>can't</v>
      </c>
      <c r="L3409" s="4" t="str">
        <f t="shared" si="63"/>
        <v>can t</v>
      </c>
      <c r="M3409" t="str">
        <v xml:space="preserve">face
</v>
      </c>
      <c r="N3409" s="4" cm="1">
        <f t="array" ref="N3409">SUM(--(_xlfn.TEXTSPLIT($J$3362,, " ") = M3409))</f>
        <v>2</v>
      </c>
      <c r="O3409">
        <v>2</v>
      </c>
      <c r="P3409" t="str">
        <v xml:space="preserve">altogether
</v>
      </c>
      <c r="Q3409">
        <v>2</v>
      </c>
    </row>
    <row r="3410" spans="5:17" x14ac:dyDescent="0.2">
      <c r="E3410" s="9" t="s">
        <v>39</v>
      </c>
      <c r="K3410" t="str">
        <v xml:space="preserve">follow
</v>
      </c>
      <c r="L3410" s="4" t="str">
        <f t="shared" si="63"/>
        <v xml:space="preserve">follow  </v>
      </c>
      <c r="M3410" t="str">
        <v>Something</v>
      </c>
      <c r="N3410" s="4" cm="1">
        <f t="array" ref="N3410">SUM(--(_xlfn.TEXTSPLIT($J$3362,, " ") = M3410))</f>
        <v>2</v>
      </c>
      <c r="O3410">
        <v>2</v>
      </c>
      <c r="P3410" t="str">
        <v xml:space="preserve">got
</v>
      </c>
      <c r="Q3410">
        <v>2</v>
      </c>
    </row>
    <row r="3411" spans="5:17" x14ac:dyDescent="0.2">
      <c r="E3411" s="9" t="s">
        <v>39</v>
      </c>
      <c r="K3411" t="str">
        <v>You</v>
      </c>
      <c r="L3411" s="4" t="str">
        <f t="shared" si="63"/>
        <v>You</v>
      </c>
      <c r="M3411" t="str">
        <v>else</v>
      </c>
      <c r="N3411" s="4" cm="1">
        <f t="array" ref="N3411">SUM(--(_xlfn.TEXTSPLIT($J$3362,, " ") = M3411))</f>
        <v>2</v>
      </c>
      <c r="O3411">
        <v>2</v>
      </c>
      <c r="P3411">
        <v>0</v>
      </c>
      <c r="Q3411">
        <v>2</v>
      </c>
    </row>
    <row r="3412" spans="5:17" x14ac:dyDescent="0.2">
      <c r="E3412" s="9" t="s">
        <v>39</v>
      </c>
      <c r="K3412" t="str">
        <v>say</v>
      </c>
      <c r="L3412" s="4" t="str">
        <f t="shared" si="63"/>
        <v>say</v>
      </c>
      <c r="M3412" t="str">
        <v xml:space="preserve">altogether
</v>
      </c>
      <c r="N3412" s="4" cm="1">
        <f t="array" ref="N3412">SUM(--(_xlfn.TEXTSPLIT($J$3362,, " ") = M3412))</f>
        <v>2</v>
      </c>
      <c r="O3412">
        <v>2</v>
      </c>
      <c r="P3412">
        <v>0</v>
      </c>
      <c r="Q3412">
        <v>2</v>
      </c>
    </row>
    <row r="3413" spans="5:17" x14ac:dyDescent="0.2">
      <c r="E3413" s="9" t="s">
        <v>39</v>
      </c>
      <c r="K3413" t="str">
        <v>with</v>
      </c>
      <c r="L3413" s="4" t="str">
        <f t="shared" si="63"/>
        <v>with</v>
      </c>
      <c r="M3413" t="str">
        <v>My</v>
      </c>
      <c r="N3413" s="4" cm="1">
        <f t="array" ref="N3413">SUM(--(_xlfn.TEXTSPLIT($J$3362,, " ") = M3413))</f>
        <v>17</v>
      </c>
      <c r="O3413">
        <v>2</v>
      </c>
      <c r="P3413">
        <v>0</v>
      </c>
      <c r="Q3413">
        <v>2</v>
      </c>
    </row>
    <row r="3414" spans="5:17" x14ac:dyDescent="0.2">
      <c r="E3414" s="9" t="s">
        <v>39</v>
      </c>
      <c r="K3414" t="str">
        <v>your</v>
      </c>
      <c r="L3414" s="4" t="str">
        <f t="shared" si="63"/>
        <v>your</v>
      </c>
      <c r="M3414" t="str">
        <v>days</v>
      </c>
      <c r="N3414" s="4" cm="1">
        <f t="array" ref="N3414">SUM(--(_xlfn.TEXTSPLIT($J$3362,, " ") = M3414))</f>
        <v>8</v>
      </c>
      <c r="O3414">
        <v>2</v>
      </c>
      <c r="P3414">
        <v>0</v>
      </c>
      <c r="Q3414">
        <v>2</v>
      </c>
    </row>
    <row r="3415" spans="5:17" x14ac:dyDescent="0.2">
      <c r="E3415" s="9" t="s">
        <v>39</v>
      </c>
      <c r="K3415" t="str">
        <v xml:space="preserve">face
</v>
      </c>
      <c r="L3415" s="4" t="str">
        <f t="shared" si="63"/>
        <v xml:space="preserve">face </v>
      </c>
      <c r="M3415" t="str">
        <v xml:space="preserve">dormant
</v>
      </c>
      <c r="N3415" s="4" cm="1">
        <f t="array" ref="N3415">SUM(--(_xlfn.TEXTSPLIT($J$3362,, " ") = M3415))</f>
        <v>8</v>
      </c>
      <c r="O3415">
        <v>2</v>
      </c>
      <c r="P3415">
        <v>0</v>
      </c>
      <c r="Q3415">
        <v>2</v>
      </c>
    </row>
    <row r="3416" spans="5:17" x14ac:dyDescent="0.2">
      <c r="E3416" s="9" t="s">
        <v>39</v>
      </c>
      <c r="K3416" t="str">
        <v>Something</v>
      </c>
      <c r="L3416" s="4" t="str">
        <f t="shared" si="63"/>
        <v>Something</v>
      </c>
      <c r="M3416" t="str">
        <v>'Cause</v>
      </c>
      <c r="N3416" s="4" cm="1">
        <f t="array" ref="N3416">SUM(--(_xlfn.TEXTSPLIT($J$3362,, " ") = M3416))</f>
        <v>6</v>
      </c>
      <c r="O3416">
        <v>2</v>
      </c>
      <c r="P3416">
        <v>0</v>
      </c>
      <c r="Q3416">
        <v>2</v>
      </c>
    </row>
    <row r="3417" spans="5:17" x14ac:dyDescent="0.2">
      <c r="E3417" s="9" t="s">
        <v>39</v>
      </c>
      <c r="K3417" t="str">
        <v>else</v>
      </c>
      <c r="L3417" s="4" t="str">
        <f t="shared" si="63"/>
        <v>else</v>
      </c>
      <c r="M3417" t="str">
        <v>I</v>
      </c>
      <c r="N3417" s="4" cm="1">
        <f t="array" ref="N3417">SUM(--(_xlfn.TEXTSPLIT($J$3362,, " ") = M3417))</f>
        <v>7</v>
      </c>
      <c r="O3417">
        <v>2</v>
      </c>
      <c r="P3417">
        <v>0</v>
      </c>
      <c r="Q3417">
        <v>2</v>
      </c>
    </row>
    <row r="3418" spans="5:17" x14ac:dyDescent="0.2">
      <c r="E3418" s="9" t="s">
        <v>39</v>
      </c>
      <c r="K3418" t="str">
        <v xml:space="preserve">altogether
</v>
      </c>
      <c r="L3418" s="4" t="str">
        <f t="shared" si="63"/>
        <v xml:space="preserve">altogether  </v>
      </c>
      <c r="M3418" t="str">
        <v>just</v>
      </c>
      <c r="N3418" s="4" cm="1">
        <f t="array" ref="N3418">SUM(--(_xlfn.TEXTSPLIT($J$3362,, " ") = M3418))</f>
        <v>6</v>
      </c>
      <c r="O3418">
        <v>2</v>
      </c>
      <c r="P3418">
        <v>0</v>
      </c>
      <c r="Q3418">
        <v>2</v>
      </c>
    </row>
    <row r="3419" spans="5:17" x14ac:dyDescent="0.2">
      <c r="E3419" s="9" t="s">
        <v>39</v>
      </c>
      <c r="K3419" t="str">
        <v/>
      </c>
      <c r="L3419" s="4" t="str">
        <f t="shared" si="63"/>
        <v/>
      </c>
      <c r="M3419" t="str">
        <v>afford</v>
      </c>
      <c r="N3419" s="4" cm="1">
        <f t="array" ref="N3419">SUM(--(_xlfn.TEXTSPLIT($J$3362,, " ") = M3419))</f>
        <v>6</v>
      </c>
      <c r="O3419">
        <v>2</v>
      </c>
      <c r="P3419">
        <v>0</v>
      </c>
      <c r="Q3419">
        <v>2</v>
      </c>
    </row>
    <row r="3420" spans="5:17" x14ac:dyDescent="0.2">
      <c r="E3420" s="9" t="s">
        <v>39</v>
      </c>
      <c r="K3420" t="str">
        <v>My</v>
      </c>
      <c r="L3420" s="4" t="str">
        <f t="shared" si="63"/>
        <v>My</v>
      </c>
      <c r="M3420" t="str">
        <v xml:space="preserve">it
</v>
      </c>
      <c r="N3420" s="4" cm="1">
        <f t="array" ref="N3420">SUM(--(_xlfn.TEXTSPLIT($J$3362,, " ") = M3420))</f>
        <v>6</v>
      </c>
      <c r="O3420">
        <v>2</v>
      </c>
      <c r="P3420">
        <v>0</v>
      </c>
      <c r="Q3420">
        <v>2</v>
      </c>
    </row>
    <row r="3421" spans="5:17" x14ac:dyDescent="0.2">
      <c r="E3421" s="9" t="s">
        <v>39</v>
      </c>
      <c r="K3421" t="str">
        <v>days</v>
      </c>
      <c r="L3421" s="4" t="str">
        <f t="shared" si="63"/>
        <v>days</v>
      </c>
      <c r="M3421" t="str">
        <v>waste</v>
      </c>
      <c r="N3421" s="4" cm="1">
        <f t="array" ref="N3421">SUM(--(_xlfn.TEXTSPLIT($J$3362,, " ") = M3421))</f>
        <v>11</v>
      </c>
      <c r="O3421">
        <v>2</v>
      </c>
      <c r="P3421">
        <v>0</v>
      </c>
      <c r="Q3421">
        <v>2</v>
      </c>
    </row>
    <row r="3422" spans="5:17" x14ac:dyDescent="0.2">
      <c r="E3422" s="9" t="s">
        <v>39</v>
      </c>
      <c r="K3422" t="str">
        <v>lie</v>
      </c>
      <c r="L3422" s="4" t="str">
        <f t="shared" si="63"/>
        <v>lie</v>
      </c>
      <c r="M3422" t="str">
        <v>time</v>
      </c>
      <c r="N3422" s="4" cm="1">
        <f t="array" ref="N3422">SUM(--(_xlfn.TEXTSPLIT($J$3362,, " ") = M3422))</f>
        <v>7</v>
      </c>
      <c r="O3422">
        <v>2</v>
      </c>
      <c r="P3422">
        <v>0</v>
      </c>
      <c r="Q3422">
        <v>2</v>
      </c>
    </row>
    <row r="3423" spans="5:17" x14ac:dyDescent="0.2">
      <c r="E3423" s="9" t="s">
        <v>39</v>
      </c>
      <c r="K3423" t="str">
        <v xml:space="preserve">dormant
</v>
      </c>
      <c r="L3423" s="4" t="str">
        <f t="shared" si="63"/>
        <v xml:space="preserve">dormant </v>
      </c>
      <c r="M3423" t="str">
        <v>in</v>
      </c>
      <c r="N3423" s="4" cm="1">
        <f t="array" ref="N3423">SUM(--(_xlfn.TEXTSPLIT($J$3362,, " ") = M3423))</f>
        <v>4</v>
      </c>
      <c r="O3423">
        <v>2</v>
      </c>
      <c r="P3423">
        <v>0</v>
      </c>
      <c r="Q3423">
        <v>2</v>
      </c>
    </row>
    <row r="3424" spans="5:17" x14ac:dyDescent="0.2">
      <c r="E3424" s="9" t="s">
        <v>39</v>
      </c>
      <c r="K3424" t="str">
        <v>'Cause</v>
      </c>
      <c r="L3424" s="4" t="str">
        <f t="shared" si="63"/>
        <v xml:space="preserve"> Cause</v>
      </c>
      <c r="M3424" t="str">
        <v xml:space="preserve">city
</v>
      </c>
      <c r="N3424" s="4" cm="1">
        <f t="array" ref="N3424">SUM(--(_xlfn.TEXTSPLIT($J$3362,, " ") = M3424))</f>
        <v>3</v>
      </c>
      <c r="O3424">
        <v>2</v>
      </c>
      <c r="P3424">
        <v>0</v>
      </c>
      <c r="Q3424">
        <v>2</v>
      </c>
    </row>
    <row r="3425" spans="5:17" x14ac:dyDescent="0.2">
      <c r="E3425" s="9" t="s">
        <v>39</v>
      </c>
      <c r="K3425" t="str">
        <v>I</v>
      </c>
      <c r="L3425" s="4" t="str">
        <f t="shared" si="63"/>
        <v>I</v>
      </c>
      <c r="M3425" t="str">
        <v>Where</v>
      </c>
      <c r="N3425" s="4" cm="1">
        <f t="array" ref="N3425">SUM(--(_xlfn.TEXTSPLIT($J$3362,, " ") = M3425))</f>
        <v>3</v>
      </c>
      <c r="O3425">
        <v>2</v>
      </c>
      <c r="P3425">
        <v>0</v>
      </c>
      <c r="Q3425">
        <v>2</v>
      </c>
    </row>
    <row r="3426" spans="5:17" x14ac:dyDescent="0.2">
      <c r="E3426" s="9" t="s">
        <v>39</v>
      </c>
      <c r="K3426" t="str">
        <v>just</v>
      </c>
      <c r="L3426" s="4" t="str">
        <f t="shared" si="63"/>
        <v>just</v>
      </c>
      <c r="M3426" t="str">
        <v>no</v>
      </c>
      <c r="N3426" s="4" cm="1">
        <f t="array" ref="N3426">SUM(--(_xlfn.TEXTSPLIT($J$3362,, " ") = M3426))</f>
        <v>3</v>
      </c>
      <c r="O3426">
        <v>2</v>
      </c>
      <c r="P3426">
        <v>0</v>
      </c>
      <c r="Q3426">
        <v>2</v>
      </c>
    </row>
    <row r="3427" spans="5:17" x14ac:dyDescent="0.2">
      <c r="E3427" s="9" t="s">
        <v>39</v>
      </c>
      <c r="K3427" t="str">
        <v>can't</v>
      </c>
      <c r="L3427" s="4" t="str">
        <f t="shared" ref="L3427:L3490" si="64">_xlfn.REGEXREPLACE(K3427, "[^A-Za-z ]", " ")</f>
        <v>can t</v>
      </c>
      <c r="M3427" t="str">
        <v>one</v>
      </c>
      <c r="N3427" s="4" cm="1">
        <f t="array" ref="N3427">SUM(--(_xlfn.TEXTSPLIT($J$3362,, " ") = M3427))</f>
        <v>3</v>
      </c>
      <c r="O3427">
        <v>2</v>
      </c>
      <c r="P3427">
        <v>0</v>
      </c>
      <c r="Q3427">
        <v>2</v>
      </c>
    </row>
    <row r="3428" spans="5:17" x14ac:dyDescent="0.2">
      <c r="E3428" s="9" t="s">
        <v>39</v>
      </c>
      <c r="K3428" t="str">
        <v>afford</v>
      </c>
      <c r="L3428" s="4" t="str">
        <f t="shared" si="64"/>
        <v>afford</v>
      </c>
      <c r="M3428" t="str">
        <v>knows</v>
      </c>
      <c r="N3428" s="4" cm="1">
        <f t="array" ref="N3428">SUM(--(_xlfn.TEXTSPLIT($J$3362,, " ") = M3428))</f>
        <v>3</v>
      </c>
      <c r="O3428">
        <v>2</v>
      </c>
      <c r="P3428">
        <v>0</v>
      </c>
      <c r="Q3428">
        <v>2</v>
      </c>
    </row>
    <row r="3429" spans="5:17" x14ac:dyDescent="0.2">
      <c r="E3429" s="9" t="s">
        <v>39</v>
      </c>
      <c r="K3429" t="str">
        <v xml:space="preserve">it
</v>
      </c>
      <c r="L3429" s="4" t="str">
        <f t="shared" si="64"/>
        <v xml:space="preserve">it </v>
      </c>
      <c r="M3429" t="str">
        <v xml:space="preserve">name
</v>
      </c>
      <c r="N3429" s="4" cm="1">
        <f t="array" ref="N3429">SUM(--(_xlfn.TEXTSPLIT($J$3362,, " ") = M3429))</f>
        <v>3</v>
      </c>
      <c r="O3429">
        <v>2</v>
      </c>
      <c r="P3429">
        <v>0</v>
      </c>
      <c r="Q3429">
        <v>2</v>
      </c>
    </row>
    <row r="3430" spans="5:17" x14ac:dyDescent="0.2">
      <c r="E3430" s="9" t="s">
        <v>39</v>
      </c>
      <c r="K3430" t="str">
        <v>To</v>
      </c>
      <c r="L3430" s="4" t="str">
        <f t="shared" si="64"/>
        <v>To</v>
      </c>
      <c r="M3430" t="str">
        <v>inside</v>
      </c>
      <c r="N3430" s="4" cm="1">
        <f t="array" ref="N3430">SUM(--(_xlfn.TEXTSPLIT($J$3362,, " ") = M3430))</f>
        <v>4</v>
      </c>
      <c r="O3430">
        <v>2</v>
      </c>
      <c r="P3430">
        <v>0</v>
      </c>
      <c r="Q3430">
        <v>2</v>
      </c>
    </row>
    <row r="3431" spans="5:17" x14ac:dyDescent="0.2">
      <c r="E3431" s="9" t="s">
        <v>39</v>
      </c>
      <c r="K3431" t="str">
        <v>waste</v>
      </c>
      <c r="L3431" s="4" t="str">
        <f t="shared" si="64"/>
        <v>waste</v>
      </c>
      <c r="M3431" t="str">
        <v>place</v>
      </c>
      <c r="N3431" s="4" cm="1">
        <f t="array" ref="N3431">SUM(--(_xlfn.TEXTSPLIT($J$3362,, " ") = M3431))</f>
        <v>4</v>
      </c>
      <c r="O3431">
        <v>2</v>
      </c>
      <c r="P3431">
        <v>0</v>
      </c>
      <c r="Q3431">
        <v>2</v>
      </c>
    </row>
    <row r="3432" spans="5:17" x14ac:dyDescent="0.2">
      <c r="E3432" s="9" t="s">
        <v>39</v>
      </c>
      <c r="K3432" t="str">
        <v>time</v>
      </c>
      <c r="L3432" s="4" t="str">
        <f t="shared" si="64"/>
        <v>time</v>
      </c>
      <c r="M3432" t="str">
        <v>you're</v>
      </c>
      <c r="N3432" s="4" cm="1">
        <f t="array" ref="N3432">SUM(--(_xlfn.TEXTSPLIT($J$3362,, " ") = M3432))</f>
        <v>4</v>
      </c>
      <c r="O3432">
        <v>2</v>
      </c>
      <c r="P3432">
        <v>0</v>
      </c>
      <c r="Q3432">
        <v>2</v>
      </c>
    </row>
    <row r="3433" spans="5:17" x14ac:dyDescent="0.2">
      <c r="E3433" s="9" t="s">
        <v>39</v>
      </c>
      <c r="K3433" t="str">
        <v>in</v>
      </c>
      <c r="L3433" s="4" t="str">
        <f t="shared" si="64"/>
        <v>in</v>
      </c>
      <c r="M3433" t="str">
        <v xml:space="preserve">not
</v>
      </c>
      <c r="N3433" s="4" cm="1">
        <f t="array" ref="N3433">SUM(--(_xlfn.TEXTSPLIT($J$3362,, " ") = M3433))</f>
        <v>4</v>
      </c>
      <c r="O3433">
        <v>2</v>
      </c>
      <c r="P3433">
        <v>0</v>
      </c>
      <c r="Q3433">
        <v>2</v>
      </c>
    </row>
    <row r="3434" spans="5:17" x14ac:dyDescent="0.2">
      <c r="E3434" s="9" t="s">
        <v>39</v>
      </c>
      <c r="K3434" t="str">
        <v>a</v>
      </c>
      <c r="L3434" s="4" t="str">
        <f t="shared" si="64"/>
        <v>a</v>
      </c>
      <c r="M3434" t="str">
        <v>Don't</v>
      </c>
      <c r="N3434" s="4" cm="1">
        <f t="array" ref="N3434">SUM(--(_xlfn.TEXTSPLIT($J$3362,, " ") = M3434))</f>
        <v>4</v>
      </c>
      <c r="O3434">
        <v>2</v>
      </c>
      <c r="P3434">
        <v>0</v>
      </c>
      <c r="Q3434">
        <v>2</v>
      </c>
    </row>
    <row r="3435" spans="5:17" x14ac:dyDescent="0.2">
      <c r="E3435" s="9" t="s">
        <v>39</v>
      </c>
      <c r="K3435" t="str">
        <v xml:space="preserve">city
</v>
      </c>
      <c r="L3435" s="4" t="str">
        <f t="shared" si="64"/>
        <v xml:space="preserve">city </v>
      </c>
      <c r="M3435" t="str">
        <v>make</v>
      </c>
      <c r="N3435" s="4" cm="1">
        <f t="array" ref="N3435">SUM(--(_xlfn.TEXTSPLIT($J$3362,, " ") = M3435))</f>
        <v>4</v>
      </c>
      <c r="O3435">
        <v>2</v>
      </c>
      <c r="P3435">
        <v>0</v>
      </c>
      <c r="Q3435">
        <v>2</v>
      </c>
    </row>
    <row r="3436" spans="5:17" x14ac:dyDescent="0.2">
      <c r="E3436" s="9" t="s">
        <v>39</v>
      </c>
      <c r="K3436" t="str">
        <v>Where</v>
      </c>
      <c r="L3436" s="4" t="str">
        <f t="shared" si="64"/>
        <v>Where</v>
      </c>
      <c r="M3436" t="str">
        <v xml:space="preserve">love
</v>
      </c>
      <c r="N3436" s="4" cm="1">
        <f t="array" ref="N3436">SUM(--(_xlfn.TEXTSPLIT($J$3362,, " ") = M3436))</f>
        <v>4</v>
      </c>
      <c r="O3436">
        <v>2</v>
      </c>
      <c r="P3436">
        <v>0</v>
      </c>
      <c r="Q3436">
        <v>2</v>
      </c>
    </row>
    <row r="3437" spans="5:17" x14ac:dyDescent="0.2">
      <c r="E3437" s="9" t="s">
        <v>39</v>
      </c>
      <c r="K3437" t="str">
        <v>no</v>
      </c>
      <c r="L3437" s="4" t="str">
        <f t="shared" si="64"/>
        <v>no</v>
      </c>
      <c r="M3437" t="str">
        <v>everything</v>
      </c>
      <c r="N3437" s="4" cm="1">
        <f t="array" ref="N3437">SUM(--(_xlfn.TEXTSPLIT($J$3362,, " ") = M3437))</f>
        <v>4</v>
      </c>
      <c r="O3437">
        <v>2</v>
      </c>
      <c r="P3437">
        <v>0</v>
      </c>
      <c r="Q3437">
        <v>2</v>
      </c>
    </row>
    <row r="3438" spans="5:17" x14ac:dyDescent="0.2">
      <c r="E3438" s="9" t="s">
        <v>39</v>
      </c>
      <c r="K3438" t="str">
        <v>one</v>
      </c>
      <c r="L3438" s="4" t="str">
        <f t="shared" si="64"/>
        <v>one</v>
      </c>
      <c r="M3438" t="str">
        <v>I've</v>
      </c>
      <c r="N3438" s="4" cm="1">
        <f t="array" ref="N3438">SUM(--(_xlfn.TEXTSPLIT($J$3362,, " ") = M3438))</f>
        <v>4</v>
      </c>
      <c r="O3438">
        <v>2</v>
      </c>
      <c r="P3438">
        <v>0</v>
      </c>
      <c r="Q3438">
        <v>2</v>
      </c>
    </row>
    <row r="3439" spans="5:17" x14ac:dyDescent="0.2">
      <c r="E3439" s="9" t="s">
        <v>39</v>
      </c>
      <c r="K3439" t="str">
        <v>knows</v>
      </c>
      <c r="L3439" s="4" t="str">
        <f t="shared" si="64"/>
        <v>knows</v>
      </c>
      <c r="M3439" t="str">
        <v xml:space="preserve">got
</v>
      </c>
      <c r="N3439" s="4" cm="1">
        <f t="array" ref="N3439">SUM(--(_xlfn.TEXTSPLIT($J$3362,, " ") = M3439))</f>
        <v>2</v>
      </c>
      <c r="O3439">
        <v>2</v>
      </c>
      <c r="P3439">
        <v>0</v>
      </c>
      <c r="Q3439">
        <v>2</v>
      </c>
    </row>
    <row r="3440" spans="5:17" x14ac:dyDescent="0.2">
      <c r="E3440" s="9" t="s">
        <v>39</v>
      </c>
      <c r="K3440" t="str">
        <v>your</v>
      </c>
      <c r="L3440" s="4" t="str">
        <f t="shared" si="64"/>
        <v>your</v>
      </c>
      <c r="M3440" t="str">
        <v>""Don't</v>
      </c>
      <c r="N3440" s="4" cm="1">
        <f t="array" ref="N3440">SUM(--(_xlfn.TEXTSPLIT($J$3362,, " ") = M3440))</f>
        <v>1</v>
      </c>
      <c r="O3440">
        <v>2</v>
      </c>
      <c r="P3440">
        <v>0</v>
      </c>
      <c r="Q3440">
        <v>2</v>
      </c>
    </row>
    <row r="3441" spans="5:17" x14ac:dyDescent="0.2">
      <c r="E3441" s="9" t="s">
        <v>39</v>
      </c>
      <c r="K3441" t="str">
        <v xml:space="preserve">name
</v>
      </c>
      <c r="L3441" s="4" t="str">
        <f t="shared" si="64"/>
        <v xml:space="preserve">name </v>
      </c>
      <c r="M3441" t="str">
        <v>worry</v>
      </c>
      <c r="N3441" s="4" cm="1">
        <f t="array" ref="N3441">SUM(--(_xlfn.TEXTSPLIT($J$3362,, " ") = M3441))</f>
        <v>1</v>
      </c>
      <c r="O3441">
        <v>2</v>
      </c>
      <c r="P3441">
        <v>0</v>
      </c>
      <c r="Q3441">
        <v>2</v>
      </c>
    </row>
    <row r="3442" spans="5:17" x14ac:dyDescent="0.2">
      <c r="E3442" s="9" t="s">
        <v>39</v>
      </c>
      <c r="K3442" t="str">
        <v>My</v>
      </c>
      <c r="L3442" s="4" t="str">
        <f t="shared" si="64"/>
        <v>My</v>
      </c>
      <c r="M3442" t="str">
        <v>'bout</v>
      </c>
      <c r="N3442" s="4" cm="1">
        <f t="array" ref="N3442">SUM(--(_xlfn.TEXTSPLIT($J$3362,, " ") = M3442))</f>
        <v>1</v>
      </c>
      <c r="O3442">
        <v>2</v>
      </c>
      <c r="P3442">
        <v>0</v>
      </c>
      <c r="Q3442">
        <v>2</v>
      </c>
    </row>
    <row r="3443" spans="5:17" x14ac:dyDescent="0.2">
      <c r="E3443" s="9" t="s">
        <v>39</v>
      </c>
      <c r="K3443" t="str">
        <v>days</v>
      </c>
      <c r="L3443" s="4" t="str">
        <f t="shared" si="64"/>
        <v>days</v>
      </c>
      <c r="M3443" t="str">
        <v xml:space="preserve">though
</v>
      </c>
      <c r="N3443" s="4" cm="1">
        <f t="array" ref="N3443">SUM(--(_xlfn.TEXTSPLIT($J$3362,, " ") = M3443))</f>
        <v>1</v>
      </c>
      <c r="O3443">
        <v>2</v>
      </c>
      <c r="P3443">
        <v>0</v>
      </c>
      <c r="Q3443">
        <v>2</v>
      </c>
    </row>
    <row r="3444" spans="5:17" x14ac:dyDescent="0.2">
      <c r="E3444" s="9" t="s">
        <v>39</v>
      </c>
      <c r="K3444" t="str">
        <v>lie</v>
      </c>
      <c r="L3444" s="4" t="str">
        <f t="shared" si="64"/>
        <v>lie</v>
      </c>
      <c r="M3444" t="str">
        <v>looks</v>
      </c>
      <c r="N3444" s="4" cm="1">
        <f t="array" ref="N3444">SUM(--(_xlfn.TEXTSPLIT($J$3362,, " ") = M3444))</f>
        <v>1</v>
      </c>
      <c r="O3444">
        <v>2</v>
      </c>
      <c r="P3444">
        <v>0</v>
      </c>
      <c r="Q3444">
        <v>2</v>
      </c>
    </row>
    <row r="3445" spans="5:17" x14ac:dyDescent="0.2">
      <c r="E3445" s="9" t="s">
        <v>39</v>
      </c>
      <c r="K3445" t="str">
        <v xml:space="preserve">dormant
</v>
      </c>
      <c r="L3445" s="4" t="str">
        <f t="shared" si="64"/>
        <v xml:space="preserve">dormant </v>
      </c>
      <c r="M3445" t="str">
        <v>so</v>
      </c>
      <c r="N3445" s="4" cm="1">
        <f t="array" ref="N3445">SUM(--(_xlfn.TEXTSPLIT($J$3362,, " ") = M3445))</f>
        <v>1</v>
      </c>
      <c r="O3445">
        <v>2</v>
      </c>
      <c r="P3445">
        <v>0</v>
      </c>
      <c r="Q3445">
        <v>2</v>
      </c>
    </row>
    <row r="3446" spans="5:17" x14ac:dyDescent="0.2">
      <c r="E3446" s="9" t="s">
        <v>39</v>
      </c>
      <c r="K3446" t="str">
        <v>'Cause</v>
      </c>
      <c r="L3446" s="4" t="str">
        <f t="shared" si="64"/>
        <v xml:space="preserve"> Cause</v>
      </c>
      <c r="M3446" t="str">
        <v>much</v>
      </c>
      <c r="N3446" s="4" cm="1">
        <f t="array" ref="N3446">SUM(--(_xlfn.TEXTSPLIT($J$3362,, " ") = M3446))</f>
        <v>1</v>
      </c>
      <c r="O3446">
        <v>2</v>
      </c>
      <c r="P3446">
        <v>0</v>
      </c>
      <c r="Q3446">
        <v>2</v>
      </c>
    </row>
    <row r="3447" spans="5:17" x14ac:dyDescent="0.2">
      <c r="E3447" s="9" t="s">
        <v>39</v>
      </c>
      <c r="K3447" t="str">
        <v>I</v>
      </c>
      <c r="L3447" s="4" t="str">
        <f t="shared" si="64"/>
        <v>I</v>
      </c>
      <c r="M3447" t="str">
        <v>warmer</v>
      </c>
      <c r="N3447" s="4" cm="1">
        <f t="array" ref="N3447">SUM(--(_xlfn.TEXTSPLIT($J$3362,, " ") = M3447))</f>
        <v>1</v>
      </c>
      <c r="O3447">
        <v>2</v>
      </c>
      <c r="P3447">
        <v>0</v>
      </c>
      <c r="Q3447">
        <v>2</v>
      </c>
    </row>
    <row r="3448" spans="5:17" x14ac:dyDescent="0.2">
      <c r="E3448" s="9" t="s">
        <v>39</v>
      </c>
      <c r="K3448" t="str">
        <v>just</v>
      </c>
      <c r="L3448" s="4" t="str">
        <f t="shared" si="64"/>
        <v>just</v>
      </c>
      <c r="M3448" t="str">
        <v xml:space="preserve">there""
</v>
      </c>
      <c r="N3448" s="4" cm="1">
        <f t="array" ref="N3448">SUM(--(_xlfn.TEXTSPLIT($J$3362,, " ") = M3448))</f>
        <v>1</v>
      </c>
      <c r="O3448">
        <v>2</v>
      </c>
      <c r="P3448">
        <v>0</v>
      </c>
      <c r="Q3448">
        <v>2</v>
      </c>
    </row>
    <row r="3449" spans="5:17" x14ac:dyDescent="0.2">
      <c r="E3449" s="9" t="s">
        <v>39</v>
      </c>
      <c r="K3449" t="str">
        <v>can't</v>
      </c>
      <c r="L3449" s="4" t="str">
        <f t="shared" si="64"/>
        <v>can t</v>
      </c>
      <c r="M3449" t="str">
        <v>try</v>
      </c>
      <c r="N3449" s="4" cm="1">
        <f t="array" ref="N3449">SUM(--(_xlfn.TEXTSPLIT($J$3362,, " ") = M3449))</f>
        <v>1</v>
      </c>
      <c r="O3449">
        <v>2</v>
      </c>
      <c r="P3449">
        <v>0</v>
      </c>
      <c r="Q3449">
        <v>2</v>
      </c>
    </row>
    <row r="3450" spans="5:17" x14ac:dyDescent="0.2">
      <c r="E3450" s="9" t="s">
        <v>39</v>
      </c>
      <c r="K3450" t="str">
        <v>afford</v>
      </c>
      <c r="L3450" s="4" t="str">
        <f t="shared" si="64"/>
        <v>afford</v>
      </c>
      <c r="M3450" t="str">
        <v>Topo</v>
      </c>
      <c r="N3450" s="4" cm="1">
        <f t="array" ref="N3450">SUM(--(_xlfn.TEXTSPLIT($J$3362,, " ") = M3450))</f>
        <v>1</v>
      </c>
      <c r="O3450">
        <v>2</v>
      </c>
      <c r="P3450">
        <v>0</v>
      </c>
      <c r="Q3450">
        <v>2</v>
      </c>
    </row>
    <row r="3451" spans="5:17" x14ac:dyDescent="0.2">
      <c r="E3451" s="9" t="s">
        <v>39</v>
      </c>
      <c r="K3451" t="str">
        <v xml:space="preserve">it
</v>
      </c>
      <c r="L3451" s="4" t="str">
        <f t="shared" si="64"/>
        <v xml:space="preserve">it </v>
      </c>
      <c r="M3451" t="str">
        <v xml:space="preserve">Chico
</v>
      </c>
      <c r="N3451" s="4" cm="1">
        <f t="array" ref="N3451">SUM(--(_xlfn.TEXTSPLIT($J$3362,, " ") = M3451))</f>
        <v>1</v>
      </c>
      <c r="O3451">
        <v>2</v>
      </c>
      <c r="P3451">
        <v>0</v>
      </c>
      <c r="Q3451">
        <v>2</v>
      </c>
    </row>
    <row r="3452" spans="5:17" x14ac:dyDescent="0.2">
      <c r="E3452" s="9" t="s">
        <v>39</v>
      </c>
      <c r="K3452" t="str">
        <v>To</v>
      </c>
      <c r="L3452" s="4" t="str">
        <f t="shared" si="64"/>
        <v>To</v>
      </c>
      <c r="M3452" t="str">
        <v>get</v>
      </c>
      <c r="N3452" s="4" cm="1">
        <f t="array" ref="N3452">SUM(--(_xlfn.TEXTSPLIT($J$3362,, " ") = M3452))</f>
        <v>1</v>
      </c>
      <c r="O3452">
        <v>2</v>
      </c>
      <c r="P3452">
        <v>0</v>
      </c>
      <c r="Q3452">
        <v>2</v>
      </c>
    </row>
    <row r="3453" spans="5:17" x14ac:dyDescent="0.2">
      <c r="E3453" s="9" t="s">
        <v>39</v>
      </c>
      <c r="K3453" t="str">
        <v>waste</v>
      </c>
      <c r="L3453" s="4" t="str">
        <f t="shared" si="64"/>
        <v>waste</v>
      </c>
      <c r="M3453" t="str">
        <v>some</v>
      </c>
      <c r="N3453" s="4" cm="1">
        <f t="array" ref="N3453">SUM(--(_xlfn.TEXTSPLIT($J$3362,, " ") = M3453))</f>
        <v>1</v>
      </c>
      <c r="O3453">
        <v>2</v>
      </c>
      <c r="P3453">
        <v>0</v>
      </c>
      <c r="Q3453">
        <v>2</v>
      </c>
    </row>
    <row r="3454" spans="5:17" x14ac:dyDescent="0.2">
      <c r="E3454" s="9" t="s">
        <v>39</v>
      </c>
      <c r="K3454" t="str">
        <v>my</v>
      </c>
      <c r="L3454" s="4" t="str">
        <f t="shared" si="64"/>
        <v>my</v>
      </c>
      <c r="M3454" t="str">
        <v>more</v>
      </c>
      <c r="N3454" s="4" cm="1">
        <f t="array" ref="N3454">SUM(--(_xlfn.TEXTSPLIT($J$3362,, " ") = M3454))</f>
        <v>1</v>
      </c>
      <c r="O3454">
        <v>2</v>
      </c>
      <c r="P3454">
        <v>0</v>
      </c>
      <c r="Q3454">
        <v>2</v>
      </c>
    </row>
    <row r="3455" spans="5:17" x14ac:dyDescent="0.2">
      <c r="E3455" s="9" t="s">
        <v>39</v>
      </c>
      <c r="K3455" t="str">
        <v>time</v>
      </c>
      <c r="L3455" s="4" t="str">
        <f t="shared" si="64"/>
        <v>time</v>
      </c>
      <c r="M3455" t="str">
        <v xml:space="preserve">sun
</v>
      </c>
      <c r="N3455" s="4" cm="1">
        <f t="array" ref="N3455">SUM(--(_xlfn.TEXTSPLIT($J$3362,, " ") = M3455))</f>
        <v>1</v>
      </c>
      <c r="O3455">
        <v>2</v>
      </c>
      <c r="P3455">
        <v>0</v>
      </c>
      <c r="Q3455">
        <v>2</v>
      </c>
    </row>
    <row r="3456" spans="5:17" x14ac:dyDescent="0.2">
      <c r="E3456" s="9" t="s">
        <v>39</v>
      </c>
      <c r="K3456" t="str">
        <v>inside</v>
      </c>
      <c r="L3456" s="4" t="str">
        <f t="shared" si="64"/>
        <v>inside</v>
      </c>
      <c r="M3456" t="str">
        <v>Frozen</v>
      </c>
      <c r="N3456" s="4" cm="1">
        <f t="array" ref="N3456">SUM(--(_xlfn.TEXTSPLIT($J$3362,, " ") = M3456))</f>
        <v>1</v>
      </c>
      <c r="O3456">
        <v>2</v>
      </c>
      <c r="P3456">
        <v>0</v>
      </c>
      <c r="Q3456">
        <v>2</v>
      </c>
    </row>
    <row r="3457" spans="5:17" x14ac:dyDescent="0.2">
      <c r="E3457" s="9" t="s">
        <v>39</v>
      </c>
      <c r="K3457" t="str">
        <v>a</v>
      </c>
      <c r="L3457" s="4" t="str">
        <f t="shared" si="64"/>
        <v>a</v>
      </c>
      <c r="M3457" t="str">
        <v xml:space="preserve">distorted
</v>
      </c>
      <c r="N3457" s="4" cm="1">
        <f t="array" ref="N3457">SUM(--(_xlfn.TEXTSPLIT($J$3362,, " ") = M3457))</f>
        <v>1</v>
      </c>
      <c r="O3457">
        <v>2</v>
      </c>
      <c r="P3457">
        <v>0</v>
      </c>
      <c r="Q3457">
        <v>2</v>
      </c>
    </row>
    <row r="3458" spans="5:17" x14ac:dyDescent="0.2">
      <c r="E3458" s="9" t="s">
        <v>39</v>
      </c>
      <c r="K3458" t="str">
        <v>place</v>
      </c>
      <c r="L3458" s="4" t="str">
        <f t="shared" si="64"/>
        <v>place</v>
      </c>
      <c r="M3458" t="str">
        <v>Robbed</v>
      </c>
      <c r="N3458" s="4" cm="1">
        <f t="array" ref="N3458">SUM(--(_xlfn.TEXTSPLIT($J$3362,, " ") = M3458))</f>
        <v>1</v>
      </c>
      <c r="O3458">
        <v>2</v>
      </c>
      <c r="P3458">
        <v>0</v>
      </c>
      <c r="Q3458">
        <v>2</v>
      </c>
    </row>
    <row r="3459" spans="5:17" x14ac:dyDescent="0.2">
      <c r="E3459" s="9" t="s">
        <v>39</v>
      </c>
      <c r="K3459" t="str">
        <v>you're</v>
      </c>
      <c r="L3459" s="4" t="str">
        <f t="shared" si="64"/>
        <v>you re</v>
      </c>
      <c r="M3459" t="str">
        <v>of</v>
      </c>
      <c r="N3459" s="4" cm="1">
        <f t="array" ref="N3459">SUM(--(_xlfn.TEXTSPLIT($J$3362,, " ") = M3459))</f>
        <v>1</v>
      </c>
      <c r="O3459">
        <v>2</v>
      </c>
      <c r="P3459">
        <v>0</v>
      </c>
      <c r="Q3459">
        <v>2</v>
      </c>
    </row>
    <row r="3460" spans="5:17" x14ac:dyDescent="0.2">
      <c r="E3460" s="9" t="s">
        <v>39</v>
      </c>
      <c r="K3460" t="str">
        <v xml:space="preserve">not
</v>
      </c>
      <c r="L3460" s="4" t="str">
        <f t="shared" si="64"/>
        <v xml:space="preserve">not </v>
      </c>
      <c r="M3460" t="str">
        <v xml:space="preserve">momentum
</v>
      </c>
      <c r="N3460" s="4" cm="1">
        <f t="array" ref="N3460">SUM(--(_xlfn.TEXTSPLIT($J$3362,, " ") = M3460))</f>
        <v>1</v>
      </c>
      <c r="O3460">
        <v>2</v>
      </c>
      <c r="P3460">
        <v>0</v>
      </c>
      <c r="Q3460">
        <v>2</v>
      </c>
    </row>
    <row r="3461" spans="5:17" x14ac:dyDescent="0.2">
      <c r="E3461" s="9" t="s">
        <v>39</v>
      </c>
      <c r="K3461" t="str">
        <v>Don't</v>
      </c>
      <c r="L3461" s="4" t="str">
        <f t="shared" si="64"/>
        <v>Don t</v>
      </c>
      <c r="M3461" t="str">
        <v>suspended</v>
      </c>
      <c r="N3461" s="4" cm="1">
        <f t="array" ref="N3461">SUM(--(_xlfn.TEXTSPLIT($J$3362,, " ") = M3461))</f>
        <v>1</v>
      </c>
      <c r="O3461">
        <v>2</v>
      </c>
      <c r="P3461">
        <v>0</v>
      </c>
      <c r="Q3461">
        <v>2</v>
      </c>
    </row>
    <row r="3462" spans="5:17" x14ac:dyDescent="0.2">
      <c r="E3462" s="9" t="s">
        <v>39</v>
      </c>
      <c r="K3462" t="str">
        <v>make</v>
      </c>
      <c r="L3462" s="4" t="str">
        <f t="shared" si="64"/>
        <v>make</v>
      </c>
      <c r="M3462" t="str">
        <v>the</v>
      </c>
      <c r="N3462" s="4" cm="1">
        <f t="array" ref="N3462">SUM(--(_xlfn.TEXTSPLIT($J$3362,, " ") = M3462))</f>
        <v>1</v>
      </c>
      <c r="O3462">
        <v>2</v>
      </c>
      <c r="P3462">
        <v>0</v>
      </c>
      <c r="Q3462">
        <v>2</v>
      </c>
    </row>
    <row r="3463" spans="5:17" x14ac:dyDescent="0.2">
      <c r="E3463" s="9" t="s">
        <v>39</v>
      </c>
      <c r="K3463" t="str">
        <v>me</v>
      </c>
      <c r="L3463" s="4" t="str">
        <f t="shared" si="64"/>
        <v>me</v>
      </c>
      <c r="M3463" t="str">
        <v xml:space="preserve">air
</v>
      </c>
      <c r="N3463" s="4" cm="1">
        <f t="array" ref="N3463">SUM(--(_xlfn.TEXTSPLIT($J$3362,, " ") = M3463))</f>
        <v>1</v>
      </c>
      <c r="O3463">
        <v>2</v>
      </c>
      <c r="P3463">
        <v>0</v>
      </c>
      <c r="Q3463">
        <v>2</v>
      </c>
    </row>
    <row r="3464" spans="5:17" x14ac:dyDescent="0.2">
      <c r="E3464" s="9" t="s">
        <v>39</v>
      </c>
      <c r="K3464" t="str">
        <v>waste</v>
      </c>
      <c r="L3464" s="4" t="str">
        <f t="shared" si="64"/>
        <v>waste</v>
      </c>
      <c r="M3464" t="str">
        <v>feeling</v>
      </c>
      <c r="N3464" s="4" cm="1">
        <f t="array" ref="N3464">SUM(--(_xlfn.TEXTSPLIT($J$3362,, " ") = M3464))</f>
        <v>1</v>
      </c>
      <c r="O3464">
        <v>2</v>
      </c>
      <c r="P3464">
        <v>0</v>
      </c>
      <c r="Q3464">
        <v>2</v>
      </c>
    </row>
    <row r="3465" spans="5:17" x14ac:dyDescent="0.2">
      <c r="E3465" s="9" t="s">
        <v>39</v>
      </c>
      <c r="K3465" t="str">
        <v>my</v>
      </c>
      <c r="L3465" s="4" t="str">
        <f t="shared" si="64"/>
        <v>my</v>
      </c>
      <c r="M3465" t="str">
        <v>less</v>
      </c>
      <c r="N3465" s="4" cm="1">
        <f t="array" ref="N3465">SUM(--(_xlfn.TEXTSPLIT($J$3362,, " ") = M3465))</f>
        <v>1</v>
      </c>
      <c r="O3465">
        <v>2</v>
      </c>
      <c r="P3465">
        <v>0</v>
      </c>
      <c r="Q3465">
        <v>2</v>
      </c>
    </row>
    <row r="3466" spans="5:17" x14ac:dyDescent="0.2">
      <c r="E3466" s="9" t="s">
        <v>39</v>
      </c>
      <c r="K3466" t="str">
        <v xml:space="preserve">love
</v>
      </c>
      <c r="L3466" s="4" t="str">
        <f t="shared" si="64"/>
        <v xml:space="preserve">love </v>
      </c>
      <c r="M3466" t="str">
        <v xml:space="preserve">important
</v>
      </c>
      <c r="N3466" s="4" cm="1">
        <f t="array" ref="N3466">SUM(--(_xlfn.TEXTSPLIT($J$3362,, " ") = M3466))</f>
        <v>1</v>
      </c>
      <c r="O3466">
        <v>2</v>
      </c>
      <c r="P3466">
        <v>0</v>
      </c>
      <c r="Q3466">
        <v>2</v>
      </c>
    </row>
    <row r="3467" spans="5:17" x14ac:dyDescent="0.2">
      <c r="E3467" s="9" t="s">
        <v>39</v>
      </c>
      <c r="K3467" t="str">
        <v>It's</v>
      </c>
      <c r="L3467" s="4" t="str">
        <f t="shared" si="64"/>
        <v>It s</v>
      </c>
      <c r="M3467" t="str">
        <v xml:space="preserve">got
</v>
      </c>
      <c r="N3467" s="4" cm="1">
        <f t="array" ref="N3467">SUM(--(_xlfn.TEXTSPLIT($J$3362,, " ") = M3467))</f>
        <v>1</v>
      </c>
      <c r="O3467">
        <v>2</v>
      </c>
      <c r="P3467">
        <v>0</v>
      </c>
      <c r="Q3467">
        <v>2</v>
      </c>
    </row>
    <row r="3468" spans="5:17" x14ac:dyDescent="0.2">
      <c r="E3468" s="9" t="s">
        <v>39</v>
      </c>
      <c r="K3468" t="str">
        <v>everything</v>
      </c>
      <c r="L3468" s="4" t="str">
        <f t="shared" si="64"/>
        <v>everything</v>
      </c>
      <c r="M3468" t="str">
        <v xml:space="preserve">Yeah-yeah-yeah-yeah
</v>
      </c>
      <c r="N3468" s="4" cm="1">
        <f t="array" ref="N3468">SUM(--(_xlfn.TEXTSPLIT($J$3362,, " ") = M3468))</f>
        <v>3</v>
      </c>
      <c r="O3468">
        <v>2</v>
      </c>
      <c r="P3468">
        <v>0</v>
      </c>
      <c r="Q3468">
        <v>2</v>
      </c>
    </row>
    <row r="3469" spans="5:17" x14ac:dyDescent="0.2">
      <c r="E3469" s="9" t="s">
        <v>39</v>
      </c>
      <c r="K3469" t="str">
        <v>I've</v>
      </c>
      <c r="L3469" s="4" t="str">
        <f t="shared" si="64"/>
        <v>I ve</v>
      </c>
      <c r="M3469" t="str">
        <v xml:space="preserve">Yeah-yeah-yeah-yeah
</v>
      </c>
      <c r="N3469" s="4" cm="1">
        <f t="array" ref="N3469">SUM(--(_xlfn.TEXTSPLIT($J$3362,, " ") = M3469))</f>
        <v>1</v>
      </c>
      <c r="O3469">
        <v>2</v>
      </c>
      <c r="P3469">
        <v>0</v>
      </c>
      <c r="Q3469">
        <v>2</v>
      </c>
    </row>
    <row r="3470" spans="5:17" x14ac:dyDescent="0.2">
      <c r="E3470" s="9" t="s">
        <v>39</v>
      </c>
      <c r="K3470" t="str">
        <v xml:space="preserve">got
</v>
      </c>
      <c r="L3470" s="4" t="str">
        <f t="shared" si="64"/>
        <v xml:space="preserve">got  </v>
      </c>
      <c r="M3470" t="str">
        <v>got"</v>
      </c>
      <c r="N3470" s="4" cm="1">
        <f t="array" ref="N3470">SUM(--(_xlfn.TEXTSPLIT($J$3362,, " ") = M3470))</f>
        <v>1</v>
      </c>
      <c r="O3470">
        <v>2</v>
      </c>
      <c r="P3470">
        <v>0</v>
      </c>
      <c r="Q3470">
        <v>2</v>
      </c>
    </row>
    <row r="3471" spans="5:17" x14ac:dyDescent="0.2">
      <c r="E3471" s="9" t="s">
        <v>39</v>
      </c>
      <c r="K3471" t="str">
        <v>You</v>
      </c>
      <c r="L3471" s="4" t="str">
        <f t="shared" si="64"/>
        <v>You</v>
      </c>
      <c r="N3471" s="4" cm="1">
        <f t="array" ref="N3471">SUM(--(_xlfn.TEXTSPLIT($J$3362,, " ") = M3471))</f>
        <v>2</v>
      </c>
      <c r="O3471">
        <v>2</v>
      </c>
      <c r="P3471">
        <v>0</v>
      </c>
      <c r="Q3471">
        <v>2</v>
      </c>
    </row>
    <row r="3472" spans="5:17" x14ac:dyDescent="0.2">
      <c r="E3472" s="9" t="s">
        <v>39</v>
      </c>
      <c r="K3472" t="str">
        <v>say,</v>
      </c>
      <c r="L3472" s="4" t="str">
        <f t="shared" si="64"/>
        <v xml:space="preserve">say </v>
      </c>
      <c r="N3472" s="4" cm="1">
        <f t="array" ref="N3472">SUM(--(_xlfn.TEXTSPLIT($J$3362,, " ") = M3472))</f>
        <v>2</v>
      </c>
      <c r="O3472">
        <v>2</v>
      </c>
      <c r="P3472">
        <v>0</v>
      </c>
      <c r="Q3472">
        <v>2</v>
      </c>
    </row>
    <row r="3473" spans="5:17" x14ac:dyDescent="0.2">
      <c r="E3473" s="9" t="s">
        <v>39</v>
      </c>
      <c r="K3473" t="str">
        <v>""Don't</v>
      </c>
      <c r="L3473" s="4" t="str">
        <f t="shared" si="64"/>
        <v xml:space="preserve">  Don t</v>
      </c>
      <c r="N3473" s="4" cm="1">
        <f t="array" ref="N3473">SUM(--(_xlfn.TEXTSPLIT($J$3362,, " ") = M3473))</f>
        <v>2</v>
      </c>
      <c r="O3473">
        <v>2</v>
      </c>
      <c r="P3473">
        <v>0</v>
      </c>
      <c r="Q3473">
        <v>2</v>
      </c>
    </row>
    <row r="3474" spans="5:17" x14ac:dyDescent="0.2">
      <c r="E3474" s="9" t="s">
        <v>39</v>
      </c>
      <c r="K3474" t="str">
        <v>worry</v>
      </c>
      <c r="L3474" s="4" t="str">
        <f t="shared" si="64"/>
        <v>worry</v>
      </c>
      <c r="N3474" s="4" cm="1">
        <f t="array" ref="N3474">SUM(--(_xlfn.TEXTSPLIT($J$3362,, " ") = M3474))</f>
        <v>2</v>
      </c>
      <c r="O3474">
        <v>2</v>
      </c>
      <c r="P3474">
        <v>0</v>
      </c>
      <c r="Q3474">
        <v>2</v>
      </c>
    </row>
    <row r="3475" spans="5:17" x14ac:dyDescent="0.2">
      <c r="E3475" s="9" t="s">
        <v>39</v>
      </c>
      <c r="K3475" t="str">
        <v>'bout</v>
      </c>
      <c r="L3475" s="4" t="str">
        <f t="shared" si="64"/>
        <v xml:space="preserve"> bout</v>
      </c>
      <c r="N3475" s="4" cm="1">
        <f t="array" ref="N3475">SUM(--(_xlfn.TEXTSPLIT($J$3362,, " ") = M3475))</f>
        <v>2</v>
      </c>
      <c r="O3475">
        <v>2</v>
      </c>
      <c r="P3475">
        <v>0</v>
      </c>
      <c r="Q3475">
        <v>2</v>
      </c>
    </row>
    <row r="3476" spans="5:17" x14ac:dyDescent="0.2">
      <c r="E3476" s="9" t="s">
        <v>39</v>
      </c>
      <c r="K3476" t="str">
        <v>me</v>
      </c>
      <c r="L3476" s="4" t="str">
        <f t="shared" si="64"/>
        <v>me</v>
      </c>
      <c r="N3476" s="4" cm="1">
        <f t="array" ref="N3476">SUM(--(_xlfn.TEXTSPLIT($J$3362,, " ") = M3476))</f>
        <v>2</v>
      </c>
      <c r="O3476">
        <v>2</v>
      </c>
      <c r="P3476">
        <v>0</v>
      </c>
      <c r="Q3476">
        <v>2</v>
      </c>
    </row>
    <row r="3477" spans="5:17" x14ac:dyDescent="0.2">
      <c r="E3477" s="9" t="s">
        <v>39</v>
      </c>
      <c r="K3477" t="str">
        <v xml:space="preserve">though
</v>
      </c>
      <c r="L3477" s="4" t="str">
        <f t="shared" si="64"/>
        <v xml:space="preserve">though </v>
      </c>
      <c r="N3477" s="4" cm="1">
        <f t="array" ref="N3477">SUM(--(_xlfn.TEXTSPLIT($J$3362,, " ") = M3477))</f>
        <v>2</v>
      </c>
      <c r="O3477">
        <v>2</v>
      </c>
      <c r="P3477">
        <v>0</v>
      </c>
      <c r="Q3477">
        <v>2</v>
      </c>
    </row>
    <row r="3478" spans="5:17" x14ac:dyDescent="0.2">
      <c r="E3478" s="9" t="s">
        <v>39</v>
      </c>
      <c r="K3478" t="str">
        <v>It</v>
      </c>
      <c r="L3478" s="4" t="str">
        <f t="shared" si="64"/>
        <v>It</v>
      </c>
      <c r="N3478" s="4" cm="1">
        <f t="array" ref="N3478">SUM(--(_xlfn.TEXTSPLIT($J$3362,, " ") = M3478))</f>
        <v>2</v>
      </c>
      <c r="O3478">
        <v>2</v>
      </c>
      <c r="P3478">
        <v>0</v>
      </c>
      <c r="Q3478">
        <v>2</v>
      </c>
    </row>
    <row r="3479" spans="5:17" x14ac:dyDescent="0.2">
      <c r="E3479" s="9" t="s">
        <v>39</v>
      </c>
      <c r="K3479" t="str">
        <v>looks</v>
      </c>
      <c r="L3479" s="4" t="str">
        <f t="shared" si="64"/>
        <v>looks</v>
      </c>
      <c r="N3479" s="4" cm="1">
        <f t="array" ref="N3479">SUM(--(_xlfn.TEXTSPLIT($J$3362,, " ") = M3479))</f>
        <v>2</v>
      </c>
      <c r="O3479">
        <v>2</v>
      </c>
      <c r="P3479">
        <v>0</v>
      </c>
      <c r="Q3479">
        <v>2</v>
      </c>
    </row>
    <row r="3480" spans="5:17" x14ac:dyDescent="0.2">
      <c r="E3480" s="9" t="s">
        <v>39</v>
      </c>
      <c r="K3480" t="str">
        <v>so</v>
      </c>
      <c r="L3480" s="4" t="str">
        <f t="shared" si="64"/>
        <v>so</v>
      </c>
      <c r="N3480" s="4" cm="1">
        <f t="array" ref="N3480">SUM(--(_xlfn.TEXTSPLIT($J$3362,, " ") = M3480))</f>
        <v>2</v>
      </c>
      <c r="O3480">
        <v>2</v>
      </c>
      <c r="P3480">
        <v>0</v>
      </c>
      <c r="Q3480">
        <v>2</v>
      </c>
    </row>
    <row r="3481" spans="5:17" x14ac:dyDescent="0.2">
      <c r="E3481" s="9" t="s">
        <v>39</v>
      </c>
      <c r="K3481" t="str">
        <v>much</v>
      </c>
      <c r="L3481" s="4" t="str">
        <f t="shared" si="64"/>
        <v>much</v>
      </c>
      <c r="N3481" s="4" cm="1">
        <f t="array" ref="N3481">SUM(--(_xlfn.TEXTSPLIT($J$3362,, " ") = M3481))</f>
        <v>2</v>
      </c>
      <c r="O3481">
        <v>2</v>
      </c>
      <c r="P3481">
        <v>0</v>
      </c>
      <c r="Q3481">
        <v>2</v>
      </c>
    </row>
    <row r="3482" spans="5:17" x14ac:dyDescent="0.2">
      <c r="E3482" s="9" t="s">
        <v>39</v>
      </c>
      <c r="K3482" t="str">
        <v>warmer</v>
      </c>
      <c r="L3482" s="4" t="str">
        <f t="shared" si="64"/>
        <v>warmer</v>
      </c>
      <c r="N3482" s="4" cm="1">
        <f t="array" ref="N3482">SUM(--(_xlfn.TEXTSPLIT($J$3362,, " ") = M3482))</f>
        <v>2</v>
      </c>
      <c r="O3482">
        <v>2</v>
      </c>
      <c r="P3482">
        <v>0</v>
      </c>
      <c r="Q3482">
        <v>2</v>
      </c>
    </row>
    <row r="3483" spans="5:17" x14ac:dyDescent="0.2">
      <c r="E3483" s="9" t="s">
        <v>39</v>
      </c>
      <c r="K3483" t="str">
        <v xml:space="preserve">there""
</v>
      </c>
      <c r="L3483" s="4" t="str">
        <f t="shared" si="64"/>
        <v xml:space="preserve">there   </v>
      </c>
      <c r="N3483" s="4" cm="1">
        <f t="array" ref="N3483">SUM(--(_xlfn.TEXTSPLIT($J$3362,, " ") = M3483))</f>
        <v>2</v>
      </c>
      <c r="O3483">
        <v>2</v>
      </c>
      <c r="P3483">
        <v>0</v>
      </c>
      <c r="Q3483">
        <v>2</v>
      </c>
    </row>
    <row r="3484" spans="5:17" x14ac:dyDescent="0.2">
      <c r="E3484" s="9" t="s">
        <v>39</v>
      </c>
      <c r="K3484" t="str">
        <v>And</v>
      </c>
      <c r="L3484" s="4" t="str">
        <f t="shared" si="64"/>
        <v>And</v>
      </c>
      <c r="N3484" s="4" cm="1">
        <f t="array" ref="N3484">SUM(--(_xlfn.TEXTSPLIT($J$3362,, " ") = M3484))</f>
        <v>2</v>
      </c>
      <c r="O3484">
        <v>2</v>
      </c>
      <c r="P3484">
        <v>0</v>
      </c>
      <c r="Q3484">
        <v>2</v>
      </c>
    </row>
    <row r="3485" spans="5:17" x14ac:dyDescent="0.2">
      <c r="E3485" s="9" t="s">
        <v>39</v>
      </c>
      <c r="K3485" t="str">
        <v>I</v>
      </c>
      <c r="L3485" s="4" t="str">
        <f t="shared" si="64"/>
        <v>I</v>
      </c>
      <c r="N3485" s="4" cm="1">
        <f t="array" ref="N3485">SUM(--(_xlfn.TEXTSPLIT($J$3362,, " ") = M3485))</f>
        <v>2</v>
      </c>
      <c r="O3485">
        <v>2</v>
      </c>
      <c r="P3485">
        <v>0</v>
      </c>
      <c r="Q3485">
        <v>2</v>
      </c>
    </row>
    <row r="3486" spans="5:17" x14ac:dyDescent="0.2">
      <c r="E3486" s="9" t="s">
        <v>39</v>
      </c>
      <c r="K3486" t="str">
        <v>should</v>
      </c>
      <c r="L3486" s="4" t="str">
        <f t="shared" si="64"/>
        <v>should</v>
      </c>
      <c r="N3486" s="4" cm="1">
        <f t="array" ref="N3486">SUM(--(_xlfn.TEXTSPLIT($J$3362,, " ") = M3486))</f>
        <v>2</v>
      </c>
      <c r="O3486">
        <v>2</v>
      </c>
      <c r="P3486">
        <v>0</v>
      </c>
      <c r="Q3486">
        <v>2</v>
      </c>
    </row>
    <row r="3487" spans="5:17" x14ac:dyDescent="0.2">
      <c r="E3487" s="9" t="s">
        <v>39</v>
      </c>
      <c r="K3487" t="str">
        <v>try</v>
      </c>
      <c r="L3487" s="4" t="str">
        <f t="shared" si="64"/>
        <v>try</v>
      </c>
      <c r="N3487" s="4" cm="1">
        <f t="array" ref="N3487">SUM(--(_xlfn.TEXTSPLIT($J$3362,, " ") = M3487))</f>
        <v>2</v>
      </c>
      <c r="O3487">
        <v>2</v>
      </c>
      <c r="P3487">
        <v>0</v>
      </c>
      <c r="Q3487">
        <v>2</v>
      </c>
    </row>
    <row r="3488" spans="5:17" x14ac:dyDescent="0.2">
      <c r="E3488" s="9" t="s">
        <v>39</v>
      </c>
      <c r="K3488" t="str">
        <v>Topo</v>
      </c>
      <c r="L3488" s="4" t="str">
        <f t="shared" si="64"/>
        <v>Topo</v>
      </c>
      <c r="N3488" s="4" cm="1">
        <f t="array" ref="N3488">SUM(--(_xlfn.TEXTSPLIT($J$3362,, " ") = M3488))</f>
        <v>2</v>
      </c>
      <c r="O3488">
        <v>2</v>
      </c>
      <c r="P3488">
        <v>0</v>
      </c>
      <c r="Q3488">
        <v>2</v>
      </c>
    </row>
    <row r="3489" spans="5:17" x14ac:dyDescent="0.2">
      <c r="E3489" s="9" t="s">
        <v>39</v>
      </c>
      <c r="K3489" t="str">
        <v xml:space="preserve">Chico
</v>
      </c>
      <c r="L3489" s="4" t="str">
        <f t="shared" si="64"/>
        <v xml:space="preserve">Chico </v>
      </c>
      <c r="N3489" s="4" cm="1">
        <f t="array" ref="N3489">SUM(--(_xlfn.TEXTSPLIT($J$3362,, " ") = M3489))</f>
        <v>2</v>
      </c>
      <c r="O3489">
        <v>2</v>
      </c>
      <c r="P3489">
        <v>0</v>
      </c>
      <c r="Q3489">
        <v>2</v>
      </c>
    </row>
    <row r="3490" spans="5:17" x14ac:dyDescent="0.2">
      <c r="E3490" s="9" t="s">
        <v>39</v>
      </c>
      <c r="K3490" t="str">
        <v>And</v>
      </c>
      <c r="L3490" s="4" t="str">
        <f t="shared" si="64"/>
        <v>And</v>
      </c>
      <c r="N3490" s="4" cm="1">
        <f t="array" ref="N3490">SUM(--(_xlfn.TEXTSPLIT($J$3362,, " ") = M3490))</f>
        <v>2</v>
      </c>
      <c r="O3490">
        <v>2</v>
      </c>
      <c r="P3490">
        <v>0</v>
      </c>
      <c r="Q3490">
        <v>2</v>
      </c>
    </row>
    <row r="3491" spans="5:17" x14ac:dyDescent="0.2">
      <c r="E3491" s="9" t="s">
        <v>39</v>
      </c>
      <c r="K3491" t="str">
        <v>get</v>
      </c>
      <c r="L3491" s="4" t="str">
        <f t="shared" ref="L3491:L3554" si="65">_xlfn.REGEXREPLACE(K3491, "[^A-Za-z ]", " ")</f>
        <v>get</v>
      </c>
      <c r="N3491" s="4" cm="1">
        <f t="array" ref="N3491">SUM(--(_xlfn.TEXTSPLIT($J$3362,, " ") = M3491))</f>
        <v>2</v>
      </c>
      <c r="O3491">
        <v>2</v>
      </c>
      <c r="P3491">
        <v>0</v>
      </c>
      <c r="Q3491">
        <v>2</v>
      </c>
    </row>
    <row r="3492" spans="5:17" x14ac:dyDescent="0.2">
      <c r="E3492" s="9" t="s">
        <v>39</v>
      </c>
      <c r="K3492" t="str">
        <v>some</v>
      </c>
      <c r="L3492" s="4" t="str">
        <f t="shared" si="65"/>
        <v>some</v>
      </c>
      <c r="N3492" s="4" cm="1">
        <f t="array" ref="N3492">SUM(--(_xlfn.TEXTSPLIT($J$3362,, " ") = M3492))</f>
        <v>2</v>
      </c>
      <c r="O3492">
        <v>2</v>
      </c>
      <c r="P3492">
        <v>0</v>
      </c>
      <c r="Q3492">
        <v>2</v>
      </c>
    </row>
    <row r="3493" spans="5:17" x14ac:dyDescent="0.2">
      <c r="E3493" s="9" t="s">
        <v>39</v>
      </c>
      <c r="K3493" t="str">
        <v>more</v>
      </c>
      <c r="L3493" s="4" t="str">
        <f t="shared" si="65"/>
        <v>more</v>
      </c>
      <c r="N3493" s="4" cm="1">
        <f t="array" ref="N3493">SUM(--(_xlfn.TEXTSPLIT($J$3362,, " ") = M3493))</f>
        <v>2</v>
      </c>
      <c r="O3493">
        <v>2</v>
      </c>
      <c r="P3493">
        <v>0</v>
      </c>
      <c r="Q3493">
        <v>2</v>
      </c>
    </row>
    <row r="3494" spans="5:17" x14ac:dyDescent="0.2">
      <c r="E3494" s="9" t="s">
        <v>39</v>
      </c>
      <c r="K3494" t="str">
        <v xml:space="preserve">sun
</v>
      </c>
      <c r="L3494" s="4" t="str">
        <f t="shared" si="65"/>
        <v xml:space="preserve">sun  </v>
      </c>
      <c r="N3494" s="4" cm="1">
        <f t="array" ref="N3494">SUM(--(_xlfn.TEXTSPLIT($J$3362,, " ") = M3494))</f>
        <v>2</v>
      </c>
      <c r="O3494">
        <v>2</v>
      </c>
      <c r="P3494">
        <v>0</v>
      </c>
      <c r="Q3494">
        <v>2</v>
      </c>
    </row>
    <row r="3495" spans="5:17" x14ac:dyDescent="0.2">
      <c r="E3495" s="9" t="s">
        <v>39</v>
      </c>
      <c r="K3495" t="str">
        <v>But</v>
      </c>
      <c r="L3495" s="4" t="str">
        <f t="shared" si="65"/>
        <v>But</v>
      </c>
      <c r="N3495" s="4" cm="1">
        <f t="array" ref="N3495">SUM(--(_xlfn.TEXTSPLIT($J$3362,, " ") = M3495))</f>
        <v>2</v>
      </c>
      <c r="O3495">
        <v>2</v>
      </c>
      <c r="P3495">
        <v>0</v>
      </c>
      <c r="Q3495">
        <v>2</v>
      </c>
    </row>
    <row r="3496" spans="5:17" x14ac:dyDescent="0.2">
      <c r="E3496" s="9" t="s">
        <v>39</v>
      </c>
      <c r="K3496" t="str">
        <v>you</v>
      </c>
      <c r="L3496" s="4" t="str">
        <f t="shared" si="65"/>
        <v>you</v>
      </c>
      <c r="N3496" s="4" cm="1">
        <f t="array" ref="N3496">SUM(--(_xlfn.TEXTSPLIT($J$3362,, " ") = M3496))</f>
        <v>2</v>
      </c>
      <c r="O3496">
        <v>2</v>
      </c>
      <c r="P3496">
        <v>0</v>
      </c>
      <c r="Q3496">
        <v>2</v>
      </c>
    </row>
    <row r="3497" spans="5:17" x14ac:dyDescent="0.2">
      <c r="E3497" s="9" t="s">
        <v>39</v>
      </c>
      <c r="K3497" t="str">
        <v>say</v>
      </c>
      <c r="L3497" s="4" t="str">
        <f t="shared" si="65"/>
        <v>say</v>
      </c>
      <c r="N3497" s="4" cm="1">
        <f t="array" ref="N3497">SUM(--(_xlfn.TEXTSPLIT($J$3362,, " ") = M3497))</f>
        <v>2</v>
      </c>
      <c r="O3497">
        <v>2</v>
      </c>
      <c r="P3497">
        <v>0</v>
      </c>
      <c r="Q3497">
        <v>2</v>
      </c>
    </row>
    <row r="3498" spans="5:17" x14ac:dyDescent="0.2">
      <c r="E3498" s="9" t="s">
        <v>39</v>
      </c>
      <c r="K3498" t="str">
        <v>with</v>
      </c>
      <c r="L3498" s="4" t="str">
        <f t="shared" si="65"/>
        <v>with</v>
      </c>
      <c r="N3498" s="4" cm="1">
        <f t="array" ref="N3498">SUM(--(_xlfn.TEXTSPLIT($J$3362,, " ") = M3498))</f>
        <v>2</v>
      </c>
      <c r="O3498">
        <v>2</v>
      </c>
      <c r="P3498">
        <v>0</v>
      </c>
      <c r="Q3498">
        <v>2</v>
      </c>
    </row>
    <row r="3499" spans="5:17" x14ac:dyDescent="0.2">
      <c r="E3499" s="9" t="s">
        <v>39</v>
      </c>
      <c r="K3499" t="str">
        <v>your</v>
      </c>
      <c r="L3499" s="4" t="str">
        <f t="shared" si="65"/>
        <v>your</v>
      </c>
      <c r="N3499" s="4" cm="1">
        <f t="array" ref="N3499">SUM(--(_xlfn.TEXTSPLIT($J$3362,, " ") = M3499))</f>
        <v>2</v>
      </c>
      <c r="O3499">
        <v>2</v>
      </c>
      <c r="P3499">
        <v>0</v>
      </c>
      <c r="Q3499">
        <v>2</v>
      </c>
    </row>
    <row r="3500" spans="5:17" x14ac:dyDescent="0.2">
      <c r="E3500" s="9" t="s">
        <v>39</v>
      </c>
      <c r="K3500" t="str">
        <v xml:space="preserve">face
</v>
      </c>
      <c r="L3500" s="4" t="str">
        <f t="shared" si="65"/>
        <v xml:space="preserve">face </v>
      </c>
      <c r="N3500" s="4" cm="1">
        <f t="array" ref="N3500">SUM(--(_xlfn.TEXTSPLIT($J$3362,, " ") = M3500))</f>
        <v>2</v>
      </c>
      <c r="O3500">
        <v>2</v>
      </c>
      <c r="P3500">
        <v>0</v>
      </c>
      <c r="Q3500">
        <v>2</v>
      </c>
    </row>
    <row r="3501" spans="5:17" x14ac:dyDescent="0.2">
      <c r="E3501" s="9" t="s">
        <v>39</v>
      </c>
      <c r="K3501" t="str">
        <v>Something</v>
      </c>
      <c r="L3501" s="4" t="str">
        <f t="shared" si="65"/>
        <v>Something</v>
      </c>
      <c r="N3501" s="4" cm="1">
        <f t="array" ref="N3501">SUM(--(_xlfn.TEXTSPLIT($J$3362,, " ") = M3501))</f>
        <v>2</v>
      </c>
      <c r="O3501">
        <v>2</v>
      </c>
      <c r="P3501">
        <v>0</v>
      </c>
      <c r="Q3501">
        <v>2</v>
      </c>
    </row>
    <row r="3502" spans="5:17" x14ac:dyDescent="0.2">
      <c r="E3502" s="9" t="s">
        <v>39</v>
      </c>
      <c r="K3502" t="str">
        <v>else</v>
      </c>
      <c r="L3502" s="4" t="str">
        <f t="shared" si="65"/>
        <v>else</v>
      </c>
      <c r="N3502" s="4" cm="1">
        <f t="array" ref="N3502">SUM(--(_xlfn.TEXTSPLIT($J$3362,, " ") = M3502))</f>
        <v>2</v>
      </c>
      <c r="O3502">
        <v>2</v>
      </c>
      <c r="P3502">
        <v>0</v>
      </c>
      <c r="Q3502">
        <v>2</v>
      </c>
    </row>
    <row r="3503" spans="5:17" x14ac:dyDescent="0.2">
      <c r="E3503" s="9" t="s">
        <v>39</v>
      </c>
      <c r="K3503" t="str">
        <v xml:space="preserve">altogether
</v>
      </c>
      <c r="L3503" s="4" t="str">
        <f t="shared" si="65"/>
        <v xml:space="preserve">altogether  </v>
      </c>
      <c r="N3503" s="4" cm="1">
        <f t="array" ref="N3503">SUM(--(_xlfn.TEXTSPLIT($J$3362,, " ") = M3503))</f>
        <v>2</v>
      </c>
      <c r="O3503">
        <v>2</v>
      </c>
      <c r="P3503">
        <v>0</v>
      </c>
      <c r="Q3503">
        <v>2</v>
      </c>
    </row>
    <row r="3504" spans="5:17" x14ac:dyDescent="0.2">
      <c r="E3504" s="9" t="s">
        <v>39</v>
      </c>
      <c r="K3504" t="str">
        <v>My</v>
      </c>
      <c r="L3504" s="4" t="str">
        <f t="shared" si="65"/>
        <v>My</v>
      </c>
      <c r="N3504" s="4" cm="1">
        <f t="array" ref="N3504">SUM(--(_xlfn.TEXTSPLIT($J$3362,, " ") = M3504))</f>
        <v>2</v>
      </c>
      <c r="O3504">
        <v>2</v>
      </c>
      <c r="P3504">
        <v>0</v>
      </c>
      <c r="Q3504">
        <v>2</v>
      </c>
    </row>
    <row r="3505" spans="5:17" x14ac:dyDescent="0.2">
      <c r="E3505" s="9" t="s">
        <v>39</v>
      </c>
      <c r="K3505" t="str">
        <v>days</v>
      </c>
      <c r="L3505" s="4" t="str">
        <f t="shared" si="65"/>
        <v>days</v>
      </c>
      <c r="N3505" s="4" cm="1">
        <f t="array" ref="N3505">SUM(--(_xlfn.TEXTSPLIT($J$3362,, " ") = M3505))</f>
        <v>2</v>
      </c>
      <c r="O3505">
        <v>2</v>
      </c>
      <c r="P3505">
        <v>0</v>
      </c>
      <c r="Q3505">
        <v>2</v>
      </c>
    </row>
    <row r="3506" spans="5:17" x14ac:dyDescent="0.2">
      <c r="E3506" s="9" t="s">
        <v>39</v>
      </c>
      <c r="K3506" t="str">
        <v>lie</v>
      </c>
      <c r="L3506" s="4" t="str">
        <f t="shared" si="65"/>
        <v>lie</v>
      </c>
      <c r="N3506" s="4" cm="1">
        <f t="array" ref="N3506">SUM(--(_xlfn.TEXTSPLIT($J$3362,, " ") = M3506))</f>
        <v>2</v>
      </c>
      <c r="O3506">
        <v>2</v>
      </c>
      <c r="P3506">
        <v>0</v>
      </c>
      <c r="Q3506">
        <v>2</v>
      </c>
    </row>
    <row r="3507" spans="5:17" x14ac:dyDescent="0.2">
      <c r="E3507" s="9" t="s">
        <v>39</v>
      </c>
      <c r="K3507" t="str">
        <v xml:space="preserve">dormant
</v>
      </c>
      <c r="L3507" s="4" t="str">
        <f t="shared" si="65"/>
        <v xml:space="preserve">dormant </v>
      </c>
      <c r="N3507" s="4" cm="1">
        <f t="array" ref="N3507">SUM(--(_xlfn.TEXTSPLIT($J$3362,, " ") = M3507))</f>
        <v>2</v>
      </c>
      <c r="O3507">
        <v>2</v>
      </c>
      <c r="P3507">
        <v>0</v>
      </c>
      <c r="Q3507">
        <v>2</v>
      </c>
    </row>
    <row r="3508" spans="5:17" x14ac:dyDescent="0.2">
      <c r="E3508" s="9" t="s">
        <v>39</v>
      </c>
      <c r="K3508" t="str">
        <v>'Cause</v>
      </c>
      <c r="L3508" s="4" t="str">
        <f t="shared" si="65"/>
        <v xml:space="preserve"> Cause</v>
      </c>
      <c r="N3508" s="4" cm="1">
        <f t="array" ref="N3508">SUM(--(_xlfn.TEXTSPLIT($J$3362,, " ") = M3508))</f>
        <v>2</v>
      </c>
      <c r="O3508">
        <v>2</v>
      </c>
      <c r="P3508">
        <v>0</v>
      </c>
      <c r="Q3508">
        <v>2</v>
      </c>
    </row>
    <row r="3509" spans="5:17" x14ac:dyDescent="0.2">
      <c r="E3509" s="9" t="s">
        <v>39</v>
      </c>
      <c r="K3509" t="str">
        <v>I</v>
      </c>
      <c r="L3509" s="4" t="str">
        <f t="shared" si="65"/>
        <v>I</v>
      </c>
      <c r="N3509" s="4" cm="1">
        <f t="array" ref="N3509">SUM(--(_xlfn.TEXTSPLIT($J$3362,, " ") = M3509))</f>
        <v>2</v>
      </c>
      <c r="O3509">
        <v>2</v>
      </c>
      <c r="P3509">
        <v>0</v>
      </c>
      <c r="Q3509">
        <v>2</v>
      </c>
    </row>
    <row r="3510" spans="5:17" x14ac:dyDescent="0.2">
      <c r="E3510" s="9" t="s">
        <v>39</v>
      </c>
      <c r="K3510" t="str">
        <v>just</v>
      </c>
      <c r="L3510" s="4" t="str">
        <f t="shared" si="65"/>
        <v>just</v>
      </c>
      <c r="N3510" s="4" cm="1">
        <f t="array" ref="N3510">SUM(--(_xlfn.TEXTSPLIT($J$3362,, " ") = M3510))</f>
        <v>2</v>
      </c>
      <c r="O3510">
        <v>2</v>
      </c>
      <c r="P3510">
        <v>0</v>
      </c>
      <c r="Q3510">
        <v>2</v>
      </c>
    </row>
    <row r="3511" spans="5:17" x14ac:dyDescent="0.2">
      <c r="E3511" s="9" t="s">
        <v>39</v>
      </c>
      <c r="K3511" t="str">
        <v>can't</v>
      </c>
      <c r="L3511" s="4" t="str">
        <f t="shared" si="65"/>
        <v>can t</v>
      </c>
      <c r="N3511" s="4" cm="1">
        <f t="array" ref="N3511">SUM(--(_xlfn.TEXTSPLIT($J$3362,, " ") = M3511))</f>
        <v>2</v>
      </c>
      <c r="O3511">
        <v>2</v>
      </c>
      <c r="P3511">
        <v>0</v>
      </c>
      <c r="Q3511">
        <v>2</v>
      </c>
    </row>
    <row r="3512" spans="5:17" x14ac:dyDescent="0.2">
      <c r="E3512" s="9" t="s">
        <v>39</v>
      </c>
      <c r="K3512" t="str">
        <v>afford</v>
      </c>
      <c r="L3512" s="4" t="str">
        <f t="shared" si="65"/>
        <v>afford</v>
      </c>
      <c r="N3512" s="4" cm="1">
        <f t="array" ref="N3512">SUM(--(_xlfn.TEXTSPLIT($J$3362,, " ") = M3512))</f>
        <v>2</v>
      </c>
      <c r="O3512">
        <v>2</v>
      </c>
      <c r="P3512">
        <v>0</v>
      </c>
      <c r="Q3512">
        <v>2</v>
      </c>
    </row>
    <row r="3513" spans="5:17" x14ac:dyDescent="0.2">
      <c r="E3513" s="9" t="s">
        <v>39</v>
      </c>
      <c r="K3513" t="str">
        <v xml:space="preserve">it
</v>
      </c>
      <c r="L3513" s="4" t="str">
        <f t="shared" si="65"/>
        <v xml:space="preserve">it </v>
      </c>
      <c r="N3513" s="4" cm="1">
        <f t="array" ref="N3513">SUM(--(_xlfn.TEXTSPLIT($J$3362,, " ") = M3513))</f>
        <v>2</v>
      </c>
      <c r="O3513">
        <v>2</v>
      </c>
      <c r="P3513">
        <v>0</v>
      </c>
      <c r="Q3513">
        <v>2</v>
      </c>
    </row>
    <row r="3514" spans="5:17" x14ac:dyDescent="0.2">
      <c r="E3514" s="9" t="s">
        <v>39</v>
      </c>
      <c r="K3514" t="str">
        <v>To</v>
      </c>
      <c r="L3514" s="4" t="str">
        <f t="shared" si="65"/>
        <v>To</v>
      </c>
      <c r="N3514" s="4" cm="1">
        <f t="array" ref="N3514">SUM(--(_xlfn.TEXTSPLIT($J$3362,, " ") = M3514))</f>
        <v>2</v>
      </c>
      <c r="O3514">
        <v>2</v>
      </c>
      <c r="P3514">
        <v>0</v>
      </c>
      <c r="Q3514">
        <v>2</v>
      </c>
    </row>
    <row r="3515" spans="5:17" x14ac:dyDescent="0.2">
      <c r="E3515" s="9" t="s">
        <v>39</v>
      </c>
      <c r="K3515" t="str">
        <v>waste</v>
      </c>
      <c r="L3515" s="4" t="str">
        <f t="shared" si="65"/>
        <v>waste</v>
      </c>
      <c r="N3515" s="4" cm="1">
        <f t="array" ref="N3515">SUM(--(_xlfn.TEXTSPLIT($J$3362,, " ") = M3515))</f>
        <v>2</v>
      </c>
      <c r="O3515">
        <v>2</v>
      </c>
      <c r="P3515">
        <v>0</v>
      </c>
      <c r="Q3515">
        <v>2</v>
      </c>
    </row>
    <row r="3516" spans="5:17" x14ac:dyDescent="0.2">
      <c r="E3516" s="9" t="s">
        <v>39</v>
      </c>
      <c r="K3516" t="str">
        <v>time</v>
      </c>
      <c r="L3516" s="4" t="str">
        <f t="shared" si="65"/>
        <v>time</v>
      </c>
      <c r="N3516" s="4" cm="1">
        <f t="array" ref="N3516">SUM(--(_xlfn.TEXTSPLIT($J$3362,, " ") = M3516))</f>
        <v>2</v>
      </c>
      <c r="O3516">
        <v>2</v>
      </c>
      <c r="P3516">
        <v>0</v>
      </c>
      <c r="Q3516">
        <v>2</v>
      </c>
    </row>
    <row r="3517" spans="5:17" x14ac:dyDescent="0.2">
      <c r="E3517" s="9" t="s">
        <v>39</v>
      </c>
      <c r="K3517" t="str">
        <v>in</v>
      </c>
      <c r="L3517" s="4" t="str">
        <f t="shared" si="65"/>
        <v>in</v>
      </c>
      <c r="N3517" s="4" cm="1">
        <f t="array" ref="N3517">SUM(--(_xlfn.TEXTSPLIT($J$3362,, " ") = M3517))</f>
        <v>2</v>
      </c>
      <c r="O3517">
        <v>2</v>
      </c>
      <c r="P3517">
        <v>0</v>
      </c>
      <c r="Q3517">
        <v>2</v>
      </c>
    </row>
    <row r="3518" spans="5:17" x14ac:dyDescent="0.2">
      <c r="E3518" s="9" t="s">
        <v>39</v>
      </c>
      <c r="K3518" t="str">
        <v>a</v>
      </c>
      <c r="L3518" s="4" t="str">
        <f t="shared" si="65"/>
        <v>a</v>
      </c>
      <c r="N3518" s="4" cm="1">
        <f t="array" ref="N3518">SUM(--(_xlfn.TEXTSPLIT($J$3362,, " ") = M3518))</f>
        <v>2</v>
      </c>
      <c r="O3518">
        <v>2</v>
      </c>
      <c r="P3518">
        <v>0</v>
      </c>
      <c r="Q3518">
        <v>2</v>
      </c>
    </row>
    <row r="3519" spans="5:17" x14ac:dyDescent="0.2">
      <c r="E3519" s="9" t="s">
        <v>39</v>
      </c>
      <c r="K3519" t="str">
        <v xml:space="preserve">city
</v>
      </c>
      <c r="L3519" s="4" t="str">
        <f t="shared" si="65"/>
        <v xml:space="preserve">city </v>
      </c>
      <c r="N3519" s="4" cm="1">
        <f t="array" ref="N3519">SUM(--(_xlfn.TEXTSPLIT($J$3362,, " ") = M3519))</f>
        <v>2</v>
      </c>
      <c r="O3519">
        <v>2</v>
      </c>
      <c r="P3519">
        <v>0</v>
      </c>
      <c r="Q3519">
        <v>2</v>
      </c>
    </row>
    <row r="3520" spans="5:17" x14ac:dyDescent="0.2">
      <c r="E3520" s="9" t="s">
        <v>39</v>
      </c>
      <c r="K3520" t="str">
        <v>Where</v>
      </c>
      <c r="L3520" s="4" t="str">
        <f t="shared" si="65"/>
        <v>Where</v>
      </c>
      <c r="N3520" s="4" cm="1">
        <f t="array" ref="N3520">SUM(--(_xlfn.TEXTSPLIT($J$3362,, " ") = M3520))</f>
        <v>2</v>
      </c>
      <c r="O3520">
        <v>2</v>
      </c>
      <c r="P3520">
        <v>0</v>
      </c>
      <c r="Q3520">
        <v>2</v>
      </c>
    </row>
    <row r="3521" spans="5:17" x14ac:dyDescent="0.2">
      <c r="E3521" s="9" t="s">
        <v>39</v>
      </c>
      <c r="K3521" t="str">
        <v>no</v>
      </c>
      <c r="L3521" s="4" t="str">
        <f t="shared" si="65"/>
        <v>no</v>
      </c>
      <c r="N3521" s="4" cm="1">
        <f t="array" ref="N3521">SUM(--(_xlfn.TEXTSPLIT($J$3362,, " ") = M3521))</f>
        <v>2</v>
      </c>
      <c r="O3521">
        <v>2</v>
      </c>
      <c r="P3521">
        <v>0</v>
      </c>
      <c r="Q3521">
        <v>2</v>
      </c>
    </row>
    <row r="3522" spans="5:17" x14ac:dyDescent="0.2">
      <c r="E3522" s="9" t="s">
        <v>39</v>
      </c>
      <c r="K3522" t="str">
        <v>one</v>
      </c>
      <c r="L3522" s="4" t="str">
        <f t="shared" si="65"/>
        <v>one</v>
      </c>
      <c r="N3522" s="4" cm="1">
        <f t="array" ref="N3522">SUM(--(_xlfn.TEXTSPLIT($J$3362,, " ") = M3522))</f>
        <v>2</v>
      </c>
      <c r="O3522">
        <v>2</v>
      </c>
      <c r="P3522">
        <v>0</v>
      </c>
      <c r="Q3522">
        <v>2</v>
      </c>
    </row>
    <row r="3523" spans="5:17" x14ac:dyDescent="0.2">
      <c r="E3523" s="9" t="s">
        <v>39</v>
      </c>
      <c r="K3523" t="str">
        <v>knows</v>
      </c>
      <c r="L3523" s="4" t="str">
        <f t="shared" si="65"/>
        <v>knows</v>
      </c>
      <c r="N3523" s="4" cm="1">
        <f t="array" ref="N3523">SUM(--(_xlfn.TEXTSPLIT($J$3362,, " ") = M3523))</f>
        <v>2</v>
      </c>
      <c r="O3523">
        <v>2</v>
      </c>
      <c r="P3523">
        <v>0</v>
      </c>
      <c r="Q3523">
        <v>2</v>
      </c>
    </row>
    <row r="3524" spans="5:17" x14ac:dyDescent="0.2">
      <c r="E3524" s="9" t="s">
        <v>39</v>
      </c>
      <c r="K3524" t="str">
        <v>your</v>
      </c>
      <c r="L3524" s="4" t="str">
        <f t="shared" si="65"/>
        <v>your</v>
      </c>
      <c r="N3524" s="4" cm="1">
        <f t="array" ref="N3524">SUM(--(_xlfn.TEXTSPLIT($J$3362,, " ") = M3524))</f>
        <v>2</v>
      </c>
      <c r="O3524">
        <v>2</v>
      </c>
      <c r="P3524">
        <v>0</v>
      </c>
      <c r="Q3524">
        <v>2</v>
      </c>
    </row>
    <row r="3525" spans="5:17" x14ac:dyDescent="0.2">
      <c r="E3525" s="9" t="s">
        <v>39</v>
      </c>
      <c r="K3525" t="str">
        <v xml:space="preserve">name
</v>
      </c>
      <c r="L3525" s="4" t="str">
        <f t="shared" si="65"/>
        <v xml:space="preserve">name </v>
      </c>
      <c r="N3525" s="4" cm="1">
        <f t="array" ref="N3525">SUM(--(_xlfn.TEXTSPLIT($J$3362,, " ") = M3525))</f>
        <v>2</v>
      </c>
      <c r="O3525">
        <v>2</v>
      </c>
      <c r="P3525">
        <v>0</v>
      </c>
      <c r="Q3525">
        <v>2</v>
      </c>
    </row>
    <row r="3526" spans="5:17" x14ac:dyDescent="0.2">
      <c r="E3526" s="9" t="s">
        <v>39</v>
      </c>
      <c r="K3526" t="str">
        <v>My</v>
      </c>
      <c r="L3526" s="4" t="str">
        <f t="shared" si="65"/>
        <v>My</v>
      </c>
      <c r="N3526" s="4" cm="1">
        <f t="array" ref="N3526">SUM(--(_xlfn.TEXTSPLIT($J$3362,, " ") = M3526))</f>
        <v>2</v>
      </c>
      <c r="O3526">
        <v>2</v>
      </c>
      <c r="P3526">
        <v>0</v>
      </c>
      <c r="Q3526">
        <v>2</v>
      </c>
    </row>
    <row r="3527" spans="5:17" x14ac:dyDescent="0.2">
      <c r="E3527" s="9" t="s">
        <v>39</v>
      </c>
      <c r="K3527" t="str">
        <v>days</v>
      </c>
      <c r="L3527" s="4" t="str">
        <f t="shared" si="65"/>
        <v>days</v>
      </c>
      <c r="N3527" s="4" cm="1">
        <f t="array" ref="N3527">SUM(--(_xlfn.TEXTSPLIT($J$3362,, " ") = M3527))</f>
        <v>2</v>
      </c>
      <c r="O3527">
        <v>2</v>
      </c>
      <c r="P3527">
        <v>0</v>
      </c>
      <c r="Q3527">
        <v>2</v>
      </c>
    </row>
    <row r="3528" spans="5:17" x14ac:dyDescent="0.2">
      <c r="E3528" s="9" t="s">
        <v>39</v>
      </c>
      <c r="K3528" t="str">
        <v>lie</v>
      </c>
      <c r="L3528" s="4" t="str">
        <f t="shared" si="65"/>
        <v>lie</v>
      </c>
      <c r="N3528" s="4" cm="1">
        <f t="array" ref="N3528">SUM(--(_xlfn.TEXTSPLIT($J$3362,, " ") = M3528))</f>
        <v>2</v>
      </c>
      <c r="O3528">
        <v>2</v>
      </c>
      <c r="P3528">
        <v>0</v>
      </c>
      <c r="Q3528">
        <v>2</v>
      </c>
    </row>
    <row r="3529" spans="5:17" x14ac:dyDescent="0.2">
      <c r="E3529" s="9" t="s">
        <v>39</v>
      </c>
      <c r="K3529" t="str">
        <v xml:space="preserve">dormant
</v>
      </c>
      <c r="L3529" s="4" t="str">
        <f t="shared" si="65"/>
        <v xml:space="preserve">dormant </v>
      </c>
      <c r="N3529" s="4" cm="1">
        <f t="array" ref="N3529">SUM(--(_xlfn.TEXTSPLIT($J$3362,, " ") = M3529))</f>
        <v>2</v>
      </c>
      <c r="O3529">
        <v>2</v>
      </c>
      <c r="P3529">
        <v>0</v>
      </c>
      <c r="Q3529">
        <v>2</v>
      </c>
    </row>
    <row r="3530" spans="5:17" x14ac:dyDescent="0.2">
      <c r="E3530" s="9" t="s">
        <v>39</v>
      </c>
      <c r="K3530" t="str">
        <v>'Cause</v>
      </c>
      <c r="L3530" s="4" t="str">
        <f t="shared" si="65"/>
        <v xml:space="preserve"> Cause</v>
      </c>
      <c r="N3530" s="4" cm="1">
        <f t="array" ref="N3530">SUM(--(_xlfn.TEXTSPLIT($J$3362,, " ") = M3530))</f>
        <v>2</v>
      </c>
      <c r="O3530">
        <v>2</v>
      </c>
      <c r="P3530">
        <v>0</v>
      </c>
      <c r="Q3530">
        <v>2</v>
      </c>
    </row>
    <row r="3531" spans="5:17" x14ac:dyDescent="0.2">
      <c r="E3531" s="9" t="s">
        <v>39</v>
      </c>
      <c r="K3531" t="str">
        <v>I</v>
      </c>
      <c r="L3531" s="4" t="str">
        <f t="shared" si="65"/>
        <v>I</v>
      </c>
      <c r="N3531" s="4" cm="1">
        <f t="array" ref="N3531">SUM(--(_xlfn.TEXTSPLIT($J$3362,, " ") = M3531))</f>
        <v>2</v>
      </c>
      <c r="O3531">
        <v>2</v>
      </c>
      <c r="P3531">
        <v>0</v>
      </c>
      <c r="Q3531">
        <v>2</v>
      </c>
    </row>
    <row r="3532" spans="5:17" x14ac:dyDescent="0.2">
      <c r="E3532" s="9" t="s">
        <v>39</v>
      </c>
      <c r="K3532" t="str">
        <v>just</v>
      </c>
      <c r="L3532" s="4" t="str">
        <f t="shared" si="65"/>
        <v>just</v>
      </c>
      <c r="N3532" s="4" cm="1">
        <f t="array" ref="N3532">SUM(--(_xlfn.TEXTSPLIT($J$3362,, " ") = M3532))</f>
        <v>2</v>
      </c>
      <c r="O3532">
        <v>2</v>
      </c>
      <c r="P3532">
        <v>0</v>
      </c>
      <c r="Q3532">
        <v>2</v>
      </c>
    </row>
    <row r="3533" spans="5:17" x14ac:dyDescent="0.2">
      <c r="E3533" s="9" t="s">
        <v>39</v>
      </c>
      <c r="K3533" t="str">
        <v>can't</v>
      </c>
      <c r="L3533" s="4" t="str">
        <f t="shared" si="65"/>
        <v>can t</v>
      </c>
      <c r="N3533" s="4" cm="1">
        <f t="array" ref="N3533">SUM(--(_xlfn.TEXTSPLIT($J$3362,, " ") = M3533))</f>
        <v>2</v>
      </c>
      <c r="O3533">
        <v>2</v>
      </c>
      <c r="P3533">
        <v>0</v>
      </c>
      <c r="Q3533">
        <v>2</v>
      </c>
    </row>
    <row r="3534" spans="5:17" x14ac:dyDescent="0.2">
      <c r="E3534" s="9" t="s">
        <v>39</v>
      </c>
      <c r="K3534" t="str">
        <v>afford</v>
      </c>
      <c r="L3534" s="4" t="str">
        <f t="shared" si="65"/>
        <v>afford</v>
      </c>
      <c r="N3534" s="4" cm="1">
        <f t="array" ref="N3534">SUM(--(_xlfn.TEXTSPLIT($J$3362,, " ") = M3534))</f>
        <v>2</v>
      </c>
      <c r="O3534">
        <v>2</v>
      </c>
      <c r="P3534">
        <v>0</v>
      </c>
      <c r="Q3534">
        <v>2</v>
      </c>
    </row>
    <row r="3535" spans="5:17" x14ac:dyDescent="0.2">
      <c r="E3535" s="9" t="s">
        <v>39</v>
      </c>
      <c r="K3535" t="str">
        <v xml:space="preserve">it
</v>
      </c>
      <c r="L3535" s="4" t="str">
        <f t="shared" si="65"/>
        <v xml:space="preserve">it </v>
      </c>
      <c r="N3535" s="4" cm="1">
        <f t="array" ref="N3535">SUM(--(_xlfn.TEXTSPLIT($J$3362,, " ") = M3535))</f>
        <v>2</v>
      </c>
      <c r="O3535">
        <v>2</v>
      </c>
      <c r="P3535">
        <v>0</v>
      </c>
      <c r="Q3535">
        <v>2</v>
      </c>
    </row>
    <row r="3536" spans="5:17" x14ac:dyDescent="0.2">
      <c r="E3536" s="9" t="s">
        <v>39</v>
      </c>
      <c r="K3536" t="str">
        <v>To</v>
      </c>
      <c r="L3536" s="4" t="str">
        <f t="shared" si="65"/>
        <v>To</v>
      </c>
      <c r="N3536" s="4" cm="1">
        <f t="array" ref="N3536">SUM(--(_xlfn.TEXTSPLIT($J$3362,, " ") = M3536))</f>
        <v>2</v>
      </c>
      <c r="O3536">
        <v>2</v>
      </c>
      <c r="P3536">
        <v>0</v>
      </c>
      <c r="Q3536">
        <v>2</v>
      </c>
    </row>
    <row r="3537" spans="5:17" x14ac:dyDescent="0.2">
      <c r="E3537" s="9" t="s">
        <v>39</v>
      </c>
      <c r="K3537" t="str">
        <v>waste</v>
      </c>
      <c r="L3537" s="4" t="str">
        <f t="shared" si="65"/>
        <v>waste</v>
      </c>
      <c r="N3537" s="4" cm="1">
        <f t="array" ref="N3537">SUM(--(_xlfn.TEXTSPLIT($J$3362,, " ") = M3537))</f>
        <v>2</v>
      </c>
      <c r="O3537">
        <v>2</v>
      </c>
      <c r="P3537">
        <v>0</v>
      </c>
      <c r="Q3537">
        <v>2</v>
      </c>
    </row>
    <row r="3538" spans="5:17" x14ac:dyDescent="0.2">
      <c r="E3538" s="9" t="s">
        <v>39</v>
      </c>
      <c r="K3538" t="str">
        <v>my</v>
      </c>
      <c r="L3538" s="4" t="str">
        <f t="shared" si="65"/>
        <v>my</v>
      </c>
      <c r="N3538" s="4" cm="1">
        <f t="array" ref="N3538">SUM(--(_xlfn.TEXTSPLIT($J$3362,, " ") = M3538))</f>
        <v>2</v>
      </c>
      <c r="O3538">
        <v>2</v>
      </c>
      <c r="P3538">
        <v>0</v>
      </c>
      <c r="Q3538">
        <v>2</v>
      </c>
    </row>
    <row r="3539" spans="5:17" x14ac:dyDescent="0.2">
      <c r="E3539" s="9" t="s">
        <v>39</v>
      </c>
      <c r="K3539" t="str">
        <v>time</v>
      </c>
      <c r="L3539" s="4" t="str">
        <f t="shared" si="65"/>
        <v>time</v>
      </c>
      <c r="N3539" s="4" cm="1">
        <f t="array" ref="N3539">SUM(--(_xlfn.TEXTSPLIT($J$3362,, " ") = M3539))</f>
        <v>2</v>
      </c>
      <c r="O3539">
        <v>2</v>
      </c>
      <c r="P3539">
        <v>0</v>
      </c>
      <c r="Q3539">
        <v>2</v>
      </c>
    </row>
    <row r="3540" spans="5:17" x14ac:dyDescent="0.2">
      <c r="E3540" s="9" t="s">
        <v>39</v>
      </c>
      <c r="K3540" t="str">
        <v>inside</v>
      </c>
      <c r="L3540" s="4" t="str">
        <f t="shared" si="65"/>
        <v>inside</v>
      </c>
      <c r="N3540" s="4" cm="1">
        <f t="array" ref="N3540">SUM(--(_xlfn.TEXTSPLIT($J$3362,, " ") = M3540))</f>
        <v>2</v>
      </c>
      <c r="O3540">
        <v>2</v>
      </c>
      <c r="P3540">
        <v>0</v>
      </c>
      <c r="Q3540">
        <v>2</v>
      </c>
    </row>
    <row r="3541" spans="5:17" x14ac:dyDescent="0.2">
      <c r="E3541" s="9" t="s">
        <v>39</v>
      </c>
      <c r="K3541" t="str">
        <v>a</v>
      </c>
      <c r="L3541" s="4" t="str">
        <f t="shared" si="65"/>
        <v>a</v>
      </c>
      <c r="N3541" s="4" cm="1">
        <f t="array" ref="N3541">SUM(--(_xlfn.TEXTSPLIT($J$3362,, " ") = M3541))</f>
        <v>2</v>
      </c>
      <c r="O3541">
        <v>2</v>
      </c>
      <c r="P3541">
        <v>0</v>
      </c>
      <c r="Q3541">
        <v>2</v>
      </c>
    </row>
    <row r="3542" spans="5:17" x14ac:dyDescent="0.2">
      <c r="E3542" s="9" t="s">
        <v>39</v>
      </c>
      <c r="K3542" t="str">
        <v>place</v>
      </c>
      <c r="L3542" s="4" t="str">
        <f t="shared" si="65"/>
        <v>place</v>
      </c>
      <c r="N3542" s="4" cm="1">
        <f t="array" ref="N3542">SUM(--(_xlfn.TEXTSPLIT($J$3362,, " ") = M3542))</f>
        <v>2</v>
      </c>
      <c r="O3542">
        <v>2</v>
      </c>
      <c r="P3542">
        <v>0</v>
      </c>
      <c r="Q3542">
        <v>2</v>
      </c>
    </row>
    <row r="3543" spans="5:17" x14ac:dyDescent="0.2">
      <c r="E3543" s="9" t="s">
        <v>39</v>
      </c>
      <c r="K3543" t="str">
        <v>you're</v>
      </c>
      <c r="L3543" s="4" t="str">
        <f t="shared" si="65"/>
        <v>you re</v>
      </c>
      <c r="N3543" s="4" cm="1">
        <f t="array" ref="N3543">SUM(--(_xlfn.TEXTSPLIT($J$3362,, " ") = M3543))</f>
        <v>2</v>
      </c>
      <c r="O3543">
        <v>2</v>
      </c>
      <c r="P3543">
        <v>0</v>
      </c>
      <c r="Q3543">
        <v>2</v>
      </c>
    </row>
    <row r="3544" spans="5:17" x14ac:dyDescent="0.2">
      <c r="E3544" s="9" t="s">
        <v>39</v>
      </c>
      <c r="K3544" t="str">
        <v xml:space="preserve">not
</v>
      </c>
      <c r="L3544" s="4" t="str">
        <f t="shared" si="65"/>
        <v xml:space="preserve">not </v>
      </c>
      <c r="N3544" s="4" cm="1">
        <f t="array" ref="N3544">SUM(--(_xlfn.TEXTSPLIT($J$3362,, " ") = M3544))</f>
        <v>2</v>
      </c>
      <c r="O3544">
        <v>2</v>
      </c>
      <c r="P3544">
        <v>0</v>
      </c>
      <c r="Q3544">
        <v>2</v>
      </c>
    </row>
    <row r="3545" spans="5:17" x14ac:dyDescent="0.2">
      <c r="E3545" s="9" t="s">
        <v>39</v>
      </c>
      <c r="K3545" t="str">
        <v>Don't</v>
      </c>
      <c r="L3545" s="4" t="str">
        <f t="shared" si="65"/>
        <v>Don t</v>
      </c>
      <c r="N3545" s="4" cm="1">
        <f t="array" ref="N3545">SUM(--(_xlfn.TEXTSPLIT($J$3362,, " ") = M3545))</f>
        <v>2</v>
      </c>
      <c r="O3545">
        <v>2</v>
      </c>
      <c r="P3545">
        <v>0</v>
      </c>
      <c r="Q3545">
        <v>2</v>
      </c>
    </row>
    <row r="3546" spans="5:17" x14ac:dyDescent="0.2">
      <c r="E3546" s="9" t="s">
        <v>39</v>
      </c>
      <c r="K3546" t="str">
        <v>make</v>
      </c>
      <c r="L3546" s="4" t="str">
        <f t="shared" si="65"/>
        <v>make</v>
      </c>
      <c r="N3546" s="4" cm="1">
        <f t="array" ref="N3546">SUM(--(_xlfn.TEXTSPLIT($J$3362,, " ") = M3546))</f>
        <v>2</v>
      </c>
      <c r="O3546">
        <v>2</v>
      </c>
      <c r="P3546">
        <v>0</v>
      </c>
      <c r="Q3546">
        <v>2</v>
      </c>
    </row>
    <row r="3547" spans="5:17" x14ac:dyDescent="0.2">
      <c r="E3547" s="9" t="s">
        <v>39</v>
      </c>
      <c r="K3547" t="str">
        <v>me</v>
      </c>
      <c r="L3547" s="4" t="str">
        <f t="shared" si="65"/>
        <v>me</v>
      </c>
      <c r="N3547" s="4" cm="1">
        <f t="array" ref="N3547">SUM(--(_xlfn.TEXTSPLIT($J$3362,, " ") = M3547))</f>
        <v>2</v>
      </c>
      <c r="O3547">
        <v>2</v>
      </c>
      <c r="P3547">
        <v>0</v>
      </c>
      <c r="Q3547">
        <v>2</v>
      </c>
    </row>
    <row r="3548" spans="5:17" x14ac:dyDescent="0.2">
      <c r="E3548" s="9" t="s">
        <v>39</v>
      </c>
      <c r="K3548" t="str">
        <v>waste</v>
      </c>
      <c r="L3548" s="4" t="str">
        <f t="shared" si="65"/>
        <v>waste</v>
      </c>
      <c r="N3548" s="4" cm="1">
        <f t="array" ref="N3548">SUM(--(_xlfn.TEXTSPLIT($J$3362,, " ") = M3548))</f>
        <v>2</v>
      </c>
      <c r="O3548">
        <v>2</v>
      </c>
      <c r="P3548">
        <v>0</v>
      </c>
      <c r="Q3548">
        <v>2</v>
      </c>
    </row>
    <row r="3549" spans="5:17" x14ac:dyDescent="0.2">
      <c r="E3549" s="9" t="s">
        <v>39</v>
      </c>
      <c r="K3549" t="str">
        <v>my</v>
      </c>
      <c r="L3549" s="4" t="str">
        <f t="shared" si="65"/>
        <v>my</v>
      </c>
      <c r="N3549" s="4" cm="1">
        <f t="array" ref="N3549">SUM(--(_xlfn.TEXTSPLIT($J$3362,, " ") = M3549))</f>
        <v>2</v>
      </c>
      <c r="O3549">
        <v>2</v>
      </c>
      <c r="P3549">
        <v>0</v>
      </c>
      <c r="Q3549">
        <v>2</v>
      </c>
    </row>
    <row r="3550" spans="5:17" x14ac:dyDescent="0.2">
      <c r="E3550" s="9" t="s">
        <v>39</v>
      </c>
      <c r="K3550" t="str">
        <v xml:space="preserve">love
</v>
      </c>
      <c r="L3550" s="4" t="str">
        <f t="shared" si="65"/>
        <v xml:space="preserve">love </v>
      </c>
      <c r="N3550" s="4" cm="1">
        <f t="array" ref="N3550">SUM(--(_xlfn.TEXTSPLIT($J$3362,, " ") = M3550))</f>
        <v>2</v>
      </c>
      <c r="O3550">
        <v>2</v>
      </c>
      <c r="P3550">
        <v>0</v>
      </c>
      <c r="Q3550">
        <v>2</v>
      </c>
    </row>
    <row r="3551" spans="5:17" x14ac:dyDescent="0.2">
      <c r="E3551" s="9" t="s">
        <v>39</v>
      </c>
      <c r="K3551" t="str">
        <v>It's</v>
      </c>
      <c r="L3551" s="4" t="str">
        <f t="shared" si="65"/>
        <v>It s</v>
      </c>
      <c r="N3551" s="4" cm="1">
        <f t="array" ref="N3551">SUM(--(_xlfn.TEXTSPLIT($J$3362,, " ") = M3551))</f>
        <v>2</v>
      </c>
      <c r="O3551">
        <v>2</v>
      </c>
      <c r="P3551">
        <v>0</v>
      </c>
      <c r="Q3551">
        <v>2</v>
      </c>
    </row>
    <row r="3552" spans="5:17" x14ac:dyDescent="0.2">
      <c r="E3552" s="9" t="s">
        <v>39</v>
      </c>
      <c r="K3552" t="str">
        <v>everything</v>
      </c>
      <c r="L3552" s="4" t="str">
        <f t="shared" si="65"/>
        <v>everything</v>
      </c>
      <c r="N3552" s="4" cm="1">
        <f t="array" ref="N3552">SUM(--(_xlfn.TEXTSPLIT($J$3362,, " ") = M3552))</f>
        <v>2</v>
      </c>
      <c r="O3552">
        <v>2</v>
      </c>
      <c r="P3552">
        <v>0</v>
      </c>
      <c r="Q3552">
        <v>2</v>
      </c>
    </row>
    <row r="3553" spans="5:17" x14ac:dyDescent="0.2">
      <c r="E3553" s="9" t="s">
        <v>39</v>
      </c>
      <c r="K3553" t="str">
        <v>I've</v>
      </c>
      <c r="L3553" s="4" t="str">
        <f t="shared" si="65"/>
        <v>I ve</v>
      </c>
      <c r="N3553" s="4" cm="1">
        <f t="array" ref="N3553">SUM(--(_xlfn.TEXTSPLIT($J$3362,, " ") = M3553))</f>
        <v>2</v>
      </c>
      <c r="O3553">
        <v>2</v>
      </c>
      <c r="P3553">
        <v>0</v>
      </c>
      <c r="Q3553">
        <v>2</v>
      </c>
    </row>
    <row r="3554" spans="5:17" x14ac:dyDescent="0.2">
      <c r="E3554" s="9" t="s">
        <v>39</v>
      </c>
      <c r="K3554" t="str">
        <v xml:space="preserve">got
</v>
      </c>
      <c r="L3554" s="4" t="str">
        <f t="shared" si="65"/>
        <v xml:space="preserve">got  </v>
      </c>
      <c r="N3554" s="4" cm="1">
        <f t="array" ref="N3554">SUM(--(_xlfn.TEXTSPLIT($J$3362,, " ") = M3554))</f>
        <v>2</v>
      </c>
      <c r="O3554">
        <v>2</v>
      </c>
      <c r="P3554">
        <v>0</v>
      </c>
      <c r="Q3554">
        <v>2</v>
      </c>
    </row>
    <row r="3555" spans="5:17" x14ac:dyDescent="0.2">
      <c r="E3555" s="9" t="s">
        <v>39</v>
      </c>
      <c r="K3555" t="str">
        <v>My</v>
      </c>
      <c r="L3555" s="4" t="str">
        <f t="shared" ref="L3555:L3618" si="66">_xlfn.REGEXREPLACE(K3555, "[^A-Za-z ]", " ")</f>
        <v>My</v>
      </c>
      <c r="N3555" s="4" cm="1">
        <f t="array" ref="N3555">SUM(--(_xlfn.TEXTSPLIT($J$3362,, " ") = M3555))</f>
        <v>2</v>
      </c>
      <c r="O3555">
        <v>2</v>
      </c>
      <c r="P3555">
        <v>0</v>
      </c>
      <c r="Q3555">
        <v>2</v>
      </c>
    </row>
    <row r="3556" spans="5:17" x14ac:dyDescent="0.2">
      <c r="E3556" s="9" t="s">
        <v>39</v>
      </c>
      <c r="K3556" t="str">
        <v>days</v>
      </c>
      <c r="L3556" s="4" t="str">
        <f t="shared" si="66"/>
        <v>days</v>
      </c>
      <c r="N3556" s="4" cm="1">
        <f t="array" ref="N3556">SUM(--(_xlfn.TEXTSPLIT($J$3362,, " ") = M3556))</f>
        <v>2</v>
      </c>
      <c r="O3556">
        <v>2</v>
      </c>
      <c r="P3556">
        <v>0</v>
      </c>
      <c r="Q3556">
        <v>2</v>
      </c>
    </row>
    <row r="3557" spans="5:17" x14ac:dyDescent="0.2">
      <c r="E3557" s="9" t="s">
        <v>39</v>
      </c>
      <c r="K3557" t="str">
        <v>lie</v>
      </c>
      <c r="L3557" s="4" t="str">
        <f t="shared" si="66"/>
        <v>lie</v>
      </c>
      <c r="N3557" s="4" cm="1">
        <f t="array" ref="N3557">SUM(--(_xlfn.TEXTSPLIT($J$3362,, " ") = M3557))</f>
        <v>2</v>
      </c>
      <c r="O3557">
        <v>2</v>
      </c>
      <c r="P3557">
        <v>0</v>
      </c>
      <c r="Q3557">
        <v>2</v>
      </c>
    </row>
    <row r="3558" spans="5:17" x14ac:dyDescent="0.2">
      <c r="E3558" s="9" t="s">
        <v>39</v>
      </c>
      <c r="K3558" t="str">
        <v xml:space="preserve">dormant
</v>
      </c>
      <c r="L3558" s="4" t="str">
        <f t="shared" si="66"/>
        <v xml:space="preserve">dormant </v>
      </c>
      <c r="N3558" s="4" cm="1">
        <f t="array" ref="N3558">SUM(--(_xlfn.TEXTSPLIT($J$3362,, " ") = M3558))</f>
        <v>2</v>
      </c>
      <c r="O3558">
        <v>2</v>
      </c>
      <c r="P3558">
        <v>0</v>
      </c>
      <c r="Q3558">
        <v>2</v>
      </c>
    </row>
    <row r="3559" spans="5:17" x14ac:dyDescent="0.2">
      <c r="E3559" s="9" t="s">
        <v>39</v>
      </c>
      <c r="K3559" t="str">
        <v>Frozen</v>
      </c>
      <c r="L3559" s="4" t="str">
        <f t="shared" si="66"/>
        <v>Frozen</v>
      </c>
      <c r="N3559" s="4" cm="1">
        <f t="array" ref="N3559">SUM(--(_xlfn.TEXTSPLIT($J$3362,, " ") = M3559))</f>
        <v>2</v>
      </c>
      <c r="O3559">
        <v>2</v>
      </c>
      <c r="P3559">
        <v>0</v>
      </c>
      <c r="Q3559">
        <v>2</v>
      </c>
    </row>
    <row r="3560" spans="5:17" x14ac:dyDescent="0.2">
      <c r="E3560" s="9" t="s">
        <v>39</v>
      </c>
      <c r="K3560" t="str">
        <v>and</v>
      </c>
      <c r="L3560" s="4" t="str">
        <f t="shared" si="66"/>
        <v>and</v>
      </c>
      <c r="N3560" s="4" cm="1">
        <f t="array" ref="N3560">SUM(--(_xlfn.TEXTSPLIT($J$3362,, " ") = M3560))</f>
        <v>2</v>
      </c>
      <c r="O3560">
        <v>2</v>
      </c>
      <c r="P3560">
        <v>0</v>
      </c>
      <c r="Q3560">
        <v>2</v>
      </c>
    </row>
    <row r="3561" spans="5:17" x14ac:dyDescent="0.2">
      <c r="E3561" s="9" t="s">
        <v>39</v>
      </c>
      <c r="K3561" t="str">
        <v xml:space="preserve">distorted
</v>
      </c>
      <c r="L3561" s="4" t="str">
        <f t="shared" si="66"/>
        <v xml:space="preserve">distorted </v>
      </c>
      <c r="N3561" s="4" cm="1">
        <f t="array" ref="N3561">SUM(--(_xlfn.TEXTSPLIT($J$3362,, " ") = M3561))</f>
        <v>2</v>
      </c>
      <c r="O3561">
        <v>2</v>
      </c>
      <c r="P3561">
        <v>0</v>
      </c>
      <c r="Q3561">
        <v>2</v>
      </c>
    </row>
    <row r="3562" spans="5:17" x14ac:dyDescent="0.2">
      <c r="E3562" s="9" t="s">
        <v>39</v>
      </c>
      <c r="K3562" t="str">
        <v>Robbed</v>
      </c>
      <c r="L3562" s="4" t="str">
        <f t="shared" si="66"/>
        <v>Robbed</v>
      </c>
      <c r="N3562" s="4" cm="1">
        <f t="array" ref="N3562">SUM(--(_xlfn.TEXTSPLIT($J$3362,, " ") = M3562))</f>
        <v>2</v>
      </c>
      <c r="O3562">
        <v>2</v>
      </c>
      <c r="P3562">
        <v>0</v>
      </c>
      <c r="Q3562">
        <v>2</v>
      </c>
    </row>
    <row r="3563" spans="5:17" x14ac:dyDescent="0.2">
      <c r="E3563" s="9" t="s">
        <v>39</v>
      </c>
      <c r="K3563" t="str">
        <v>of</v>
      </c>
      <c r="L3563" s="4" t="str">
        <f t="shared" si="66"/>
        <v>of</v>
      </c>
      <c r="N3563" s="4" cm="1">
        <f t="array" ref="N3563">SUM(--(_xlfn.TEXTSPLIT($J$3362,, " ") = M3563))</f>
        <v>2</v>
      </c>
      <c r="O3563">
        <v>2</v>
      </c>
      <c r="P3563">
        <v>0</v>
      </c>
      <c r="Q3563">
        <v>2</v>
      </c>
    </row>
    <row r="3564" spans="5:17" x14ac:dyDescent="0.2">
      <c r="E3564" s="9" t="s">
        <v>39</v>
      </c>
      <c r="K3564" t="str">
        <v>my</v>
      </c>
      <c r="L3564" s="4" t="str">
        <f t="shared" si="66"/>
        <v>my</v>
      </c>
      <c r="N3564" s="4" cm="1">
        <f t="array" ref="N3564">SUM(--(_xlfn.TEXTSPLIT($J$3362,, " ") = M3564))</f>
        <v>2</v>
      </c>
      <c r="O3564">
        <v>2</v>
      </c>
      <c r="P3564">
        <v>0</v>
      </c>
      <c r="Q3564">
        <v>2</v>
      </c>
    </row>
    <row r="3565" spans="5:17" x14ac:dyDescent="0.2">
      <c r="E3565" s="9" t="s">
        <v>39</v>
      </c>
      <c r="K3565" t="str">
        <v xml:space="preserve">momentum
</v>
      </c>
      <c r="L3565" s="4" t="str">
        <f t="shared" si="66"/>
        <v xml:space="preserve">momentum </v>
      </c>
      <c r="N3565" s="4" cm="1">
        <f t="array" ref="N3565">SUM(--(_xlfn.TEXTSPLIT($J$3362,, " ") = M3565))</f>
        <v>2</v>
      </c>
      <c r="O3565">
        <v>2</v>
      </c>
      <c r="P3565">
        <v>0</v>
      </c>
      <c r="Q3565">
        <v>2</v>
      </c>
    </row>
    <row r="3566" spans="5:17" x14ac:dyDescent="0.2">
      <c r="E3566" s="9" t="s">
        <v>39</v>
      </c>
      <c r="K3566" t="str">
        <v>And</v>
      </c>
      <c r="L3566" s="4" t="str">
        <f t="shared" si="66"/>
        <v>And</v>
      </c>
      <c r="N3566" s="4" cm="1">
        <f t="array" ref="N3566">SUM(--(_xlfn.TEXTSPLIT($J$3362,, " ") = M3566))</f>
        <v>2</v>
      </c>
      <c r="O3566">
        <v>2</v>
      </c>
      <c r="P3566">
        <v>0</v>
      </c>
      <c r="Q3566">
        <v>2</v>
      </c>
    </row>
    <row r="3567" spans="5:17" x14ac:dyDescent="0.2">
      <c r="E3567" s="9" t="s">
        <v>39</v>
      </c>
      <c r="K3567" t="str">
        <v>suspended</v>
      </c>
      <c r="L3567" s="4" t="str">
        <f t="shared" si="66"/>
        <v>suspended</v>
      </c>
      <c r="N3567" s="4" cm="1">
        <f t="array" ref="N3567">SUM(--(_xlfn.TEXTSPLIT($J$3362,, " ") = M3567))</f>
        <v>2</v>
      </c>
      <c r="O3567">
        <v>2</v>
      </c>
      <c r="P3567">
        <v>0</v>
      </c>
      <c r="Q3567">
        <v>2</v>
      </c>
    </row>
    <row r="3568" spans="5:17" x14ac:dyDescent="0.2">
      <c r="E3568" s="9" t="s">
        <v>39</v>
      </c>
      <c r="K3568" t="str">
        <v>in</v>
      </c>
      <c r="L3568" s="4" t="str">
        <f t="shared" si="66"/>
        <v>in</v>
      </c>
      <c r="N3568" s="4" cm="1">
        <f t="array" ref="N3568">SUM(--(_xlfn.TEXTSPLIT($J$3362,, " ") = M3568))</f>
        <v>2</v>
      </c>
      <c r="O3568">
        <v>2</v>
      </c>
      <c r="P3568">
        <v>0</v>
      </c>
      <c r="Q3568">
        <v>2</v>
      </c>
    </row>
    <row r="3569" spans="5:17" x14ac:dyDescent="0.2">
      <c r="E3569" s="9" t="s">
        <v>39</v>
      </c>
      <c r="K3569" t="str">
        <v>the</v>
      </c>
      <c r="L3569" s="4" t="str">
        <f t="shared" si="66"/>
        <v>the</v>
      </c>
      <c r="N3569" s="4" cm="1">
        <f t="array" ref="N3569">SUM(--(_xlfn.TEXTSPLIT($J$3362,, " ") = M3569))</f>
        <v>2</v>
      </c>
      <c r="O3569">
        <v>2</v>
      </c>
      <c r="P3569">
        <v>0</v>
      </c>
      <c r="Q3569">
        <v>2</v>
      </c>
    </row>
    <row r="3570" spans="5:17" x14ac:dyDescent="0.2">
      <c r="E3570" s="9" t="s">
        <v>39</v>
      </c>
      <c r="K3570" t="str">
        <v xml:space="preserve">air
</v>
      </c>
      <c r="L3570" s="4" t="str">
        <f t="shared" si="66"/>
        <v xml:space="preserve">air </v>
      </c>
      <c r="N3570" s="4" cm="1">
        <f t="array" ref="N3570">SUM(--(_xlfn.TEXTSPLIT($J$3362,, " ") = M3570))</f>
        <v>2</v>
      </c>
      <c r="O3570">
        <v>2</v>
      </c>
      <c r="P3570">
        <v>0</v>
      </c>
      <c r="Q3570">
        <v>2</v>
      </c>
    </row>
    <row r="3571" spans="5:17" x14ac:dyDescent="0.2">
      <c r="E3571" s="9" t="s">
        <v>39</v>
      </c>
      <c r="K3571" t="str">
        <v>My</v>
      </c>
      <c r="L3571" s="4" t="str">
        <f t="shared" si="66"/>
        <v>My</v>
      </c>
      <c r="N3571" s="4" cm="1">
        <f t="array" ref="N3571">SUM(--(_xlfn.TEXTSPLIT($J$3362,, " ") = M3571))</f>
        <v>2</v>
      </c>
      <c r="O3571">
        <v>2</v>
      </c>
      <c r="P3571">
        <v>0</v>
      </c>
      <c r="Q3571">
        <v>2</v>
      </c>
    </row>
    <row r="3572" spans="5:17" x14ac:dyDescent="0.2">
      <c r="E3572" s="9" t="s">
        <v>39</v>
      </c>
      <c r="K3572" t="str">
        <v>days</v>
      </c>
      <c r="L3572" s="4" t="str">
        <f t="shared" si="66"/>
        <v>days</v>
      </c>
      <c r="N3572" s="4" cm="1">
        <f t="array" ref="N3572">SUM(--(_xlfn.TEXTSPLIT($J$3362,, " ") = M3572))</f>
        <v>2</v>
      </c>
      <c r="O3572">
        <v>2</v>
      </c>
      <c r="P3572">
        <v>0</v>
      </c>
      <c r="Q3572">
        <v>2</v>
      </c>
    </row>
    <row r="3573" spans="5:17" x14ac:dyDescent="0.2">
      <c r="E3573" s="9" t="s">
        <v>39</v>
      </c>
      <c r="K3573" t="str">
        <v>lie</v>
      </c>
      <c r="L3573" s="4" t="str">
        <f t="shared" si="66"/>
        <v>lie</v>
      </c>
      <c r="N3573" s="4" cm="1">
        <f t="array" ref="N3573">SUM(--(_xlfn.TEXTSPLIT($J$3362,, " ") = M3573))</f>
        <v>2</v>
      </c>
      <c r="O3573">
        <v>2</v>
      </c>
      <c r="P3573">
        <v>0</v>
      </c>
      <c r="Q3573">
        <v>2</v>
      </c>
    </row>
    <row r="3574" spans="5:17" x14ac:dyDescent="0.2">
      <c r="E3574" s="9" t="s">
        <v>39</v>
      </c>
      <c r="K3574" t="str">
        <v xml:space="preserve">dormant
</v>
      </c>
      <c r="L3574" s="4" t="str">
        <f t="shared" si="66"/>
        <v xml:space="preserve">dormant </v>
      </c>
      <c r="N3574" s="4" cm="1">
        <f t="array" ref="N3574">SUM(--(_xlfn.TEXTSPLIT($J$3362,, " ") = M3574))</f>
        <v>2</v>
      </c>
      <c r="O3574">
        <v>2</v>
      </c>
      <c r="P3574">
        <v>0</v>
      </c>
      <c r="Q3574">
        <v>2</v>
      </c>
    </row>
    <row r="3575" spans="5:17" x14ac:dyDescent="0.2">
      <c r="E3575" s="9" t="s">
        <v>39</v>
      </c>
      <c r="K3575" t="str">
        <v>It's</v>
      </c>
      <c r="L3575" s="4" t="str">
        <f t="shared" si="66"/>
        <v>It s</v>
      </c>
      <c r="N3575" s="4" cm="1">
        <f t="array" ref="N3575">SUM(--(_xlfn.TEXTSPLIT($J$3362,, " ") = M3575))</f>
        <v>2</v>
      </c>
      <c r="O3575">
        <v>2</v>
      </c>
      <c r="P3575">
        <v>0</v>
      </c>
      <c r="Q3575">
        <v>2</v>
      </c>
    </row>
    <row r="3576" spans="5:17" x14ac:dyDescent="0.2">
      <c r="E3576" s="9" t="s">
        <v>39</v>
      </c>
      <c r="K3576" t="str">
        <v>feeling</v>
      </c>
      <c r="L3576" s="4" t="str">
        <f t="shared" si="66"/>
        <v>feeling</v>
      </c>
      <c r="N3576" s="4" cm="1">
        <f t="array" ref="N3576">SUM(--(_xlfn.TEXTSPLIT($J$3362,, " ") = M3576))</f>
        <v>2</v>
      </c>
      <c r="O3576">
        <v>2</v>
      </c>
      <c r="P3576">
        <v>0</v>
      </c>
      <c r="Q3576">
        <v>2</v>
      </c>
    </row>
    <row r="3577" spans="5:17" x14ac:dyDescent="0.2">
      <c r="E3577" s="9" t="s">
        <v>39</v>
      </c>
      <c r="K3577" t="str">
        <v>less</v>
      </c>
      <c r="L3577" s="4" t="str">
        <f t="shared" si="66"/>
        <v>less</v>
      </c>
      <c r="N3577" s="4" cm="1">
        <f t="array" ref="N3577">SUM(--(_xlfn.TEXTSPLIT($J$3362,, " ") = M3577))</f>
        <v>2</v>
      </c>
      <c r="O3577">
        <v>2</v>
      </c>
      <c r="P3577">
        <v>0</v>
      </c>
      <c r="Q3577">
        <v>2</v>
      </c>
    </row>
    <row r="3578" spans="5:17" x14ac:dyDescent="0.2">
      <c r="E3578" s="9" t="s">
        <v>39</v>
      </c>
      <c r="K3578" t="str">
        <v xml:space="preserve">important
</v>
      </c>
      <c r="L3578" s="4" t="str">
        <f t="shared" si="66"/>
        <v xml:space="preserve">important </v>
      </c>
      <c r="N3578" s="4" cm="1">
        <f t="array" ref="N3578">SUM(--(_xlfn.TEXTSPLIT($J$3362,, " ") = M3578))</f>
        <v>2</v>
      </c>
      <c r="O3578">
        <v>2</v>
      </c>
      <c r="P3578">
        <v>0</v>
      </c>
      <c r="Q3578">
        <v>2</v>
      </c>
    </row>
    <row r="3579" spans="5:17" x14ac:dyDescent="0.2">
      <c r="E3579" s="9" t="s">
        <v>39</v>
      </c>
      <c r="K3579" t="str">
        <v>To</v>
      </c>
      <c r="L3579" s="4" t="str">
        <f t="shared" si="66"/>
        <v>To</v>
      </c>
      <c r="N3579" s="4" cm="1">
        <f t="array" ref="N3579">SUM(--(_xlfn.TEXTSPLIT($J$3362,, " ") = M3579))</f>
        <v>2</v>
      </c>
      <c r="O3579">
        <v>2</v>
      </c>
      <c r="P3579">
        <v>0</v>
      </c>
      <c r="Q3579">
        <v>2</v>
      </c>
    </row>
    <row r="3580" spans="5:17" x14ac:dyDescent="0.2">
      <c r="E3580" s="9" t="s">
        <v>39</v>
      </c>
      <c r="K3580" t="str">
        <v>waste</v>
      </c>
      <c r="L3580" s="4" t="str">
        <f t="shared" si="66"/>
        <v>waste</v>
      </c>
      <c r="N3580" s="4" cm="1">
        <f t="array" ref="N3580">SUM(--(_xlfn.TEXTSPLIT($J$3362,, " ") = M3580))</f>
        <v>2</v>
      </c>
      <c r="O3580">
        <v>2</v>
      </c>
      <c r="P3580">
        <v>0</v>
      </c>
      <c r="Q3580">
        <v>2</v>
      </c>
    </row>
    <row r="3581" spans="5:17" x14ac:dyDescent="0.2">
      <c r="E3581" s="9" t="s">
        <v>39</v>
      </c>
      <c r="K3581" t="str">
        <v>my</v>
      </c>
      <c r="L3581" s="4" t="str">
        <f t="shared" si="66"/>
        <v>my</v>
      </c>
      <c r="N3581" s="4" cm="1">
        <f t="array" ref="N3581">SUM(--(_xlfn.TEXTSPLIT($J$3362,, " ") = M3581))</f>
        <v>2</v>
      </c>
      <c r="O3581">
        <v>2</v>
      </c>
      <c r="P3581">
        <v>0</v>
      </c>
      <c r="Q3581">
        <v>2</v>
      </c>
    </row>
    <row r="3582" spans="5:17" x14ac:dyDescent="0.2">
      <c r="E3582" s="9" t="s">
        <v>39</v>
      </c>
      <c r="K3582" t="str">
        <v>time</v>
      </c>
      <c r="L3582" s="4" t="str">
        <f t="shared" si="66"/>
        <v>time</v>
      </c>
      <c r="N3582" s="4" cm="1">
        <f t="array" ref="N3582">SUM(--(_xlfn.TEXTSPLIT($J$3362,, " ") = M3582))</f>
        <v>2</v>
      </c>
      <c r="O3582">
        <v>2</v>
      </c>
      <c r="P3582">
        <v>0</v>
      </c>
      <c r="Q3582">
        <v>2</v>
      </c>
    </row>
    <row r="3583" spans="5:17" x14ac:dyDescent="0.2">
      <c r="E3583" s="9" t="s">
        <v>39</v>
      </c>
      <c r="K3583" t="str">
        <v>inside</v>
      </c>
      <c r="L3583" s="4" t="str">
        <f t="shared" si="66"/>
        <v>inside</v>
      </c>
      <c r="N3583" s="4" cm="1">
        <f t="array" ref="N3583">SUM(--(_xlfn.TEXTSPLIT($J$3362,, " ") = M3583))</f>
        <v>2</v>
      </c>
      <c r="O3583">
        <v>2</v>
      </c>
      <c r="P3583">
        <v>0</v>
      </c>
      <c r="Q3583">
        <v>2</v>
      </c>
    </row>
    <row r="3584" spans="5:17" x14ac:dyDescent="0.2">
      <c r="E3584" s="9" t="s">
        <v>39</v>
      </c>
      <c r="K3584" t="str">
        <v>a</v>
      </c>
      <c r="L3584" s="4" t="str">
        <f t="shared" si="66"/>
        <v>a</v>
      </c>
      <c r="N3584" s="4" cm="1">
        <f t="array" ref="N3584">SUM(--(_xlfn.TEXTSPLIT($J$3362,, " ") = M3584))</f>
        <v>2</v>
      </c>
      <c r="O3584">
        <v>2</v>
      </c>
      <c r="P3584">
        <v>0</v>
      </c>
      <c r="Q3584">
        <v>2</v>
      </c>
    </row>
    <row r="3585" spans="5:17" x14ac:dyDescent="0.2">
      <c r="E3585" s="9" t="s">
        <v>39</v>
      </c>
      <c r="K3585" t="str">
        <v>place</v>
      </c>
      <c r="L3585" s="4" t="str">
        <f t="shared" si="66"/>
        <v>place</v>
      </c>
      <c r="N3585" s="4" cm="1">
        <f t="array" ref="N3585">SUM(--(_xlfn.TEXTSPLIT($J$3362,, " ") = M3585))</f>
        <v>2</v>
      </c>
      <c r="O3585">
        <v>2</v>
      </c>
      <c r="P3585">
        <v>0</v>
      </c>
      <c r="Q3585">
        <v>2</v>
      </c>
    </row>
    <row r="3586" spans="5:17" x14ac:dyDescent="0.2">
      <c r="E3586" s="9" t="s">
        <v>39</v>
      </c>
      <c r="K3586" t="str">
        <v>you're</v>
      </c>
      <c r="L3586" s="4" t="str">
        <f t="shared" si="66"/>
        <v>you re</v>
      </c>
      <c r="N3586" s="4" cm="1">
        <f t="array" ref="N3586">SUM(--(_xlfn.TEXTSPLIT($J$3362,, " ") = M3586))</f>
        <v>2</v>
      </c>
      <c r="O3586">
        <v>2</v>
      </c>
      <c r="P3586">
        <v>0</v>
      </c>
      <c r="Q3586">
        <v>2</v>
      </c>
    </row>
    <row r="3587" spans="5:17" x14ac:dyDescent="0.2">
      <c r="E3587" s="9" t="s">
        <v>39</v>
      </c>
      <c r="K3587" t="str">
        <v xml:space="preserve">not
</v>
      </c>
      <c r="L3587" s="4" t="str">
        <f t="shared" si="66"/>
        <v xml:space="preserve">not </v>
      </c>
      <c r="N3587" s="4" cm="1">
        <f t="array" ref="N3587">SUM(--(_xlfn.TEXTSPLIT($J$3362,, " ") = M3587))</f>
        <v>2</v>
      </c>
      <c r="O3587">
        <v>2</v>
      </c>
      <c r="P3587">
        <v>0</v>
      </c>
      <c r="Q3587">
        <v>2</v>
      </c>
    </row>
    <row r="3588" spans="5:17" x14ac:dyDescent="0.2">
      <c r="E3588" s="9" t="s">
        <v>39</v>
      </c>
      <c r="K3588" t="str">
        <v>Don't</v>
      </c>
      <c r="L3588" s="4" t="str">
        <f t="shared" si="66"/>
        <v>Don t</v>
      </c>
      <c r="N3588" s="4" cm="1">
        <f t="array" ref="N3588">SUM(--(_xlfn.TEXTSPLIT($J$3362,, " ") = M3588))</f>
        <v>2</v>
      </c>
      <c r="O3588">
        <v>2</v>
      </c>
      <c r="P3588">
        <v>0</v>
      </c>
      <c r="Q3588">
        <v>2</v>
      </c>
    </row>
    <row r="3589" spans="5:17" x14ac:dyDescent="0.2">
      <c r="E3589" s="9" t="s">
        <v>39</v>
      </c>
      <c r="K3589" t="str">
        <v>make</v>
      </c>
      <c r="L3589" s="4" t="str">
        <f t="shared" si="66"/>
        <v>make</v>
      </c>
      <c r="N3589" s="4" cm="1">
        <f t="array" ref="N3589">SUM(--(_xlfn.TEXTSPLIT($J$3362,, " ") = M3589))</f>
        <v>2</v>
      </c>
      <c r="O3589">
        <v>2</v>
      </c>
      <c r="P3589">
        <v>0</v>
      </c>
      <c r="Q3589">
        <v>2</v>
      </c>
    </row>
    <row r="3590" spans="5:17" x14ac:dyDescent="0.2">
      <c r="E3590" s="9" t="s">
        <v>39</v>
      </c>
      <c r="K3590" t="str">
        <v>me</v>
      </c>
      <c r="L3590" s="4" t="str">
        <f t="shared" si="66"/>
        <v>me</v>
      </c>
      <c r="N3590" s="4" cm="1">
        <f t="array" ref="N3590">SUM(--(_xlfn.TEXTSPLIT($J$3362,, " ") = M3590))</f>
        <v>2</v>
      </c>
      <c r="O3590">
        <v>2</v>
      </c>
      <c r="P3590">
        <v>0</v>
      </c>
      <c r="Q3590">
        <v>2</v>
      </c>
    </row>
    <row r="3591" spans="5:17" x14ac:dyDescent="0.2">
      <c r="E3591" s="9" t="s">
        <v>39</v>
      </c>
      <c r="K3591" t="str">
        <v>waste</v>
      </c>
      <c r="L3591" s="4" t="str">
        <f t="shared" si="66"/>
        <v>waste</v>
      </c>
      <c r="N3591" s="4" cm="1">
        <f t="array" ref="N3591">SUM(--(_xlfn.TEXTSPLIT($J$3362,, " ") = M3591))</f>
        <v>2</v>
      </c>
      <c r="O3591">
        <v>2</v>
      </c>
      <c r="P3591">
        <v>0</v>
      </c>
      <c r="Q3591">
        <v>2</v>
      </c>
    </row>
    <row r="3592" spans="5:17" x14ac:dyDescent="0.2">
      <c r="E3592" s="9" t="s">
        <v>39</v>
      </c>
      <c r="K3592" t="str">
        <v>my</v>
      </c>
      <c r="L3592" s="4" t="str">
        <f t="shared" si="66"/>
        <v>my</v>
      </c>
      <c r="N3592" s="4" cm="1">
        <f t="array" ref="N3592">SUM(--(_xlfn.TEXTSPLIT($J$3362,, " ") = M3592))</f>
        <v>2</v>
      </c>
      <c r="O3592">
        <v>2</v>
      </c>
      <c r="P3592">
        <v>0</v>
      </c>
      <c r="Q3592">
        <v>2</v>
      </c>
    </row>
    <row r="3593" spans="5:17" x14ac:dyDescent="0.2">
      <c r="E3593" s="9" t="s">
        <v>39</v>
      </c>
      <c r="K3593" t="str">
        <v xml:space="preserve">love
</v>
      </c>
      <c r="L3593" s="4" t="str">
        <f t="shared" si="66"/>
        <v xml:space="preserve">love </v>
      </c>
      <c r="N3593" s="4" cm="1">
        <f t="array" ref="N3593">SUM(--(_xlfn.TEXTSPLIT($J$3362,, " ") = M3593))</f>
        <v>2</v>
      </c>
      <c r="O3593">
        <v>1</v>
      </c>
      <c r="P3593" t="str">
        <v>Hey</v>
      </c>
      <c r="Q3593">
        <v>1</v>
      </c>
    </row>
    <row r="3594" spans="5:17" x14ac:dyDescent="0.2">
      <c r="E3594" s="9" t="s">
        <v>39</v>
      </c>
      <c r="K3594" t="str">
        <v>It's</v>
      </c>
      <c r="L3594" s="4" t="str">
        <f t="shared" si="66"/>
        <v>It s</v>
      </c>
      <c r="N3594" s="4" cm="1">
        <f t="array" ref="N3594">SUM(--(_xlfn.TEXTSPLIT($J$3362,, " ") = M3594))</f>
        <v>2</v>
      </c>
      <c r="O3594">
        <v>1</v>
      </c>
      <c r="P3594" t="str">
        <v>Josh,</v>
      </c>
      <c r="Q3594">
        <v>1</v>
      </c>
    </row>
    <row r="3595" spans="5:17" x14ac:dyDescent="0.2">
      <c r="E3595" s="9" t="s">
        <v>39</v>
      </c>
      <c r="K3595" t="str">
        <v>everything</v>
      </c>
      <c r="L3595" s="4" t="str">
        <f t="shared" si="66"/>
        <v>everything</v>
      </c>
      <c r="N3595" s="4" cm="1">
        <f t="array" ref="N3595">SUM(--(_xlfn.TEXTSPLIT($J$3362,, " ") = M3595))</f>
        <v>2</v>
      </c>
      <c r="O3595">
        <v>1</v>
      </c>
      <c r="P3595" t="str">
        <v>call</v>
      </c>
      <c r="Q3595">
        <v>1</v>
      </c>
    </row>
    <row r="3596" spans="5:17" x14ac:dyDescent="0.2">
      <c r="E3596" s="9" t="s">
        <v>39</v>
      </c>
      <c r="K3596" t="str">
        <v>I've</v>
      </c>
      <c r="L3596" s="4" t="str">
        <f t="shared" si="66"/>
        <v>I ve</v>
      </c>
      <c r="N3596" s="4" cm="1">
        <f t="array" ref="N3596">SUM(--(_xlfn.TEXTSPLIT($J$3362,, " ") = M3596))</f>
        <v>2</v>
      </c>
      <c r="O3596">
        <v>1</v>
      </c>
      <c r="P3596" t="str">
        <v xml:space="preserve">back
</v>
      </c>
      <c r="Q3596">
        <v>1</v>
      </c>
    </row>
    <row r="3597" spans="5:17" x14ac:dyDescent="0.2">
      <c r="E3597" s="9" t="s">
        <v>39</v>
      </c>
      <c r="K3597" t="str">
        <v xml:space="preserve">got
</v>
      </c>
      <c r="L3597" s="4" t="str">
        <f t="shared" si="66"/>
        <v xml:space="preserve">got </v>
      </c>
      <c r="N3597" s="4" cm="1">
        <f t="array" ref="N3597">SUM(--(_xlfn.TEXTSPLIT($J$3362,, " ") = M3597))</f>
        <v>2</v>
      </c>
      <c r="O3597">
        <v>1</v>
      </c>
      <c r="P3597" t="str">
        <v>I'm</v>
      </c>
      <c r="Q3597">
        <v>1</v>
      </c>
    </row>
    <row r="3598" spans="5:17" x14ac:dyDescent="0.2">
      <c r="E3598" s="9" t="s">
        <v>39</v>
      </c>
      <c r="K3598" t="str">
        <v xml:space="preserve">Yeah-yeah-yeah-yeah
</v>
      </c>
      <c r="L3598" s="4" t="str">
        <f t="shared" si="66"/>
        <v xml:space="preserve">Yeah yeah yeah yeah </v>
      </c>
      <c r="N3598" s="4" cm="1">
        <f t="array" ref="N3598">SUM(--(_xlfn.TEXTSPLIT($J$3362,, " ") = M3598))</f>
        <v>2</v>
      </c>
      <c r="O3598">
        <v>1</v>
      </c>
      <c r="P3598" t="str">
        <v>not</v>
      </c>
      <c r="Q3598">
        <v>1</v>
      </c>
    </row>
    <row r="3599" spans="5:17" x14ac:dyDescent="0.2">
      <c r="E3599" s="9" t="s">
        <v>39</v>
      </c>
      <c r="K3599" t="str">
        <v xml:space="preserve">Yeah-yeah-yeah-yeah
</v>
      </c>
      <c r="L3599" s="4" t="str">
        <f t="shared" si="66"/>
        <v xml:space="preserve">Yeah yeah yeah yeah </v>
      </c>
      <c r="N3599" s="4" cm="1">
        <f t="array" ref="N3599">SUM(--(_xlfn.TEXTSPLIT($J$3362,, " ") = M3599))</f>
        <v>2</v>
      </c>
      <c r="O3599">
        <v>1</v>
      </c>
      <c r="P3599" t="str">
        <v>opposed</v>
      </c>
      <c r="Q3599">
        <v>1</v>
      </c>
    </row>
    <row r="3600" spans="5:17" x14ac:dyDescent="0.2">
      <c r="E3600" s="9" t="s">
        <v>39</v>
      </c>
      <c r="K3600" t="str">
        <v xml:space="preserve">Yeah-yeah-yeah-yeah
</v>
      </c>
      <c r="L3600" s="4" t="str">
        <f t="shared" si="66"/>
        <v xml:space="preserve">Yeah yeah yeah yeah </v>
      </c>
      <c r="N3600" s="4" cm="1">
        <f t="array" ref="N3600">SUM(--(_xlfn.TEXTSPLIT($J$3362,, " ") = M3600))</f>
        <v>2</v>
      </c>
      <c r="O3600">
        <v>1</v>
      </c>
      <c r="P3600" t="str">
        <v>""One</v>
      </c>
      <c r="Q3600">
        <v>1</v>
      </c>
    </row>
    <row r="3601" spans="5:17" x14ac:dyDescent="0.2">
      <c r="E3601" s="9" t="s">
        <v>39</v>
      </c>
      <c r="K3601" t="str">
        <v xml:space="preserve">Yeah-yeah-yeah-yeah
</v>
      </c>
      <c r="L3601" s="4" t="str">
        <f t="shared" si="66"/>
        <v xml:space="preserve">Yeah yeah yeah yeah  </v>
      </c>
      <c r="N3601" s="4" cm="1">
        <f t="array" ref="N3601">SUM(--(_xlfn.TEXTSPLIT($J$3362,, " ") = M3601))</f>
        <v>2</v>
      </c>
      <c r="O3601">
        <v>1</v>
      </c>
      <c r="P3601" t="str">
        <v>Way""</v>
      </c>
      <c r="Q3601">
        <v>1</v>
      </c>
    </row>
    <row r="3602" spans="5:17" x14ac:dyDescent="0.2">
      <c r="E3602" s="9" t="s">
        <v>39</v>
      </c>
      <c r="K3602" t="str">
        <v>My</v>
      </c>
      <c r="L3602" s="4" t="str">
        <f t="shared" si="66"/>
        <v>My</v>
      </c>
      <c r="N3602" s="4" cm="1">
        <f t="array" ref="N3602">SUM(--(_xlfn.TEXTSPLIT($J$3362,, " ") = M3602))</f>
        <v>2</v>
      </c>
      <c r="O3602">
        <v>1</v>
      </c>
      <c r="P3602" t="str">
        <v>going</v>
      </c>
      <c r="Q3602">
        <v>1</v>
      </c>
    </row>
    <row r="3603" spans="5:17" x14ac:dyDescent="0.2">
      <c r="E3603" s="9" t="s">
        <v>39</v>
      </c>
      <c r="K3603" t="str">
        <v>days</v>
      </c>
      <c r="L3603" s="4" t="str">
        <f t="shared" si="66"/>
        <v>days</v>
      </c>
      <c r="N3603" s="4" cm="1">
        <f t="array" ref="N3603">SUM(--(_xlfn.TEXTSPLIT($J$3362,, " ") = M3603))</f>
        <v>2</v>
      </c>
      <c r="O3603">
        <v>1</v>
      </c>
      <c r="P3603" t="str">
        <v>""Days</v>
      </c>
      <c r="Q3603">
        <v>1</v>
      </c>
    </row>
    <row r="3604" spans="5:17" x14ac:dyDescent="0.2">
      <c r="E3604" s="9" t="s">
        <v>39</v>
      </c>
      <c r="K3604" t="str">
        <v>lie</v>
      </c>
      <c r="L3604" s="4" t="str">
        <f t="shared" si="66"/>
        <v>lie</v>
      </c>
      <c r="N3604" s="4" cm="1">
        <f t="array" ref="N3604">SUM(--(_xlfn.TEXTSPLIT($J$3362,, " ") = M3604))</f>
        <v>2</v>
      </c>
      <c r="O3604">
        <v>1</v>
      </c>
      <c r="P3604" t="str">
        <v xml:space="preserve">Dormant""
</v>
      </c>
      <c r="Q3604">
        <v>1</v>
      </c>
    </row>
    <row r="3605" spans="5:17" x14ac:dyDescent="0.2">
      <c r="E3605" s="9" t="s">
        <v>39</v>
      </c>
      <c r="K3605" t="str">
        <v xml:space="preserve">dormant
</v>
      </c>
      <c r="L3605" s="4" t="str">
        <f t="shared" si="66"/>
        <v xml:space="preserve">dormant </v>
      </c>
      <c r="N3605" s="4" cm="1">
        <f t="array" ref="N3605">SUM(--(_xlfn.TEXTSPLIT($J$3362,, " ") = M3605))</f>
        <v>2</v>
      </c>
      <c r="O3605">
        <v>1</v>
      </c>
      <c r="P3605" t="str">
        <v>does</v>
      </c>
      <c r="Q3605">
        <v>1</v>
      </c>
    </row>
    <row r="3606" spans="5:17" x14ac:dyDescent="0.2">
      <c r="E3606" s="9" t="s">
        <v>39</v>
      </c>
      <c r="K3606" t="str">
        <v>'Cause</v>
      </c>
      <c r="L3606" s="4" t="str">
        <f t="shared" si="66"/>
        <v xml:space="preserve"> Cause</v>
      </c>
      <c r="N3606" s="4" cm="1">
        <f t="array" ref="N3606">SUM(--(_xlfn.TEXTSPLIT($J$3362,, " ") = M3606))</f>
        <v>2</v>
      </c>
      <c r="O3606">
        <v>1</v>
      </c>
      <c r="P3606" t="str">
        <v>feel</v>
      </c>
      <c r="Q3606">
        <v>1</v>
      </c>
    </row>
    <row r="3607" spans="5:17" x14ac:dyDescent="0.2">
      <c r="E3607" s="9" t="s">
        <v>39</v>
      </c>
      <c r="K3607" t="str">
        <v>I</v>
      </c>
      <c r="L3607" s="4" t="str">
        <f t="shared" si="66"/>
        <v>I</v>
      </c>
      <c r="N3607" s="4" cm="1">
        <f t="array" ref="N3607">SUM(--(_xlfn.TEXTSPLIT($J$3362,, " ") = M3607))</f>
        <v>2</v>
      </c>
      <c r="O3607">
        <v>1</v>
      </c>
      <c r="P3607" t="str">
        <v>like</v>
      </c>
      <c r="Q3607">
        <v>1</v>
      </c>
    </row>
    <row r="3608" spans="5:17" x14ac:dyDescent="0.2">
      <c r="E3608" s="9" t="s">
        <v>39</v>
      </c>
      <c r="K3608" t="str">
        <v>just</v>
      </c>
      <c r="L3608" s="4" t="str">
        <f t="shared" si="66"/>
        <v>just</v>
      </c>
      <c r="N3608" s="4" cm="1">
        <f t="array" ref="N3608">SUM(--(_xlfn.TEXTSPLIT($J$3362,, " ") = M3608))</f>
        <v>2</v>
      </c>
      <c r="O3608">
        <v>1</v>
      </c>
      <c r="P3608" t="str">
        <v>quite</v>
      </c>
      <c r="Q3608">
        <v>1</v>
      </c>
    </row>
    <row r="3609" spans="5:17" x14ac:dyDescent="0.2">
      <c r="E3609" s="9" t="s">
        <v>39</v>
      </c>
      <c r="K3609" t="str">
        <v>can't</v>
      </c>
      <c r="L3609" s="4" t="str">
        <f t="shared" si="66"/>
        <v>can t</v>
      </c>
      <c r="N3609" s="4" cm="1">
        <f t="array" ref="N3609">SUM(--(_xlfn.TEXTSPLIT($J$3362,, " ") = M3609))</f>
        <v>2</v>
      </c>
      <c r="O3609">
        <v>1</v>
      </c>
      <c r="P3609" t="str">
        <v>vibe</v>
      </c>
      <c r="Q3609">
        <v>1</v>
      </c>
    </row>
    <row r="3610" spans="5:17" x14ac:dyDescent="0.2">
      <c r="E3610" s="9" t="s">
        <v>39</v>
      </c>
      <c r="K3610" t="str">
        <v>afford</v>
      </c>
      <c r="L3610" s="4" t="str">
        <f t="shared" si="66"/>
        <v>afford</v>
      </c>
      <c r="N3610" s="4" cm="1">
        <f t="array" ref="N3610">SUM(--(_xlfn.TEXTSPLIT($J$3362,, " ") = M3610))</f>
        <v>2</v>
      </c>
      <c r="O3610">
        <v>1</v>
      </c>
      <c r="P3610" t="str">
        <v xml:space="preserve">change
</v>
      </c>
      <c r="Q3610">
        <v>1</v>
      </c>
    </row>
    <row r="3611" spans="5:17" x14ac:dyDescent="0.2">
      <c r="E3611" s="9" t="s">
        <v>39</v>
      </c>
      <c r="K3611" t="str">
        <v xml:space="preserve">it
</v>
      </c>
      <c r="L3611" s="4" t="str">
        <f t="shared" si="66"/>
        <v xml:space="preserve">it </v>
      </c>
      <c r="N3611" s="4" cm="1">
        <f t="array" ref="N3611">SUM(--(_xlfn.TEXTSPLIT($J$3362,, " ") = M3611))</f>
        <v>2</v>
      </c>
      <c r="O3611">
        <v>1</v>
      </c>
      <c r="P3611" t="str">
        <v xml:space="preserve">uhh"
</v>
      </c>
      <c r="Q3611">
        <v>1</v>
      </c>
    </row>
    <row r="3612" spans="5:17" x14ac:dyDescent="0.2">
      <c r="E3612" s="9" t="s">
        <v>39</v>
      </c>
      <c r="K3612" t="str">
        <v>To</v>
      </c>
      <c r="L3612" s="4" t="str">
        <f t="shared" si="66"/>
        <v>To</v>
      </c>
      <c r="N3612" s="4" cm="1">
        <f t="array" ref="N3612">SUM(--(_xlfn.TEXTSPLIT($J$3362,, " ") = M3612))</f>
        <v>2</v>
      </c>
      <c r="O3612">
        <v>1</v>
      </c>
      <c r="P3612" t="str">
        <v xml:space="preserve">"Ah
</v>
      </c>
      <c r="Q3612">
        <v>1</v>
      </c>
    </row>
    <row r="3613" spans="5:17" x14ac:dyDescent="0.2">
      <c r="E3613" s="9" t="s">
        <v>39</v>
      </c>
      <c r="K3613" t="str">
        <v>waste</v>
      </c>
      <c r="L3613" s="4" t="str">
        <f t="shared" si="66"/>
        <v>waste</v>
      </c>
      <c r="N3613" s="4" cm="1">
        <f t="array" ref="N3613">SUM(--(_xlfn.TEXTSPLIT($J$3362,, " ") = M3613))</f>
        <v>2</v>
      </c>
      <c r="O3613">
        <v>1</v>
      </c>
      <c r="P3613" t="str">
        <v>""I</v>
      </c>
      <c r="Q3613">
        <v>1</v>
      </c>
    </row>
    <row r="3614" spans="5:17" x14ac:dyDescent="0.2">
      <c r="E3614" s="9" t="s">
        <v>39</v>
      </c>
      <c r="K3614" t="str">
        <v>time</v>
      </c>
      <c r="L3614" s="4" t="str">
        <f t="shared" si="66"/>
        <v>time</v>
      </c>
      <c r="N3614" s="4" cm="1">
        <f t="array" ref="N3614">SUM(--(_xlfn.TEXTSPLIT($J$3362,, " ") = M3614))</f>
        <v>2</v>
      </c>
      <c r="O3614">
        <v>1</v>
      </c>
      <c r="P3614" t="str">
        <v>chase</v>
      </c>
      <c r="Q3614">
        <v>1</v>
      </c>
    </row>
    <row r="3615" spans="5:17" x14ac:dyDescent="0.2">
      <c r="E3615" s="9" t="s">
        <v>39</v>
      </c>
      <c r="K3615" t="str">
        <v>in</v>
      </c>
      <c r="L3615" s="4" t="str">
        <f t="shared" si="66"/>
        <v>in</v>
      </c>
      <c r="N3615" s="4" cm="1">
        <f t="array" ref="N3615">SUM(--(_xlfn.TEXTSPLIT($J$3362,, " ") = M3615))</f>
        <v>2</v>
      </c>
      <c r="O3615">
        <v>1</v>
      </c>
      <c r="P3615" t="str">
        <v xml:space="preserve">it""
</v>
      </c>
      <c r="Q3615">
        <v>1</v>
      </c>
    </row>
    <row r="3616" spans="5:17" x14ac:dyDescent="0.2">
      <c r="E3616" s="9" t="s">
        <v>39</v>
      </c>
      <c r="K3616" t="str">
        <v>a</v>
      </c>
      <c r="L3616" s="4" t="str">
        <f t="shared" si="66"/>
        <v>a</v>
      </c>
      <c r="N3616" s="4" cm="1">
        <f t="array" ref="N3616">SUM(--(_xlfn.TEXTSPLIT($J$3362,, " ") = M3616))</f>
        <v>2</v>
      </c>
      <c r="O3616">
        <v>1</v>
      </c>
      <c r="P3616" t="str">
        <v>I'll</v>
      </c>
      <c r="Q3616">
        <v>1</v>
      </c>
    </row>
    <row r="3617" spans="5:17" x14ac:dyDescent="0.2">
      <c r="E3617" s="9" t="s">
        <v>39</v>
      </c>
      <c r="K3617" t="str">
        <v xml:space="preserve">city
</v>
      </c>
      <c r="L3617" s="4" t="str">
        <f t="shared" si="66"/>
        <v xml:space="preserve">city </v>
      </c>
      <c r="N3617" s="4" cm="1">
        <f t="array" ref="N3617">SUM(--(_xlfn.TEXTSPLIT($J$3362,, " ") = M3617))</f>
        <v>2</v>
      </c>
      <c r="O3617">
        <v>1</v>
      </c>
      <c r="P3617" t="str">
        <v>never</v>
      </c>
      <c r="Q3617">
        <v>1</v>
      </c>
    </row>
    <row r="3618" spans="5:17" x14ac:dyDescent="0.2">
      <c r="E3618" s="9" t="s">
        <v>39</v>
      </c>
      <c r="K3618" t="str">
        <v>Where</v>
      </c>
      <c r="L3618" s="4" t="str">
        <f t="shared" si="66"/>
        <v>Where</v>
      </c>
      <c r="N3618" s="4" cm="1">
        <f t="array" ref="N3618">SUM(--(_xlfn.TEXTSPLIT($J$3362,, " ") = M3618))</f>
        <v>2</v>
      </c>
      <c r="O3618">
        <v>1</v>
      </c>
      <c r="P3618" t="str">
        <v xml:space="preserve">""No""
</v>
      </c>
      <c r="Q3618">
        <v>1</v>
      </c>
    </row>
    <row r="3619" spans="5:17" x14ac:dyDescent="0.2">
      <c r="E3619" s="9" t="s">
        <v>39</v>
      </c>
      <c r="K3619" t="str">
        <v>no</v>
      </c>
      <c r="L3619" s="4" t="str">
        <f t="shared" ref="L3619:L3652" si="67">_xlfn.REGEXREPLACE(K3619, "[^A-Za-z ]", " ")</f>
        <v>no</v>
      </c>
      <c r="N3619" s="4" cm="1">
        <f t="array" ref="N3619">SUM(--(_xlfn.TEXTSPLIT($J$3362,, " ") = M3619))</f>
        <v>2</v>
      </c>
      <c r="O3619">
        <v>1</v>
      </c>
      <c r="P3619" t="str">
        <v>narrow</v>
      </c>
      <c r="Q3619">
        <v>1</v>
      </c>
    </row>
    <row r="3620" spans="5:17" x14ac:dyDescent="0.2">
      <c r="E3620" s="9" t="s">
        <v>39</v>
      </c>
      <c r="K3620" t="str">
        <v>one</v>
      </c>
      <c r="L3620" s="4" t="str">
        <f t="shared" si="67"/>
        <v>one</v>
      </c>
      <c r="N3620" s="4" cm="1">
        <f t="array" ref="N3620">SUM(--(_xlfn.TEXTSPLIT($J$3362,, " ") = M3620))</f>
        <v>2</v>
      </c>
      <c r="O3620">
        <v>1</v>
      </c>
      <c r="P3620" t="str">
        <v xml:space="preserve">tight
</v>
      </c>
      <c r="Q3620">
        <v>1</v>
      </c>
    </row>
    <row r="3621" spans="5:17" x14ac:dyDescent="0.2">
      <c r="E3621" s="9" t="s">
        <v>39</v>
      </c>
      <c r="K3621" t="str">
        <v>knows</v>
      </c>
      <c r="L3621" s="4" t="str">
        <f t="shared" si="67"/>
        <v>knows</v>
      </c>
      <c r="N3621" s="4" cm="1">
        <f t="array" ref="N3621">SUM(--(_xlfn.TEXTSPLIT($J$3362,, " ") = M3621))</f>
        <v>2</v>
      </c>
      <c r="O3621">
        <v>1</v>
      </c>
      <c r="P3621" t="str">
        <v>Somewhere</v>
      </c>
      <c r="Q3621">
        <v>1</v>
      </c>
    </row>
    <row r="3622" spans="5:17" x14ac:dyDescent="0.2">
      <c r="E3622" s="9" t="s">
        <v>39</v>
      </c>
      <c r="K3622" t="str">
        <v>your</v>
      </c>
      <c r="L3622" s="4" t="str">
        <f t="shared" si="67"/>
        <v>your</v>
      </c>
      <c r="N3622" s="4" cm="1">
        <f t="array" ref="N3622">SUM(--(_xlfn.TEXTSPLIT($J$3362,, " ") = M3622))</f>
        <v>2</v>
      </c>
      <c r="O3622">
        <v>1</v>
      </c>
      <c r="P3622" t="str">
        <v xml:space="preserve">follow
</v>
      </c>
      <c r="Q3622">
        <v>1</v>
      </c>
    </row>
    <row r="3623" spans="5:17" x14ac:dyDescent="0.2">
      <c r="E3623" s="9" t="s">
        <v>39</v>
      </c>
      <c r="K3623" t="str">
        <v xml:space="preserve">name
</v>
      </c>
      <c r="L3623" s="4" t="str">
        <f t="shared" si="67"/>
        <v xml:space="preserve">name </v>
      </c>
      <c r="N3623" s="4" cm="1">
        <f t="array" ref="N3623">SUM(--(_xlfn.TEXTSPLIT($J$3362,, " ") = M3623))</f>
        <v>2</v>
      </c>
      <c r="O3623">
        <v>1</v>
      </c>
      <c r="P3623" t="str">
        <v>""Don't</v>
      </c>
      <c r="Q3623">
        <v>1</v>
      </c>
    </row>
    <row r="3624" spans="5:17" x14ac:dyDescent="0.2">
      <c r="E3624" s="9" t="s">
        <v>39</v>
      </c>
      <c r="K3624" t="str">
        <v>My</v>
      </c>
      <c r="L3624" s="4" t="str">
        <f t="shared" si="67"/>
        <v>My</v>
      </c>
      <c r="N3624" s="4" cm="1">
        <f t="array" ref="N3624">SUM(--(_xlfn.TEXTSPLIT($J$3362,, " ") = M3624))</f>
        <v>2</v>
      </c>
      <c r="O3624">
        <v>1</v>
      </c>
      <c r="P3624" t="str">
        <v>worry</v>
      </c>
      <c r="Q3624">
        <v>1</v>
      </c>
    </row>
    <row r="3625" spans="5:17" x14ac:dyDescent="0.2">
      <c r="E3625" s="9" t="s">
        <v>39</v>
      </c>
      <c r="K3625" t="str">
        <v>days</v>
      </c>
      <c r="L3625" s="4" t="str">
        <f t="shared" si="67"/>
        <v>days</v>
      </c>
      <c r="N3625" s="4" cm="1">
        <f t="array" ref="N3625">SUM(--(_xlfn.TEXTSPLIT($J$3362,, " ") = M3625))</f>
        <v>2</v>
      </c>
      <c r="O3625">
        <v>1</v>
      </c>
      <c r="P3625" t="str">
        <v>'bout</v>
      </c>
      <c r="Q3625">
        <v>1</v>
      </c>
    </row>
    <row r="3626" spans="5:17" x14ac:dyDescent="0.2">
      <c r="E3626" s="9" t="s">
        <v>39</v>
      </c>
      <c r="K3626" t="str">
        <v>lie</v>
      </c>
      <c r="L3626" s="4" t="str">
        <f t="shared" si="67"/>
        <v>lie</v>
      </c>
      <c r="N3626" s="4" cm="1">
        <f t="array" ref="N3626">SUM(--(_xlfn.TEXTSPLIT($J$3362,, " ") = M3626))</f>
        <v>2</v>
      </c>
      <c r="O3626">
        <v>1</v>
      </c>
      <c r="P3626" t="str">
        <v xml:space="preserve">though
</v>
      </c>
      <c r="Q3626">
        <v>1</v>
      </c>
    </row>
    <row r="3627" spans="5:17" x14ac:dyDescent="0.2">
      <c r="E3627" s="9" t="s">
        <v>39</v>
      </c>
      <c r="K3627" t="str">
        <v xml:space="preserve">dormant
</v>
      </c>
      <c r="L3627" s="4" t="str">
        <f t="shared" si="67"/>
        <v xml:space="preserve">dormant </v>
      </c>
      <c r="N3627" s="4" cm="1">
        <f t="array" ref="N3627">SUM(--(_xlfn.TEXTSPLIT($J$3362,, " ") = M3627))</f>
        <v>2</v>
      </c>
      <c r="O3627">
        <v>1</v>
      </c>
      <c r="P3627" t="str">
        <v>looks</v>
      </c>
      <c r="Q3627">
        <v>1</v>
      </c>
    </row>
    <row r="3628" spans="5:17" x14ac:dyDescent="0.2">
      <c r="E3628" s="9" t="s">
        <v>39</v>
      </c>
      <c r="K3628" t="str">
        <v>'Cause</v>
      </c>
      <c r="L3628" s="4" t="str">
        <f t="shared" si="67"/>
        <v xml:space="preserve"> Cause</v>
      </c>
      <c r="N3628" s="4" cm="1">
        <f t="array" ref="N3628">SUM(--(_xlfn.TEXTSPLIT($J$3362,, " ") = M3628))</f>
        <v>2</v>
      </c>
      <c r="O3628">
        <v>1</v>
      </c>
      <c r="P3628" t="str">
        <v>so</v>
      </c>
      <c r="Q3628">
        <v>1</v>
      </c>
    </row>
    <row r="3629" spans="5:17" x14ac:dyDescent="0.2">
      <c r="E3629" s="9" t="s">
        <v>39</v>
      </c>
      <c r="K3629" t="str">
        <v>I</v>
      </c>
      <c r="L3629" s="4" t="str">
        <f t="shared" si="67"/>
        <v>I</v>
      </c>
      <c r="N3629" s="4" cm="1">
        <f t="array" ref="N3629">SUM(--(_xlfn.TEXTSPLIT($J$3362,, " ") = M3629))</f>
        <v>2</v>
      </c>
      <c r="O3629">
        <v>1</v>
      </c>
      <c r="P3629" t="str">
        <v>much</v>
      </c>
      <c r="Q3629">
        <v>1</v>
      </c>
    </row>
    <row r="3630" spans="5:17" x14ac:dyDescent="0.2">
      <c r="E3630" s="9" t="s">
        <v>39</v>
      </c>
      <c r="K3630" t="str">
        <v>just</v>
      </c>
      <c r="L3630" s="4" t="str">
        <f t="shared" si="67"/>
        <v>just</v>
      </c>
      <c r="N3630" s="4" cm="1">
        <f t="array" ref="N3630">SUM(--(_xlfn.TEXTSPLIT($J$3362,, " ") = M3630))</f>
        <v>2</v>
      </c>
      <c r="O3630">
        <v>1</v>
      </c>
      <c r="P3630" t="str">
        <v>warmer</v>
      </c>
      <c r="Q3630">
        <v>1</v>
      </c>
    </row>
    <row r="3631" spans="5:17" x14ac:dyDescent="0.2">
      <c r="E3631" s="9" t="s">
        <v>39</v>
      </c>
      <c r="K3631" t="str">
        <v>can't</v>
      </c>
      <c r="L3631" s="4" t="str">
        <f t="shared" si="67"/>
        <v>can t</v>
      </c>
      <c r="N3631" s="4" cm="1">
        <f t="array" ref="N3631">SUM(--(_xlfn.TEXTSPLIT($J$3362,, " ") = M3631))</f>
        <v>2</v>
      </c>
      <c r="O3631">
        <v>1</v>
      </c>
      <c r="P3631" t="str">
        <v xml:space="preserve">there""
</v>
      </c>
      <c r="Q3631">
        <v>1</v>
      </c>
    </row>
    <row r="3632" spans="5:17" x14ac:dyDescent="0.2">
      <c r="E3632" s="9" t="s">
        <v>39</v>
      </c>
      <c r="K3632" t="str">
        <v>afford</v>
      </c>
      <c r="L3632" s="4" t="str">
        <f t="shared" si="67"/>
        <v>afford</v>
      </c>
      <c r="N3632" s="4" cm="1">
        <f t="array" ref="N3632">SUM(--(_xlfn.TEXTSPLIT($J$3362,, " ") = M3632))</f>
        <v>2</v>
      </c>
      <c r="O3632">
        <v>1</v>
      </c>
      <c r="P3632" t="str">
        <v>try</v>
      </c>
      <c r="Q3632">
        <v>1</v>
      </c>
    </row>
    <row r="3633" spans="5:17" x14ac:dyDescent="0.2">
      <c r="E3633" s="9" t="s">
        <v>39</v>
      </c>
      <c r="K3633" t="str">
        <v xml:space="preserve">it
</v>
      </c>
      <c r="L3633" s="4" t="str">
        <f t="shared" si="67"/>
        <v xml:space="preserve">it </v>
      </c>
      <c r="N3633" s="4" cm="1">
        <f t="array" ref="N3633">SUM(--(_xlfn.TEXTSPLIT($J$3362,, " ") = M3633))</f>
        <v>2</v>
      </c>
      <c r="O3633">
        <v>1</v>
      </c>
      <c r="P3633" t="str">
        <v>Topo</v>
      </c>
      <c r="Q3633">
        <v>1</v>
      </c>
    </row>
    <row r="3634" spans="5:17" x14ac:dyDescent="0.2">
      <c r="E3634" s="9" t="s">
        <v>39</v>
      </c>
      <c r="K3634" t="str">
        <v>To</v>
      </c>
      <c r="L3634" s="4" t="str">
        <f t="shared" si="67"/>
        <v>To</v>
      </c>
      <c r="N3634" s="4" cm="1">
        <f t="array" ref="N3634">SUM(--(_xlfn.TEXTSPLIT($J$3362,, " ") = M3634))</f>
        <v>2</v>
      </c>
      <c r="O3634">
        <v>1</v>
      </c>
      <c r="P3634" t="str">
        <v xml:space="preserve">Chico
</v>
      </c>
      <c r="Q3634">
        <v>1</v>
      </c>
    </row>
    <row r="3635" spans="5:17" x14ac:dyDescent="0.2">
      <c r="E3635" s="9" t="s">
        <v>39</v>
      </c>
      <c r="K3635" t="str">
        <v>waste</v>
      </c>
      <c r="L3635" s="4" t="str">
        <f t="shared" si="67"/>
        <v>waste</v>
      </c>
      <c r="N3635" s="4" cm="1">
        <f t="array" ref="N3635">SUM(--(_xlfn.TEXTSPLIT($J$3362,, " ") = M3635))</f>
        <v>2</v>
      </c>
      <c r="O3635">
        <v>1</v>
      </c>
      <c r="P3635" t="str">
        <v>get</v>
      </c>
      <c r="Q3635">
        <v>1</v>
      </c>
    </row>
    <row r="3636" spans="5:17" x14ac:dyDescent="0.2">
      <c r="E3636" s="9" t="s">
        <v>39</v>
      </c>
      <c r="K3636" t="str">
        <v>my</v>
      </c>
      <c r="L3636" s="4" t="str">
        <f t="shared" si="67"/>
        <v>my</v>
      </c>
      <c r="N3636" s="4" cm="1">
        <f t="array" ref="N3636">SUM(--(_xlfn.TEXTSPLIT($J$3362,, " ") = M3636))</f>
        <v>2</v>
      </c>
      <c r="O3636">
        <v>1</v>
      </c>
      <c r="P3636" t="str">
        <v>some</v>
      </c>
      <c r="Q3636">
        <v>1</v>
      </c>
    </row>
    <row r="3637" spans="5:17" x14ac:dyDescent="0.2">
      <c r="E3637" s="9" t="s">
        <v>39</v>
      </c>
      <c r="K3637" t="str">
        <v>time</v>
      </c>
      <c r="L3637" s="4" t="str">
        <f t="shared" si="67"/>
        <v>time</v>
      </c>
      <c r="N3637" s="4" cm="1">
        <f t="array" ref="N3637">SUM(--(_xlfn.TEXTSPLIT($J$3362,, " ") = M3637))</f>
        <v>2</v>
      </c>
      <c r="O3637">
        <v>1</v>
      </c>
      <c r="P3637" t="str">
        <v>more</v>
      </c>
      <c r="Q3637">
        <v>1</v>
      </c>
    </row>
    <row r="3638" spans="5:17" x14ac:dyDescent="0.2">
      <c r="E3638" s="9" t="s">
        <v>39</v>
      </c>
      <c r="K3638" t="str">
        <v>inside</v>
      </c>
      <c r="L3638" s="4" t="str">
        <f t="shared" si="67"/>
        <v>inside</v>
      </c>
      <c r="N3638" s="4" cm="1">
        <f t="array" ref="N3638">SUM(--(_xlfn.TEXTSPLIT($J$3362,, " ") = M3638))</f>
        <v>2</v>
      </c>
      <c r="O3638">
        <v>1</v>
      </c>
      <c r="P3638" t="str">
        <v xml:space="preserve">sun
</v>
      </c>
      <c r="Q3638">
        <v>1</v>
      </c>
    </row>
    <row r="3639" spans="5:17" x14ac:dyDescent="0.2">
      <c r="E3639" s="9" t="s">
        <v>39</v>
      </c>
      <c r="K3639" t="str">
        <v>a</v>
      </c>
      <c r="L3639" s="4" t="str">
        <f t="shared" si="67"/>
        <v>a</v>
      </c>
      <c r="N3639" s="4" cm="1">
        <f t="array" ref="N3639">SUM(--(_xlfn.TEXTSPLIT($J$3362,, " ") = M3639))</f>
        <v>2</v>
      </c>
      <c r="O3639">
        <v>1</v>
      </c>
      <c r="P3639" t="str">
        <v>Frozen</v>
      </c>
      <c r="Q3639">
        <v>1</v>
      </c>
    </row>
    <row r="3640" spans="5:17" x14ac:dyDescent="0.2">
      <c r="E3640" s="9" t="s">
        <v>39</v>
      </c>
      <c r="K3640" t="str">
        <v>place</v>
      </c>
      <c r="L3640" s="4" t="str">
        <f t="shared" si="67"/>
        <v>place</v>
      </c>
      <c r="N3640" s="4" cm="1">
        <f t="array" ref="N3640">SUM(--(_xlfn.TEXTSPLIT($J$3362,, " ") = M3640))</f>
        <v>2</v>
      </c>
      <c r="O3640">
        <v>1</v>
      </c>
      <c r="P3640" t="str">
        <v xml:space="preserve">distorted
</v>
      </c>
      <c r="Q3640">
        <v>1</v>
      </c>
    </row>
    <row r="3641" spans="5:17" x14ac:dyDescent="0.2">
      <c r="E3641" s="9" t="s">
        <v>39</v>
      </c>
      <c r="K3641" t="str">
        <v>you're</v>
      </c>
      <c r="L3641" s="4" t="str">
        <f t="shared" si="67"/>
        <v>you re</v>
      </c>
      <c r="N3641" s="4" cm="1">
        <f t="array" ref="N3641">SUM(--(_xlfn.TEXTSPLIT($J$3362,, " ") = M3641))</f>
        <v>2</v>
      </c>
      <c r="O3641">
        <v>1</v>
      </c>
      <c r="P3641" t="str">
        <v>Robbed</v>
      </c>
      <c r="Q3641">
        <v>1</v>
      </c>
    </row>
    <row r="3642" spans="5:17" x14ac:dyDescent="0.2">
      <c r="E3642" s="9" t="s">
        <v>39</v>
      </c>
      <c r="K3642" t="str">
        <v xml:space="preserve">not
</v>
      </c>
      <c r="L3642" s="4" t="str">
        <f t="shared" si="67"/>
        <v xml:space="preserve">not </v>
      </c>
      <c r="N3642" s="4" cm="1">
        <f t="array" ref="N3642">SUM(--(_xlfn.TEXTSPLIT($J$3362,, " ") = M3642))</f>
        <v>2</v>
      </c>
      <c r="O3642">
        <v>1</v>
      </c>
      <c r="P3642" t="str">
        <v>of</v>
      </c>
      <c r="Q3642">
        <v>1</v>
      </c>
    </row>
    <row r="3643" spans="5:17" x14ac:dyDescent="0.2">
      <c r="E3643" s="9" t="s">
        <v>39</v>
      </c>
      <c r="K3643" t="str">
        <v>Don't</v>
      </c>
      <c r="L3643" s="4" t="str">
        <f t="shared" si="67"/>
        <v>Don t</v>
      </c>
      <c r="N3643" s="4" cm="1">
        <f t="array" ref="N3643">SUM(--(_xlfn.TEXTSPLIT($J$3362,, " ") = M3643))</f>
        <v>2</v>
      </c>
      <c r="O3643">
        <v>1</v>
      </c>
      <c r="P3643" t="str">
        <v xml:space="preserve">momentum
</v>
      </c>
      <c r="Q3643">
        <v>1</v>
      </c>
    </row>
    <row r="3644" spans="5:17" x14ac:dyDescent="0.2">
      <c r="E3644" s="9" t="s">
        <v>39</v>
      </c>
      <c r="K3644" t="str">
        <v>make</v>
      </c>
      <c r="L3644" s="4" t="str">
        <f t="shared" si="67"/>
        <v>make</v>
      </c>
      <c r="N3644" s="4" cm="1">
        <f t="array" ref="N3644">SUM(--(_xlfn.TEXTSPLIT($J$3362,, " ") = M3644))</f>
        <v>2</v>
      </c>
      <c r="O3644">
        <v>1</v>
      </c>
      <c r="P3644" t="str">
        <v>suspended</v>
      </c>
      <c r="Q3644">
        <v>1</v>
      </c>
    </row>
    <row r="3645" spans="5:17" x14ac:dyDescent="0.2">
      <c r="E3645" s="9" t="s">
        <v>39</v>
      </c>
      <c r="K3645" t="str">
        <v>me</v>
      </c>
      <c r="L3645" s="4" t="str">
        <f t="shared" si="67"/>
        <v>me</v>
      </c>
      <c r="N3645" s="4" cm="1">
        <f t="array" ref="N3645">SUM(--(_xlfn.TEXTSPLIT($J$3362,, " ") = M3645))</f>
        <v>2</v>
      </c>
      <c r="O3645">
        <v>1</v>
      </c>
      <c r="P3645" t="str">
        <v>the</v>
      </c>
      <c r="Q3645">
        <v>1</v>
      </c>
    </row>
    <row r="3646" spans="5:17" x14ac:dyDescent="0.2">
      <c r="E3646" s="9" t="s">
        <v>39</v>
      </c>
      <c r="K3646" t="str">
        <v>waste</v>
      </c>
      <c r="L3646" s="4" t="str">
        <f t="shared" si="67"/>
        <v>waste</v>
      </c>
      <c r="N3646" s="4" cm="1">
        <f t="array" ref="N3646">SUM(--(_xlfn.TEXTSPLIT($J$3362,, " ") = M3646))</f>
        <v>2</v>
      </c>
      <c r="O3646">
        <v>1</v>
      </c>
      <c r="P3646" t="str">
        <v xml:space="preserve">air
</v>
      </c>
      <c r="Q3646">
        <v>1</v>
      </c>
    </row>
    <row r="3647" spans="5:17" x14ac:dyDescent="0.2">
      <c r="E3647" s="9" t="s">
        <v>39</v>
      </c>
      <c r="K3647" t="str">
        <v>my</v>
      </c>
      <c r="L3647" s="4" t="str">
        <f t="shared" si="67"/>
        <v>my</v>
      </c>
      <c r="N3647" s="4" cm="1">
        <f t="array" ref="N3647">SUM(--(_xlfn.TEXTSPLIT($J$3362,, " ") = M3647))</f>
        <v>2</v>
      </c>
      <c r="O3647">
        <v>1</v>
      </c>
      <c r="P3647" t="str">
        <v>feeling</v>
      </c>
      <c r="Q3647">
        <v>1</v>
      </c>
    </row>
    <row r="3648" spans="5:17" x14ac:dyDescent="0.2">
      <c r="E3648" s="9" t="s">
        <v>39</v>
      </c>
      <c r="K3648" t="str">
        <v xml:space="preserve">love
</v>
      </c>
      <c r="L3648" s="4" t="str">
        <f t="shared" si="67"/>
        <v xml:space="preserve">love </v>
      </c>
      <c r="N3648" s="4" cm="1">
        <f t="array" ref="N3648">SUM(--(_xlfn.TEXTSPLIT($J$3362,, " ") = M3648))</f>
        <v>2</v>
      </c>
      <c r="O3648">
        <v>1</v>
      </c>
      <c r="P3648" t="str">
        <v>less</v>
      </c>
      <c r="Q3648">
        <v>1</v>
      </c>
    </row>
    <row r="3649" spans="1:18" x14ac:dyDescent="0.2">
      <c r="E3649" s="9" t="s">
        <v>39</v>
      </c>
      <c r="K3649" t="str">
        <v>It's</v>
      </c>
      <c r="L3649" s="4" t="str">
        <f t="shared" si="67"/>
        <v>It s</v>
      </c>
      <c r="N3649" s="4" cm="1">
        <f t="array" ref="N3649">SUM(--(_xlfn.TEXTSPLIT($J$3362,, " ") = M3649))</f>
        <v>2</v>
      </c>
      <c r="O3649">
        <v>1</v>
      </c>
      <c r="P3649" t="str">
        <v xml:space="preserve">important
</v>
      </c>
      <c r="Q3649">
        <v>1</v>
      </c>
    </row>
    <row r="3650" spans="1:18" x14ac:dyDescent="0.2">
      <c r="E3650" s="9" t="s">
        <v>39</v>
      </c>
      <c r="K3650" t="str">
        <v>everything</v>
      </c>
      <c r="L3650" s="4" t="str">
        <f t="shared" si="67"/>
        <v>everything</v>
      </c>
      <c r="N3650" s="4" cm="1">
        <f t="array" ref="N3650">SUM(--(_xlfn.TEXTSPLIT($J$3362,, " ") = M3650))</f>
        <v>2</v>
      </c>
      <c r="O3650">
        <v>1</v>
      </c>
      <c r="P3650" t="str">
        <v xml:space="preserve">got
</v>
      </c>
      <c r="Q3650">
        <v>1</v>
      </c>
    </row>
    <row r="3651" spans="1:18" x14ac:dyDescent="0.2">
      <c r="E3651" s="9" t="s">
        <v>39</v>
      </c>
      <c r="K3651" t="str">
        <v>I've</v>
      </c>
      <c r="L3651" s="4" t="str">
        <f t="shared" si="67"/>
        <v>I ve</v>
      </c>
      <c r="N3651" s="4" cm="1">
        <f t="array" ref="N3651">SUM(--(_xlfn.TEXTSPLIT($J$3362,, " ") = M3651))</f>
        <v>2</v>
      </c>
      <c r="O3651">
        <v>1</v>
      </c>
      <c r="P3651" t="str">
        <v xml:space="preserve">Yeah-yeah-yeah-yeah
</v>
      </c>
      <c r="Q3651">
        <v>1</v>
      </c>
    </row>
    <row r="3652" spans="1:18" x14ac:dyDescent="0.2">
      <c r="E3652" s="9" t="s">
        <v>39</v>
      </c>
      <c r="K3652" t="str">
        <v>got"</v>
      </c>
      <c r="L3652" s="4" t="str">
        <f t="shared" si="67"/>
        <v xml:space="preserve">got </v>
      </c>
      <c r="N3652" s="4" cm="1">
        <f t="array" ref="N3652">SUM(--(_xlfn.TEXTSPLIT($J$3362,, " ") = M3652))</f>
        <v>2</v>
      </c>
      <c r="O3652">
        <v>1</v>
      </c>
      <c r="P3652" t="str">
        <v>got"</v>
      </c>
      <c r="Q3652">
        <v>1</v>
      </c>
    </row>
    <row r="3653" spans="1:18" x14ac:dyDescent="0.2">
      <c r="A3653" s="4">
        <v>12</v>
      </c>
      <c r="B3653" s="5">
        <v>45912</v>
      </c>
      <c r="C3653" s="6">
        <v>0.14722222222222223</v>
      </c>
      <c r="D3653" s="7">
        <v>212</v>
      </c>
      <c r="E3653" s="9" t="s">
        <v>41</v>
      </c>
      <c r="F3653" s="4">
        <v>12</v>
      </c>
      <c r="G3653" s="8" t="s">
        <v>15</v>
      </c>
      <c r="H3653" s="9" t="s">
        <v>42</v>
      </c>
      <c r="I3653" s="4">
        <v>1</v>
      </c>
      <c r="J3653" s="4" t="str">
        <f>_xlfn.TEXTJOIN(" ", TRUE, H3653:H3666)</f>
        <v xml:space="preserve"> "I lost my rank and title
 I turned my back on it
 Sold it all at a discount (Yeah, yeah)
 I wanted to progress things
 I wanted my soul set free
 Lost it all at a discount (Yeah, yeah)
 You and I both know that's how the story goes
 We've seen it several times (Yeah, yeah)
 It's kinda hard to know, is there's a point at all?
 Or should we cut the line?
 You want a tally, I lost the count
 You want to love me, I'll let you down
 Still now, you believe in me somehow
 When I replay it in my mind
 I see your heartbreak every time
 Still now, you believe in me somehow
 You believe in me somehow
 You believe in me somehow
 I liken our fight to two lightning strikes strike on cue
 Like right when a storm hits, sights set (Yeah, yeah)
 Right set, circumstantial proof
 You should go your way, I should try mine
 Even though we both know
 We should just cut the line (Yeah, yeah)
 You want a tally, I lost the count
 You want to love me, I'll let you down
 Still now, you believe in me somehow
 When I replay it in my mind
 I see your heartbreak every time
 Still now, you believe in me somehow
 Somehow, somehow (Ooh, ooh)
 You believe in me somehow
 Ooh
 Ooh, somehow I figured you were keeping track of every time
 Just figured you were keeping track of every time
 I let you down, I breached your trust, I let you down
 Just figured you were keeping track of every time
 You were keeping track
 You want a tally, I lost the count (You want a tally)
 You want to love me (You want to love me), I'll let you down
 Still now (Still now), you believe in me somehow (You believe in me somehow)
 When I replay it in my mind (When I replay it)
 I see your heartbreak every time (I see your heartbreak)
 Still now (Still now), you believe in me somehow
 Yeah, yeah"</v>
      </c>
      <c r="K3653" s="4" t="str" cm="1">
        <f t="array" ref="K3653:K3998">_xlfn.TEXTSPLIT(J3653, ," ")</f>
        <v/>
      </c>
      <c r="L3653" s="4" t="str">
        <f>_xlfn.REGEXREPLACE(K3653, "[^A-Za-z ]", " ")</f>
        <v/>
      </c>
      <c r="M3653" s="4" t="str" cm="1">
        <f t="array" ref="M3653:M3784">_xlfn.UNIQUE(_xlfn.TEXTSPLIT(J3653, , " "))</f>
        <v/>
      </c>
      <c r="N3653" s="4" cm="1">
        <f t="array" ref="N3653">SUM(--(_xlfn.TEXTSPLIT($J$3653,, " ") = M3653))</f>
        <v>1</v>
      </c>
      <c r="O3653" s="4" cm="1">
        <f t="array" ref="O3653:O3998">_xlfn._xlws.SORT(N3653:N3998, ,-1)</f>
        <v>26</v>
      </c>
      <c r="P3653" s="4" t="str" cm="1">
        <f t="array" ref="P3653:Q3998">_xlfn.SORTBY(M3653:N3998, N3653:N3998, -1)</f>
        <v>You</v>
      </c>
      <c r="Q3653" s="4">
        <v>26</v>
      </c>
      <c r="R3653">
        <v>3998</v>
      </c>
    </row>
    <row r="3654" spans="1:18" x14ac:dyDescent="0.2">
      <c r="E3654" s="9" t="s">
        <v>41</v>
      </c>
      <c r="K3654" t="str">
        <v>"I</v>
      </c>
      <c r="L3654" s="4" t="str">
        <f t="shared" ref="L3654:L3717" si="68">_xlfn.REGEXREPLACE(K3654, "[^A-Za-z ]", " ")</f>
        <v xml:space="preserve"> I</v>
      </c>
      <c r="M3654" t="str">
        <v>"I</v>
      </c>
      <c r="N3654" s="4" cm="1">
        <f t="array" ref="N3654">SUM(--(_xlfn.TEXTSPLIT($J$3653,, " ") = M3654))</f>
        <v>1</v>
      </c>
      <c r="O3654">
        <v>20</v>
      </c>
      <c r="P3654" t="str">
        <v>I</v>
      </c>
      <c r="Q3654">
        <v>20</v>
      </c>
    </row>
    <row r="3655" spans="1:18" x14ac:dyDescent="0.2">
      <c r="E3655" s="9" t="s">
        <v>41</v>
      </c>
      <c r="K3655" t="str">
        <v>lost</v>
      </c>
      <c r="L3655" s="4" t="str">
        <f t="shared" si="68"/>
        <v>lost</v>
      </c>
      <c r="M3655" t="str">
        <v>lost</v>
      </c>
      <c r="N3655" s="4" cm="1">
        <f t="array" ref="N3655">SUM(--(_xlfn.TEXTSPLIT($J$3653,, " ") = M3655))</f>
        <v>5</v>
      </c>
      <c r="O3655">
        <v>13</v>
      </c>
      <c r="P3655" t="str">
        <v>in</v>
      </c>
      <c r="Q3655">
        <v>13</v>
      </c>
    </row>
    <row r="3656" spans="1:18" x14ac:dyDescent="0.2">
      <c r="E3656" s="9" t="s">
        <v>41</v>
      </c>
      <c r="K3656" t="str">
        <v>my</v>
      </c>
      <c r="L3656" s="4" t="str">
        <f t="shared" si="68"/>
        <v>my</v>
      </c>
      <c r="M3656" t="str">
        <v>my</v>
      </c>
      <c r="N3656" s="4" cm="1">
        <f t="array" ref="N3656">SUM(--(_xlfn.TEXTSPLIT($J$3653,, " ") = M3656))</f>
        <v>6</v>
      </c>
      <c r="O3656">
        <v>11</v>
      </c>
      <c r="P3656" t="str">
        <v>me</v>
      </c>
      <c r="Q3656">
        <v>11</v>
      </c>
    </row>
    <row r="3657" spans="1:18" x14ac:dyDescent="0.2">
      <c r="E3657" s="9" t="s">
        <v>41</v>
      </c>
      <c r="K3657" t="str">
        <v>rank</v>
      </c>
      <c r="L3657" s="4" t="str">
        <f t="shared" si="68"/>
        <v>rank</v>
      </c>
      <c r="M3657" t="str">
        <v>rank</v>
      </c>
      <c r="N3657" s="4" cm="1">
        <f t="array" ref="N3657">SUM(--(_xlfn.TEXTSPLIT($J$3653,, " ") = M3657))</f>
        <v>1</v>
      </c>
      <c r="O3657">
        <v>10</v>
      </c>
      <c r="P3657" t="str">
        <v>believe</v>
      </c>
      <c r="Q3657">
        <v>10</v>
      </c>
    </row>
    <row r="3658" spans="1:18" x14ac:dyDescent="0.2">
      <c r="E3658" s="9" t="s">
        <v>41</v>
      </c>
      <c r="K3658" t="str">
        <v>and</v>
      </c>
      <c r="L3658" s="4" t="str">
        <f t="shared" si="68"/>
        <v>and</v>
      </c>
      <c r="M3658" t="str">
        <v>and</v>
      </c>
      <c r="N3658" s="4" cm="1">
        <f t="array" ref="N3658">SUM(--(_xlfn.TEXTSPLIT($J$3653,, " ") = M3658))</f>
        <v>2</v>
      </c>
      <c r="O3658">
        <v>8</v>
      </c>
      <c r="P3658" t="str">
        <v>a</v>
      </c>
      <c r="Q3658">
        <v>8</v>
      </c>
    </row>
    <row r="3659" spans="1:18" x14ac:dyDescent="0.2">
      <c r="E3659" s="9" t="s">
        <v>41</v>
      </c>
      <c r="K3659" t="str">
        <v xml:space="preserve">title
</v>
      </c>
      <c r="L3659" s="4" t="str">
        <f t="shared" si="68"/>
        <v xml:space="preserve">title </v>
      </c>
      <c r="M3659" t="str">
        <v xml:space="preserve">title
</v>
      </c>
      <c r="N3659" s="4" cm="1">
        <f t="array" ref="N3659">SUM(--(_xlfn.TEXTSPLIT($J$3653,, " ") = M3659))</f>
        <v>1</v>
      </c>
      <c r="O3659">
        <v>8</v>
      </c>
      <c r="P3659" t="str">
        <v>want</v>
      </c>
      <c r="Q3659">
        <v>8</v>
      </c>
    </row>
    <row r="3660" spans="1:18" x14ac:dyDescent="0.2">
      <c r="E3660" s="9" t="s">
        <v>41</v>
      </c>
      <c r="K3660" t="str">
        <v>I</v>
      </c>
      <c r="L3660" s="4" t="str">
        <f t="shared" si="68"/>
        <v>I</v>
      </c>
      <c r="M3660" t="str">
        <v>I</v>
      </c>
      <c r="N3660" s="4" cm="1">
        <f t="array" ref="N3660">SUM(--(_xlfn.TEXTSPLIT($J$3653,, " ") = M3660))</f>
        <v>20</v>
      </c>
      <c r="O3660">
        <v>7</v>
      </c>
      <c r="P3660" t="str">
        <v>to</v>
      </c>
      <c r="Q3660">
        <v>7</v>
      </c>
    </row>
    <row r="3661" spans="1:18" x14ac:dyDescent="0.2">
      <c r="E3661" s="9" t="s">
        <v>41</v>
      </c>
      <c r="K3661" t="str">
        <v>turned</v>
      </c>
      <c r="L3661" s="4" t="str">
        <f t="shared" si="68"/>
        <v>turned</v>
      </c>
      <c r="M3661" t="str">
        <v>turned</v>
      </c>
      <c r="N3661" s="4" cm="1">
        <f t="array" ref="N3661">SUM(--(_xlfn.TEXTSPLIT($J$3653,, " ") = M3661))</f>
        <v>1</v>
      </c>
      <c r="O3661">
        <v>6</v>
      </c>
      <c r="P3661" t="str">
        <v>my</v>
      </c>
      <c r="Q3661">
        <v>6</v>
      </c>
    </row>
    <row r="3662" spans="1:18" x14ac:dyDescent="0.2">
      <c r="E3662" s="9" t="s">
        <v>41</v>
      </c>
      <c r="K3662" t="str">
        <v>my</v>
      </c>
      <c r="L3662" s="4" t="str">
        <f t="shared" si="68"/>
        <v>my</v>
      </c>
      <c r="M3662" t="str">
        <v>back</v>
      </c>
      <c r="N3662" s="4" cm="1">
        <f t="array" ref="N3662">SUM(--(_xlfn.TEXTSPLIT($J$3653,, " ") = M3662))</f>
        <v>1</v>
      </c>
      <c r="O3662">
        <v>6</v>
      </c>
      <c r="P3662" t="str">
        <v>it</v>
      </c>
      <c r="Q3662">
        <v>6</v>
      </c>
    </row>
    <row r="3663" spans="1:18" x14ac:dyDescent="0.2">
      <c r="E3663" s="9" t="s">
        <v>41</v>
      </c>
      <c r="K3663" t="str">
        <v>back</v>
      </c>
      <c r="L3663" s="4" t="str">
        <f t="shared" si="68"/>
        <v>back</v>
      </c>
      <c r="M3663" t="str">
        <v>on</v>
      </c>
      <c r="N3663" s="4" cm="1">
        <f t="array" ref="N3663">SUM(--(_xlfn.TEXTSPLIT($J$3653,, " ") = M3663))</f>
        <v>2</v>
      </c>
      <c r="O3663">
        <v>6</v>
      </c>
      <c r="P3663" t="str">
        <v>the</v>
      </c>
      <c r="Q3663">
        <v>6</v>
      </c>
    </row>
    <row r="3664" spans="1:18" x14ac:dyDescent="0.2">
      <c r="E3664" s="9" t="s">
        <v>41</v>
      </c>
      <c r="K3664" t="str">
        <v>on</v>
      </c>
      <c r="L3664" s="4" t="str">
        <f t="shared" si="68"/>
        <v>on</v>
      </c>
      <c r="M3664" t="str">
        <v xml:space="preserve">it
</v>
      </c>
      <c r="N3664" s="4" cm="1">
        <f t="array" ref="N3664">SUM(--(_xlfn.TEXTSPLIT($J$3653,, " ") = M3664))</f>
        <v>1</v>
      </c>
      <c r="O3664">
        <v>6</v>
      </c>
      <c r="P3664" t="str">
        <v>Still</v>
      </c>
      <c r="Q3664">
        <v>6</v>
      </c>
    </row>
    <row r="3665" spans="5:17" x14ac:dyDescent="0.2">
      <c r="E3665" s="9" t="s">
        <v>41</v>
      </c>
      <c r="K3665" t="str">
        <v xml:space="preserve">it
</v>
      </c>
      <c r="L3665" s="4" t="str">
        <f t="shared" si="68"/>
        <v xml:space="preserve">it </v>
      </c>
      <c r="M3665" t="str">
        <v>Sold</v>
      </c>
      <c r="N3665" s="4" cm="1">
        <f t="array" ref="N3665">SUM(--(_xlfn.TEXTSPLIT($J$3653,, " ") = M3665))</f>
        <v>1</v>
      </c>
      <c r="O3665">
        <v>6</v>
      </c>
      <c r="P3665" t="str">
        <v>your</v>
      </c>
      <c r="Q3665">
        <v>6</v>
      </c>
    </row>
    <row r="3666" spans="5:17" x14ac:dyDescent="0.2">
      <c r="E3666" s="9" t="s">
        <v>41</v>
      </c>
      <c r="K3666" t="str">
        <v>Sold</v>
      </c>
      <c r="L3666" s="4" t="str">
        <f t="shared" si="68"/>
        <v>Sold</v>
      </c>
      <c r="M3666" t="str">
        <v>it</v>
      </c>
      <c r="N3666" s="4" cm="1">
        <f t="array" ref="N3666">SUM(--(_xlfn.TEXTSPLIT($J$3653,, " ") = M3666))</f>
        <v>6</v>
      </c>
      <c r="O3666">
        <v>6</v>
      </c>
      <c r="P3666" t="str">
        <v>every</v>
      </c>
      <c r="Q3666">
        <v>6</v>
      </c>
    </row>
    <row r="3667" spans="5:17" x14ac:dyDescent="0.2">
      <c r="E3667" s="9" t="s">
        <v>41</v>
      </c>
      <c r="K3667" t="str">
        <v>it</v>
      </c>
      <c r="L3667" s="4" t="str">
        <f t="shared" si="68"/>
        <v>it</v>
      </c>
      <c r="M3667" t="str">
        <v>all</v>
      </c>
      <c r="N3667" s="4" cm="1">
        <f t="array" ref="N3667">SUM(--(_xlfn.TEXTSPLIT($J$3653,, " ") = M3667))</f>
        <v>2</v>
      </c>
      <c r="O3667">
        <v>5</v>
      </c>
      <c r="P3667" t="str">
        <v>lost</v>
      </c>
      <c r="Q3667">
        <v>5</v>
      </c>
    </row>
    <row r="3668" spans="5:17" x14ac:dyDescent="0.2">
      <c r="E3668" s="9" t="s">
        <v>41</v>
      </c>
      <c r="K3668" t="str">
        <v>all</v>
      </c>
      <c r="L3668" s="4" t="str">
        <f t="shared" si="68"/>
        <v>all</v>
      </c>
      <c r="M3668" t="str">
        <v>at</v>
      </c>
      <c r="N3668" s="4" cm="1">
        <f t="array" ref="N3668">SUM(--(_xlfn.TEXTSPLIT($J$3653,, " ") = M3668))</f>
        <v>3</v>
      </c>
      <c r="O3668">
        <v>5</v>
      </c>
      <c r="P3668" t="str">
        <v>(Yeah,</v>
      </c>
      <c r="Q3668">
        <v>5</v>
      </c>
    </row>
    <row r="3669" spans="5:17" x14ac:dyDescent="0.2">
      <c r="E3669" s="9" t="s">
        <v>41</v>
      </c>
      <c r="K3669" t="str">
        <v>at</v>
      </c>
      <c r="L3669" s="4" t="str">
        <f t="shared" si="68"/>
        <v>at</v>
      </c>
      <c r="M3669" t="str">
        <v>a</v>
      </c>
      <c r="N3669" s="4" cm="1">
        <f t="array" ref="N3669">SUM(--(_xlfn.TEXTSPLIT($J$3653,, " ") = M3669))</f>
        <v>8</v>
      </c>
      <c r="O3669">
        <v>5</v>
      </c>
      <c r="P3669" t="str">
        <v>let</v>
      </c>
      <c r="Q3669">
        <v>5</v>
      </c>
    </row>
    <row r="3670" spans="5:17" x14ac:dyDescent="0.2">
      <c r="E3670" s="9" t="s">
        <v>41</v>
      </c>
      <c r="K3670" t="str">
        <v>a</v>
      </c>
      <c r="L3670" s="4" t="str">
        <f t="shared" si="68"/>
        <v>a</v>
      </c>
      <c r="M3670" t="str">
        <v>discount</v>
      </c>
      <c r="N3670" s="4" cm="1">
        <f t="array" ref="N3670">SUM(--(_xlfn.TEXTSPLIT($J$3653,, " ") = M3670))</f>
        <v>2</v>
      </c>
      <c r="O3670">
        <v>5</v>
      </c>
      <c r="P3670" t="str">
        <v xml:space="preserve">time
</v>
      </c>
      <c r="Q3670">
        <v>5</v>
      </c>
    </row>
    <row r="3671" spans="5:17" x14ac:dyDescent="0.2">
      <c r="E3671" s="9" t="s">
        <v>41</v>
      </c>
      <c r="K3671" t="str">
        <v>discount</v>
      </c>
      <c r="L3671" s="4" t="str">
        <f t="shared" si="68"/>
        <v>discount</v>
      </c>
      <c r="M3671" t="str">
        <v>(Yeah,</v>
      </c>
      <c r="N3671" s="4" cm="1">
        <f t="array" ref="N3671">SUM(--(_xlfn.TEXTSPLIT($J$3653,, " ") = M3671))</f>
        <v>5</v>
      </c>
      <c r="O3671">
        <v>4</v>
      </c>
      <c r="P3671" t="str">
        <v>should</v>
      </c>
      <c r="Q3671">
        <v>4</v>
      </c>
    </row>
    <row r="3672" spans="5:17" x14ac:dyDescent="0.2">
      <c r="E3672" s="9" t="s">
        <v>41</v>
      </c>
      <c r="K3672" t="str">
        <v>(Yeah,</v>
      </c>
      <c r="L3672" s="4" t="str">
        <f t="shared" si="68"/>
        <v xml:space="preserve"> Yeah </v>
      </c>
      <c r="M3672" t="str">
        <v xml:space="preserve">yeah)
</v>
      </c>
      <c r="N3672" s="4" cm="1">
        <f t="array" ref="N3672">SUM(--(_xlfn.TEXTSPLIT($J$3653,, " ") = M3672))</f>
        <v>3</v>
      </c>
      <c r="O3672">
        <v>4</v>
      </c>
      <c r="P3672" t="str">
        <v>love</v>
      </c>
      <c r="Q3672">
        <v>4</v>
      </c>
    </row>
    <row r="3673" spans="5:17" x14ac:dyDescent="0.2">
      <c r="E3673" s="9" t="s">
        <v>41</v>
      </c>
      <c r="K3673" t="str">
        <v xml:space="preserve">yeah)
</v>
      </c>
      <c r="L3673" s="4" t="str">
        <f t="shared" si="68"/>
        <v xml:space="preserve">yeah  </v>
      </c>
      <c r="M3673" t="str">
        <v>wanted</v>
      </c>
      <c r="N3673" s="4" cm="1">
        <f t="array" ref="N3673">SUM(--(_xlfn.TEXTSPLIT($J$3653,, " ") = M3673))</f>
        <v>2</v>
      </c>
      <c r="O3673">
        <v>4</v>
      </c>
      <c r="P3673" t="str">
        <v xml:space="preserve">down
</v>
      </c>
      <c r="Q3673">
        <v>4</v>
      </c>
    </row>
    <row r="3674" spans="5:17" x14ac:dyDescent="0.2">
      <c r="E3674" s="9" t="s">
        <v>41</v>
      </c>
      <c r="K3674" t="str">
        <v>I</v>
      </c>
      <c r="L3674" s="4" t="str">
        <f t="shared" si="68"/>
        <v>I</v>
      </c>
      <c r="M3674" t="str">
        <v>to</v>
      </c>
      <c r="N3674" s="4" cm="1">
        <f t="array" ref="N3674">SUM(--(_xlfn.TEXTSPLIT($J$3653,, " ") = M3674))</f>
        <v>7</v>
      </c>
      <c r="O3674">
        <v>4</v>
      </c>
      <c r="P3674" t="str">
        <v>now,</v>
      </c>
      <c r="Q3674">
        <v>4</v>
      </c>
    </row>
    <row r="3675" spans="5:17" x14ac:dyDescent="0.2">
      <c r="E3675" s="9" t="s">
        <v>41</v>
      </c>
      <c r="K3675" t="str">
        <v>wanted</v>
      </c>
      <c r="L3675" s="4" t="str">
        <f t="shared" si="68"/>
        <v>wanted</v>
      </c>
      <c r="M3675" t="str">
        <v>progress</v>
      </c>
      <c r="N3675" s="4" cm="1">
        <f t="array" ref="N3675">SUM(--(_xlfn.TEXTSPLIT($J$3653,, " ") = M3675))</f>
        <v>1</v>
      </c>
      <c r="O3675">
        <v>4</v>
      </c>
      <c r="P3675" t="str">
        <v xml:space="preserve">somehow
</v>
      </c>
      <c r="Q3675">
        <v>4</v>
      </c>
    </row>
    <row r="3676" spans="5:17" x14ac:dyDescent="0.2">
      <c r="E3676" s="9" t="s">
        <v>41</v>
      </c>
      <c r="K3676" t="str">
        <v>to</v>
      </c>
      <c r="L3676" s="4" t="str">
        <f t="shared" si="68"/>
        <v>to</v>
      </c>
      <c r="M3676" t="str">
        <v xml:space="preserve">things
</v>
      </c>
      <c r="N3676" s="4" cm="1">
        <f t="array" ref="N3676">SUM(--(_xlfn.TEXTSPLIT($J$3653,, " ") = M3676))</f>
        <v>1</v>
      </c>
      <c r="O3676">
        <v>4</v>
      </c>
      <c r="P3676" t="str">
        <v>When</v>
      </c>
      <c r="Q3676">
        <v>4</v>
      </c>
    </row>
    <row r="3677" spans="5:17" x14ac:dyDescent="0.2">
      <c r="E3677" s="9" t="s">
        <v>41</v>
      </c>
      <c r="K3677" t="str">
        <v>progress</v>
      </c>
      <c r="L3677" s="4" t="str">
        <f t="shared" si="68"/>
        <v>progress</v>
      </c>
      <c r="M3677" t="str">
        <v>soul</v>
      </c>
      <c r="N3677" s="4" cm="1">
        <f t="array" ref="N3677">SUM(--(_xlfn.TEXTSPLIT($J$3653,, " ") = M3677))</f>
        <v>1</v>
      </c>
      <c r="O3677">
        <v>4</v>
      </c>
      <c r="P3677" t="str">
        <v>replay</v>
      </c>
      <c r="Q3677">
        <v>4</v>
      </c>
    </row>
    <row r="3678" spans="5:17" x14ac:dyDescent="0.2">
      <c r="E3678" s="9" t="s">
        <v>41</v>
      </c>
      <c r="K3678" t="str">
        <v xml:space="preserve">things
</v>
      </c>
      <c r="L3678" s="4" t="str">
        <f t="shared" si="68"/>
        <v xml:space="preserve">things </v>
      </c>
      <c r="M3678" t="str">
        <v>set</v>
      </c>
      <c r="N3678" s="4" cm="1">
        <f t="array" ref="N3678">SUM(--(_xlfn.TEXTSPLIT($J$3653,, " ") = M3678))</f>
        <v>2</v>
      </c>
      <c r="O3678">
        <v>4</v>
      </c>
      <c r="P3678" t="str">
        <v>see</v>
      </c>
      <c r="Q3678">
        <v>4</v>
      </c>
    </row>
    <row r="3679" spans="5:17" x14ac:dyDescent="0.2">
      <c r="E3679" s="9" t="s">
        <v>41</v>
      </c>
      <c r="K3679" t="str">
        <v>I</v>
      </c>
      <c r="L3679" s="4" t="str">
        <f t="shared" si="68"/>
        <v>I</v>
      </c>
      <c r="M3679" t="str">
        <v xml:space="preserve">free
</v>
      </c>
      <c r="N3679" s="4" cm="1">
        <f t="array" ref="N3679">SUM(--(_xlfn.TEXTSPLIT($J$3653,, " ") = M3679))</f>
        <v>1</v>
      </c>
      <c r="O3679">
        <v>4</v>
      </c>
      <c r="P3679" t="str">
        <v xml:space="preserve">somehow
</v>
      </c>
      <c r="Q3679">
        <v>4</v>
      </c>
    </row>
    <row r="3680" spans="5:17" x14ac:dyDescent="0.2">
      <c r="E3680" s="9" t="s">
        <v>41</v>
      </c>
      <c r="K3680" t="str">
        <v>wanted</v>
      </c>
      <c r="L3680" s="4" t="str">
        <f t="shared" si="68"/>
        <v>wanted</v>
      </c>
      <c r="M3680" t="str">
        <v xml:space="preserve">yeah)
</v>
      </c>
      <c r="N3680" s="4" cm="1">
        <f t="array" ref="N3680">SUM(--(_xlfn.TEXTSPLIT($J$3653,, " ") = M3680))</f>
        <v>2</v>
      </c>
      <c r="O3680">
        <v>4</v>
      </c>
      <c r="P3680" t="str">
        <v>were</v>
      </c>
      <c r="Q3680">
        <v>4</v>
      </c>
    </row>
    <row r="3681" spans="5:17" x14ac:dyDescent="0.2">
      <c r="E3681" s="9" t="s">
        <v>41</v>
      </c>
      <c r="K3681" t="str">
        <v>my</v>
      </c>
      <c r="L3681" s="4" t="str">
        <f t="shared" si="68"/>
        <v>my</v>
      </c>
      <c r="M3681" t="str">
        <v>You</v>
      </c>
      <c r="N3681" s="4" cm="1">
        <f t="array" ref="N3681">SUM(--(_xlfn.TEXTSPLIT($J$3653,, " ") = M3681))</f>
        <v>26</v>
      </c>
      <c r="O3681">
        <v>4</v>
      </c>
      <c r="P3681" t="str">
        <v>keeping</v>
      </c>
      <c r="Q3681">
        <v>4</v>
      </c>
    </row>
    <row r="3682" spans="5:17" x14ac:dyDescent="0.2">
      <c r="E3682" s="9" t="s">
        <v>41</v>
      </c>
      <c r="K3682" t="str">
        <v>soul</v>
      </c>
      <c r="L3682" s="4" t="str">
        <f t="shared" si="68"/>
        <v>soul</v>
      </c>
      <c r="M3682" t="str">
        <v>both</v>
      </c>
      <c r="N3682" s="4" cm="1">
        <f t="array" ref="N3682">SUM(--(_xlfn.TEXTSPLIT($J$3653,, " ") = M3682))</f>
        <v>2</v>
      </c>
      <c r="O3682">
        <v>3</v>
      </c>
      <c r="P3682" t="str">
        <v>at</v>
      </c>
      <c r="Q3682">
        <v>3</v>
      </c>
    </row>
    <row r="3683" spans="5:17" x14ac:dyDescent="0.2">
      <c r="E3683" s="9" t="s">
        <v>41</v>
      </c>
      <c r="K3683" t="str">
        <v>set</v>
      </c>
      <c r="L3683" s="4" t="str">
        <f t="shared" si="68"/>
        <v>set</v>
      </c>
      <c r="M3683" t="str">
        <v>know</v>
      </c>
      <c r="N3683" s="4" cm="1">
        <f t="array" ref="N3683">SUM(--(_xlfn.TEXTSPLIT($J$3653,, " ") = M3683))</f>
        <v>1</v>
      </c>
      <c r="O3683">
        <v>3</v>
      </c>
      <c r="P3683" t="str">
        <v xml:space="preserve">yeah)
</v>
      </c>
      <c r="Q3683">
        <v>3</v>
      </c>
    </row>
    <row r="3684" spans="5:17" x14ac:dyDescent="0.2">
      <c r="E3684" s="9" t="s">
        <v>41</v>
      </c>
      <c r="K3684" t="str">
        <v xml:space="preserve">free
</v>
      </c>
      <c r="L3684" s="4" t="str">
        <f t="shared" si="68"/>
        <v xml:space="preserve">free </v>
      </c>
      <c r="M3684" t="str">
        <v>that's</v>
      </c>
      <c r="N3684" s="4" cm="1">
        <f t="array" ref="N3684">SUM(--(_xlfn.TEXTSPLIT($J$3653,, " ") = M3684))</f>
        <v>1</v>
      </c>
      <c r="O3684">
        <v>3</v>
      </c>
      <c r="P3684" t="str">
        <v>we</v>
      </c>
      <c r="Q3684">
        <v>3</v>
      </c>
    </row>
    <row r="3685" spans="5:17" x14ac:dyDescent="0.2">
      <c r="E3685" s="9" t="s">
        <v>41</v>
      </c>
      <c r="K3685" t="str">
        <v>Lost</v>
      </c>
      <c r="L3685" s="4" t="str">
        <f t="shared" si="68"/>
        <v>Lost</v>
      </c>
      <c r="M3685" t="str">
        <v>how</v>
      </c>
      <c r="N3685" s="4" cm="1">
        <f t="array" ref="N3685">SUM(--(_xlfn.TEXTSPLIT($J$3653,, " ") = M3685))</f>
        <v>1</v>
      </c>
      <c r="O3685">
        <v>3</v>
      </c>
      <c r="P3685" t="str">
        <v>tally,</v>
      </c>
      <c r="Q3685">
        <v>3</v>
      </c>
    </row>
    <row r="3686" spans="5:17" x14ac:dyDescent="0.2">
      <c r="E3686" s="9" t="s">
        <v>41</v>
      </c>
      <c r="K3686" t="str">
        <v>it</v>
      </c>
      <c r="L3686" s="4" t="str">
        <f t="shared" si="68"/>
        <v>it</v>
      </c>
      <c r="M3686" t="str">
        <v>the</v>
      </c>
      <c r="N3686" s="4" cm="1">
        <f t="array" ref="N3686">SUM(--(_xlfn.TEXTSPLIT($J$3653,, " ") = M3686))</f>
        <v>6</v>
      </c>
      <c r="O3686">
        <v>3</v>
      </c>
      <c r="P3686" t="str">
        <v>I'll</v>
      </c>
      <c r="Q3686">
        <v>3</v>
      </c>
    </row>
    <row r="3687" spans="5:17" x14ac:dyDescent="0.2">
      <c r="E3687" s="9" t="s">
        <v>41</v>
      </c>
      <c r="K3687" t="str">
        <v>all</v>
      </c>
      <c r="L3687" s="4" t="str">
        <f t="shared" si="68"/>
        <v>all</v>
      </c>
      <c r="M3687" t="str">
        <v>story</v>
      </c>
      <c r="N3687" s="4" cm="1">
        <f t="array" ref="N3687">SUM(--(_xlfn.TEXTSPLIT($J$3653,, " ") = M3687))</f>
        <v>1</v>
      </c>
      <c r="O3687">
        <v>3</v>
      </c>
      <c r="P3687" t="str">
        <v>heartbreak</v>
      </c>
      <c r="Q3687">
        <v>3</v>
      </c>
    </row>
    <row r="3688" spans="5:17" x14ac:dyDescent="0.2">
      <c r="E3688" s="9" t="s">
        <v>41</v>
      </c>
      <c r="K3688" t="str">
        <v>at</v>
      </c>
      <c r="L3688" s="4" t="str">
        <f t="shared" si="68"/>
        <v>at</v>
      </c>
      <c r="M3688" t="str">
        <v xml:space="preserve">goes
</v>
      </c>
      <c r="N3688" s="4" cm="1">
        <f t="array" ref="N3688">SUM(--(_xlfn.TEXTSPLIT($J$3653,, " ") = M3688))</f>
        <v>1</v>
      </c>
      <c r="O3688">
        <v>3</v>
      </c>
      <c r="P3688" t="str">
        <v>just</v>
      </c>
      <c r="Q3688">
        <v>3</v>
      </c>
    </row>
    <row r="3689" spans="5:17" x14ac:dyDescent="0.2">
      <c r="E3689" s="9" t="s">
        <v>41</v>
      </c>
      <c r="K3689" t="str">
        <v>a</v>
      </c>
      <c r="L3689" s="4" t="str">
        <f t="shared" si="68"/>
        <v>a</v>
      </c>
      <c r="M3689" t="str">
        <v>We've</v>
      </c>
      <c r="N3689" s="4" cm="1">
        <f t="array" ref="N3689">SUM(--(_xlfn.TEXTSPLIT($J$3653,, " ") = M3689))</f>
        <v>1</v>
      </c>
      <c r="O3689">
        <v>3</v>
      </c>
      <c r="P3689" t="str">
        <v>somehow</v>
      </c>
      <c r="Q3689">
        <v>3</v>
      </c>
    </row>
    <row r="3690" spans="5:17" x14ac:dyDescent="0.2">
      <c r="E3690" s="9" t="s">
        <v>41</v>
      </c>
      <c r="K3690" t="str">
        <v>discount</v>
      </c>
      <c r="L3690" s="4" t="str">
        <f t="shared" si="68"/>
        <v>discount</v>
      </c>
      <c r="M3690" t="str">
        <v>seen</v>
      </c>
      <c r="N3690" s="4" cm="1">
        <f t="array" ref="N3690">SUM(--(_xlfn.TEXTSPLIT($J$3653,, " ") = M3690))</f>
        <v>1</v>
      </c>
      <c r="O3690">
        <v>3</v>
      </c>
      <c r="P3690" t="str">
        <v>figured</v>
      </c>
      <c r="Q3690">
        <v>3</v>
      </c>
    </row>
    <row r="3691" spans="5:17" x14ac:dyDescent="0.2">
      <c r="E3691" s="9" t="s">
        <v>41</v>
      </c>
      <c r="K3691" t="str">
        <v>(Yeah,</v>
      </c>
      <c r="L3691" s="4" t="str">
        <f t="shared" si="68"/>
        <v xml:space="preserve"> Yeah </v>
      </c>
      <c r="M3691" t="str">
        <v>several</v>
      </c>
      <c r="N3691" s="4" cm="1">
        <f t="array" ref="N3691">SUM(--(_xlfn.TEXTSPLIT($J$3653,, " ") = M3691))</f>
        <v>1</v>
      </c>
      <c r="O3691">
        <v>3</v>
      </c>
      <c r="P3691" t="str">
        <v>track</v>
      </c>
      <c r="Q3691">
        <v>3</v>
      </c>
    </row>
    <row r="3692" spans="5:17" x14ac:dyDescent="0.2">
      <c r="E3692" s="9" t="s">
        <v>41</v>
      </c>
      <c r="K3692" t="str">
        <v xml:space="preserve">yeah)
</v>
      </c>
      <c r="L3692" s="4" t="str">
        <f t="shared" si="68"/>
        <v xml:space="preserve">yeah   </v>
      </c>
      <c r="M3692" t="str">
        <v>times</v>
      </c>
      <c r="N3692" s="4" cm="1">
        <f t="array" ref="N3692">SUM(--(_xlfn.TEXTSPLIT($J$3653,, " ") = M3692))</f>
        <v>1</v>
      </c>
      <c r="O3692">
        <v>3</v>
      </c>
      <c r="P3692" t="str">
        <v>of</v>
      </c>
      <c r="Q3692">
        <v>3</v>
      </c>
    </row>
    <row r="3693" spans="5:17" x14ac:dyDescent="0.2">
      <c r="E3693" s="9" t="s">
        <v>41</v>
      </c>
      <c r="K3693" t="str">
        <v>You</v>
      </c>
      <c r="L3693" s="4" t="str">
        <f t="shared" si="68"/>
        <v>You</v>
      </c>
      <c r="M3693" t="str">
        <v>It's</v>
      </c>
      <c r="N3693" s="4" cm="1">
        <f t="array" ref="N3693">SUM(--(_xlfn.TEXTSPLIT($J$3653,, " ") = M3693))</f>
        <v>1</v>
      </c>
      <c r="O3693">
        <v>3</v>
      </c>
      <c r="P3693" t="str">
        <v>(You</v>
      </c>
      <c r="Q3693">
        <v>3</v>
      </c>
    </row>
    <row r="3694" spans="5:17" x14ac:dyDescent="0.2">
      <c r="E3694" s="9" t="s">
        <v>41</v>
      </c>
      <c r="K3694" t="str">
        <v>and</v>
      </c>
      <c r="L3694" s="4" t="str">
        <f t="shared" si="68"/>
        <v>and</v>
      </c>
      <c r="M3694" t="str">
        <v>kinda</v>
      </c>
      <c r="N3694" s="4" cm="1">
        <f t="array" ref="N3694">SUM(--(_xlfn.TEXTSPLIT($J$3653,, " ") = M3694))</f>
        <v>1</v>
      </c>
      <c r="O3694">
        <v>2</v>
      </c>
      <c r="P3694" t="str">
        <v>and</v>
      </c>
      <c r="Q3694">
        <v>2</v>
      </c>
    </row>
    <row r="3695" spans="5:17" x14ac:dyDescent="0.2">
      <c r="E3695" s="9" t="s">
        <v>41</v>
      </c>
      <c r="K3695" t="str">
        <v>I</v>
      </c>
      <c r="L3695" s="4" t="str">
        <f t="shared" si="68"/>
        <v>I</v>
      </c>
      <c r="M3695" t="str">
        <v>hard</v>
      </c>
      <c r="N3695" s="4" cm="1">
        <f t="array" ref="N3695">SUM(--(_xlfn.TEXTSPLIT($J$3653,, " ") = M3695))</f>
        <v>1</v>
      </c>
      <c r="O3695">
        <v>2</v>
      </c>
      <c r="P3695" t="str">
        <v>on</v>
      </c>
      <c r="Q3695">
        <v>2</v>
      </c>
    </row>
    <row r="3696" spans="5:17" x14ac:dyDescent="0.2">
      <c r="E3696" s="9" t="s">
        <v>41</v>
      </c>
      <c r="K3696" t="str">
        <v>both</v>
      </c>
      <c r="L3696" s="4" t="str">
        <f t="shared" si="68"/>
        <v>both</v>
      </c>
      <c r="M3696" t="str">
        <v>know,</v>
      </c>
      <c r="N3696" s="4" cm="1">
        <f t="array" ref="N3696">SUM(--(_xlfn.TEXTSPLIT($J$3653,, " ") = M3696))</f>
        <v>1</v>
      </c>
      <c r="O3696">
        <v>2</v>
      </c>
      <c r="P3696" t="str">
        <v>all</v>
      </c>
      <c r="Q3696">
        <v>2</v>
      </c>
    </row>
    <row r="3697" spans="5:17" x14ac:dyDescent="0.2">
      <c r="E3697" s="9" t="s">
        <v>41</v>
      </c>
      <c r="K3697" t="str">
        <v>know</v>
      </c>
      <c r="L3697" s="4" t="str">
        <f t="shared" si="68"/>
        <v>know</v>
      </c>
      <c r="M3697" t="str">
        <v>is</v>
      </c>
      <c r="N3697" s="4" cm="1">
        <f t="array" ref="N3697">SUM(--(_xlfn.TEXTSPLIT($J$3653,, " ") = M3697))</f>
        <v>1</v>
      </c>
      <c r="O3697">
        <v>2</v>
      </c>
      <c r="P3697" t="str">
        <v>discount</v>
      </c>
      <c r="Q3697">
        <v>2</v>
      </c>
    </row>
    <row r="3698" spans="5:17" x14ac:dyDescent="0.2">
      <c r="E3698" s="9" t="s">
        <v>41</v>
      </c>
      <c r="K3698" t="str">
        <v>that's</v>
      </c>
      <c r="L3698" s="4" t="str">
        <f t="shared" si="68"/>
        <v>that s</v>
      </c>
      <c r="M3698" t="str">
        <v>there's</v>
      </c>
      <c r="N3698" s="4" cm="1">
        <f t="array" ref="N3698">SUM(--(_xlfn.TEXTSPLIT($J$3653,, " ") = M3698))</f>
        <v>1</v>
      </c>
      <c r="O3698">
        <v>2</v>
      </c>
      <c r="P3698" t="str">
        <v>wanted</v>
      </c>
      <c r="Q3698">
        <v>2</v>
      </c>
    </row>
    <row r="3699" spans="5:17" x14ac:dyDescent="0.2">
      <c r="E3699" s="9" t="s">
        <v>41</v>
      </c>
      <c r="K3699" t="str">
        <v>how</v>
      </c>
      <c r="L3699" s="4" t="str">
        <f t="shared" si="68"/>
        <v>how</v>
      </c>
      <c r="M3699" t="str">
        <v>point</v>
      </c>
      <c r="N3699" s="4" cm="1">
        <f t="array" ref="N3699">SUM(--(_xlfn.TEXTSPLIT($J$3653,, " ") = M3699))</f>
        <v>1</v>
      </c>
      <c r="O3699">
        <v>2</v>
      </c>
      <c r="P3699" t="str">
        <v>set</v>
      </c>
      <c r="Q3699">
        <v>2</v>
      </c>
    </row>
    <row r="3700" spans="5:17" x14ac:dyDescent="0.2">
      <c r="E3700" s="9" t="s">
        <v>41</v>
      </c>
      <c r="K3700" t="str">
        <v>the</v>
      </c>
      <c r="L3700" s="4" t="str">
        <f t="shared" si="68"/>
        <v>the</v>
      </c>
      <c r="M3700" t="str">
        <v xml:space="preserve">all?
</v>
      </c>
      <c r="N3700" s="4" cm="1">
        <f t="array" ref="N3700">SUM(--(_xlfn.TEXTSPLIT($J$3653,, " ") = M3700))</f>
        <v>1</v>
      </c>
      <c r="O3700">
        <v>2</v>
      </c>
      <c r="P3700" t="str">
        <v xml:space="preserve">yeah)
</v>
      </c>
      <c r="Q3700">
        <v>2</v>
      </c>
    </row>
    <row r="3701" spans="5:17" x14ac:dyDescent="0.2">
      <c r="E3701" s="9" t="s">
        <v>41</v>
      </c>
      <c r="K3701" t="str">
        <v>story</v>
      </c>
      <c r="L3701" s="4" t="str">
        <f t="shared" si="68"/>
        <v>story</v>
      </c>
      <c r="M3701" t="str">
        <v>Or</v>
      </c>
      <c r="N3701" s="4" cm="1">
        <f t="array" ref="N3701">SUM(--(_xlfn.TEXTSPLIT($J$3653,, " ") = M3701))</f>
        <v>1</v>
      </c>
      <c r="O3701">
        <v>2</v>
      </c>
      <c r="P3701" t="str">
        <v>both</v>
      </c>
      <c r="Q3701">
        <v>2</v>
      </c>
    </row>
    <row r="3702" spans="5:17" x14ac:dyDescent="0.2">
      <c r="E3702" s="9" t="s">
        <v>41</v>
      </c>
      <c r="K3702" t="str">
        <v xml:space="preserve">goes
</v>
      </c>
      <c r="L3702" s="4" t="str">
        <f t="shared" si="68"/>
        <v xml:space="preserve">goes </v>
      </c>
      <c r="M3702" t="str">
        <v>should</v>
      </c>
      <c r="N3702" s="4" cm="1">
        <f t="array" ref="N3702">SUM(--(_xlfn.TEXTSPLIT($J$3653,, " ") = M3702))</f>
        <v>4</v>
      </c>
      <c r="O3702">
        <v>2</v>
      </c>
      <c r="P3702" t="str">
        <v>cut</v>
      </c>
      <c r="Q3702">
        <v>2</v>
      </c>
    </row>
    <row r="3703" spans="5:17" x14ac:dyDescent="0.2">
      <c r="E3703" s="9" t="s">
        <v>41</v>
      </c>
      <c r="K3703" t="str">
        <v>We've</v>
      </c>
      <c r="L3703" s="4" t="str">
        <f t="shared" si="68"/>
        <v>We ve</v>
      </c>
      <c r="M3703" t="str">
        <v>we</v>
      </c>
      <c r="N3703" s="4" cm="1">
        <f t="array" ref="N3703">SUM(--(_xlfn.TEXTSPLIT($J$3653,, " ") = M3703))</f>
        <v>3</v>
      </c>
      <c r="O3703">
        <v>2</v>
      </c>
      <c r="P3703" t="str">
        <v xml:space="preserve">count
</v>
      </c>
      <c r="Q3703">
        <v>2</v>
      </c>
    </row>
    <row r="3704" spans="5:17" x14ac:dyDescent="0.2">
      <c r="E3704" s="9" t="s">
        <v>41</v>
      </c>
      <c r="K3704" t="str">
        <v>seen</v>
      </c>
      <c r="L3704" s="4" t="str">
        <f t="shared" si="68"/>
        <v>seen</v>
      </c>
      <c r="M3704" t="str">
        <v>cut</v>
      </c>
      <c r="N3704" s="4" cm="1">
        <f t="array" ref="N3704">SUM(--(_xlfn.TEXTSPLIT($J$3653,, " ") = M3704))</f>
        <v>2</v>
      </c>
      <c r="O3704">
        <v>2</v>
      </c>
      <c r="P3704" t="str">
        <v>me,</v>
      </c>
      <c r="Q3704">
        <v>2</v>
      </c>
    </row>
    <row r="3705" spans="5:17" x14ac:dyDescent="0.2">
      <c r="E3705" s="9" t="s">
        <v>41</v>
      </c>
      <c r="K3705" t="str">
        <v>it</v>
      </c>
      <c r="L3705" s="4" t="str">
        <f t="shared" si="68"/>
        <v>it</v>
      </c>
      <c r="M3705" t="str">
        <v xml:space="preserve">line?
</v>
      </c>
      <c r="N3705" s="4" cm="1">
        <f t="array" ref="N3705">SUM(--(_xlfn.TEXTSPLIT($J$3653,, " ") = M3705))</f>
        <v>1</v>
      </c>
      <c r="O3705">
        <v>2</v>
      </c>
      <c r="P3705" t="str">
        <v xml:space="preserve">mind
</v>
      </c>
      <c r="Q3705">
        <v>2</v>
      </c>
    </row>
    <row r="3706" spans="5:17" x14ac:dyDescent="0.2">
      <c r="E3706" s="9" t="s">
        <v>41</v>
      </c>
      <c r="K3706" t="str">
        <v>several</v>
      </c>
      <c r="L3706" s="4" t="str">
        <f t="shared" si="68"/>
        <v>several</v>
      </c>
      <c r="M3706" t="str">
        <v>want</v>
      </c>
      <c r="N3706" s="4" cm="1">
        <f t="array" ref="N3706">SUM(--(_xlfn.TEXTSPLIT($J$3653,, " ") = M3706))</f>
        <v>8</v>
      </c>
      <c r="O3706">
        <v>2</v>
      </c>
      <c r="P3706" t="str">
        <v>right</v>
      </c>
      <c r="Q3706">
        <v>2</v>
      </c>
    </row>
    <row r="3707" spans="5:17" x14ac:dyDescent="0.2">
      <c r="E3707" s="9" t="s">
        <v>41</v>
      </c>
      <c r="K3707" t="str">
        <v>times</v>
      </c>
      <c r="L3707" s="4" t="str">
        <f t="shared" si="68"/>
        <v>times</v>
      </c>
      <c r="M3707" t="str">
        <v>tally,</v>
      </c>
      <c r="N3707" s="4" cm="1">
        <f t="array" ref="N3707">SUM(--(_xlfn.TEXTSPLIT($J$3653,, " ") = M3707))</f>
        <v>3</v>
      </c>
      <c r="O3707">
        <v>2</v>
      </c>
      <c r="P3707" t="str">
        <v>now</v>
      </c>
      <c r="Q3707">
        <v>2</v>
      </c>
    </row>
    <row r="3708" spans="5:17" x14ac:dyDescent="0.2">
      <c r="E3708" s="9" t="s">
        <v>41</v>
      </c>
      <c r="K3708" t="str">
        <v>(Yeah,</v>
      </c>
      <c r="L3708" s="4" t="str">
        <f t="shared" si="68"/>
        <v xml:space="preserve"> Yeah </v>
      </c>
      <c r="M3708" t="str">
        <v xml:space="preserve">count
</v>
      </c>
      <c r="N3708" s="4" cm="1">
        <f t="array" ref="N3708">SUM(--(_xlfn.TEXTSPLIT($J$3653,, " ") = M3708))</f>
        <v>2</v>
      </c>
      <c r="O3708">
        <v>2</v>
      </c>
      <c r="P3708" t="str">
        <v>(Still</v>
      </c>
      <c r="Q3708">
        <v>2</v>
      </c>
    </row>
    <row r="3709" spans="5:17" x14ac:dyDescent="0.2">
      <c r="E3709" s="9" t="s">
        <v>41</v>
      </c>
      <c r="K3709" t="str">
        <v xml:space="preserve">yeah)
</v>
      </c>
      <c r="L3709" s="4" t="str">
        <f t="shared" si="68"/>
        <v xml:space="preserve">yeah  </v>
      </c>
      <c r="M3709" t="str">
        <v>love</v>
      </c>
      <c r="N3709" s="4" cm="1">
        <f t="array" ref="N3709">SUM(--(_xlfn.TEXTSPLIT($J$3653,, " ") = M3709))</f>
        <v>4</v>
      </c>
      <c r="O3709">
        <v>2</v>
      </c>
      <c r="P3709" t="str">
        <v>now),</v>
      </c>
      <c r="Q3709">
        <v>2</v>
      </c>
    </row>
    <row r="3710" spans="5:17" x14ac:dyDescent="0.2">
      <c r="E3710" s="9" t="s">
        <v>41</v>
      </c>
      <c r="K3710" t="str">
        <v>It's</v>
      </c>
      <c r="L3710" s="4" t="str">
        <f t="shared" si="68"/>
        <v>It s</v>
      </c>
      <c r="M3710" t="str">
        <v>me,</v>
      </c>
      <c r="N3710" s="4" cm="1">
        <f t="array" ref="N3710">SUM(--(_xlfn.TEXTSPLIT($J$3653,, " ") = M3710))</f>
        <v>2</v>
      </c>
      <c r="O3710">
        <v>1</v>
      </c>
      <c r="P3710" t="str">
        <v/>
      </c>
      <c r="Q3710">
        <v>1</v>
      </c>
    </row>
    <row r="3711" spans="5:17" x14ac:dyDescent="0.2">
      <c r="E3711" s="9" t="s">
        <v>41</v>
      </c>
      <c r="K3711" t="str">
        <v>kinda</v>
      </c>
      <c r="L3711" s="4" t="str">
        <f t="shared" si="68"/>
        <v>kinda</v>
      </c>
      <c r="M3711" t="str">
        <v>I'll</v>
      </c>
      <c r="N3711" s="4" cm="1">
        <f t="array" ref="N3711">SUM(--(_xlfn.TEXTSPLIT($J$3653,, " ") = M3711))</f>
        <v>3</v>
      </c>
      <c r="O3711">
        <v>1</v>
      </c>
      <c r="P3711" t="str">
        <v>"I</v>
      </c>
      <c r="Q3711">
        <v>1</v>
      </c>
    </row>
    <row r="3712" spans="5:17" x14ac:dyDescent="0.2">
      <c r="E3712" s="9" t="s">
        <v>41</v>
      </c>
      <c r="K3712" t="str">
        <v>hard</v>
      </c>
      <c r="L3712" s="4" t="str">
        <f t="shared" si="68"/>
        <v>hard</v>
      </c>
      <c r="M3712" t="str">
        <v>let</v>
      </c>
      <c r="N3712" s="4" cm="1">
        <f t="array" ref="N3712">SUM(--(_xlfn.TEXTSPLIT($J$3653,, " ") = M3712))</f>
        <v>5</v>
      </c>
      <c r="O3712">
        <v>1</v>
      </c>
      <c r="P3712" t="str">
        <v>rank</v>
      </c>
      <c r="Q3712">
        <v>1</v>
      </c>
    </row>
    <row r="3713" spans="5:17" x14ac:dyDescent="0.2">
      <c r="E3713" s="9" t="s">
        <v>41</v>
      </c>
      <c r="K3713" t="str">
        <v>to</v>
      </c>
      <c r="L3713" s="4" t="str">
        <f t="shared" si="68"/>
        <v>to</v>
      </c>
      <c r="M3713" t="str">
        <v xml:space="preserve">down
</v>
      </c>
      <c r="N3713" s="4" cm="1">
        <f t="array" ref="N3713">SUM(--(_xlfn.TEXTSPLIT($J$3653,, " ") = M3713))</f>
        <v>4</v>
      </c>
      <c r="O3713">
        <v>1</v>
      </c>
      <c r="P3713" t="str">
        <v xml:space="preserve">title
</v>
      </c>
      <c r="Q3713">
        <v>1</v>
      </c>
    </row>
    <row r="3714" spans="5:17" x14ac:dyDescent="0.2">
      <c r="E3714" s="9" t="s">
        <v>41</v>
      </c>
      <c r="K3714" t="str">
        <v>know,</v>
      </c>
      <c r="L3714" s="4" t="str">
        <f t="shared" si="68"/>
        <v xml:space="preserve">know </v>
      </c>
      <c r="M3714" t="str">
        <v>Still</v>
      </c>
      <c r="N3714" s="4" cm="1">
        <f t="array" ref="N3714">SUM(--(_xlfn.TEXTSPLIT($J$3653,, " ") = M3714))</f>
        <v>6</v>
      </c>
      <c r="O3714">
        <v>1</v>
      </c>
      <c r="P3714" t="str">
        <v>turned</v>
      </c>
      <c r="Q3714">
        <v>1</v>
      </c>
    </row>
    <row r="3715" spans="5:17" x14ac:dyDescent="0.2">
      <c r="E3715" s="9" t="s">
        <v>41</v>
      </c>
      <c r="K3715" t="str">
        <v>is</v>
      </c>
      <c r="L3715" s="4" t="str">
        <f t="shared" si="68"/>
        <v>is</v>
      </c>
      <c r="M3715" t="str">
        <v>now,</v>
      </c>
      <c r="N3715" s="4" cm="1">
        <f t="array" ref="N3715">SUM(--(_xlfn.TEXTSPLIT($J$3653,, " ") = M3715))</f>
        <v>4</v>
      </c>
      <c r="O3715">
        <v>1</v>
      </c>
      <c r="P3715" t="str">
        <v>back</v>
      </c>
      <c r="Q3715">
        <v>1</v>
      </c>
    </row>
    <row r="3716" spans="5:17" x14ac:dyDescent="0.2">
      <c r="E3716" s="9" t="s">
        <v>41</v>
      </c>
      <c r="K3716" t="str">
        <v>there's</v>
      </c>
      <c r="L3716" s="4" t="str">
        <f t="shared" si="68"/>
        <v>there s</v>
      </c>
      <c r="M3716" t="str">
        <v>believe</v>
      </c>
      <c r="N3716" s="4" cm="1">
        <f t="array" ref="N3716">SUM(--(_xlfn.TEXTSPLIT($J$3653,, " ") = M3716))</f>
        <v>10</v>
      </c>
      <c r="O3716">
        <v>1</v>
      </c>
      <c r="P3716" t="str">
        <v xml:space="preserve">it
</v>
      </c>
      <c r="Q3716">
        <v>1</v>
      </c>
    </row>
    <row r="3717" spans="5:17" x14ac:dyDescent="0.2">
      <c r="E3717" s="9" t="s">
        <v>41</v>
      </c>
      <c r="K3717" t="str">
        <v>a</v>
      </c>
      <c r="L3717" s="4" t="str">
        <f t="shared" si="68"/>
        <v>a</v>
      </c>
      <c r="M3717" t="str">
        <v>in</v>
      </c>
      <c r="N3717" s="4" cm="1">
        <f t="array" ref="N3717">SUM(--(_xlfn.TEXTSPLIT($J$3653,, " ") = M3717))</f>
        <v>13</v>
      </c>
      <c r="O3717">
        <v>1</v>
      </c>
      <c r="P3717" t="str">
        <v>Sold</v>
      </c>
      <c r="Q3717">
        <v>1</v>
      </c>
    </row>
    <row r="3718" spans="5:17" x14ac:dyDescent="0.2">
      <c r="E3718" s="9" t="s">
        <v>41</v>
      </c>
      <c r="K3718" t="str">
        <v>point</v>
      </c>
      <c r="L3718" s="4" t="str">
        <f t="shared" ref="L3718:L3781" si="69">_xlfn.REGEXREPLACE(K3718, "[^A-Za-z ]", " ")</f>
        <v>point</v>
      </c>
      <c r="M3718" t="str">
        <v>me</v>
      </c>
      <c r="N3718" s="4" cm="1">
        <f t="array" ref="N3718">SUM(--(_xlfn.TEXTSPLIT($J$3653,, " ") = M3718))</f>
        <v>11</v>
      </c>
      <c r="O3718">
        <v>1</v>
      </c>
      <c r="P3718" t="str">
        <v>progress</v>
      </c>
      <c r="Q3718">
        <v>1</v>
      </c>
    </row>
    <row r="3719" spans="5:17" x14ac:dyDescent="0.2">
      <c r="E3719" s="9" t="s">
        <v>41</v>
      </c>
      <c r="K3719" t="str">
        <v>at</v>
      </c>
      <c r="L3719" s="4" t="str">
        <f t="shared" si="69"/>
        <v>at</v>
      </c>
      <c r="M3719" t="str">
        <v xml:space="preserve">somehow
</v>
      </c>
      <c r="N3719" s="4" cm="1">
        <f t="array" ref="N3719">SUM(--(_xlfn.TEXTSPLIT($J$3653,, " ") = M3719))</f>
        <v>4</v>
      </c>
      <c r="O3719">
        <v>1</v>
      </c>
      <c r="P3719" t="str">
        <v xml:space="preserve">things
</v>
      </c>
      <c r="Q3719">
        <v>1</v>
      </c>
    </row>
    <row r="3720" spans="5:17" x14ac:dyDescent="0.2">
      <c r="E3720" s="9" t="s">
        <v>41</v>
      </c>
      <c r="K3720" t="str">
        <v xml:space="preserve">all?
</v>
      </c>
      <c r="L3720" s="4" t="str">
        <f t="shared" si="69"/>
        <v xml:space="preserve">all  </v>
      </c>
      <c r="M3720" t="str">
        <v>When</v>
      </c>
      <c r="N3720" s="4" cm="1">
        <f t="array" ref="N3720">SUM(--(_xlfn.TEXTSPLIT($J$3653,, " ") = M3720))</f>
        <v>4</v>
      </c>
      <c r="O3720">
        <v>1</v>
      </c>
      <c r="P3720" t="str">
        <v>soul</v>
      </c>
      <c r="Q3720">
        <v>1</v>
      </c>
    </row>
    <row r="3721" spans="5:17" x14ac:dyDescent="0.2">
      <c r="E3721" s="9" t="s">
        <v>41</v>
      </c>
      <c r="K3721" t="str">
        <v>Or</v>
      </c>
      <c r="L3721" s="4" t="str">
        <f t="shared" si="69"/>
        <v>Or</v>
      </c>
      <c r="M3721" t="str">
        <v>replay</v>
      </c>
      <c r="N3721" s="4" cm="1">
        <f t="array" ref="N3721">SUM(--(_xlfn.TEXTSPLIT($J$3653,, " ") = M3721))</f>
        <v>4</v>
      </c>
      <c r="O3721">
        <v>1</v>
      </c>
      <c r="P3721" t="str">
        <v xml:space="preserve">free
</v>
      </c>
      <c r="Q3721">
        <v>1</v>
      </c>
    </row>
    <row r="3722" spans="5:17" x14ac:dyDescent="0.2">
      <c r="E3722" s="9" t="s">
        <v>41</v>
      </c>
      <c r="K3722" t="str">
        <v>should</v>
      </c>
      <c r="L3722" s="4" t="str">
        <f t="shared" si="69"/>
        <v>should</v>
      </c>
      <c r="M3722" t="str">
        <v xml:space="preserve">mind
</v>
      </c>
      <c r="N3722" s="4" cm="1">
        <f t="array" ref="N3722">SUM(--(_xlfn.TEXTSPLIT($J$3653,, " ") = M3722))</f>
        <v>2</v>
      </c>
      <c r="O3722">
        <v>1</v>
      </c>
      <c r="P3722" t="str">
        <v>know</v>
      </c>
      <c r="Q3722">
        <v>1</v>
      </c>
    </row>
    <row r="3723" spans="5:17" x14ac:dyDescent="0.2">
      <c r="E3723" s="9" t="s">
        <v>41</v>
      </c>
      <c r="K3723" t="str">
        <v>we</v>
      </c>
      <c r="L3723" s="4" t="str">
        <f t="shared" si="69"/>
        <v>we</v>
      </c>
      <c r="M3723" t="str">
        <v>see</v>
      </c>
      <c r="N3723" s="4" cm="1">
        <f t="array" ref="N3723">SUM(--(_xlfn.TEXTSPLIT($J$3653,, " ") = M3723))</f>
        <v>4</v>
      </c>
      <c r="O3723">
        <v>1</v>
      </c>
      <c r="P3723" t="str">
        <v>that's</v>
      </c>
      <c r="Q3723">
        <v>1</v>
      </c>
    </row>
    <row r="3724" spans="5:17" x14ac:dyDescent="0.2">
      <c r="E3724" s="9" t="s">
        <v>41</v>
      </c>
      <c r="K3724" t="str">
        <v>cut</v>
      </c>
      <c r="L3724" s="4" t="str">
        <f t="shared" si="69"/>
        <v>cut</v>
      </c>
      <c r="M3724" t="str">
        <v>your</v>
      </c>
      <c r="N3724" s="4" cm="1">
        <f t="array" ref="N3724">SUM(--(_xlfn.TEXTSPLIT($J$3653,, " ") = M3724))</f>
        <v>6</v>
      </c>
      <c r="O3724">
        <v>1</v>
      </c>
      <c r="P3724" t="str">
        <v>how</v>
      </c>
      <c r="Q3724">
        <v>1</v>
      </c>
    </row>
    <row r="3725" spans="5:17" x14ac:dyDescent="0.2">
      <c r="E3725" s="9" t="s">
        <v>41</v>
      </c>
      <c r="K3725" t="str">
        <v>the</v>
      </c>
      <c r="L3725" s="4" t="str">
        <f t="shared" si="69"/>
        <v>the</v>
      </c>
      <c r="M3725" t="str">
        <v>heartbreak</v>
      </c>
      <c r="N3725" s="4" cm="1">
        <f t="array" ref="N3725">SUM(--(_xlfn.TEXTSPLIT($J$3653,, " ") = M3725))</f>
        <v>3</v>
      </c>
      <c r="O3725">
        <v>1</v>
      </c>
      <c r="P3725" t="str">
        <v>story</v>
      </c>
      <c r="Q3725">
        <v>1</v>
      </c>
    </row>
    <row r="3726" spans="5:17" x14ac:dyDescent="0.2">
      <c r="E3726" s="9" t="s">
        <v>41</v>
      </c>
      <c r="K3726" t="str">
        <v xml:space="preserve">line?
</v>
      </c>
      <c r="L3726" s="4" t="str">
        <f t="shared" si="69"/>
        <v xml:space="preserve">line   </v>
      </c>
      <c r="M3726" t="str">
        <v>every</v>
      </c>
      <c r="N3726" s="4" cm="1">
        <f t="array" ref="N3726">SUM(--(_xlfn.TEXTSPLIT($J$3653,, " ") = M3726))</f>
        <v>6</v>
      </c>
      <c r="O3726">
        <v>1</v>
      </c>
      <c r="P3726" t="str">
        <v xml:space="preserve">goes
</v>
      </c>
      <c r="Q3726">
        <v>1</v>
      </c>
    </row>
    <row r="3727" spans="5:17" x14ac:dyDescent="0.2">
      <c r="E3727" s="9" t="s">
        <v>41</v>
      </c>
      <c r="K3727" t="str">
        <v>You</v>
      </c>
      <c r="L3727" s="4" t="str">
        <f t="shared" si="69"/>
        <v>You</v>
      </c>
      <c r="M3727" t="str">
        <v xml:space="preserve">time
</v>
      </c>
      <c r="N3727" s="4" cm="1">
        <f t="array" ref="N3727">SUM(--(_xlfn.TEXTSPLIT($J$3653,, " ") = M3727))</f>
        <v>5</v>
      </c>
      <c r="O3727">
        <v>1</v>
      </c>
      <c r="P3727" t="str">
        <v>We've</v>
      </c>
      <c r="Q3727">
        <v>1</v>
      </c>
    </row>
    <row r="3728" spans="5:17" x14ac:dyDescent="0.2">
      <c r="E3728" s="9" t="s">
        <v>41</v>
      </c>
      <c r="K3728" t="str">
        <v>want</v>
      </c>
      <c r="L3728" s="4" t="str">
        <f t="shared" si="69"/>
        <v>want</v>
      </c>
      <c r="M3728" t="str">
        <v xml:space="preserve">somehow
</v>
      </c>
      <c r="N3728" s="4" cm="1">
        <f t="array" ref="N3728">SUM(--(_xlfn.TEXTSPLIT($J$3653,, " ") = M3728))</f>
        <v>4</v>
      </c>
      <c r="O3728">
        <v>1</v>
      </c>
      <c r="P3728" t="str">
        <v>seen</v>
      </c>
      <c r="Q3728">
        <v>1</v>
      </c>
    </row>
    <row r="3729" spans="5:17" x14ac:dyDescent="0.2">
      <c r="E3729" s="9" t="s">
        <v>41</v>
      </c>
      <c r="K3729" t="str">
        <v>a</v>
      </c>
      <c r="L3729" s="4" t="str">
        <f t="shared" si="69"/>
        <v>a</v>
      </c>
      <c r="M3729" t="str">
        <v>liken</v>
      </c>
      <c r="N3729" s="4" cm="1">
        <f t="array" ref="N3729">SUM(--(_xlfn.TEXTSPLIT($J$3653,, " ") = M3729))</f>
        <v>1</v>
      </c>
      <c r="O3729">
        <v>1</v>
      </c>
      <c r="P3729" t="str">
        <v>several</v>
      </c>
      <c r="Q3729">
        <v>1</v>
      </c>
    </row>
    <row r="3730" spans="5:17" x14ac:dyDescent="0.2">
      <c r="E3730" s="9" t="s">
        <v>41</v>
      </c>
      <c r="K3730" t="str">
        <v>tally,</v>
      </c>
      <c r="L3730" s="4" t="str">
        <f t="shared" si="69"/>
        <v xml:space="preserve">tally </v>
      </c>
      <c r="M3730" t="str">
        <v>our</v>
      </c>
      <c r="N3730" s="4" cm="1">
        <f t="array" ref="N3730">SUM(--(_xlfn.TEXTSPLIT($J$3653,, " ") = M3730))</f>
        <v>1</v>
      </c>
      <c r="O3730">
        <v>1</v>
      </c>
      <c r="P3730" t="str">
        <v>times</v>
      </c>
      <c r="Q3730">
        <v>1</v>
      </c>
    </row>
    <row r="3731" spans="5:17" x14ac:dyDescent="0.2">
      <c r="E3731" s="9" t="s">
        <v>41</v>
      </c>
      <c r="K3731" t="str">
        <v>I</v>
      </c>
      <c r="L3731" s="4" t="str">
        <f t="shared" si="69"/>
        <v>I</v>
      </c>
      <c r="M3731" t="str">
        <v>fight</v>
      </c>
      <c r="N3731" s="4" cm="1">
        <f t="array" ref="N3731">SUM(--(_xlfn.TEXTSPLIT($J$3653,, " ") = M3731))</f>
        <v>1</v>
      </c>
      <c r="O3731">
        <v>1</v>
      </c>
      <c r="P3731" t="str">
        <v>It's</v>
      </c>
      <c r="Q3731">
        <v>1</v>
      </c>
    </row>
    <row r="3732" spans="5:17" x14ac:dyDescent="0.2">
      <c r="E3732" s="9" t="s">
        <v>41</v>
      </c>
      <c r="K3732" t="str">
        <v>lost</v>
      </c>
      <c r="L3732" s="4" t="str">
        <f t="shared" si="69"/>
        <v>lost</v>
      </c>
      <c r="M3732" t="str">
        <v>two</v>
      </c>
      <c r="N3732" s="4" cm="1">
        <f t="array" ref="N3732">SUM(--(_xlfn.TEXTSPLIT($J$3653,, " ") = M3732))</f>
        <v>1</v>
      </c>
      <c r="O3732">
        <v>1</v>
      </c>
      <c r="P3732" t="str">
        <v>kinda</v>
      </c>
      <c r="Q3732">
        <v>1</v>
      </c>
    </row>
    <row r="3733" spans="5:17" x14ac:dyDescent="0.2">
      <c r="E3733" s="9" t="s">
        <v>41</v>
      </c>
      <c r="K3733" t="str">
        <v>the</v>
      </c>
      <c r="L3733" s="4" t="str">
        <f t="shared" si="69"/>
        <v>the</v>
      </c>
      <c r="M3733" t="str">
        <v>lightning</v>
      </c>
      <c r="N3733" s="4" cm="1">
        <f t="array" ref="N3733">SUM(--(_xlfn.TEXTSPLIT($J$3653,, " ") = M3733))</f>
        <v>1</v>
      </c>
      <c r="O3733">
        <v>1</v>
      </c>
      <c r="P3733" t="str">
        <v>hard</v>
      </c>
      <c r="Q3733">
        <v>1</v>
      </c>
    </row>
    <row r="3734" spans="5:17" x14ac:dyDescent="0.2">
      <c r="E3734" s="9" t="s">
        <v>41</v>
      </c>
      <c r="K3734" t="str">
        <v xml:space="preserve">count
</v>
      </c>
      <c r="L3734" s="4" t="str">
        <f t="shared" si="69"/>
        <v xml:space="preserve">count </v>
      </c>
      <c r="M3734" t="str">
        <v>strikes</v>
      </c>
      <c r="N3734" s="4" cm="1">
        <f t="array" ref="N3734">SUM(--(_xlfn.TEXTSPLIT($J$3653,, " ") = M3734))</f>
        <v>1</v>
      </c>
      <c r="O3734">
        <v>1</v>
      </c>
      <c r="P3734" t="str">
        <v>know,</v>
      </c>
      <c r="Q3734">
        <v>1</v>
      </c>
    </row>
    <row r="3735" spans="5:17" x14ac:dyDescent="0.2">
      <c r="E3735" s="9" t="s">
        <v>41</v>
      </c>
      <c r="K3735" t="str">
        <v>You</v>
      </c>
      <c r="L3735" s="4" t="str">
        <f t="shared" si="69"/>
        <v>You</v>
      </c>
      <c r="M3735" t="str">
        <v>strike</v>
      </c>
      <c r="N3735" s="4" cm="1">
        <f t="array" ref="N3735">SUM(--(_xlfn.TEXTSPLIT($J$3653,, " ") = M3735))</f>
        <v>1</v>
      </c>
      <c r="O3735">
        <v>1</v>
      </c>
      <c r="P3735" t="str">
        <v>is</v>
      </c>
      <c r="Q3735">
        <v>1</v>
      </c>
    </row>
    <row r="3736" spans="5:17" x14ac:dyDescent="0.2">
      <c r="E3736" s="9" t="s">
        <v>41</v>
      </c>
      <c r="K3736" t="str">
        <v>want</v>
      </c>
      <c r="L3736" s="4" t="str">
        <f t="shared" si="69"/>
        <v>want</v>
      </c>
      <c r="M3736" t="str">
        <v xml:space="preserve">cue
</v>
      </c>
      <c r="N3736" s="4" cm="1">
        <f t="array" ref="N3736">SUM(--(_xlfn.TEXTSPLIT($J$3653,, " ") = M3736))</f>
        <v>1</v>
      </c>
      <c r="O3736">
        <v>1</v>
      </c>
      <c r="P3736" t="str">
        <v>there's</v>
      </c>
      <c r="Q3736">
        <v>1</v>
      </c>
    </row>
    <row r="3737" spans="5:17" x14ac:dyDescent="0.2">
      <c r="E3737" s="9" t="s">
        <v>41</v>
      </c>
      <c r="K3737" t="str">
        <v>to</v>
      </c>
      <c r="L3737" s="4" t="str">
        <f t="shared" si="69"/>
        <v>to</v>
      </c>
      <c r="M3737" t="str">
        <v>Like</v>
      </c>
      <c r="N3737" s="4" cm="1">
        <f t="array" ref="N3737">SUM(--(_xlfn.TEXTSPLIT($J$3653,, " ") = M3737))</f>
        <v>1</v>
      </c>
      <c r="O3737">
        <v>1</v>
      </c>
      <c r="P3737" t="str">
        <v>point</v>
      </c>
      <c r="Q3737">
        <v>1</v>
      </c>
    </row>
    <row r="3738" spans="5:17" x14ac:dyDescent="0.2">
      <c r="E3738" s="9" t="s">
        <v>41</v>
      </c>
      <c r="K3738" t="str">
        <v>love</v>
      </c>
      <c r="L3738" s="4" t="str">
        <f t="shared" si="69"/>
        <v>love</v>
      </c>
      <c r="M3738" t="str">
        <v>right</v>
      </c>
      <c r="N3738" s="4" cm="1">
        <f t="array" ref="N3738">SUM(--(_xlfn.TEXTSPLIT($J$3653,, " ") = M3738))</f>
        <v>2</v>
      </c>
      <c r="O3738">
        <v>1</v>
      </c>
      <c r="P3738" t="str">
        <v xml:space="preserve">all?
</v>
      </c>
      <c r="Q3738">
        <v>1</v>
      </c>
    </row>
    <row r="3739" spans="5:17" x14ac:dyDescent="0.2">
      <c r="E3739" s="9" t="s">
        <v>41</v>
      </c>
      <c r="K3739" t="str">
        <v>me,</v>
      </c>
      <c r="L3739" s="4" t="str">
        <f t="shared" si="69"/>
        <v xml:space="preserve">me </v>
      </c>
      <c r="M3739" t="str">
        <v>storm</v>
      </c>
      <c r="N3739" s="4" cm="1">
        <f t="array" ref="N3739">SUM(--(_xlfn.TEXTSPLIT($J$3653,, " ") = M3739))</f>
        <v>1</v>
      </c>
      <c r="O3739">
        <v>1</v>
      </c>
      <c r="P3739" t="str">
        <v>Or</v>
      </c>
      <c r="Q3739">
        <v>1</v>
      </c>
    </row>
    <row r="3740" spans="5:17" x14ac:dyDescent="0.2">
      <c r="E3740" s="9" t="s">
        <v>41</v>
      </c>
      <c r="K3740" t="str">
        <v>I'll</v>
      </c>
      <c r="L3740" s="4" t="str">
        <f t="shared" si="69"/>
        <v>I ll</v>
      </c>
      <c r="M3740" t="str">
        <v>hits,</v>
      </c>
      <c r="N3740" s="4" cm="1">
        <f t="array" ref="N3740">SUM(--(_xlfn.TEXTSPLIT($J$3653,, " ") = M3740))</f>
        <v>1</v>
      </c>
      <c r="O3740">
        <v>1</v>
      </c>
      <c r="P3740" t="str">
        <v xml:space="preserve">line?
</v>
      </c>
      <c r="Q3740">
        <v>1</v>
      </c>
    </row>
    <row r="3741" spans="5:17" x14ac:dyDescent="0.2">
      <c r="E3741" s="9" t="s">
        <v>41</v>
      </c>
      <c r="K3741" t="str">
        <v>let</v>
      </c>
      <c r="L3741" s="4" t="str">
        <f t="shared" si="69"/>
        <v>let</v>
      </c>
      <c r="M3741" t="str">
        <v>sights</v>
      </c>
      <c r="N3741" s="4" cm="1">
        <f t="array" ref="N3741">SUM(--(_xlfn.TEXTSPLIT($J$3653,, " ") = M3741))</f>
        <v>1</v>
      </c>
      <c r="O3741">
        <v>1</v>
      </c>
      <c r="P3741" t="str">
        <v>liken</v>
      </c>
      <c r="Q3741">
        <v>1</v>
      </c>
    </row>
    <row r="3742" spans="5:17" x14ac:dyDescent="0.2">
      <c r="E3742" s="9" t="s">
        <v>41</v>
      </c>
      <c r="K3742" t="str">
        <v>you</v>
      </c>
      <c r="L3742" s="4" t="str">
        <f t="shared" si="69"/>
        <v>you</v>
      </c>
      <c r="M3742" t="str">
        <v>set,</v>
      </c>
      <c r="N3742" s="4" cm="1">
        <f t="array" ref="N3742">SUM(--(_xlfn.TEXTSPLIT($J$3653,, " ") = M3742))</f>
        <v>1</v>
      </c>
      <c r="O3742">
        <v>1</v>
      </c>
      <c r="P3742" t="str">
        <v>our</v>
      </c>
      <c r="Q3742">
        <v>1</v>
      </c>
    </row>
    <row r="3743" spans="5:17" x14ac:dyDescent="0.2">
      <c r="E3743" s="9" t="s">
        <v>41</v>
      </c>
      <c r="K3743" t="str">
        <v xml:space="preserve">down
</v>
      </c>
      <c r="L3743" s="4" t="str">
        <f t="shared" si="69"/>
        <v xml:space="preserve">down </v>
      </c>
      <c r="M3743" t="str">
        <v>circumstantial</v>
      </c>
      <c r="N3743" s="4" cm="1">
        <f t="array" ref="N3743">SUM(--(_xlfn.TEXTSPLIT($J$3653,, " ") = M3743))</f>
        <v>1</v>
      </c>
      <c r="O3743">
        <v>1</v>
      </c>
      <c r="P3743" t="str">
        <v>fight</v>
      </c>
      <c r="Q3743">
        <v>1</v>
      </c>
    </row>
    <row r="3744" spans="5:17" x14ac:dyDescent="0.2">
      <c r="E3744" s="9" t="s">
        <v>41</v>
      </c>
      <c r="K3744" t="str">
        <v>Still</v>
      </c>
      <c r="L3744" s="4" t="str">
        <f t="shared" si="69"/>
        <v>Still</v>
      </c>
      <c r="M3744" t="str">
        <v xml:space="preserve">proof
</v>
      </c>
      <c r="N3744" s="4" cm="1">
        <f t="array" ref="N3744">SUM(--(_xlfn.TEXTSPLIT($J$3653,, " ") = M3744))</f>
        <v>1</v>
      </c>
      <c r="O3744">
        <v>1</v>
      </c>
      <c r="P3744" t="str">
        <v>two</v>
      </c>
      <c r="Q3744">
        <v>1</v>
      </c>
    </row>
    <row r="3745" spans="5:17" x14ac:dyDescent="0.2">
      <c r="E3745" s="9" t="s">
        <v>41</v>
      </c>
      <c r="K3745" t="str">
        <v>now,</v>
      </c>
      <c r="L3745" s="4" t="str">
        <f t="shared" si="69"/>
        <v xml:space="preserve">now </v>
      </c>
      <c r="M3745" t="str">
        <v>go</v>
      </c>
      <c r="N3745" s="4" cm="1">
        <f t="array" ref="N3745">SUM(--(_xlfn.TEXTSPLIT($J$3653,, " ") = M3745))</f>
        <v>1</v>
      </c>
      <c r="O3745">
        <v>1</v>
      </c>
      <c r="P3745" t="str">
        <v>lightning</v>
      </c>
      <c r="Q3745">
        <v>1</v>
      </c>
    </row>
    <row r="3746" spans="5:17" x14ac:dyDescent="0.2">
      <c r="E3746" s="9" t="s">
        <v>41</v>
      </c>
      <c r="K3746" t="str">
        <v>you</v>
      </c>
      <c r="L3746" s="4" t="str">
        <f t="shared" si="69"/>
        <v>you</v>
      </c>
      <c r="M3746" t="str">
        <v>way,</v>
      </c>
      <c r="N3746" s="4" cm="1">
        <f t="array" ref="N3746">SUM(--(_xlfn.TEXTSPLIT($J$3653,, " ") = M3746))</f>
        <v>1</v>
      </c>
      <c r="O3746">
        <v>1</v>
      </c>
      <c r="P3746" t="str">
        <v>strikes</v>
      </c>
      <c r="Q3746">
        <v>1</v>
      </c>
    </row>
    <row r="3747" spans="5:17" x14ac:dyDescent="0.2">
      <c r="E3747" s="9" t="s">
        <v>41</v>
      </c>
      <c r="K3747" t="str">
        <v>believe</v>
      </c>
      <c r="L3747" s="4" t="str">
        <f t="shared" si="69"/>
        <v>believe</v>
      </c>
      <c r="M3747" t="str">
        <v>try</v>
      </c>
      <c r="N3747" s="4" cm="1">
        <f t="array" ref="N3747">SUM(--(_xlfn.TEXTSPLIT($J$3653,, " ") = M3747))</f>
        <v>1</v>
      </c>
      <c r="O3747">
        <v>1</v>
      </c>
      <c r="P3747" t="str">
        <v>strike</v>
      </c>
      <c r="Q3747">
        <v>1</v>
      </c>
    </row>
    <row r="3748" spans="5:17" x14ac:dyDescent="0.2">
      <c r="E3748" s="9" t="s">
        <v>41</v>
      </c>
      <c r="K3748" t="str">
        <v>in</v>
      </c>
      <c r="L3748" s="4" t="str">
        <f t="shared" si="69"/>
        <v>in</v>
      </c>
      <c r="M3748" t="str">
        <v xml:space="preserve">mine
</v>
      </c>
      <c r="N3748" s="4" cm="1">
        <f t="array" ref="N3748">SUM(--(_xlfn.TEXTSPLIT($J$3653,, " ") = M3748))</f>
        <v>1</v>
      </c>
      <c r="O3748">
        <v>1</v>
      </c>
      <c r="P3748" t="str">
        <v xml:space="preserve">cue
</v>
      </c>
      <c r="Q3748">
        <v>1</v>
      </c>
    </row>
    <row r="3749" spans="5:17" x14ac:dyDescent="0.2">
      <c r="E3749" s="9" t="s">
        <v>41</v>
      </c>
      <c r="K3749" t="str">
        <v>me</v>
      </c>
      <c r="L3749" s="4" t="str">
        <f t="shared" si="69"/>
        <v>me</v>
      </c>
      <c r="M3749" t="str">
        <v>Even</v>
      </c>
      <c r="N3749" s="4" cm="1">
        <f t="array" ref="N3749">SUM(--(_xlfn.TEXTSPLIT($J$3653,, " ") = M3749))</f>
        <v>1</v>
      </c>
      <c r="O3749">
        <v>1</v>
      </c>
      <c r="P3749" t="str">
        <v>Like</v>
      </c>
      <c r="Q3749">
        <v>1</v>
      </c>
    </row>
    <row r="3750" spans="5:17" x14ac:dyDescent="0.2">
      <c r="E3750" s="9" t="s">
        <v>41</v>
      </c>
      <c r="K3750" t="str">
        <v xml:space="preserve">somehow
</v>
      </c>
      <c r="L3750" s="4" t="str">
        <f t="shared" si="69"/>
        <v xml:space="preserve">somehow </v>
      </c>
      <c r="M3750" t="str">
        <v>though</v>
      </c>
      <c r="N3750" s="4" cm="1">
        <f t="array" ref="N3750">SUM(--(_xlfn.TEXTSPLIT($J$3653,, " ") = M3750))</f>
        <v>1</v>
      </c>
      <c r="O3750">
        <v>1</v>
      </c>
      <c r="P3750" t="str">
        <v>storm</v>
      </c>
      <c r="Q3750">
        <v>1</v>
      </c>
    </row>
    <row r="3751" spans="5:17" x14ac:dyDescent="0.2">
      <c r="E3751" s="9" t="s">
        <v>41</v>
      </c>
      <c r="K3751" t="str">
        <v>When</v>
      </c>
      <c r="L3751" s="4" t="str">
        <f t="shared" si="69"/>
        <v>When</v>
      </c>
      <c r="M3751" t="str">
        <v xml:space="preserve">know
</v>
      </c>
      <c r="N3751" s="4" cm="1">
        <f t="array" ref="N3751">SUM(--(_xlfn.TEXTSPLIT($J$3653,, " ") = M3751))</f>
        <v>1</v>
      </c>
      <c r="O3751">
        <v>1</v>
      </c>
      <c r="P3751" t="str">
        <v>hits,</v>
      </c>
      <c r="Q3751">
        <v>1</v>
      </c>
    </row>
    <row r="3752" spans="5:17" x14ac:dyDescent="0.2">
      <c r="E3752" s="9" t="s">
        <v>41</v>
      </c>
      <c r="K3752" t="str">
        <v>I</v>
      </c>
      <c r="L3752" s="4" t="str">
        <f t="shared" si="69"/>
        <v>I</v>
      </c>
      <c r="M3752" t="str">
        <v>just</v>
      </c>
      <c r="N3752" s="4" cm="1">
        <f t="array" ref="N3752">SUM(--(_xlfn.TEXTSPLIT($J$3653,, " ") = M3752))</f>
        <v>3</v>
      </c>
      <c r="O3752">
        <v>1</v>
      </c>
      <c r="P3752" t="str">
        <v>sights</v>
      </c>
      <c r="Q3752">
        <v>1</v>
      </c>
    </row>
    <row r="3753" spans="5:17" x14ac:dyDescent="0.2">
      <c r="E3753" s="9" t="s">
        <v>41</v>
      </c>
      <c r="K3753" t="str">
        <v>replay</v>
      </c>
      <c r="L3753" s="4" t="str">
        <f t="shared" si="69"/>
        <v>replay</v>
      </c>
      <c r="M3753" t="str">
        <v>line</v>
      </c>
      <c r="N3753" s="4" cm="1">
        <f t="array" ref="N3753">SUM(--(_xlfn.TEXTSPLIT($J$3653,, " ") = M3753))</f>
        <v>1</v>
      </c>
      <c r="O3753">
        <v>1</v>
      </c>
      <c r="P3753" t="str">
        <v>set,</v>
      </c>
      <c r="Q3753">
        <v>1</v>
      </c>
    </row>
    <row r="3754" spans="5:17" x14ac:dyDescent="0.2">
      <c r="E3754" s="9" t="s">
        <v>41</v>
      </c>
      <c r="K3754" t="str">
        <v>it</v>
      </c>
      <c r="L3754" s="4" t="str">
        <f t="shared" si="69"/>
        <v>it</v>
      </c>
      <c r="M3754" t="str">
        <v>Somehow,</v>
      </c>
      <c r="N3754" s="4" cm="1">
        <f t="array" ref="N3754">SUM(--(_xlfn.TEXTSPLIT($J$3653,, " ") = M3754))</f>
        <v>1</v>
      </c>
      <c r="O3754">
        <v>1</v>
      </c>
      <c r="P3754" t="str">
        <v>circumstantial</v>
      </c>
      <c r="Q3754">
        <v>1</v>
      </c>
    </row>
    <row r="3755" spans="5:17" x14ac:dyDescent="0.2">
      <c r="E3755" s="9" t="s">
        <v>41</v>
      </c>
      <c r="K3755" t="str">
        <v>in</v>
      </c>
      <c r="L3755" s="4" t="str">
        <f t="shared" si="69"/>
        <v>in</v>
      </c>
      <c r="M3755" t="str">
        <v>somehow</v>
      </c>
      <c r="N3755" s="4" cm="1">
        <f t="array" ref="N3755">SUM(--(_xlfn.TEXTSPLIT($J$3653,, " ") = M3755))</f>
        <v>3</v>
      </c>
      <c r="O3755">
        <v>1</v>
      </c>
      <c r="P3755" t="str">
        <v xml:space="preserve">proof
</v>
      </c>
      <c r="Q3755">
        <v>1</v>
      </c>
    </row>
    <row r="3756" spans="5:17" x14ac:dyDescent="0.2">
      <c r="E3756" s="9" t="s">
        <v>41</v>
      </c>
      <c r="K3756" t="str">
        <v>my</v>
      </c>
      <c r="L3756" s="4" t="str">
        <f t="shared" si="69"/>
        <v>my</v>
      </c>
      <c r="M3756" t="str">
        <v>(Ooh,</v>
      </c>
      <c r="N3756" s="4" cm="1">
        <f t="array" ref="N3756">SUM(--(_xlfn.TEXTSPLIT($J$3653,, " ") = M3756))</f>
        <v>1</v>
      </c>
      <c r="O3756">
        <v>1</v>
      </c>
      <c r="P3756" t="str">
        <v>go</v>
      </c>
      <c r="Q3756">
        <v>1</v>
      </c>
    </row>
    <row r="3757" spans="5:17" x14ac:dyDescent="0.2">
      <c r="E3757" s="9" t="s">
        <v>41</v>
      </c>
      <c r="K3757" t="str">
        <v xml:space="preserve">mind
</v>
      </c>
      <c r="L3757" s="4" t="str">
        <f t="shared" si="69"/>
        <v xml:space="preserve">mind </v>
      </c>
      <c r="M3757" t="str">
        <v xml:space="preserve">ooh)
</v>
      </c>
      <c r="N3757" s="4" cm="1">
        <f t="array" ref="N3757">SUM(--(_xlfn.TEXTSPLIT($J$3653,, " ") = M3757))</f>
        <v>1</v>
      </c>
      <c r="O3757">
        <v>1</v>
      </c>
      <c r="P3757" t="str">
        <v>way,</v>
      </c>
      <c r="Q3757">
        <v>1</v>
      </c>
    </row>
    <row r="3758" spans="5:17" x14ac:dyDescent="0.2">
      <c r="E3758" s="9" t="s">
        <v>41</v>
      </c>
      <c r="K3758" t="str">
        <v>I</v>
      </c>
      <c r="L3758" s="4" t="str">
        <f t="shared" si="69"/>
        <v>I</v>
      </c>
      <c r="M3758" t="str">
        <v xml:space="preserve">Ooh
</v>
      </c>
      <c r="N3758" s="4" cm="1">
        <f t="array" ref="N3758">SUM(--(_xlfn.TEXTSPLIT($J$3653,, " ") = M3758))</f>
        <v>1</v>
      </c>
      <c r="O3758">
        <v>1</v>
      </c>
      <c r="P3758" t="str">
        <v>try</v>
      </c>
      <c r="Q3758">
        <v>1</v>
      </c>
    </row>
    <row r="3759" spans="5:17" x14ac:dyDescent="0.2">
      <c r="E3759" s="9" t="s">
        <v>41</v>
      </c>
      <c r="K3759" t="str">
        <v>see</v>
      </c>
      <c r="L3759" s="4" t="str">
        <f t="shared" si="69"/>
        <v>see</v>
      </c>
      <c r="M3759" t="str">
        <v>Ooh,</v>
      </c>
      <c r="N3759" s="4" cm="1">
        <f t="array" ref="N3759">SUM(--(_xlfn.TEXTSPLIT($J$3653,, " ") = M3759))</f>
        <v>1</v>
      </c>
      <c r="O3759">
        <v>1</v>
      </c>
      <c r="P3759" t="str">
        <v xml:space="preserve">mine
</v>
      </c>
      <c r="Q3759">
        <v>1</v>
      </c>
    </row>
    <row r="3760" spans="5:17" x14ac:dyDescent="0.2">
      <c r="E3760" s="9" t="s">
        <v>41</v>
      </c>
      <c r="K3760" t="str">
        <v>your</v>
      </c>
      <c r="L3760" s="4" t="str">
        <f t="shared" si="69"/>
        <v>your</v>
      </c>
      <c r="M3760" t="str">
        <v>figured</v>
      </c>
      <c r="N3760" s="4" cm="1">
        <f t="array" ref="N3760">SUM(--(_xlfn.TEXTSPLIT($J$3653,, " ") = M3760))</f>
        <v>3</v>
      </c>
      <c r="O3760">
        <v>1</v>
      </c>
      <c r="P3760" t="str">
        <v>Even</v>
      </c>
      <c r="Q3760">
        <v>1</v>
      </c>
    </row>
    <row r="3761" spans="5:17" x14ac:dyDescent="0.2">
      <c r="E3761" s="9" t="s">
        <v>41</v>
      </c>
      <c r="K3761" t="str">
        <v>heartbreak</v>
      </c>
      <c r="L3761" s="4" t="str">
        <f t="shared" si="69"/>
        <v>heartbreak</v>
      </c>
      <c r="M3761" t="str">
        <v>were</v>
      </c>
      <c r="N3761" s="4" cm="1">
        <f t="array" ref="N3761">SUM(--(_xlfn.TEXTSPLIT($J$3653,, " ") = M3761))</f>
        <v>4</v>
      </c>
      <c r="O3761">
        <v>1</v>
      </c>
      <c r="P3761" t="str">
        <v>though</v>
      </c>
      <c r="Q3761">
        <v>1</v>
      </c>
    </row>
    <row r="3762" spans="5:17" x14ac:dyDescent="0.2">
      <c r="E3762" s="9" t="s">
        <v>41</v>
      </c>
      <c r="K3762" t="str">
        <v>every</v>
      </c>
      <c r="L3762" s="4" t="str">
        <f t="shared" si="69"/>
        <v>every</v>
      </c>
      <c r="M3762" t="str">
        <v>keeping</v>
      </c>
      <c r="N3762" s="4" cm="1">
        <f t="array" ref="N3762">SUM(--(_xlfn.TEXTSPLIT($J$3653,, " ") = M3762))</f>
        <v>4</v>
      </c>
      <c r="O3762">
        <v>1</v>
      </c>
      <c r="P3762" t="str">
        <v xml:space="preserve">know
</v>
      </c>
      <c r="Q3762">
        <v>1</v>
      </c>
    </row>
    <row r="3763" spans="5:17" x14ac:dyDescent="0.2">
      <c r="E3763" s="9" t="s">
        <v>41</v>
      </c>
      <c r="K3763" t="str">
        <v xml:space="preserve">time
</v>
      </c>
      <c r="L3763" s="4" t="str">
        <f t="shared" si="69"/>
        <v xml:space="preserve">time </v>
      </c>
      <c r="M3763" t="str">
        <v>track</v>
      </c>
      <c r="N3763" s="4" cm="1">
        <f t="array" ref="N3763">SUM(--(_xlfn.TEXTSPLIT($J$3653,, " ") = M3763))</f>
        <v>3</v>
      </c>
      <c r="O3763">
        <v>1</v>
      </c>
      <c r="P3763" t="str">
        <v>line</v>
      </c>
      <c r="Q3763">
        <v>1</v>
      </c>
    </row>
    <row r="3764" spans="5:17" x14ac:dyDescent="0.2">
      <c r="E3764" s="9" t="s">
        <v>41</v>
      </c>
      <c r="K3764" t="str">
        <v>Still</v>
      </c>
      <c r="L3764" s="4" t="str">
        <f t="shared" si="69"/>
        <v>Still</v>
      </c>
      <c r="M3764" t="str">
        <v>of</v>
      </c>
      <c r="N3764" s="4" cm="1">
        <f t="array" ref="N3764">SUM(--(_xlfn.TEXTSPLIT($J$3653,, " ") = M3764))</f>
        <v>3</v>
      </c>
      <c r="O3764">
        <v>1</v>
      </c>
      <c r="P3764" t="str">
        <v>Somehow,</v>
      </c>
      <c r="Q3764">
        <v>1</v>
      </c>
    </row>
    <row r="3765" spans="5:17" x14ac:dyDescent="0.2">
      <c r="E3765" s="9" t="s">
        <v>41</v>
      </c>
      <c r="K3765" t="str">
        <v>now,</v>
      </c>
      <c r="L3765" s="4" t="str">
        <f t="shared" si="69"/>
        <v xml:space="preserve">now </v>
      </c>
      <c r="M3765" t="str">
        <v>down,</v>
      </c>
      <c r="N3765" s="4" cm="1">
        <f t="array" ref="N3765">SUM(--(_xlfn.TEXTSPLIT($J$3653,, " ") = M3765))</f>
        <v>1</v>
      </c>
      <c r="O3765">
        <v>1</v>
      </c>
      <c r="P3765" t="str">
        <v>(Ooh,</v>
      </c>
      <c r="Q3765">
        <v>1</v>
      </c>
    </row>
    <row r="3766" spans="5:17" x14ac:dyDescent="0.2">
      <c r="E3766" s="9" t="s">
        <v>41</v>
      </c>
      <c r="K3766" t="str">
        <v>you</v>
      </c>
      <c r="L3766" s="4" t="str">
        <f t="shared" si="69"/>
        <v>you</v>
      </c>
      <c r="M3766" t="str">
        <v>breached</v>
      </c>
      <c r="N3766" s="4" cm="1">
        <f t="array" ref="N3766">SUM(--(_xlfn.TEXTSPLIT($J$3653,, " ") = M3766))</f>
        <v>1</v>
      </c>
      <c r="O3766">
        <v>1</v>
      </c>
      <c r="P3766" t="str">
        <v xml:space="preserve">ooh)
</v>
      </c>
      <c r="Q3766">
        <v>1</v>
      </c>
    </row>
    <row r="3767" spans="5:17" x14ac:dyDescent="0.2">
      <c r="E3767" s="9" t="s">
        <v>41</v>
      </c>
      <c r="K3767" t="str">
        <v>believe</v>
      </c>
      <c r="L3767" s="4" t="str">
        <f t="shared" si="69"/>
        <v>believe</v>
      </c>
      <c r="M3767" t="str">
        <v>trust,</v>
      </c>
      <c r="N3767" s="4" cm="1">
        <f t="array" ref="N3767">SUM(--(_xlfn.TEXTSPLIT($J$3653,, " ") = M3767))</f>
        <v>1</v>
      </c>
      <c r="O3767">
        <v>1</v>
      </c>
      <c r="P3767" t="str">
        <v xml:space="preserve">Ooh
</v>
      </c>
      <c r="Q3767">
        <v>1</v>
      </c>
    </row>
    <row r="3768" spans="5:17" x14ac:dyDescent="0.2">
      <c r="E3768" s="9" t="s">
        <v>41</v>
      </c>
      <c r="K3768" t="str">
        <v>in</v>
      </c>
      <c r="L3768" s="4" t="str">
        <f t="shared" si="69"/>
        <v>in</v>
      </c>
      <c r="M3768" t="str">
        <v xml:space="preserve">track
</v>
      </c>
      <c r="N3768" s="4" cm="1">
        <f t="array" ref="N3768">SUM(--(_xlfn.TEXTSPLIT($J$3653,, " ") = M3768))</f>
        <v>1</v>
      </c>
      <c r="O3768">
        <v>1</v>
      </c>
      <c r="P3768" t="str">
        <v>Ooh,</v>
      </c>
      <c r="Q3768">
        <v>1</v>
      </c>
    </row>
    <row r="3769" spans="5:17" x14ac:dyDescent="0.2">
      <c r="E3769" s="9" t="s">
        <v>41</v>
      </c>
      <c r="K3769" t="str">
        <v>me</v>
      </c>
      <c r="L3769" s="4" t="str">
        <f t="shared" si="69"/>
        <v>me</v>
      </c>
      <c r="M3769" t="str">
        <v>count</v>
      </c>
      <c r="N3769" s="4" cm="1">
        <f t="array" ref="N3769">SUM(--(_xlfn.TEXTSPLIT($J$3653,, " ") = M3769))</f>
        <v>1</v>
      </c>
      <c r="O3769">
        <v>1</v>
      </c>
      <c r="P3769" t="str">
        <v>down,</v>
      </c>
      <c r="Q3769">
        <v>1</v>
      </c>
    </row>
    <row r="3770" spans="5:17" x14ac:dyDescent="0.2">
      <c r="E3770" s="9" t="s">
        <v>41</v>
      </c>
      <c r="K3770" t="str">
        <v xml:space="preserve">somehow
</v>
      </c>
      <c r="L3770" s="4" t="str">
        <f t="shared" si="69"/>
        <v xml:space="preserve">somehow  </v>
      </c>
      <c r="M3770" t="str">
        <v>(You</v>
      </c>
      <c r="N3770" s="4" cm="1">
        <f t="array" ref="N3770">SUM(--(_xlfn.TEXTSPLIT($J$3653,, " ") = M3770))</f>
        <v>3</v>
      </c>
      <c r="O3770">
        <v>1</v>
      </c>
      <c r="P3770" t="str">
        <v>breached</v>
      </c>
      <c r="Q3770">
        <v>1</v>
      </c>
    </row>
    <row r="3771" spans="5:17" x14ac:dyDescent="0.2">
      <c r="E3771" s="9" t="s">
        <v>41</v>
      </c>
      <c r="K3771" t="str">
        <v>You</v>
      </c>
      <c r="L3771" s="4" t="str">
        <f t="shared" si="69"/>
        <v>You</v>
      </c>
      <c r="M3771" t="str">
        <v xml:space="preserve">tally)
</v>
      </c>
      <c r="N3771" s="4" cm="1">
        <f t="array" ref="N3771">SUM(--(_xlfn.TEXTSPLIT($J$3653,, " ") = M3771))</f>
        <v>1</v>
      </c>
      <c r="O3771">
        <v>1</v>
      </c>
      <c r="P3771" t="str">
        <v>trust,</v>
      </c>
      <c r="Q3771">
        <v>1</v>
      </c>
    </row>
    <row r="3772" spans="5:17" x14ac:dyDescent="0.2">
      <c r="E3772" s="9" t="s">
        <v>41</v>
      </c>
      <c r="K3772" t="str">
        <v>believe</v>
      </c>
      <c r="L3772" s="4" t="str">
        <f t="shared" si="69"/>
        <v>believe</v>
      </c>
      <c r="M3772" t="str">
        <v>me),</v>
      </c>
      <c r="N3772" s="4" cm="1">
        <f t="array" ref="N3772">SUM(--(_xlfn.TEXTSPLIT($J$3653,, " ") = M3772))</f>
        <v>1</v>
      </c>
      <c r="O3772">
        <v>1</v>
      </c>
      <c r="P3772" t="str">
        <v xml:space="preserve">track
</v>
      </c>
      <c r="Q3772">
        <v>1</v>
      </c>
    </row>
    <row r="3773" spans="5:17" x14ac:dyDescent="0.2">
      <c r="E3773" s="9" t="s">
        <v>41</v>
      </c>
      <c r="K3773" t="str">
        <v>in</v>
      </c>
      <c r="L3773" s="4" t="str">
        <f t="shared" si="69"/>
        <v>in</v>
      </c>
      <c r="M3773" t="str">
        <v>now</v>
      </c>
      <c r="N3773" s="4" cm="1">
        <f t="array" ref="N3773">SUM(--(_xlfn.TEXTSPLIT($J$3653,, " ") = M3773))</f>
        <v>2</v>
      </c>
      <c r="O3773">
        <v>1</v>
      </c>
      <c r="P3773" t="str">
        <v>count</v>
      </c>
      <c r="Q3773">
        <v>1</v>
      </c>
    </row>
    <row r="3774" spans="5:17" x14ac:dyDescent="0.2">
      <c r="E3774" s="9" t="s">
        <v>41</v>
      </c>
      <c r="K3774" t="str">
        <v>me</v>
      </c>
      <c r="L3774" s="4" t="str">
        <f t="shared" si="69"/>
        <v>me</v>
      </c>
      <c r="M3774" t="str">
        <v>(Still</v>
      </c>
      <c r="N3774" s="4" cm="1">
        <f t="array" ref="N3774">SUM(--(_xlfn.TEXTSPLIT($J$3653,, " ") = M3774))</f>
        <v>2</v>
      </c>
      <c r="O3774">
        <v>1</v>
      </c>
      <c r="P3774" t="str">
        <v xml:space="preserve">tally)
</v>
      </c>
      <c r="Q3774">
        <v>1</v>
      </c>
    </row>
    <row r="3775" spans="5:17" x14ac:dyDescent="0.2">
      <c r="E3775" s="9" t="s">
        <v>41</v>
      </c>
      <c r="K3775" t="str">
        <v xml:space="preserve">somehow
</v>
      </c>
      <c r="L3775" s="4" t="str">
        <f t="shared" si="69"/>
        <v xml:space="preserve">somehow </v>
      </c>
      <c r="M3775" t="str">
        <v>now),</v>
      </c>
      <c r="N3775" s="4" cm="1">
        <f t="array" ref="N3775">SUM(--(_xlfn.TEXTSPLIT($J$3653,, " ") = M3775))</f>
        <v>2</v>
      </c>
      <c r="O3775">
        <v>1</v>
      </c>
      <c r="P3775" t="str">
        <v>me),</v>
      </c>
      <c r="Q3775">
        <v>1</v>
      </c>
    </row>
    <row r="3776" spans="5:17" x14ac:dyDescent="0.2">
      <c r="E3776" s="9" t="s">
        <v>41</v>
      </c>
      <c r="K3776" t="str">
        <v>You</v>
      </c>
      <c r="L3776" s="4" t="str">
        <f t="shared" si="69"/>
        <v>You</v>
      </c>
      <c r="M3776" t="str">
        <v xml:space="preserve">somehow)
</v>
      </c>
      <c r="N3776" s="4" cm="1">
        <f t="array" ref="N3776">SUM(--(_xlfn.TEXTSPLIT($J$3653,, " ") = M3776))</f>
        <v>1</v>
      </c>
      <c r="O3776">
        <v>1</v>
      </c>
      <c r="P3776" t="str">
        <v xml:space="preserve">somehow)
</v>
      </c>
      <c r="Q3776">
        <v>1</v>
      </c>
    </row>
    <row r="3777" spans="5:17" x14ac:dyDescent="0.2">
      <c r="E3777" s="9" t="s">
        <v>41</v>
      </c>
      <c r="K3777" t="str">
        <v>believe</v>
      </c>
      <c r="L3777" s="4" t="str">
        <f t="shared" si="69"/>
        <v>believe</v>
      </c>
      <c r="M3777" t="str">
        <v>mind</v>
      </c>
      <c r="N3777" s="4" cm="1">
        <f t="array" ref="N3777">SUM(--(_xlfn.TEXTSPLIT($J$3653,, " ") = M3777))</f>
        <v>1</v>
      </c>
      <c r="O3777">
        <v>1</v>
      </c>
      <c r="P3777" t="str">
        <v>mind</v>
      </c>
      <c r="Q3777">
        <v>1</v>
      </c>
    </row>
    <row r="3778" spans="5:17" x14ac:dyDescent="0.2">
      <c r="E3778" s="9" t="s">
        <v>41</v>
      </c>
      <c r="K3778" t="str">
        <v>in</v>
      </c>
      <c r="L3778" s="4" t="str">
        <f t="shared" si="69"/>
        <v>in</v>
      </c>
      <c r="M3778" t="str">
        <v>(When</v>
      </c>
      <c r="N3778" s="4" cm="1">
        <f t="array" ref="N3778">SUM(--(_xlfn.TEXTSPLIT($J$3653,, " ") = M3778))</f>
        <v>1</v>
      </c>
      <c r="O3778">
        <v>1</v>
      </c>
      <c r="P3778" t="str">
        <v>(When</v>
      </c>
      <c r="Q3778">
        <v>1</v>
      </c>
    </row>
    <row r="3779" spans="5:17" x14ac:dyDescent="0.2">
      <c r="E3779" s="9" t="s">
        <v>41</v>
      </c>
      <c r="K3779" t="str">
        <v>me</v>
      </c>
      <c r="L3779" s="4" t="str">
        <f t="shared" si="69"/>
        <v>me</v>
      </c>
      <c r="M3779" t="str">
        <v xml:space="preserve">it)
</v>
      </c>
      <c r="N3779" s="4" cm="1">
        <f t="array" ref="N3779">SUM(--(_xlfn.TEXTSPLIT($J$3653,, " ") = M3779))</f>
        <v>1</v>
      </c>
      <c r="O3779">
        <v>1</v>
      </c>
      <c r="P3779" t="str">
        <v xml:space="preserve">it)
</v>
      </c>
      <c r="Q3779">
        <v>1</v>
      </c>
    </row>
    <row r="3780" spans="5:17" x14ac:dyDescent="0.2">
      <c r="E3780" s="9" t="s">
        <v>41</v>
      </c>
      <c r="K3780" t="str">
        <v xml:space="preserve">somehow
</v>
      </c>
      <c r="L3780" s="4" t="str">
        <f t="shared" si="69"/>
        <v xml:space="preserve">somehow  </v>
      </c>
      <c r="M3780" t="str">
        <v>time</v>
      </c>
      <c r="N3780" s="4" cm="1">
        <f t="array" ref="N3780">SUM(--(_xlfn.TEXTSPLIT($J$3653,, " ") = M3780))</f>
        <v>1</v>
      </c>
      <c r="O3780">
        <v>1</v>
      </c>
      <c r="P3780" t="str">
        <v>time</v>
      </c>
      <c r="Q3780">
        <v>1</v>
      </c>
    </row>
    <row r="3781" spans="5:17" x14ac:dyDescent="0.2">
      <c r="E3781" s="9" t="s">
        <v>41</v>
      </c>
      <c r="K3781" t="str">
        <v>I</v>
      </c>
      <c r="L3781" s="4" t="str">
        <f t="shared" si="69"/>
        <v>I</v>
      </c>
      <c r="M3781" t="str">
        <v>(I</v>
      </c>
      <c r="N3781" s="4" cm="1">
        <f t="array" ref="N3781">SUM(--(_xlfn.TEXTSPLIT($J$3653,, " ") = M3781))</f>
        <v>1</v>
      </c>
      <c r="O3781">
        <v>1</v>
      </c>
      <c r="P3781" t="str">
        <v>(I</v>
      </c>
      <c r="Q3781">
        <v>1</v>
      </c>
    </row>
    <row r="3782" spans="5:17" x14ac:dyDescent="0.2">
      <c r="E3782" s="9" t="s">
        <v>41</v>
      </c>
      <c r="K3782" t="str">
        <v>liken</v>
      </c>
      <c r="L3782" s="4" t="str">
        <f t="shared" ref="L3782:L3845" si="70">_xlfn.REGEXREPLACE(K3782, "[^A-Za-z ]", " ")</f>
        <v>liken</v>
      </c>
      <c r="M3782" t="str">
        <v xml:space="preserve">heartbreak)
</v>
      </c>
      <c r="N3782" s="4" cm="1">
        <f t="array" ref="N3782">SUM(--(_xlfn.TEXTSPLIT($J$3653,, " ") = M3782))</f>
        <v>1</v>
      </c>
      <c r="O3782">
        <v>1</v>
      </c>
      <c r="P3782" t="str">
        <v xml:space="preserve">heartbreak)
</v>
      </c>
      <c r="Q3782">
        <v>1</v>
      </c>
    </row>
    <row r="3783" spans="5:17" x14ac:dyDescent="0.2">
      <c r="E3783" s="9" t="s">
        <v>41</v>
      </c>
      <c r="K3783" t="str">
        <v>our</v>
      </c>
      <c r="L3783" s="4" t="str">
        <f t="shared" si="70"/>
        <v>our</v>
      </c>
      <c r="M3783" t="str">
        <v>Yeah,</v>
      </c>
      <c r="N3783" s="4" cm="1">
        <f t="array" ref="N3783">SUM(--(_xlfn.TEXTSPLIT($J$3653,, " ") = M3783))</f>
        <v>1</v>
      </c>
      <c r="O3783">
        <v>1</v>
      </c>
      <c r="P3783" t="str">
        <v>Yeah,</v>
      </c>
      <c r="Q3783">
        <v>1</v>
      </c>
    </row>
    <row r="3784" spans="5:17" x14ac:dyDescent="0.2">
      <c r="E3784" s="9" t="s">
        <v>41</v>
      </c>
      <c r="K3784" t="str">
        <v>fight</v>
      </c>
      <c r="L3784" s="4" t="str">
        <f t="shared" si="70"/>
        <v>fight</v>
      </c>
      <c r="M3784" t="str">
        <v>yeah"</v>
      </c>
      <c r="N3784" s="4" cm="1">
        <f t="array" ref="N3784">SUM(--(_xlfn.TEXTSPLIT($J$3653,, " ") = M3784))</f>
        <v>1</v>
      </c>
      <c r="O3784">
        <v>1</v>
      </c>
      <c r="P3784" t="str">
        <v>yeah"</v>
      </c>
      <c r="Q3784">
        <v>1</v>
      </c>
    </row>
    <row r="3785" spans="5:17" x14ac:dyDescent="0.2">
      <c r="E3785" s="9" t="s">
        <v>41</v>
      </c>
      <c r="K3785" t="str">
        <v>to</v>
      </c>
      <c r="L3785" s="4" t="str">
        <f t="shared" si="70"/>
        <v>to</v>
      </c>
      <c r="N3785" s="4" cm="1">
        <f t="array" ref="N3785">SUM(--(_xlfn.TEXTSPLIT($J$3653,, " ") = M3785))</f>
        <v>1</v>
      </c>
      <c r="O3785">
        <v>1</v>
      </c>
      <c r="P3785">
        <v>0</v>
      </c>
      <c r="Q3785">
        <v>1</v>
      </c>
    </row>
    <row r="3786" spans="5:17" x14ac:dyDescent="0.2">
      <c r="E3786" s="9" t="s">
        <v>41</v>
      </c>
      <c r="K3786" t="str">
        <v>two</v>
      </c>
      <c r="L3786" s="4" t="str">
        <f t="shared" si="70"/>
        <v>two</v>
      </c>
      <c r="N3786" s="4" cm="1">
        <f t="array" ref="N3786">SUM(--(_xlfn.TEXTSPLIT($J$3653,, " ") = M3786))</f>
        <v>1</v>
      </c>
      <c r="O3786">
        <v>1</v>
      </c>
      <c r="P3786">
        <v>0</v>
      </c>
      <c r="Q3786">
        <v>1</v>
      </c>
    </row>
    <row r="3787" spans="5:17" x14ac:dyDescent="0.2">
      <c r="E3787" s="9" t="s">
        <v>41</v>
      </c>
      <c r="K3787" t="str">
        <v>lightning</v>
      </c>
      <c r="L3787" s="4" t="str">
        <f t="shared" si="70"/>
        <v>lightning</v>
      </c>
      <c r="N3787" s="4" cm="1">
        <f t="array" ref="N3787">SUM(--(_xlfn.TEXTSPLIT($J$3653,, " ") = M3787))</f>
        <v>1</v>
      </c>
      <c r="O3787">
        <v>1</v>
      </c>
      <c r="P3787">
        <v>0</v>
      </c>
      <c r="Q3787">
        <v>1</v>
      </c>
    </row>
    <row r="3788" spans="5:17" x14ac:dyDescent="0.2">
      <c r="E3788" s="9" t="s">
        <v>41</v>
      </c>
      <c r="K3788" t="str">
        <v>strikes</v>
      </c>
      <c r="L3788" s="4" t="str">
        <f t="shared" si="70"/>
        <v>strikes</v>
      </c>
      <c r="N3788" s="4" cm="1">
        <f t="array" ref="N3788">SUM(--(_xlfn.TEXTSPLIT($J$3653,, " ") = M3788))</f>
        <v>1</v>
      </c>
      <c r="O3788">
        <v>1</v>
      </c>
      <c r="P3788">
        <v>0</v>
      </c>
      <c r="Q3788">
        <v>1</v>
      </c>
    </row>
    <row r="3789" spans="5:17" x14ac:dyDescent="0.2">
      <c r="E3789" s="9" t="s">
        <v>41</v>
      </c>
      <c r="K3789" t="str">
        <v>strike</v>
      </c>
      <c r="L3789" s="4" t="str">
        <f t="shared" si="70"/>
        <v>strike</v>
      </c>
      <c r="N3789" s="4" cm="1">
        <f t="array" ref="N3789">SUM(--(_xlfn.TEXTSPLIT($J$3653,, " ") = M3789))</f>
        <v>1</v>
      </c>
      <c r="O3789">
        <v>1</v>
      </c>
      <c r="P3789">
        <v>0</v>
      </c>
      <c r="Q3789">
        <v>1</v>
      </c>
    </row>
    <row r="3790" spans="5:17" x14ac:dyDescent="0.2">
      <c r="E3790" s="9" t="s">
        <v>41</v>
      </c>
      <c r="K3790" t="str">
        <v>on</v>
      </c>
      <c r="L3790" s="4" t="str">
        <f t="shared" si="70"/>
        <v>on</v>
      </c>
      <c r="N3790" s="4" cm="1">
        <f t="array" ref="N3790">SUM(--(_xlfn.TEXTSPLIT($J$3653,, " ") = M3790))</f>
        <v>1</v>
      </c>
      <c r="O3790">
        <v>1</v>
      </c>
      <c r="P3790">
        <v>0</v>
      </c>
      <c r="Q3790">
        <v>1</v>
      </c>
    </row>
    <row r="3791" spans="5:17" x14ac:dyDescent="0.2">
      <c r="E3791" s="9" t="s">
        <v>41</v>
      </c>
      <c r="K3791" t="str">
        <v xml:space="preserve">cue
</v>
      </c>
      <c r="L3791" s="4" t="str">
        <f t="shared" si="70"/>
        <v xml:space="preserve">cue </v>
      </c>
      <c r="N3791" s="4" cm="1">
        <f t="array" ref="N3791">SUM(--(_xlfn.TEXTSPLIT($J$3653,, " ") = M3791))</f>
        <v>1</v>
      </c>
      <c r="O3791">
        <v>1</v>
      </c>
      <c r="P3791">
        <v>0</v>
      </c>
      <c r="Q3791">
        <v>1</v>
      </c>
    </row>
    <row r="3792" spans="5:17" x14ac:dyDescent="0.2">
      <c r="E3792" s="9" t="s">
        <v>41</v>
      </c>
      <c r="K3792" t="str">
        <v>Like</v>
      </c>
      <c r="L3792" s="4" t="str">
        <f t="shared" si="70"/>
        <v>Like</v>
      </c>
      <c r="N3792" s="4" cm="1">
        <f t="array" ref="N3792">SUM(--(_xlfn.TEXTSPLIT($J$3653,, " ") = M3792))</f>
        <v>1</v>
      </c>
      <c r="O3792">
        <v>1</v>
      </c>
      <c r="P3792">
        <v>0</v>
      </c>
      <c r="Q3792">
        <v>1</v>
      </c>
    </row>
    <row r="3793" spans="5:17" x14ac:dyDescent="0.2">
      <c r="E3793" s="9" t="s">
        <v>41</v>
      </c>
      <c r="K3793" t="str">
        <v>right</v>
      </c>
      <c r="L3793" s="4" t="str">
        <f t="shared" si="70"/>
        <v>right</v>
      </c>
      <c r="N3793" s="4" cm="1">
        <f t="array" ref="N3793">SUM(--(_xlfn.TEXTSPLIT($J$3653,, " ") = M3793))</f>
        <v>1</v>
      </c>
      <c r="O3793">
        <v>1</v>
      </c>
      <c r="P3793">
        <v>0</v>
      </c>
      <c r="Q3793">
        <v>1</v>
      </c>
    </row>
    <row r="3794" spans="5:17" x14ac:dyDescent="0.2">
      <c r="E3794" s="9" t="s">
        <v>41</v>
      </c>
      <c r="K3794" t="str">
        <v>when</v>
      </c>
      <c r="L3794" s="4" t="str">
        <f t="shared" si="70"/>
        <v>when</v>
      </c>
      <c r="N3794" s="4" cm="1">
        <f t="array" ref="N3794">SUM(--(_xlfn.TEXTSPLIT($J$3653,, " ") = M3794))</f>
        <v>1</v>
      </c>
      <c r="O3794">
        <v>1</v>
      </c>
      <c r="P3794">
        <v>0</v>
      </c>
      <c r="Q3794">
        <v>1</v>
      </c>
    </row>
    <row r="3795" spans="5:17" x14ac:dyDescent="0.2">
      <c r="E3795" s="9" t="s">
        <v>41</v>
      </c>
      <c r="K3795" t="str">
        <v>a</v>
      </c>
      <c r="L3795" s="4" t="str">
        <f t="shared" si="70"/>
        <v>a</v>
      </c>
      <c r="N3795" s="4" cm="1">
        <f t="array" ref="N3795">SUM(--(_xlfn.TEXTSPLIT($J$3653,, " ") = M3795))</f>
        <v>1</v>
      </c>
      <c r="O3795">
        <v>1</v>
      </c>
      <c r="P3795">
        <v>0</v>
      </c>
      <c r="Q3795">
        <v>1</v>
      </c>
    </row>
    <row r="3796" spans="5:17" x14ac:dyDescent="0.2">
      <c r="E3796" s="9" t="s">
        <v>41</v>
      </c>
      <c r="K3796" t="str">
        <v>storm</v>
      </c>
      <c r="L3796" s="4" t="str">
        <f t="shared" si="70"/>
        <v>storm</v>
      </c>
      <c r="N3796" s="4" cm="1">
        <f t="array" ref="N3796">SUM(--(_xlfn.TEXTSPLIT($J$3653,, " ") = M3796))</f>
        <v>1</v>
      </c>
      <c r="O3796">
        <v>1</v>
      </c>
      <c r="P3796">
        <v>0</v>
      </c>
      <c r="Q3796">
        <v>1</v>
      </c>
    </row>
    <row r="3797" spans="5:17" x14ac:dyDescent="0.2">
      <c r="E3797" s="9" t="s">
        <v>41</v>
      </c>
      <c r="K3797" t="str">
        <v>hits,</v>
      </c>
      <c r="L3797" s="4" t="str">
        <f t="shared" si="70"/>
        <v xml:space="preserve">hits </v>
      </c>
      <c r="N3797" s="4" cm="1">
        <f t="array" ref="N3797">SUM(--(_xlfn.TEXTSPLIT($J$3653,, " ") = M3797))</f>
        <v>1</v>
      </c>
      <c r="O3797">
        <v>1</v>
      </c>
      <c r="P3797">
        <v>0</v>
      </c>
      <c r="Q3797">
        <v>1</v>
      </c>
    </row>
    <row r="3798" spans="5:17" x14ac:dyDescent="0.2">
      <c r="E3798" s="9" t="s">
        <v>41</v>
      </c>
      <c r="K3798" t="str">
        <v>sights</v>
      </c>
      <c r="L3798" s="4" t="str">
        <f t="shared" si="70"/>
        <v>sights</v>
      </c>
      <c r="N3798" s="4" cm="1">
        <f t="array" ref="N3798">SUM(--(_xlfn.TEXTSPLIT($J$3653,, " ") = M3798))</f>
        <v>1</v>
      </c>
      <c r="O3798">
        <v>1</v>
      </c>
      <c r="P3798">
        <v>0</v>
      </c>
      <c r="Q3798">
        <v>1</v>
      </c>
    </row>
    <row r="3799" spans="5:17" x14ac:dyDescent="0.2">
      <c r="E3799" s="9" t="s">
        <v>41</v>
      </c>
      <c r="K3799" t="str">
        <v>set</v>
      </c>
      <c r="L3799" s="4" t="str">
        <f t="shared" si="70"/>
        <v>set</v>
      </c>
      <c r="N3799" s="4" cm="1">
        <f t="array" ref="N3799">SUM(--(_xlfn.TEXTSPLIT($J$3653,, " ") = M3799))</f>
        <v>1</v>
      </c>
      <c r="O3799">
        <v>1</v>
      </c>
      <c r="P3799">
        <v>0</v>
      </c>
      <c r="Q3799">
        <v>1</v>
      </c>
    </row>
    <row r="3800" spans="5:17" x14ac:dyDescent="0.2">
      <c r="E3800" s="9" t="s">
        <v>41</v>
      </c>
      <c r="K3800" t="str">
        <v>(Yeah,</v>
      </c>
      <c r="L3800" s="4" t="str">
        <f t="shared" si="70"/>
        <v xml:space="preserve"> Yeah </v>
      </c>
      <c r="N3800" s="4" cm="1">
        <f t="array" ref="N3800">SUM(--(_xlfn.TEXTSPLIT($J$3653,, " ") = M3800))</f>
        <v>1</v>
      </c>
      <c r="O3800">
        <v>1</v>
      </c>
      <c r="P3800">
        <v>0</v>
      </c>
      <c r="Q3800">
        <v>1</v>
      </c>
    </row>
    <row r="3801" spans="5:17" x14ac:dyDescent="0.2">
      <c r="E3801" s="9" t="s">
        <v>41</v>
      </c>
      <c r="K3801" t="str">
        <v xml:space="preserve">yeah)
</v>
      </c>
      <c r="L3801" s="4" t="str">
        <f t="shared" si="70"/>
        <v xml:space="preserve">yeah  </v>
      </c>
      <c r="N3801" s="4" cm="1">
        <f t="array" ref="N3801">SUM(--(_xlfn.TEXTSPLIT($J$3653,, " ") = M3801))</f>
        <v>1</v>
      </c>
      <c r="O3801">
        <v>1</v>
      </c>
      <c r="P3801">
        <v>0</v>
      </c>
      <c r="Q3801">
        <v>1</v>
      </c>
    </row>
    <row r="3802" spans="5:17" x14ac:dyDescent="0.2">
      <c r="E3802" s="9" t="s">
        <v>41</v>
      </c>
      <c r="K3802" t="str">
        <v>Right</v>
      </c>
      <c r="L3802" s="4" t="str">
        <f t="shared" si="70"/>
        <v>Right</v>
      </c>
      <c r="N3802" s="4" cm="1">
        <f t="array" ref="N3802">SUM(--(_xlfn.TEXTSPLIT($J$3653,, " ") = M3802))</f>
        <v>1</v>
      </c>
      <c r="O3802">
        <v>1</v>
      </c>
      <c r="P3802">
        <v>0</v>
      </c>
      <c r="Q3802">
        <v>1</v>
      </c>
    </row>
    <row r="3803" spans="5:17" x14ac:dyDescent="0.2">
      <c r="E3803" s="9" t="s">
        <v>41</v>
      </c>
      <c r="K3803" t="str">
        <v>set,</v>
      </c>
      <c r="L3803" s="4" t="str">
        <f t="shared" si="70"/>
        <v xml:space="preserve">set </v>
      </c>
      <c r="N3803" s="4" cm="1">
        <f t="array" ref="N3803">SUM(--(_xlfn.TEXTSPLIT($J$3653,, " ") = M3803))</f>
        <v>1</v>
      </c>
      <c r="O3803">
        <v>1</v>
      </c>
      <c r="P3803">
        <v>0</v>
      </c>
      <c r="Q3803">
        <v>1</v>
      </c>
    </row>
    <row r="3804" spans="5:17" x14ac:dyDescent="0.2">
      <c r="E3804" s="9" t="s">
        <v>41</v>
      </c>
      <c r="K3804" t="str">
        <v>circumstantial</v>
      </c>
      <c r="L3804" s="4" t="str">
        <f t="shared" si="70"/>
        <v>circumstantial</v>
      </c>
      <c r="N3804" s="4" cm="1">
        <f t="array" ref="N3804">SUM(--(_xlfn.TEXTSPLIT($J$3653,, " ") = M3804))</f>
        <v>1</v>
      </c>
      <c r="O3804">
        <v>1</v>
      </c>
      <c r="P3804">
        <v>0</v>
      </c>
      <c r="Q3804">
        <v>1</v>
      </c>
    </row>
    <row r="3805" spans="5:17" x14ac:dyDescent="0.2">
      <c r="E3805" s="9" t="s">
        <v>41</v>
      </c>
      <c r="K3805" t="str">
        <v xml:space="preserve">proof
</v>
      </c>
      <c r="L3805" s="4" t="str">
        <f t="shared" si="70"/>
        <v xml:space="preserve">proof </v>
      </c>
      <c r="N3805" s="4" cm="1">
        <f t="array" ref="N3805">SUM(--(_xlfn.TEXTSPLIT($J$3653,, " ") = M3805))</f>
        <v>1</v>
      </c>
      <c r="O3805">
        <v>1</v>
      </c>
      <c r="P3805">
        <v>0</v>
      </c>
      <c r="Q3805">
        <v>1</v>
      </c>
    </row>
    <row r="3806" spans="5:17" x14ac:dyDescent="0.2">
      <c r="E3806" s="9" t="s">
        <v>41</v>
      </c>
      <c r="K3806" t="str">
        <v>You</v>
      </c>
      <c r="L3806" s="4" t="str">
        <f t="shared" si="70"/>
        <v>You</v>
      </c>
      <c r="N3806" s="4" cm="1">
        <f t="array" ref="N3806">SUM(--(_xlfn.TEXTSPLIT($J$3653,, " ") = M3806))</f>
        <v>1</v>
      </c>
      <c r="O3806">
        <v>1</v>
      </c>
      <c r="P3806">
        <v>0</v>
      </c>
      <c r="Q3806">
        <v>1</v>
      </c>
    </row>
    <row r="3807" spans="5:17" x14ac:dyDescent="0.2">
      <c r="E3807" s="9" t="s">
        <v>41</v>
      </c>
      <c r="K3807" t="str">
        <v>should</v>
      </c>
      <c r="L3807" s="4" t="str">
        <f t="shared" si="70"/>
        <v>should</v>
      </c>
      <c r="N3807" s="4" cm="1">
        <f t="array" ref="N3807">SUM(--(_xlfn.TEXTSPLIT($J$3653,, " ") = M3807))</f>
        <v>1</v>
      </c>
      <c r="O3807">
        <v>1</v>
      </c>
      <c r="P3807">
        <v>0</v>
      </c>
      <c r="Q3807">
        <v>1</v>
      </c>
    </row>
    <row r="3808" spans="5:17" x14ac:dyDescent="0.2">
      <c r="E3808" s="9" t="s">
        <v>41</v>
      </c>
      <c r="K3808" t="str">
        <v>go</v>
      </c>
      <c r="L3808" s="4" t="str">
        <f t="shared" si="70"/>
        <v>go</v>
      </c>
      <c r="N3808" s="4" cm="1">
        <f t="array" ref="N3808">SUM(--(_xlfn.TEXTSPLIT($J$3653,, " ") = M3808))</f>
        <v>1</v>
      </c>
      <c r="O3808">
        <v>1</v>
      </c>
      <c r="P3808">
        <v>0</v>
      </c>
      <c r="Q3808">
        <v>1</v>
      </c>
    </row>
    <row r="3809" spans="5:17" x14ac:dyDescent="0.2">
      <c r="E3809" s="9" t="s">
        <v>41</v>
      </c>
      <c r="K3809" t="str">
        <v>your</v>
      </c>
      <c r="L3809" s="4" t="str">
        <f t="shared" si="70"/>
        <v>your</v>
      </c>
      <c r="N3809" s="4" cm="1">
        <f t="array" ref="N3809">SUM(--(_xlfn.TEXTSPLIT($J$3653,, " ") = M3809))</f>
        <v>1</v>
      </c>
      <c r="O3809">
        <v>1</v>
      </c>
      <c r="P3809">
        <v>0</v>
      </c>
      <c r="Q3809">
        <v>1</v>
      </c>
    </row>
    <row r="3810" spans="5:17" x14ac:dyDescent="0.2">
      <c r="E3810" s="9" t="s">
        <v>41</v>
      </c>
      <c r="K3810" t="str">
        <v>way,</v>
      </c>
      <c r="L3810" s="4" t="str">
        <f t="shared" si="70"/>
        <v xml:space="preserve">way </v>
      </c>
      <c r="N3810" s="4" cm="1">
        <f t="array" ref="N3810">SUM(--(_xlfn.TEXTSPLIT($J$3653,, " ") = M3810))</f>
        <v>1</v>
      </c>
      <c r="O3810">
        <v>1</v>
      </c>
      <c r="P3810">
        <v>0</v>
      </c>
      <c r="Q3810">
        <v>1</v>
      </c>
    </row>
    <row r="3811" spans="5:17" x14ac:dyDescent="0.2">
      <c r="E3811" s="9" t="s">
        <v>41</v>
      </c>
      <c r="K3811" t="str">
        <v>I</v>
      </c>
      <c r="L3811" s="4" t="str">
        <f t="shared" si="70"/>
        <v>I</v>
      </c>
      <c r="N3811" s="4" cm="1">
        <f t="array" ref="N3811">SUM(--(_xlfn.TEXTSPLIT($J$3653,, " ") = M3811))</f>
        <v>1</v>
      </c>
      <c r="O3811">
        <v>1</v>
      </c>
      <c r="P3811">
        <v>0</v>
      </c>
      <c r="Q3811">
        <v>1</v>
      </c>
    </row>
    <row r="3812" spans="5:17" x14ac:dyDescent="0.2">
      <c r="E3812" s="9" t="s">
        <v>41</v>
      </c>
      <c r="K3812" t="str">
        <v>should</v>
      </c>
      <c r="L3812" s="4" t="str">
        <f t="shared" si="70"/>
        <v>should</v>
      </c>
      <c r="N3812" s="4" cm="1">
        <f t="array" ref="N3812">SUM(--(_xlfn.TEXTSPLIT($J$3653,, " ") = M3812))</f>
        <v>1</v>
      </c>
      <c r="O3812">
        <v>1</v>
      </c>
      <c r="P3812">
        <v>0</v>
      </c>
      <c r="Q3812">
        <v>1</v>
      </c>
    </row>
    <row r="3813" spans="5:17" x14ac:dyDescent="0.2">
      <c r="E3813" s="9" t="s">
        <v>41</v>
      </c>
      <c r="K3813" t="str">
        <v>try</v>
      </c>
      <c r="L3813" s="4" t="str">
        <f t="shared" si="70"/>
        <v>try</v>
      </c>
      <c r="N3813" s="4" cm="1">
        <f t="array" ref="N3813">SUM(--(_xlfn.TEXTSPLIT($J$3653,, " ") = M3813))</f>
        <v>1</v>
      </c>
      <c r="O3813">
        <v>1</v>
      </c>
      <c r="P3813">
        <v>0</v>
      </c>
      <c r="Q3813">
        <v>1</v>
      </c>
    </row>
    <row r="3814" spans="5:17" x14ac:dyDescent="0.2">
      <c r="E3814" s="9" t="s">
        <v>41</v>
      </c>
      <c r="K3814" t="str">
        <v xml:space="preserve">mine
</v>
      </c>
      <c r="L3814" s="4" t="str">
        <f t="shared" si="70"/>
        <v xml:space="preserve">mine </v>
      </c>
      <c r="N3814" s="4" cm="1">
        <f t="array" ref="N3814">SUM(--(_xlfn.TEXTSPLIT($J$3653,, " ") = M3814))</f>
        <v>1</v>
      </c>
      <c r="O3814">
        <v>1</v>
      </c>
      <c r="P3814">
        <v>0</v>
      </c>
      <c r="Q3814">
        <v>1</v>
      </c>
    </row>
    <row r="3815" spans="5:17" x14ac:dyDescent="0.2">
      <c r="E3815" s="9" t="s">
        <v>41</v>
      </c>
      <c r="K3815" t="str">
        <v>Even</v>
      </c>
      <c r="L3815" s="4" t="str">
        <f t="shared" si="70"/>
        <v>Even</v>
      </c>
      <c r="N3815" s="4" cm="1">
        <f t="array" ref="N3815">SUM(--(_xlfn.TEXTSPLIT($J$3653,, " ") = M3815))</f>
        <v>1</v>
      </c>
      <c r="O3815">
        <v>1</v>
      </c>
      <c r="P3815">
        <v>0</v>
      </c>
      <c r="Q3815">
        <v>1</v>
      </c>
    </row>
    <row r="3816" spans="5:17" x14ac:dyDescent="0.2">
      <c r="E3816" s="9" t="s">
        <v>41</v>
      </c>
      <c r="K3816" t="str">
        <v>though</v>
      </c>
      <c r="L3816" s="4" t="str">
        <f t="shared" si="70"/>
        <v>though</v>
      </c>
      <c r="N3816" s="4" cm="1">
        <f t="array" ref="N3816">SUM(--(_xlfn.TEXTSPLIT($J$3653,, " ") = M3816))</f>
        <v>1</v>
      </c>
      <c r="O3816">
        <v>1</v>
      </c>
      <c r="P3816">
        <v>0</v>
      </c>
      <c r="Q3816">
        <v>1</v>
      </c>
    </row>
    <row r="3817" spans="5:17" x14ac:dyDescent="0.2">
      <c r="E3817" s="9" t="s">
        <v>41</v>
      </c>
      <c r="K3817" t="str">
        <v>we</v>
      </c>
      <c r="L3817" s="4" t="str">
        <f t="shared" si="70"/>
        <v>we</v>
      </c>
      <c r="N3817" s="4" cm="1">
        <f t="array" ref="N3817">SUM(--(_xlfn.TEXTSPLIT($J$3653,, " ") = M3817))</f>
        <v>1</v>
      </c>
      <c r="O3817">
        <v>1</v>
      </c>
      <c r="P3817">
        <v>0</v>
      </c>
      <c r="Q3817">
        <v>1</v>
      </c>
    </row>
    <row r="3818" spans="5:17" x14ac:dyDescent="0.2">
      <c r="E3818" s="9" t="s">
        <v>41</v>
      </c>
      <c r="K3818" t="str">
        <v>both</v>
      </c>
      <c r="L3818" s="4" t="str">
        <f t="shared" si="70"/>
        <v>both</v>
      </c>
      <c r="N3818" s="4" cm="1">
        <f t="array" ref="N3818">SUM(--(_xlfn.TEXTSPLIT($J$3653,, " ") = M3818))</f>
        <v>1</v>
      </c>
      <c r="O3818">
        <v>1</v>
      </c>
      <c r="P3818">
        <v>0</v>
      </c>
      <c r="Q3818">
        <v>1</v>
      </c>
    </row>
    <row r="3819" spans="5:17" x14ac:dyDescent="0.2">
      <c r="E3819" s="9" t="s">
        <v>41</v>
      </c>
      <c r="K3819" t="str">
        <v xml:space="preserve">know
</v>
      </c>
      <c r="L3819" s="4" t="str">
        <f t="shared" si="70"/>
        <v xml:space="preserve">know </v>
      </c>
      <c r="N3819" s="4" cm="1">
        <f t="array" ref="N3819">SUM(--(_xlfn.TEXTSPLIT($J$3653,, " ") = M3819))</f>
        <v>1</v>
      </c>
      <c r="O3819">
        <v>1</v>
      </c>
      <c r="P3819">
        <v>0</v>
      </c>
      <c r="Q3819">
        <v>1</v>
      </c>
    </row>
    <row r="3820" spans="5:17" x14ac:dyDescent="0.2">
      <c r="E3820" s="9" t="s">
        <v>41</v>
      </c>
      <c r="K3820" t="str">
        <v>We</v>
      </c>
      <c r="L3820" s="4" t="str">
        <f t="shared" si="70"/>
        <v>We</v>
      </c>
      <c r="N3820" s="4" cm="1">
        <f t="array" ref="N3820">SUM(--(_xlfn.TEXTSPLIT($J$3653,, " ") = M3820))</f>
        <v>1</v>
      </c>
      <c r="O3820">
        <v>1</v>
      </c>
      <c r="P3820">
        <v>0</v>
      </c>
      <c r="Q3820">
        <v>1</v>
      </c>
    </row>
    <row r="3821" spans="5:17" x14ac:dyDescent="0.2">
      <c r="E3821" s="9" t="s">
        <v>41</v>
      </c>
      <c r="K3821" t="str">
        <v>should</v>
      </c>
      <c r="L3821" s="4" t="str">
        <f t="shared" si="70"/>
        <v>should</v>
      </c>
      <c r="N3821" s="4" cm="1">
        <f t="array" ref="N3821">SUM(--(_xlfn.TEXTSPLIT($J$3653,, " ") = M3821))</f>
        <v>1</v>
      </c>
      <c r="O3821">
        <v>1</v>
      </c>
      <c r="P3821">
        <v>0</v>
      </c>
      <c r="Q3821">
        <v>1</v>
      </c>
    </row>
    <row r="3822" spans="5:17" x14ac:dyDescent="0.2">
      <c r="E3822" s="9" t="s">
        <v>41</v>
      </c>
      <c r="K3822" t="str">
        <v>just</v>
      </c>
      <c r="L3822" s="4" t="str">
        <f t="shared" si="70"/>
        <v>just</v>
      </c>
      <c r="N3822" s="4" cm="1">
        <f t="array" ref="N3822">SUM(--(_xlfn.TEXTSPLIT($J$3653,, " ") = M3822))</f>
        <v>1</v>
      </c>
      <c r="O3822">
        <v>1</v>
      </c>
      <c r="P3822">
        <v>0</v>
      </c>
      <c r="Q3822">
        <v>1</v>
      </c>
    </row>
    <row r="3823" spans="5:17" x14ac:dyDescent="0.2">
      <c r="E3823" s="9" t="s">
        <v>41</v>
      </c>
      <c r="K3823" t="str">
        <v>cut</v>
      </c>
      <c r="L3823" s="4" t="str">
        <f t="shared" si="70"/>
        <v>cut</v>
      </c>
      <c r="N3823" s="4" cm="1">
        <f t="array" ref="N3823">SUM(--(_xlfn.TEXTSPLIT($J$3653,, " ") = M3823))</f>
        <v>1</v>
      </c>
      <c r="O3823">
        <v>1</v>
      </c>
      <c r="P3823">
        <v>0</v>
      </c>
      <c r="Q3823">
        <v>1</v>
      </c>
    </row>
    <row r="3824" spans="5:17" x14ac:dyDescent="0.2">
      <c r="E3824" s="9" t="s">
        <v>41</v>
      </c>
      <c r="K3824" t="str">
        <v>the</v>
      </c>
      <c r="L3824" s="4" t="str">
        <f t="shared" si="70"/>
        <v>the</v>
      </c>
      <c r="N3824" s="4" cm="1">
        <f t="array" ref="N3824">SUM(--(_xlfn.TEXTSPLIT($J$3653,, " ") = M3824))</f>
        <v>1</v>
      </c>
      <c r="O3824">
        <v>1</v>
      </c>
      <c r="P3824">
        <v>0</v>
      </c>
      <c r="Q3824">
        <v>1</v>
      </c>
    </row>
    <row r="3825" spans="5:17" x14ac:dyDescent="0.2">
      <c r="E3825" s="9" t="s">
        <v>41</v>
      </c>
      <c r="K3825" t="str">
        <v>line</v>
      </c>
      <c r="L3825" s="4" t="str">
        <f t="shared" si="70"/>
        <v>line</v>
      </c>
      <c r="N3825" s="4" cm="1">
        <f t="array" ref="N3825">SUM(--(_xlfn.TEXTSPLIT($J$3653,, " ") = M3825))</f>
        <v>1</v>
      </c>
      <c r="O3825">
        <v>1</v>
      </c>
      <c r="P3825">
        <v>0</v>
      </c>
      <c r="Q3825">
        <v>1</v>
      </c>
    </row>
    <row r="3826" spans="5:17" x14ac:dyDescent="0.2">
      <c r="E3826" s="9" t="s">
        <v>41</v>
      </c>
      <c r="K3826" t="str">
        <v>(Yeah,</v>
      </c>
      <c r="L3826" s="4" t="str">
        <f t="shared" si="70"/>
        <v xml:space="preserve"> Yeah </v>
      </c>
      <c r="N3826" s="4" cm="1">
        <f t="array" ref="N3826">SUM(--(_xlfn.TEXTSPLIT($J$3653,, " ") = M3826))</f>
        <v>1</v>
      </c>
      <c r="O3826">
        <v>1</v>
      </c>
      <c r="P3826">
        <v>0</v>
      </c>
      <c r="Q3826">
        <v>1</v>
      </c>
    </row>
    <row r="3827" spans="5:17" x14ac:dyDescent="0.2">
      <c r="E3827" s="9" t="s">
        <v>41</v>
      </c>
      <c r="K3827" t="str">
        <v xml:space="preserve">yeah)
</v>
      </c>
      <c r="L3827" s="4" t="str">
        <f t="shared" si="70"/>
        <v xml:space="preserve">yeah   </v>
      </c>
      <c r="N3827" s="4" cm="1">
        <f t="array" ref="N3827">SUM(--(_xlfn.TEXTSPLIT($J$3653,, " ") = M3827))</f>
        <v>1</v>
      </c>
      <c r="O3827">
        <v>1</v>
      </c>
      <c r="P3827">
        <v>0</v>
      </c>
      <c r="Q3827">
        <v>1</v>
      </c>
    </row>
    <row r="3828" spans="5:17" x14ac:dyDescent="0.2">
      <c r="E3828" s="9" t="s">
        <v>41</v>
      </c>
      <c r="K3828" t="str">
        <v>You</v>
      </c>
      <c r="L3828" s="4" t="str">
        <f t="shared" si="70"/>
        <v>You</v>
      </c>
      <c r="N3828" s="4" cm="1">
        <f t="array" ref="N3828">SUM(--(_xlfn.TEXTSPLIT($J$3653,, " ") = M3828))</f>
        <v>1</v>
      </c>
      <c r="O3828">
        <v>1</v>
      </c>
      <c r="P3828">
        <v>0</v>
      </c>
      <c r="Q3828">
        <v>1</v>
      </c>
    </row>
    <row r="3829" spans="5:17" x14ac:dyDescent="0.2">
      <c r="E3829" s="9" t="s">
        <v>41</v>
      </c>
      <c r="K3829" t="str">
        <v>want</v>
      </c>
      <c r="L3829" s="4" t="str">
        <f t="shared" si="70"/>
        <v>want</v>
      </c>
      <c r="N3829" s="4" cm="1">
        <f t="array" ref="N3829">SUM(--(_xlfn.TEXTSPLIT($J$3653,, " ") = M3829))</f>
        <v>1</v>
      </c>
      <c r="O3829">
        <v>1</v>
      </c>
      <c r="P3829">
        <v>0</v>
      </c>
      <c r="Q3829">
        <v>1</v>
      </c>
    </row>
    <row r="3830" spans="5:17" x14ac:dyDescent="0.2">
      <c r="E3830" s="9" t="s">
        <v>41</v>
      </c>
      <c r="K3830" t="str">
        <v>a</v>
      </c>
      <c r="L3830" s="4" t="str">
        <f t="shared" si="70"/>
        <v>a</v>
      </c>
      <c r="N3830" s="4" cm="1">
        <f t="array" ref="N3830">SUM(--(_xlfn.TEXTSPLIT($J$3653,, " ") = M3830))</f>
        <v>1</v>
      </c>
      <c r="O3830">
        <v>1</v>
      </c>
      <c r="P3830">
        <v>0</v>
      </c>
      <c r="Q3830">
        <v>1</v>
      </c>
    </row>
    <row r="3831" spans="5:17" x14ac:dyDescent="0.2">
      <c r="E3831" s="9" t="s">
        <v>41</v>
      </c>
      <c r="K3831" t="str">
        <v>tally,</v>
      </c>
      <c r="L3831" s="4" t="str">
        <f t="shared" si="70"/>
        <v xml:space="preserve">tally </v>
      </c>
      <c r="N3831" s="4" cm="1">
        <f t="array" ref="N3831">SUM(--(_xlfn.TEXTSPLIT($J$3653,, " ") = M3831))</f>
        <v>1</v>
      </c>
      <c r="O3831">
        <v>1</v>
      </c>
      <c r="P3831">
        <v>0</v>
      </c>
      <c r="Q3831">
        <v>1</v>
      </c>
    </row>
    <row r="3832" spans="5:17" x14ac:dyDescent="0.2">
      <c r="E3832" s="9" t="s">
        <v>41</v>
      </c>
      <c r="K3832" t="str">
        <v>I</v>
      </c>
      <c r="L3832" s="4" t="str">
        <f t="shared" si="70"/>
        <v>I</v>
      </c>
      <c r="N3832" s="4" cm="1">
        <f t="array" ref="N3832">SUM(--(_xlfn.TEXTSPLIT($J$3653,, " ") = M3832))</f>
        <v>1</v>
      </c>
      <c r="O3832">
        <v>1</v>
      </c>
      <c r="P3832">
        <v>0</v>
      </c>
      <c r="Q3832">
        <v>1</v>
      </c>
    </row>
    <row r="3833" spans="5:17" x14ac:dyDescent="0.2">
      <c r="E3833" s="9" t="s">
        <v>41</v>
      </c>
      <c r="K3833" t="str">
        <v>lost</v>
      </c>
      <c r="L3833" s="4" t="str">
        <f t="shared" si="70"/>
        <v>lost</v>
      </c>
      <c r="N3833" s="4" cm="1">
        <f t="array" ref="N3833">SUM(--(_xlfn.TEXTSPLIT($J$3653,, " ") = M3833))</f>
        <v>1</v>
      </c>
      <c r="O3833">
        <v>1</v>
      </c>
      <c r="P3833">
        <v>0</v>
      </c>
      <c r="Q3833">
        <v>1</v>
      </c>
    </row>
    <row r="3834" spans="5:17" x14ac:dyDescent="0.2">
      <c r="E3834" s="9" t="s">
        <v>41</v>
      </c>
      <c r="K3834" t="str">
        <v>the</v>
      </c>
      <c r="L3834" s="4" t="str">
        <f t="shared" si="70"/>
        <v>the</v>
      </c>
      <c r="N3834" s="4" cm="1">
        <f t="array" ref="N3834">SUM(--(_xlfn.TEXTSPLIT($J$3653,, " ") = M3834))</f>
        <v>1</v>
      </c>
      <c r="O3834">
        <v>1</v>
      </c>
      <c r="P3834">
        <v>0</v>
      </c>
      <c r="Q3834">
        <v>1</v>
      </c>
    </row>
    <row r="3835" spans="5:17" x14ac:dyDescent="0.2">
      <c r="E3835" s="9" t="s">
        <v>41</v>
      </c>
      <c r="K3835" t="str">
        <v xml:space="preserve">count
</v>
      </c>
      <c r="L3835" s="4" t="str">
        <f t="shared" si="70"/>
        <v xml:space="preserve">count </v>
      </c>
      <c r="N3835" s="4" cm="1">
        <f t="array" ref="N3835">SUM(--(_xlfn.TEXTSPLIT($J$3653,, " ") = M3835))</f>
        <v>1</v>
      </c>
      <c r="O3835">
        <v>1</v>
      </c>
      <c r="P3835">
        <v>0</v>
      </c>
      <c r="Q3835">
        <v>1</v>
      </c>
    </row>
    <row r="3836" spans="5:17" x14ac:dyDescent="0.2">
      <c r="E3836" s="9" t="s">
        <v>41</v>
      </c>
      <c r="K3836" t="str">
        <v>You</v>
      </c>
      <c r="L3836" s="4" t="str">
        <f t="shared" si="70"/>
        <v>You</v>
      </c>
      <c r="N3836" s="4" cm="1">
        <f t="array" ref="N3836">SUM(--(_xlfn.TEXTSPLIT($J$3653,, " ") = M3836))</f>
        <v>1</v>
      </c>
      <c r="O3836">
        <v>1</v>
      </c>
      <c r="P3836">
        <v>0</v>
      </c>
      <c r="Q3836">
        <v>1</v>
      </c>
    </row>
    <row r="3837" spans="5:17" x14ac:dyDescent="0.2">
      <c r="E3837" s="9" t="s">
        <v>41</v>
      </c>
      <c r="K3837" t="str">
        <v>want</v>
      </c>
      <c r="L3837" s="4" t="str">
        <f t="shared" si="70"/>
        <v>want</v>
      </c>
      <c r="N3837" s="4" cm="1">
        <f t="array" ref="N3837">SUM(--(_xlfn.TEXTSPLIT($J$3653,, " ") = M3837))</f>
        <v>1</v>
      </c>
      <c r="O3837">
        <v>1</v>
      </c>
      <c r="P3837">
        <v>0</v>
      </c>
      <c r="Q3837">
        <v>1</v>
      </c>
    </row>
    <row r="3838" spans="5:17" x14ac:dyDescent="0.2">
      <c r="E3838" s="9" t="s">
        <v>41</v>
      </c>
      <c r="K3838" t="str">
        <v>to</v>
      </c>
      <c r="L3838" s="4" t="str">
        <f t="shared" si="70"/>
        <v>to</v>
      </c>
      <c r="N3838" s="4" cm="1">
        <f t="array" ref="N3838">SUM(--(_xlfn.TEXTSPLIT($J$3653,, " ") = M3838))</f>
        <v>1</v>
      </c>
      <c r="O3838">
        <v>1</v>
      </c>
      <c r="P3838">
        <v>0</v>
      </c>
      <c r="Q3838">
        <v>1</v>
      </c>
    </row>
    <row r="3839" spans="5:17" x14ac:dyDescent="0.2">
      <c r="E3839" s="9" t="s">
        <v>41</v>
      </c>
      <c r="K3839" t="str">
        <v>love</v>
      </c>
      <c r="L3839" s="4" t="str">
        <f t="shared" si="70"/>
        <v>love</v>
      </c>
      <c r="N3839" s="4" cm="1">
        <f t="array" ref="N3839">SUM(--(_xlfn.TEXTSPLIT($J$3653,, " ") = M3839))</f>
        <v>1</v>
      </c>
      <c r="O3839">
        <v>1</v>
      </c>
      <c r="P3839">
        <v>0</v>
      </c>
      <c r="Q3839">
        <v>1</v>
      </c>
    </row>
    <row r="3840" spans="5:17" x14ac:dyDescent="0.2">
      <c r="E3840" s="9" t="s">
        <v>41</v>
      </c>
      <c r="K3840" t="str">
        <v>me,</v>
      </c>
      <c r="L3840" s="4" t="str">
        <f t="shared" si="70"/>
        <v xml:space="preserve">me </v>
      </c>
      <c r="N3840" s="4" cm="1">
        <f t="array" ref="N3840">SUM(--(_xlfn.TEXTSPLIT($J$3653,, " ") = M3840))</f>
        <v>1</v>
      </c>
      <c r="O3840">
        <v>1</v>
      </c>
      <c r="P3840">
        <v>0</v>
      </c>
      <c r="Q3840">
        <v>1</v>
      </c>
    </row>
    <row r="3841" spans="5:17" x14ac:dyDescent="0.2">
      <c r="E3841" s="9" t="s">
        <v>41</v>
      </c>
      <c r="K3841" t="str">
        <v>I'll</v>
      </c>
      <c r="L3841" s="4" t="str">
        <f t="shared" si="70"/>
        <v>I ll</v>
      </c>
      <c r="N3841" s="4" cm="1">
        <f t="array" ref="N3841">SUM(--(_xlfn.TEXTSPLIT($J$3653,, " ") = M3841))</f>
        <v>1</v>
      </c>
      <c r="O3841">
        <v>1</v>
      </c>
      <c r="P3841">
        <v>0</v>
      </c>
      <c r="Q3841">
        <v>1</v>
      </c>
    </row>
    <row r="3842" spans="5:17" x14ac:dyDescent="0.2">
      <c r="E3842" s="9" t="s">
        <v>41</v>
      </c>
      <c r="K3842" t="str">
        <v>let</v>
      </c>
      <c r="L3842" s="4" t="str">
        <f t="shared" si="70"/>
        <v>let</v>
      </c>
      <c r="N3842" s="4" cm="1">
        <f t="array" ref="N3842">SUM(--(_xlfn.TEXTSPLIT($J$3653,, " ") = M3842))</f>
        <v>1</v>
      </c>
      <c r="O3842">
        <v>1</v>
      </c>
      <c r="P3842">
        <v>0</v>
      </c>
      <c r="Q3842">
        <v>1</v>
      </c>
    </row>
    <row r="3843" spans="5:17" x14ac:dyDescent="0.2">
      <c r="E3843" s="9" t="s">
        <v>41</v>
      </c>
      <c r="K3843" t="str">
        <v>you</v>
      </c>
      <c r="L3843" s="4" t="str">
        <f t="shared" si="70"/>
        <v>you</v>
      </c>
      <c r="N3843" s="4" cm="1">
        <f t="array" ref="N3843">SUM(--(_xlfn.TEXTSPLIT($J$3653,, " ") = M3843))</f>
        <v>1</v>
      </c>
      <c r="O3843">
        <v>1</v>
      </c>
      <c r="P3843">
        <v>0</v>
      </c>
      <c r="Q3843">
        <v>1</v>
      </c>
    </row>
    <row r="3844" spans="5:17" x14ac:dyDescent="0.2">
      <c r="E3844" s="9" t="s">
        <v>41</v>
      </c>
      <c r="K3844" t="str">
        <v xml:space="preserve">down
</v>
      </c>
      <c r="L3844" s="4" t="str">
        <f t="shared" si="70"/>
        <v xml:space="preserve">down </v>
      </c>
      <c r="N3844" s="4" cm="1">
        <f t="array" ref="N3844">SUM(--(_xlfn.TEXTSPLIT($J$3653,, " ") = M3844))</f>
        <v>1</v>
      </c>
      <c r="O3844">
        <v>1</v>
      </c>
      <c r="P3844">
        <v>0</v>
      </c>
      <c r="Q3844">
        <v>1</v>
      </c>
    </row>
    <row r="3845" spans="5:17" x14ac:dyDescent="0.2">
      <c r="E3845" s="9" t="s">
        <v>41</v>
      </c>
      <c r="K3845" t="str">
        <v>Still</v>
      </c>
      <c r="L3845" s="4" t="str">
        <f t="shared" si="70"/>
        <v>Still</v>
      </c>
      <c r="N3845" s="4" cm="1">
        <f t="array" ref="N3845">SUM(--(_xlfn.TEXTSPLIT($J$3653,, " ") = M3845))</f>
        <v>1</v>
      </c>
      <c r="O3845">
        <v>1</v>
      </c>
      <c r="P3845">
        <v>0</v>
      </c>
      <c r="Q3845">
        <v>1</v>
      </c>
    </row>
    <row r="3846" spans="5:17" x14ac:dyDescent="0.2">
      <c r="E3846" s="9" t="s">
        <v>41</v>
      </c>
      <c r="K3846" t="str">
        <v>now,</v>
      </c>
      <c r="L3846" s="4" t="str">
        <f t="shared" ref="L3846:L3909" si="71">_xlfn.REGEXREPLACE(K3846, "[^A-Za-z ]", " ")</f>
        <v xml:space="preserve">now </v>
      </c>
      <c r="N3846" s="4" cm="1">
        <f t="array" ref="N3846">SUM(--(_xlfn.TEXTSPLIT($J$3653,, " ") = M3846))</f>
        <v>1</v>
      </c>
      <c r="O3846">
        <v>1</v>
      </c>
      <c r="P3846">
        <v>0</v>
      </c>
      <c r="Q3846">
        <v>1</v>
      </c>
    </row>
    <row r="3847" spans="5:17" x14ac:dyDescent="0.2">
      <c r="E3847" s="9" t="s">
        <v>41</v>
      </c>
      <c r="K3847" t="str">
        <v>you</v>
      </c>
      <c r="L3847" s="4" t="str">
        <f t="shared" si="71"/>
        <v>you</v>
      </c>
      <c r="N3847" s="4" cm="1">
        <f t="array" ref="N3847">SUM(--(_xlfn.TEXTSPLIT($J$3653,, " ") = M3847))</f>
        <v>1</v>
      </c>
      <c r="O3847">
        <v>1</v>
      </c>
      <c r="P3847">
        <v>0</v>
      </c>
      <c r="Q3847">
        <v>1</v>
      </c>
    </row>
    <row r="3848" spans="5:17" x14ac:dyDescent="0.2">
      <c r="E3848" s="9" t="s">
        <v>41</v>
      </c>
      <c r="K3848" t="str">
        <v>believe</v>
      </c>
      <c r="L3848" s="4" t="str">
        <f t="shared" si="71"/>
        <v>believe</v>
      </c>
      <c r="N3848" s="4" cm="1">
        <f t="array" ref="N3848">SUM(--(_xlfn.TEXTSPLIT($J$3653,, " ") = M3848))</f>
        <v>1</v>
      </c>
      <c r="O3848">
        <v>1</v>
      </c>
      <c r="P3848">
        <v>0</v>
      </c>
      <c r="Q3848">
        <v>1</v>
      </c>
    </row>
    <row r="3849" spans="5:17" x14ac:dyDescent="0.2">
      <c r="E3849" s="9" t="s">
        <v>41</v>
      </c>
      <c r="K3849" t="str">
        <v>in</v>
      </c>
      <c r="L3849" s="4" t="str">
        <f t="shared" si="71"/>
        <v>in</v>
      </c>
      <c r="N3849" s="4" cm="1">
        <f t="array" ref="N3849">SUM(--(_xlfn.TEXTSPLIT($J$3653,, " ") = M3849))</f>
        <v>1</v>
      </c>
      <c r="O3849">
        <v>1</v>
      </c>
      <c r="P3849">
        <v>0</v>
      </c>
      <c r="Q3849">
        <v>1</v>
      </c>
    </row>
    <row r="3850" spans="5:17" x14ac:dyDescent="0.2">
      <c r="E3850" s="9" t="s">
        <v>41</v>
      </c>
      <c r="K3850" t="str">
        <v>me</v>
      </c>
      <c r="L3850" s="4" t="str">
        <f t="shared" si="71"/>
        <v>me</v>
      </c>
      <c r="N3850" s="4" cm="1">
        <f t="array" ref="N3850">SUM(--(_xlfn.TEXTSPLIT($J$3653,, " ") = M3850))</f>
        <v>1</v>
      </c>
      <c r="O3850">
        <v>1</v>
      </c>
      <c r="P3850">
        <v>0</v>
      </c>
      <c r="Q3850">
        <v>1</v>
      </c>
    </row>
    <row r="3851" spans="5:17" x14ac:dyDescent="0.2">
      <c r="E3851" s="9" t="s">
        <v>41</v>
      </c>
      <c r="K3851" t="str">
        <v xml:space="preserve">somehow
</v>
      </c>
      <c r="L3851" s="4" t="str">
        <f t="shared" si="71"/>
        <v xml:space="preserve">somehow </v>
      </c>
      <c r="N3851" s="4" cm="1">
        <f t="array" ref="N3851">SUM(--(_xlfn.TEXTSPLIT($J$3653,, " ") = M3851))</f>
        <v>1</v>
      </c>
      <c r="O3851">
        <v>1</v>
      </c>
      <c r="P3851">
        <v>0</v>
      </c>
      <c r="Q3851">
        <v>1</v>
      </c>
    </row>
    <row r="3852" spans="5:17" x14ac:dyDescent="0.2">
      <c r="E3852" s="9" t="s">
        <v>41</v>
      </c>
      <c r="K3852" t="str">
        <v>When</v>
      </c>
      <c r="L3852" s="4" t="str">
        <f t="shared" si="71"/>
        <v>When</v>
      </c>
      <c r="N3852" s="4" cm="1">
        <f t="array" ref="N3852">SUM(--(_xlfn.TEXTSPLIT($J$3653,, " ") = M3852))</f>
        <v>1</v>
      </c>
      <c r="O3852">
        <v>1</v>
      </c>
      <c r="P3852">
        <v>0</v>
      </c>
      <c r="Q3852">
        <v>1</v>
      </c>
    </row>
    <row r="3853" spans="5:17" x14ac:dyDescent="0.2">
      <c r="E3853" s="9" t="s">
        <v>41</v>
      </c>
      <c r="K3853" t="str">
        <v>I</v>
      </c>
      <c r="L3853" s="4" t="str">
        <f t="shared" si="71"/>
        <v>I</v>
      </c>
      <c r="N3853" s="4" cm="1">
        <f t="array" ref="N3853">SUM(--(_xlfn.TEXTSPLIT($J$3653,, " ") = M3853))</f>
        <v>1</v>
      </c>
      <c r="O3853">
        <v>1</v>
      </c>
      <c r="P3853">
        <v>0</v>
      </c>
      <c r="Q3853">
        <v>1</v>
      </c>
    </row>
    <row r="3854" spans="5:17" x14ac:dyDescent="0.2">
      <c r="E3854" s="9" t="s">
        <v>41</v>
      </c>
      <c r="K3854" t="str">
        <v>replay</v>
      </c>
      <c r="L3854" s="4" t="str">
        <f t="shared" si="71"/>
        <v>replay</v>
      </c>
      <c r="N3854" s="4" cm="1">
        <f t="array" ref="N3854">SUM(--(_xlfn.TEXTSPLIT($J$3653,, " ") = M3854))</f>
        <v>1</v>
      </c>
      <c r="O3854">
        <v>1</v>
      </c>
      <c r="P3854">
        <v>0</v>
      </c>
      <c r="Q3854">
        <v>1</v>
      </c>
    </row>
    <row r="3855" spans="5:17" x14ac:dyDescent="0.2">
      <c r="E3855" s="9" t="s">
        <v>41</v>
      </c>
      <c r="K3855" t="str">
        <v>it</v>
      </c>
      <c r="L3855" s="4" t="str">
        <f t="shared" si="71"/>
        <v>it</v>
      </c>
      <c r="N3855" s="4" cm="1">
        <f t="array" ref="N3855">SUM(--(_xlfn.TEXTSPLIT($J$3653,, " ") = M3855))</f>
        <v>1</v>
      </c>
      <c r="O3855">
        <v>1</v>
      </c>
      <c r="P3855">
        <v>0</v>
      </c>
      <c r="Q3855">
        <v>1</v>
      </c>
    </row>
    <row r="3856" spans="5:17" x14ac:dyDescent="0.2">
      <c r="E3856" s="9" t="s">
        <v>41</v>
      </c>
      <c r="K3856" t="str">
        <v>in</v>
      </c>
      <c r="L3856" s="4" t="str">
        <f t="shared" si="71"/>
        <v>in</v>
      </c>
      <c r="N3856" s="4" cm="1">
        <f t="array" ref="N3856">SUM(--(_xlfn.TEXTSPLIT($J$3653,, " ") = M3856))</f>
        <v>1</v>
      </c>
      <c r="O3856">
        <v>1</v>
      </c>
      <c r="P3856">
        <v>0</v>
      </c>
      <c r="Q3856">
        <v>1</v>
      </c>
    </row>
    <row r="3857" spans="5:17" x14ac:dyDescent="0.2">
      <c r="E3857" s="9" t="s">
        <v>41</v>
      </c>
      <c r="K3857" t="str">
        <v>my</v>
      </c>
      <c r="L3857" s="4" t="str">
        <f t="shared" si="71"/>
        <v>my</v>
      </c>
      <c r="N3857" s="4" cm="1">
        <f t="array" ref="N3857">SUM(--(_xlfn.TEXTSPLIT($J$3653,, " ") = M3857))</f>
        <v>1</v>
      </c>
      <c r="O3857">
        <v>1</v>
      </c>
      <c r="P3857">
        <v>0</v>
      </c>
      <c r="Q3857">
        <v>1</v>
      </c>
    </row>
    <row r="3858" spans="5:17" x14ac:dyDescent="0.2">
      <c r="E3858" s="9" t="s">
        <v>41</v>
      </c>
      <c r="K3858" t="str">
        <v xml:space="preserve">mind
</v>
      </c>
      <c r="L3858" s="4" t="str">
        <f t="shared" si="71"/>
        <v xml:space="preserve">mind </v>
      </c>
      <c r="N3858" s="4" cm="1">
        <f t="array" ref="N3858">SUM(--(_xlfn.TEXTSPLIT($J$3653,, " ") = M3858))</f>
        <v>1</v>
      </c>
      <c r="O3858">
        <v>1</v>
      </c>
      <c r="P3858">
        <v>0</v>
      </c>
      <c r="Q3858">
        <v>1</v>
      </c>
    </row>
    <row r="3859" spans="5:17" x14ac:dyDescent="0.2">
      <c r="E3859" s="9" t="s">
        <v>41</v>
      </c>
      <c r="K3859" t="str">
        <v>I</v>
      </c>
      <c r="L3859" s="4" t="str">
        <f t="shared" si="71"/>
        <v>I</v>
      </c>
      <c r="N3859" s="4" cm="1">
        <f t="array" ref="N3859">SUM(--(_xlfn.TEXTSPLIT($J$3653,, " ") = M3859))</f>
        <v>1</v>
      </c>
      <c r="O3859">
        <v>1</v>
      </c>
      <c r="P3859">
        <v>0</v>
      </c>
      <c r="Q3859">
        <v>1</v>
      </c>
    </row>
    <row r="3860" spans="5:17" x14ac:dyDescent="0.2">
      <c r="E3860" s="9" t="s">
        <v>41</v>
      </c>
      <c r="K3860" t="str">
        <v>see</v>
      </c>
      <c r="L3860" s="4" t="str">
        <f t="shared" si="71"/>
        <v>see</v>
      </c>
      <c r="N3860" s="4" cm="1">
        <f t="array" ref="N3860">SUM(--(_xlfn.TEXTSPLIT($J$3653,, " ") = M3860))</f>
        <v>1</v>
      </c>
      <c r="O3860">
        <v>1</v>
      </c>
      <c r="P3860">
        <v>0</v>
      </c>
      <c r="Q3860">
        <v>1</v>
      </c>
    </row>
    <row r="3861" spans="5:17" x14ac:dyDescent="0.2">
      <c r="E3861" s="9" t="s">
        <v>41</v>
      </c>
      <c r="K3861" t="str">
        <v>your</v>
      </c>
      <c r="L3861" s="4" t="str">
        <f t="shared" si="71"/>
        <v>your</v>
      </c>
      <c r="N3861" s="4" cm="1">
        <f t="array" ref="N3861">SUM(--(_xlfn.TEXTSPLIT($J$3653,, " ") = M3861))</f>
        <v>1</v>
      </c>
      <c r="O3861">
        <v>1</v>
      </c>
      <c r="P3861">
        <v>0</v>
      </c>
      <c r="Q3861">
        <v>1</v>
      </c>
    </row>
    <row r="3862" spans="5:17" x14ac:dyDescent="0.2">
      <c r="E3862" s="9" t="s">
        <v>41</v>
      </c>
      <c r="K3862" t="str">
        <v>heartbreak</v>
      </c>
      <c r="L3862" s="4" t="str">
        <f t="shared" si="71"/>
        <v>heartbreak</v>
      </c>
      <c r="N3862" s="4" cm="1">
        <f t="array" ref="N3862">SUM(--(_xlfn.TEXTSPLIT($J$3653,, " ") = M3862))</f>
        <v>1</v>
      </c>
      <c r="O3862">
        <v>1</v>
      </c>
      <c r="P3862">
        <v>0</v>
      </c>
      <c r="Q3862">
        <v>1</v>
      </c>
    </row>
    <row r="3863" spans="5:17" x14ac:dyDescent="0.2">
      <c r="E3863" s="9" t="s">
        <v>41</v>
      </c>
      <c r="K3863" t="str">
        <v>every</v>
      </c>
      <c r="L3863" s="4" t="str">
        <f t="shared" si="71"/>
        <v>every</v>
      </c>
      <c r="N3863" s="4" cm="1">
        <f t="array" ref="N3863">SUM(--(_xlfn.TEXTSPLIT($J$3653,, " ") = M3863))</f>
        <v>1</v>
      </c>
      <c r="O3863">
        <v>1</v>
      </c>
      <c r="P3863">
        <v>0</v>
      </c>
      <c r="Q3863">
        <v>1</v>
      </c>
    </row>
    <row r="3864" spans="5:17" x14ac:dyDescent="0.2">
      <c r="E3864" s="9" t="s">
        <v>41</v>
      </c>
      <c r="K3864" t="str">
        <v xml:space="preserve">time
</v>
      </c>
      <c r="L3864" s="4" t="str">
        <f t="shared" si="71"/>
        <v xml:space="preserve">time </v>
      </c>
      <c r="N3864" s="4" cm="1">
        <f t="array" ref="N3864">SUM(--(_xlfn.TEXTSPLIT($J$3653,, " ") = M3864))</f>
        <v>1</v>
      </c>
      <c r="O3864">
        <v>1</v>
      </c>
      <c r="P3864">
        <v>0</v>
      </c>
      <c r="Q3864">
        <v>1</v>
      </c>
    </row>
    <row r="3865" spans="5:17" x14ac:dyDescent="0.2">
      <c r="E3865" s="9" t="s">
        <v>41</v>
      </c>
      <c r="K3865" t="str">
        <v>Still</v>
      </c>
      <c r="L3865" s="4" t="str">
        <f t="shared" si="71"/>
        <v>Still</v>
      </c>
      <c r="N3865" s="4" cm="1">
        <f t="array" ref="N3865">SUM(--(_xlfn.TEXTSPLIT($J$3653,, " ") = M3865))</f>
        <v>1</v>
      </c>
      <c r="O3865">
        <v>1</v>
      </c>
      <c r="P3865">
        <v>0</v>
      </c>
      <c r="Q3865">
        <v>1</v>
      </c>
    </row>
    <row r="3866" spans="5:17" x14ac:dyDescent="0.2">
      <c r="E3866" s="9" t="s">
        <v>41</v>
      </c>
      <c r="K3866" t="str">
        <v>now,</v>
      </c>
      <c r="L3866" s="4" t="str">
        <f t="shared" si="71"/>
        <v xml:space="preserve">now </v>
      </c>
      <c r="N3866" s="4" cm="1">
        <f t="array" ref="N3866">SUM(--(_xlfn.TEXTSPLIT($J$3653,, " ") = M3866))</f>
        <v>1</v>
      </c>
      <c r="O3866">
        <v>1</v>
      </c>
      <c r="P3866">
        <v>0</v>
      </c>
      <c r="Q3866">
        <v>1</v>
      </c>
    </row>
    <row r="3867" spans="5:17" x14ac:dyDescent="0.2">
      <c r="E3867" s="9" t="s">
        <v>41</v>
      </c>
      <c r="K3867" t="str">
        <v>you</v>
      </c>
      <c r="L3867" s="4" t="str">
        <f t="shared" si="71"/>
        <v>you</v>
      </c>
      <c r="N3867" s="4" cm="1">
        <f t="array" ref="N3867">SUM(--(_xlfn.TEXTSPLIT($J$3653,, " ") = M3867))</f>
        <v>1</v>
      </c>
      <c r="O3867">
        <v>1</v>
      </c>
      <c r="P3867">
        <v>0</v>
      </c>
      <c r="Q3867">
        <v>1</v>
      </c>
    </row>
    <row r="3868" spans="5:17" x14ac:dyDescent="0.2">
      <c r="E3868" s="9" t="s">
        <v>41</v>
      </c>
      <c r="K3868" t="str">
        <v>believe</v>
      </c>
      <c r="L3868" s="4" t="str">
        <f t="shared" si="71"/>
        <v>believe</v>
      </c>
      <c r="N3868" s="4" cm="1">
        <f t="array" ref="N3868">SUM(--(_xlfn.TEXTSPLIT($J$3653,, " ") = M3868))</f>
        <v>1</v>
      </c>
      <c r="O3868">
        <v>1</v>
      </c>
      <c r="P3868">
        <v>0</v>
      </c>
      <c r="Q3868">
        <v>1</v>
      </c>
    </row>
    <row r="3869" spans="5:17" x14ac:dyDescent="0.2">
      <c r="E3869" s="9" t="s">
        <v>41</v>
      </c>
      <c r="K3869" t="str">
        <v>in</v>
      </c>
      <c r="L3869" s="4" t="str">
        <f t="shared" si="71"/>
        <v>in</v>
      </c>
      <c r="N3869" s="4" cm="1">
        <f t="array" ref="N3869">SUM(--(_xlfn.TEXTSPLIT($J$3653,, " ") = M3869))</f>
        <v>1</v>
      </c>
      <c r="O3869">
        <v>1</v>
      </c>
      <c r="P3869">
        <v>0</v>
      </c>
      <c r="Q3869">
        <v>1</v>
      </c>
    </row>
    <row r="3870" spans="5:17" x14ac:dyDescent="0.2">
      <c r="E3870" s="9" t="s">
        <v>41</v>
      </c>
      <c r="K3870" t="str">
        <v>me</v>
      </c>
      <c r="L3870" s="4" t="str">
        <f t="shared" si="71"/>
        <v>me</v>
      </c>
      <c r="N3870" s="4" cm="1">
        <f t="array" ref="N3870">SUM(--(_xlfn.TEXTSPLIT($J$3653,, " ") = M3870))</f>
        <v>1</v>
      </c>
      <c r="O3870">
        <v>1</v>
      </c>
      <c r="P3870">
        <v>0</v>
      </c>
      <c r="Q3870">
        <v>1</v>
      </c>
    </row>
    <row r="3871" spans="5:17" x14ac:dyDescent="0.2">
      <c r="E3871" s="9" t="s">
        <v>41</v>
      </c>
      <c r="K3871" t="str">
        <v xml:space="preserve">somehow
</v>
      </c>
      <c r="L3871" s="4" t="str">
        <f t="shared" si="71"/>
        <v xml:space="preserve">somehow  </v>
      </c>
      <c r="N3871" s="4" cm="1">
        <f t="array" ref="N3871">SUM(--(_xlfn.TEXTSPLIT($J$3653,, " ") = M3871))</f>
        <v>1</v>
      </c>
      <c r="O3871">
        <v>1</v>
      </c>
      <c r="P3871">
        <v>0</v>
      </c>
      <c r="Q3871">
        <v>1</v>
      </c>
    </row>
    <row r="3872" spans="5:17" x14ac:dyDescent="0.2">
      <c r="E3872" s="9" t="s">
        <v>41</v>
      </c>
      <c r="K3872" t="str">
        <v>Somehow,</v>
      </c>
      <c r="L3872" s="4" t="str">
        <f t="shared" si="71"/>
        <v xml:space="preserve">Somehow </v>
      </c>
      <c r="N3872" s="4" cm="1">
        <f t="array" ref="N3872">SUM(--(_xlfn.TEXTSPLIT($J$3653,, " ") = M3872))</f>
        <v>1</v>
      </c>
      <c r="O3872">
        <v>1</v>
      </c>
      <c r="P3872">
        <v>0</v>
      </c>
      <c r="Q3872">
        <v>1</v>
      </c>
    </row>
    <row r="3873" spans="5:17" x14ac:dyDescent="0.2">
      <c r="E3873" s="9" t="s">
        <v>41</v>
      </c>
      <c r="K3873" t="str">
        <v>somehow</v>
      </c>
      <c r="L3873" s="4" t="str">
        <f t="shared" si="71"/>
        <v>somehow</v>
      </c>
      <c r="N3873" s="4" cm="1">
        <f t="array" ref="N3873">SUM(--(_xlfn.TEXTSPLIT($J$3653,, " ") = M3873))</f>
        <v>1</v>
      </c>
      <c r="O3873">
        <v>1</v>
      </c>
      <c r="P3873">
        <v>0</v>
      </c>
      <c r="Q3873">
        <v>1</v>
      </c>
    </row>
    <row r="3874" spans="5:17" x14ac:dyDescent="0.2">
      <c r="E3874" s="9" t="s">
        <v>41</v>
      </c>
      <c r="K3874" t="str">
        <v>(Ooh,</v>
      </c>
      <c r="L3874" s="4" t="str">
        <f t="shared" si="71"/>
        <v xml:space="preserve"> Ooh </v>
      </c>
      <c r="N3874" s="4" cm="1">
        <f t="array" ref="N3874">SUM(--(_xlfn.TEXTSPLIT($J$3653,, " ") = M3874))</f>
        <v>1</v>
      </c>
      <c r="O3874">
        <v>1</v>
      </c>
      <c r="P3874">
        <v>0</v>
      </c>
      <c r="Q3874">
        <v>1</v>
      </c>
    </row>
    <row r="3875" spans="5:17" x14ac:dyDescent="0.2">
      <c r="E3875" s="9" t="s">
        <v>41</v>
      </c>
      <c r="K3875" t="str">
        <v xml:space="preserve">ooh)
</v>
      </c>
      <c r="L3875" s="4" t="str">
        <f t="shared" si="71"/>
        <v xml:space="preserve">ooh  </v>
      </c>
      <c r="N3875" s="4" cm="1">
        <f t="array" ref="N3875">SUM(--(_xlfn.TEXTSPLIT($J$3653,, " ") = M3875))</f>
        <v>1</v>
      </c>
      <c r="O3875">
        <v>1</v>
      </c>
      <c r="P3875">
        <v>0</v>
      </c>
      <c r="Q3875">
        <v>1</v>
      </c>
    </row>
    <row r="3876" spans="5:17" x14ac:dyDescent="0.2">
      <c r="E3876" s="9" t="s">
        <v>41</v>
      </c>
      <c r="K3876" t="str">
        <v>You</v>
      </c>
      <c r="L3876" s="4" t="str">
        <f t="shared" si="71"/>
        <v>You</v>
      </c>
      <c r="N3876" s="4" cm="1">
        <f t="array" ref="N3876">SUM(--(_xlfn.TEXTSPLIT($J$3653,, " ") = M3876))</f>
        <v>1</v>
      </c>
      <c r="O3876">
        <v>1</v>
      </c>
      <c r="P3876">
        <v>0</v>
      </c>
      <c r="Q3876">
        <v>1</v>
      </c>
    </row>
    <row r="3877" spans="5:17" x14ac:dyDescent="0.2">
      <c r="E3877" s="9" t="s">
        <v>41</v>
      </c>
      <c r="K3877" t="str">
        <v>believe</v>
      </c>
      <c r="L3877" s="4" t="str">
        <f t="shared" si="71"/>
        <v>believe</v>
      </c>
      <c r="N3877" s="4" cm="1">
        <f t="array" ref="N3877">SUM(--(_xlfn.TEXTSPLIT($J$3653,, " ") = M3877))</f>
        <v>1</v>
      </c>
      <c r="O3877">
        <v>1</v>
      </c>
      <c r="P3877">
        <v>0</v>
      </c>
      <c r="Q3877">
        <v>1</v>
      </c>
    </row>
    <row r="3878" spans="5:17" x14ac:dyDescent="0.2">
      <c r="E3878" s="9" t="s">
        <v>41</v>
      </c>
      <c r="K3878" t="str">
        <v>in</v>
      </c>
      <c r="L3878" s="4" t="str">
        <f t="shared" si="71"/>
        <v>in</v>
      </c>
      <c r="N3878" s="4" cm="1">
        <f t="array" ref="N3878">SUM(--(_xlfn.TEXTSPLIT($J$3653,, " ") = M3878))</f>
        <v>1</v>
      </c>
      <c r="O3878">
        <v>1</v>
      </c>
      <c r="P3878">
        <v>0</v>
      </c>
      <c r="Q3878">
        <v>1</v>
      </c>
    </row>
    <row r="3879" spans="5:17" x14ac:dyDescent="0.2">
      <c r="E3879" s="9" t="s">
        <v>41</v>
      </c>
      <c r="K3879" t="str">
        <v>me</v>
      </c>
      <c r="L3879" s="4" t="str">
        <f t="shared" si="71"/>
        <v>me</v>
      </c>
      <c r="N3879" s="4" cm="1">
        <f t="array" ref="N3879">SUM(--(_xlfn.TEXTSPLIT($J$3653,, " ") = M3879))</f>
        <v>1</v>
      </c>
      <c r="O3879">
        <v>1</v>
      </c>
      <c r="P3879">
        <v>0</v>
      </c>
      <c r="Q3879">
        <v>1</v>
      </c>
    </row>
    <row r="3880" spans="5:17" x14ac:dyDescent="0.2">
      <c r="E3880" s="9" t="s">
        <v>41</v>
      </c>
      <c r="K3880" t="str">
        <v xml:space="preserve">somehow
</v>
      </c>
      <c r="L3880" s="4" t="str">
        <f t="shared" si="71"/>
        <v xml:space="preserve">somehow </v>
      </c>
      <c r="N3880" s="4" cm="1">
        <f t="array" ref="N3880">SUM(--(_xlfn.TEXTSPLIT($J$3653,, " ") = M3880))</f>
        <v>1</v>
      </c>
      <c r="O3880">
        <v>1</v>
      </c>
      <c r="P3880">
        <v>0</v>
      </c>
      <c r="Q3880">
        <v>1</v>
      </c>
    </row>
    <row r="3881" spans="5:17" x14ac:dyDescent="0.2">
      <c r="E3881" s="9" t="s">
        <v>41</v>
      </c>
      <c r="K3881" t="str">
        <v xml:space="preserve">Ooh
</v>
      </c>
      <c r="L3881" s="4" t="str">
        <f t="shared" si="71"/>
        <v xml:space="preserve">Ooh  </v>
      </c>
      <c r="N3881" s="4" cm="1">
        <f t="array" ref="N3881">SUM(--(_xlfn.TEXTSPLIT($J$3653,, " ") = M3881))</f>
        <v>1</v>
      </c>
      <c r="O3881">
        <v>1</v>
      </c>
      <c r="P3881">
        <v>0</v>
      </c>
      <c r="Q3881">
        <v>1</v>
      </c>
    </row>
    <row r="3882" spans="5:17" x14ac:dyDescent="0.2">
      <c r="E3882" s="9" t="s">
        <v>41</v>
      </c>
      <c r="K3882" t="str">
        <v>Ooh,</v>
      </c>
      <c r="L3882" s="4" t="str">
        <f t="shared" si="71"/>
        <v xml:space="preserve">Ooh </v>
      </c>
      <c r="N3882" s="4" cm="1">
        <f t="array" ref="N3882">SUM(--(_xlfn.TEXTSPLIT($J$3653,, " ") = M3882))</f>
        <v>1</v>
      </c>
      <c r="O3882">
        <v>1</v>
      </c>
      <c r="P3882">
        <v>0</v>
      </c>
      <c r="Q3882">
        <v>1</v>
      </c>
    </row>
    <row r="3883" spans="5:17" x14ac:dyDescent="0.2">
      <c r="E3883" s="9" t="s">
        <v>41</v>
      </c>
      <c r="K3883" t="str">
        <v>somehow</v>
      </c>
      <c r="L3883" s="4" t="str">
        <f t="shared" si="71"/>
        <v>somehow</v>
      </c>
      <c r="N3883" s="4" cm="1">
        <f t="array" ref="N3883">SUM(--(_xlfn.TEXTSPLIT($J$3653,, " ") = M3883))</f>
        <v>1</v>
      </c>
      <c r="O3883">
        <v>1</v>
      </c>
      <c r="P3883">
        <v>0</v>
      </c>
      <c r="Q3883">
        <v>1</v>
      </c>
    </row>
    <row r="3884" spans="5:17" x14ac:dyDescent="0.2">
      <c r="E3884" s="9" t="s">
        <v>41</v>
      </c>
      <c r="K3884" t="str">
        <v>I</v>
      </c>
      <c r="L3884" s="4" t="str">
        <f t="shared" si="71"/>
        <v>I</v>
      </c>
      <c r="N3884" s="4" cm="1">
        <f t="array" ref="N3884">SUM(--(_xlfn.TEXTSPLIT($J$3653,, " ") = M3884))</f>
        <v>1</v>
      </c>
      <c r="O3884">
        <v>1</v>
      </c>
      <c r="P3884">
        <v>0</v>
      </c>
      <c r="Q3884">
        <v>1</v>
      </c>
    </row>
    <row r="3885" spans="5:17" x14ac:dyDescent="0.2">
      <c r="E3885" s="9" t="s">
        <v>41</v>
      </c>
      <c r="K3885" t="str">
        <v>figured</v>
      </c>
      <c r="L3885" s="4" t="str">
        <f t="shared" si="71"/>
        <v>figured</v>
      </c>
      <c r="N3885" s="4" cm="1">
        <f t="array" ref="N3885">SUM(--(_xlfn.TEXTSPLIT($J$3653,, " ") = M3885))</f>
        <v>1</v>
      </c>
      <c r="O3885">
        <v>1</v>
      </c>
      <c r="P3885">
        <v>0</v>
      </c>
      <c r="Q3885">
        <v>1</v>
      </c>
    </row>
    <row r="3886" spans="5:17" x14ac:dyDescent="0.2">
      <c r="E3886" s="9" t="s">
        <v>41</v>
      </c>
      <c r="K3886" t="str">
        <v>you</v>
      </c>
      <c r="L3886" s="4" t="str">
        <f t="shared" si="71"/>
        <v>you</v>
      </c>
      <c r="N3886" s="4" cm="1">
        <f t="array" ref="N3886">SUM(--(_xlfn.TEXTSPLIT($J$3653,, " ") = M3886))</f>
        <v>1</v>
      </c>
      <c r="O3886">
        <v>1</v>
      </c>
      <c r="P3886">
        <v>0</v>
      </c>
      <c r="Q3886">
        <v>1</v>
      </c>
    </row>
    <row r="3887" spans="5:17" x14ac:dyDescent="0.2">
      <c r="E3887" s="9" t="s">
        <v>41</v>
      </c>
      <c r="K3887" t="str">
        <v>were</v>
      </c>
      <c r="L3887" s="4" t="str">
        <f t="shared" si="71"/>
        <v>were</v>
      </c>
      <c r="N3887" s="4" cm="1">
        <f t="array" ref="N3887">SUM(--(_xlfn.TEXTSPLIT($J$3653,, " ") = M3887))</f>
        <v>1</v>
      </c>
      <c r="O3887">
        <v>1</v>
      </c>
      <c r="P3887">
        <v>0</v>
      </c>
      <c r="Q3887">
        <v>1</v>
      </c>
    </row>
    <row r="3888" spans="5:17" x14ac:dyDescent="0.2">
      <c r="E3888" s="9" t="s">
        <v>41</v>
      </c>
      <c r="K3888" t="str">
        <v>keeping</v>
      </c>
      <c r="L3888" s="4" t="str">
        <f t="shared" si="71"/>
        <v>keeping</v>
      </c>
      <c r="N3888" s="4" cm="1">
        <f t="array" ref="N3888">SUM(--(_xlfn.TEXTSPLIT($J$3653,, " ") = M3888))</f>
        <v>1</v>
      </c>
      <c r="O3888">
        <v>1</v>
      </c>
      <c r="P3888">
        <v>0</v>
      </c>
      <c r="Q3888">
        <v>1</v>
      </c>
    </row>
    <row r="3889" spans="5:17" x14ac:dyDescent="0.2">
      <c r="E3889" s="9" t="s">
        <v>41</v>
      </c>
      <c r="K3889" t="str">
        <v>track</v>
      </c>
      <c r="L3889" s="4" t="str">
        <f t="shared" si="71"/>
        <v>track</v>
      </c>
      <c r="N3889" s="4" cm="1">
        <f t="array" ref="N3889">SUM(--(_xlfn.TEXTSPLIT($J$3653,, " ") = M3889))</f>
        <v>1</v>
      </c>
      <c r="O3889">
        <v>1</v>
      </c>
      <c r="P3889">
        <v>0</v>
      </c>
      <c r="Q3889">
        <v>1</v>
      </c>
    </row>
    <row r="3890" spans="5:17" x14ac:dyDescent="0.2">
      <c r="E3890" s="9" t="s">
        <v>41</v>
      </c>
      <c r="K3890" t="str">
        <v>of</v>
      </c>
      <c r="L3890" s="4" t="str">
        <f t="shared" si="71"/>
        <v>of</v>
      </c>
      <c r="N3890" s="4" cm="1">
        <f t="array" ref="N3890">SUM(--(_xlfn.TEXTSPLIT($J$3653,, " ") = M3890))</f>
        <v>1</v>
      </c>
      <c r="O3890">
        <v>1</v>
      </c>
      <c r="P3890">
        <v>0</v>
      </c>
      <c r="Q3890">
        <v>1</v>
      </c>
    </row>
    <row r="3891" spans="5:17" x14ac:dyDescent="0.2">
      <c r="E3891" s="9" t="s">
        <v>41</v>
      </c>
      <c r="K3891" t="str">
        <v>every</v>
      </c>
      <c r="L3891" s="4" t="str">
        <f t="shared" si="71"/>
        <v>every</v>
      </c>
      <c r="N3891" s="4" cm="1">
        <f t="array" ref="N3891">SUM(--(_xlfn.TEXTSPLIT($J$3653,, " ") = M3891))</f>
        <v>1</v>
      </c>
      <c r="O3891">
        <v>1</v>
      </c>
      <c r="P3891">
        <v>0</v>
      </c>
      <c r="Q3891">
        <v>1</v>
      </c>
    </row>
    <row r="3892" spans="5:17" x14ac:dyDescent="0.2">
      <c r="E3892" s="9" t="s">
        <v>41</v>
      </c>
      <c r="K3892" t="str">
        <v xml:space="preserve">time
</v>
      </c>
      <c r="L3892" s="4" t="str">
        <f t="shared" si="71"/>
        <v xml:space="preserve">time </v>
      </c>
      <c r="N3892" s="4" cm="1">
        <f t="array" ref="N3892">SUM(--(_xlfn.TEXTSPLIT($J$3653,, " ") = M3892))</f>
        <v>1</v>
      </c>
      <c r="O3892">
        <v>1</v>
      </c>
      <c r="P3892">
        <v>0</v>
      </c>
      <c r="Q3892">
        <v>1</v>
      </c>
    </row>
    <row r="3893" spans="5:17" x14ac:dyDescent="0.2">
      <c r="E3893" s="9" t="s">
        <v>41</v>
      </c>
      <c r="K3893" t="str">
        <v>Just</v>
      </c>
      <c r="L3893" s="4" t="str">
        <f t="shared" si="71"/>
        <v>Just</v>
      </c>
      <c r="N3893" s="4" cm="1">
        <f t="array" ref="N3893">SUM(--(_xlfn.TEXTSPLIT($J$3653,, " ") = M3893))</f>
        <v>1</v>
      </c>
      <c r="O3893">
        <v>1</v>
      </c>
      <c r="P3893">
        <v>0</v>
      </c>
      <c r="Q3893">
        <v>1</v>
      </c>
    </row>
    <row r="3894" spans="5:17" x14ac:dyDescent="0.2">
      <c r="E3894" s="9" t="s">
        <v>41</v>
      </c>
      <c r="K3894" t="str">
        <v>figured</v>
      </c>
      <c r="L3894" s="4" t="str">
        <f t="shared" si="71"/>
        <v>figured</v>
      </c>
      <c r="N3894" s="4" cm="1">
        <f t="array" ref="N3894">SUM(--(_xlfn.TEXTSPLIT($J$3653,, " ") = M3894))</f>
        <v>1</v>
      </c>
      <c r="O3894">
        <v>1</v>
      </c>
      <c r="P3894">
        <v>0</v>
      </c>
      <c r="Q3894">
        <v>1</v>
      </c>
    </row>
    <row r="3895" spans="5:17" x14ac:dyDescent="0.2">
      <c r="E3895" s="9" t="s">
        <v>41</v>
      </c>
      <c r="K3895" t="str">
        <v>you</v>
      </c>
      <c r="L3895" s="4" t="str">
        <f t="shared" si="71"/>
        <v>you</v>
      </c>
      <c r="N3895" s="4" cm="1">
        <f t="array" ref="N3895">SUM(--(_xlfn.TEXTSPLIT($J$3653,, " ") = M3895))</f>
        <v>1</v>
      </c>
      <c r="O3895">
        <v>1</v>
      </c>
      <c r="P3895">
        <v>0</v>
      </c>
      <c r="Q3895">
        <v>1</v>
      </c>
    </row>
    <row r="3896" spans="5:17" x14ac:dyDescent="0.2">
      <c r="E3896" s="9" t="s">
        <v>41</v>
      </c>
      <c r="K3896" t="str">
        <v>were</v>
      </c>
      <c r="L3896" s="4" t="str">
        <f t="shared" si="71"/>
        <v>were</v>
      </c>
      <c r="N3896" s="4" cm="1">
        <f t="array" ref="N3896">SUM(--(_xlfn.TEXTSPLIT($J$3653,, " ") = M3896))</f>
        <v>1</v>
      </c>
      <c r="O3896">
        <v>1</v>
      </c>
      <c r="P3896">
        <v>0</v>
      </c>
      <c r="Q3896">
        <v>1</v>
      </c>
    </row>
    <row r="3897" spans="5:17" x14ac:dyDescent="0.2">
      <c r="E3897" s="9" t="s">
        <v>41</v>
      </c>
      <c r="K3897" t="str">
        <v>keeping</v>
      </c>
      <c r="L3897" s="4" t="str">
        <f t="shared" si="71"/>
        <v>keeping</v>
      </c>
      <c r="N3897" s="4" cm="1">
        <f t="array" ref="N3897">SUM(--(_xlfn.TEXTSPLIT($J$3653,, " ") = M3897))</f>
        <v>1</v>
      </c>
      <c r="O3897">
        <v>1</v>
      </c>
      <c r="P3897">
        <v>0</v>
      </c>
      <c r="Q3897">
        <v>1</v>
      </c>
    </row>
    <row r="3898" spans="5:17" x14ac:dyDescent="0.2">
      <c r="E3898" s="9" t="s">
        <v>41</v>
      </c>
      <c r="K3898" t="str">
        <v>track</v>
      </c>
      <c r="L3898" s="4" t="str">
        <f t="shared" si="71"/>
        <v>track</v>
      </c>
      <c r="N3898" s="4" cm="1">
        <f t="array" ref="N3898">SUM(--(_xlfn.TEXTSPLIT($J$3653,, " ") = M3898))</f>
        <v>1</v>
      </c>
      <c r="O3898">
        <v>1</v>
      </c>
      <c r="P3898">
        <v>0</v>
      </c>
      <c r="Q3898">
        <v>1</v>
      </c>
    </row>
    <row r="3899" spans="5:17" x14ac:dyDescent="0.2">
      <c r="E3899" s="9" t="s">
        <v>41</v>
      </c>
      <c r="K3899" t="str">
        <v>of</v>
      </c>
      <c r="L3899" s="4" t="str">
        <f t="shared" si="71"/>
        <v>of</v>
      </c>
      <c r="N3899" s="4" cm="1">
        <f t="array" ref="N3899">SUM(--(_xlfn.TEXTSPLIT($J$3653,, " ") = M3899))</f>
        <v>1</v>
      </c>
      <c r="O3899">
        <v>1</v>
      </c>
      <c r="P3899">
        <v>0</v>
      </c>
      <c r="Q3899">
        <v>1</v>
      </c>
    </row>
    <row r="3900" spans="5:17" x14ac:dyDescent="0.2">
      <c r="E3900" s="9" t="s">
        <v>41</v>
      </c>
      <c r="K3900" t="str">
        <v>every</v>
      </c>
      <c r="L3900" s="4" t="str">
        <f t="shared" si="71"/>
        <v>every</v>
      </c>
      <c r="N3900" s="4" cm="1">
        <f t="array" ref="N3900">SUM(--(_xlfn.TEXTSPLIT($J$3653,, " ") = M3900))</f>
        <v>1</v>
      </c>
      <c r="O3900">
        <v>1</v>
      </c>
      <c r="P3900">
        <v>0</v>
      </c>
      <c r="Q3900">
        <v>1</v>
      </c>
    </row>
    <row r="3901" spans="5:17" x14ac:dyDescent="0.2">
      <c r="E3901" s="9" t="s">
        <v>41</v>
      </c>
      <c r="K3901" t="str">
        <v xml:space="preserve">time
</v>
      </c>
      <c r="L3901" s="4" t="str">
        <f t="shared" si="71"/>
        <v xml:space="preserve">time </v>
      </c>
      <c r="N3901" s="4" cm="1">
        <f t="array" ref="N3901">SUM(--(_xlfn.TEXTSPLIT($J$3653,, " ") = M3901))</f>
        <v>1</v>
      </c>
      <c r="O3901">
        <v>1</v>
      </c>
      <c r="P3901">
        <v>0</v>
      </c>
      <c r="Q3901">
        <v>1</v>
      </c>
    </row>
    <row r="3902" spans="5:17" x14ac:dyDescent="0.2">
      <c r="E3902" s="9" t="s">
        <v>41</v>
      </c>
      <c r="K3902" t="str">
        <v>I</v>
      </c>
      <c r="L3902" s="4" t="str">
        <f t="shared" si="71"/>
        <v>I</v>
      </c>
      <c r="N3902" s="4" cm="1">
        <f t="array" ref="N3902">SUM(--(_xlfn.TEXTSPLIT($J$3653,, " ") = M3902))</f>
        <v>1</v>
      </c>
      <c r="O3902">
        <v>1</v>
      </c>
      <c r="P3902">
        <v>0</v>
      </c>
      <c r="Q3902">
        <v>1</v>
      </c>
    </row>
    <row r="3903" spans="5:17" x14ac:dyDescent="0.2">
      <c r="E3903" s="9" t="s">
        <v>41</v>
      </c>
      <c r="K3903" t="str">
        <v>let</v>
      </c>
      <c r="L3903" s="4" t="str">
        <f t="shared" si="71"/>
        <v>let</v>
      </c>
      <c r="N3903" s="4" cm="1">
        <f t="array" ref="N3903">SUM(--(_xlfn.TEXTSPLIT($J$3653,, " ") = M3903))</f>
        <v>1</v>
      </c>
      <c r="O3903">
        <v>1</v>
      </c>
      <c r="P3903">
        <v>0</v>
      </c>
      <c r="Q3903">
        <v>1</v>
      </c>
    </row>
    <row r="3904" spans="5:17" x14ac:dyDescent="0.2">
      <c r="E3904" s="9" t="s">
        <v>41</v>
      </c>
      <c r="K3904" t="str">
        <v>you</v>
      </c>
      <c r="L3904" s="4" t="str">
        <f t="shared" si="71"/>
        <v>you</v>
      </c>
      <c r="N3904" s="4" cm="1">
        <f t="array" ref="N3904">SUM(--(_xlfn.TEXTSPLIT($J$3653,, " ") = M3904))</f>
        <v>1</v>
      </c>
      <c r="O3904">
        <v>1</v>
      </c>
      <c r="P3904">
        <v>0</v>
      </c>
      <c r="Q3904">
        <v>1</v>
      </c>
    </row>
    <row r="3905" spans="5:17" x14ac:dyDescent="0.2">
      <c r="E3905" s="9" t="s">
        <v>41</v>
      </c>
      <c r="K3905" t="str">
        <v>down,</v>
      </c>
      <c r="L3905" s="4" t="str">
        <f t="shared" si="71"/>
        <v xml:space="preserve">down </v>
      </c>
      <c r="N3905" s="4" cm="1">
        <f t="array" ref="N3905">SUM(--(_xlfn.TEXTSPLIT($J$3653,, " ") = M3905))</f>
        <v>1</v>
      </c>
      <c r="O3905">
        <v>1</v>
      </c>
      <c r="P3905">
        <v>0</v>
      </c>
      <c r="Q3905">
        <v>1</v>
      </c>
    </row>
    <row r="3906" spans="5:17" x14ac:dyDescent="0.2">
      <c r="E3906" s="9" t="s">
        <v>41</v>
      </c>
      <c r="K3906" t="str">
        <v>I</v>
      </c>
      <c r="L3906" s="4" t="str">
        <f t="shared" si="71"/>
        <v>I</v>
      </c>
      <c r="N3906" s="4" cm="1">
        <f t="array" ref="N3906">SUM(--(_xlfn.TEXTSPLIT($J$3653,, " ") = M3906))</f>
        <v>1</v>
      </c>
      <c r="O3906">
        <v>1</v>
      </c>
      <c r="P3906">
        <v>0</v>
      </c>
      <c r="Q3906">
        <v>1</v>
      </c>
    </row>
    <row r="3907" spans="5:17" x14ac:dyDescent="0.2">
      <c r="E3907" s="9" t="s">
        <v>41</v>
      </c>
      <c r="K3907" t="str">
        <v>breached</v>
      </c>
      <c r="L3907" s="4" t="str">
        <f t="shared" si="71"/>
        <v>breached</v>
      </c>
      <c r="N3907" s="4" cm="1">
        <f t="array" ref="N3907">SUM(--(_xlfn.TEXTSPLIT($J$3653,, " ") = M3907))</f>
        <v>1</v>
      </c>
      <c r="O3907">
        <v>1</v>
      </c>
      <c r="P3907">
        <v>0</v>
      </c>
      <c r="Q3907">
        <v>1</v>
      </c>
    </row>
    <row r="3908" spans="5:17" x14ac:dyDescent="0.2">
      <c r="E3908" s="9" t="s">
        <v>41</v>
      </c>
      <c r="K3908" t="str">
        <v>your</v>
      </c>
      <c r="L3908" s="4" t="str">
        <f t="shared" si="71"/>
        <v>your</v>
      </c>
      <c r="N3908" s="4" cm="1">
        <f t="array" ref="N3908">SUM(--(_xlfn.TEXTSPLIT($J$3653,, " ") = M3908))</f>
        <v>1</v>
      </c>
      <c r="O3908">
        <v>1</v>
      </c>
      <c r="P3908">
        <v>0</v>
      </c>
      <c r="Q3908">
        <v>1</v>
      </c>
    </row>
    <row r="3909" spans="5:17" x14ac:dyDescent="0.2">
      <c r="E3909" s="9" t="s">
        <v>41</v>
      </c>
      <c r="K3909" t="str">
        <v>trust,</v>
      </c>
      <c r="L3909" s="4" t="str">
        <f t="shared" si="71"/>
        <v xml:space="preserve">trust </v>
      </c>
      <c r="N3909" s="4" cm="1">
        <f t="array" ref="N3909">SUM(--(_xlfn.TEXTSPLIT($J$3653,, " ") = M3909))</f>
        <v>1</v>
      </c>
      <c r="O3909">
        <v>1</v>
      </c>
      <c r="P3909">
        <v>0</v>
      </c>
      <c r="Q3909">
        <v>1</v>
      </c>
    </row>
    <row r="3910" spans="5:17" x14ac:dyDescent="0.2">
      <c r="E3910" s="9" t="s">
        <v>41</v>
      </c>
      <c r="K3910" t="str">
        <v>I</v>
      </c>
      <c r="L3910" s="4" t="str">
        <f t="shared" ref="L3910:L3973" si="72">_xlfn.REGEXREPLACE(K3910, "[^A-Za-z ]", " ")</f>
        <v>I</v>
      </c>
      <c r="N3910" s="4" cm="1">
        <f t="array" ref="N3910">SUM(--(_xlfn.TEXTSPLIT($J$3653,, " ") = M3910))</f>
        <v>1</v>
      </c>
      <c r="O3910">
        <v>1</v>
      </c>
      <c r="P3910">
        <v>0</v>
      </c>
      <c r="Q3910">
        <v>1</v>
      </c>
    </row>
    <row r="3911" spans="5:17" x14ac:dyDescent="0.2">
      <c r="E3911" s="9" t="s">
        <v>41</v>
      </c>
      <c r="K3911" t="str">
        <v>let</v>
      </c>
      <c r="L3911" s="4" t="str">
        <f t="shared" si="72"/>
        <v>let</v>
      </c>
      <c r="N3911" s="4" cm="1">
        <f t="array" ref="N3911">SUM(--(_xlfn.TEXTSPLIT($J$3653,, " ") = M3911))</f>
        <v>1</v>
      </c>
      <c r="O3911">
        <v>1</v>
      </c>
      <c r="P3911">
        <v>0</v>
      </c>
      <c r="Q3911">
        <v>1</v>
      </c>
    </row>
    <row r="3912" spans="5:17" x14ac:dyDescent="0.2">
      <c r="E3912" s="9" t="s">
        <v>41</v>
      </c>
      <c r="K3912" t="str">
        <v>you</v>
      </c>
      <c r="L3912" s="4" t="str">
        <f t="shared" si="72"/>
        <v>you</v>
      </c>
      <c r="N3912" s="4" cm="1">
        <f t="array" ref="N3912">SUM(--(_xlfn.TEXTSPLIT($J$3653,, " ") = M3912))</f>
        <v>1</v>
      </c>
      <c r="O3912">
        <v>1</v>
      </c>
      <c r="P3912">
        <v>0</v>
      </c>
      <c r="Q3912">
        <v>1</v>
      </c>
    </row>
    <row r="3913" spans="5:17" x14ac:dyDescent="0.2">
      <c r="E3913" s="9" t="s">
        <v>41</v>
      </c>
      <c r="K3913" t="str">
        <v xml:space="preserve">down
</v>
      </c>
      <c r="L3913" s="4" t="str">
        <f t="shared" si="72"/>
        <v xml:space="preserve">down </v>
      </c>
      <c r="N3913" s="4" cm="1">
        <f t="array" ref="N3913">SUM(--(_xlfn.TEXTSPLIT($J$3653,, " ") = M3913))</f>
        <v>1</v>
      </c>
      <c r="O3913">
        <v>1</v>
      </c>
      <c r="P3913">
        <v>0</v>
      </c>
      <c r="Q3913">
        <v>1</v>
      </c>
    </row>
    <row r="3914" spans="5:17" x14ac:dyDescent="0.2">
      <c r="E3914" s="9" t="s">
        <v>41</v>
      </c>
      <c r="K3914" t="str">
        <v>Just</v>
      </c>
      <c r="L3914" s="4" t="str">
        <f t="shared" si="72"/>
        <v>Just</v>
      </c>
      <c r="N3914" s="4" cm="1">
        <f t="array" ref="N3914">SUM(--(_xlfn.TEXTSPLIT($J$3653,, " ") = M3914))</f>
        <v>1</v>
      </c>
      <c r="O3914">
        <v>1</v>
      </c>
      <c r="P3914">
        <v>0</v>
      </c>
      <c r="Q3914">
        <v>1</v>
      </c>
    </row>
    <row r="3915" spans="5:17" x14ac:dyDescent="0.2">
      <c r="E3915" s="9" t="s">
        <v>41</v>
      </c>
      <c r="K3915" t="str">
        <v>figured</v>
      </c>
      <c r="L3915" s="4" t="str">
        <f t="shared" si="72"/>
        <v>figured</v>
      </c>
      <c r="N3915" s="4" cm="1">
        <f t="array" ref="N3915">SUM(--(_xlfn.TEXTSPLIT($J$3653,, " ") = M3915))</f>
        <v>1</v>
      </c>
      <c r="O3915">
        <v>1</v>
      </c>
      <c r="P3915">
        <v>0</v>
      </c>
      <c r="Q3915">
        <v>1</v>
      </c>
    </row>
    <row r="3916" spans="5:17" x14ac:dyDescent="0.2">
      <c r="E3916" s="9" t="s">
        <v>41</v>
      </c>
      <c r="K3916" t="str">
        <v>you</v>
      </c>
      <c r="L3916" s="4" t="str">
        <f t="shared" si="72"/>
        <v>you</v>
      </c>
      <c r="N3916" s="4" cm="1">
        <f t="array" ref="N3916">SUM(--(_xlfn.TEXTSPLIT($J$3653,, " ") = M3916))</f>
        <v>1</v>
      </c>
      <c r="O3916">
        <v>1</v>
      </c>
      <c r="P3916">
        <v>0</v>
      </c>
      <c r="Q3916">
        <v>1</v>
      </c>
    </row>
    <row r="3917" spans="5:17" x14ac:dyDescent="0.2">
      <c r="E3917" s="9" t="s">
        <v>41</v>
      </c>
      <c r="K3917" t="str">
        <v>were</v>
      </c>
      <c r="L3917" s="4" t="str">
        <f t="shared" si="72"/>
        <v>were</v>
      </c>
      <c r="N3917" s="4" cm="1">
        <f t="array" ref="N3917">SUM(--(_xlfn.TEXTSPLIT($J$3653,, " ") = M3917))</f>
        <v>1</v>
      </c>
      <c r="O3917">
        <v>1</v>
      </c>
      <c r="P3917">
        <v>0</v>
      </c>
      <c r="Q3917">
        <v>1</v>
      </c>
    </row>
    <row r="3918" spans="5:17" x14ac:dyDescent="0.2">
      <c r="E3918" s="9" t="s">
        <v>41</v>
      </c>
      <c r="K3918" t="str">
        <v>keeping</v>
      </c>
      <c r="L3918" s="4" t="str">
        <f t="shared" si="72"/>
        <v>keeping</v>
      </c>
      <c r="N3918" s="4" cm="1">
        <f t="array" ref="N3918">SUM(--(_xlfn.TEXTSPLIT($J$3653,, " ") = M3918))</f>
        <v>1</v>
      </c>
      <c r="O3918">
        <v>1</v>
      </c>
      <c r="P3918">
        <v>0</v>
      </c>
      <c r="Q3918">
        <v>1</v>
      </c>
    </row>
    <row r="3919" spans="5:17" x14ac:dyDescent="0.2">
      <c r="E3919" s="9" t="s">
        <v>41</v>
      </c>
      <c r="K3919" t="str">
        <v>track</v>
      </c>
      <c r="L3919" s="4" t="str">
        <f t="shared" si="72"/>
        <v>track</v>
      </c>
      <c r="N3919" s="4" cm="1">
        <f t="array" ref="N3919">SUM(--(_xlfn.TEXTSPLIT($J$3653,, " ") = M3919))</f>
        <v>1</v>
      </c>
      <c r="O3919">
        <v>1</v>
      </c>
      <c r="P3919">
        <v>0</v>
      </c>
      <c r="Q3919">
        <v>1</v>
      </c>
    </row>
    <row r="3920" spans="5:17" x14ac:dyDescent="0.2">
      <c r="E3920" s="9" t="s">
        <v>41</v>
      </c>
      <c r="K3920" t="str">
        <v>of</v>
      </c>
      <c r="L3920" s="4" t="str">
        <f t="shared" si="72"/>
        <v>of</v>
      </c>
      <c r="N3920" s="4" cm="1">
        <f t="array" ref="N3920">SUM(--(_xlfn.TEXTSPLIT($J$3653,, " ") = M3920))</f>
        <v>1</v>
      </c>
      <c r="O3920">
        <v>1</v>
      </c>
      <c r="P3920">
        <v>0</v>
      </c>
      <c r="Q3920">
        <v>1</v>
      </c>
    </row>
    <row r="3921" spans="5:17" x14ac:dyDescent="0.2">
      <c r="E3921" s="9" t="s">
        <v>41</v>
      </c>
      <c r="K3921" t="str">
        <v>every</v>
      </c>
      <c r="L3921" s="4" t="str">
        <f t="shared" si="72"/>
        <v>every</v>
      </c>
      <c r="N3921" s="4" cm="1">
        <f t="array" ref="N3921">SUM(--(_xlfn.TEXTSPLIT($J$3653,, " ") = M3921))</f>
        <v>1</v>
      </c>
      <c r="O3921">
        <v>1</v>
      </c>
      <c r="P3921">
        <v>0</v>
      </c>
      <c r="Q3921">
        <v>1</v>
      </c>
    </row>
    <row r="3922" spans="5:17" x14ac:dyDescent="0.2">
      <c r="E3922" s="9" t="s">
        <v>41</v>
      </c>
      <c r="K3922" t="str">
        <v xml:space="preserve">time
</v>
      </c>
      <c r="L3922" s="4" t="str">
        <f t="shared" si="72"/>
        <v xml:space="preserve">time </v>
      </c>
      <c r="N3922" s="4" cm="1">
        <f t="array" ref="N3922">SUM(--(_xlfn.TEXTSPLIT($J$3653,, " ") = M3922))</f>
        <v>1</v>
      </c>
      <c r="O3922">
        <v>1</v>
      </c>
      <c r="P3922">
        <v>0</v>
      </c>
      <c r="Q3922">
        <v>1</v>
      </c>
    </row>
    <row r="3923" spans="5:17" x14ac:dyDescent="0.2">
      <c r="E3923" s="9" t="s">
        <v>41</v>
      </c>
      <c r="K3923" t="str">
        <v>You</v>
      </c>
      <c r="L3923" s="4" t="str">
        <f t="shared" si="72"/>
        <v>You</v>
      </c>
      <c r="N3923" s="4" cm="1">
        <f t="array" ref="N3923">SUM(--(_xlfn.TEXTSPLIT($J$3653,, " ") = M3923))</f>
        <v>1</v>
      </c>
      <c r="O3923">
        <v>1</v>
      </c>
      <c r="P3923">
        <v>0</v>
      </c>
      <c r="Q3923">
        <v>1</v>
      </c>
    </row>
    <row r="3924" spans="5:17" x14ac:dyDescent="0.2">
      <c r="E3924" s="9" t="s">
        <v>41</v>
      </c>
      <c r="K3924" t="str">
        <v>were</v>
      </c>
      <c r="L3924" s="4" t="str">
        <f t="shared" si="72"/>
        <v>were</v>
      </c>
      <c r="N3924" s="4" cm="1">
        <f t="array" ref="N3924">SUM(--(_xlfn.TEXTSPLIT($J$3653,, " ") = M3924))</f>
        <v>1</v>
      </c>
      <c r="O3924">
        <v>1</v>
      </c>
      <c r="P3924">
        <v>0</v>
      </c>
      <c r="Q3924">
        <v>1</v>
      </c>
    </row>
    <row r="3925" spans="5:17" x14ac:dyDescent="0.2">
      <c r="E3925" s="9" t="s">
        <v>41</v>
      </c>
      <c r="K3925" t="str">
        <v>keeping</v>
      </c>
      <c r="L3925" s="4" t="str">
        <f t="shared" si="72"/>
        <v>keeping</v>
      </c>
      <c r="N3925" s="4" cm="1">
        <f t="array" ref="N3925">SUM(--(_xlfn.TEXTSPLIT($J$3653,, " ") = M3925))</f>
        <v>1</v>
      </c>
      <c r="O3925">
        <v>1</v>
      </c>
      <c r="P3925">
        <v>0</v>
      </c>
      <c r="Q3925">
        <v>1</v>
      </c>
    </row>
    <row r="3926" spans="5:17" x14ac:dyDescent="0.2">
      <c r="E3926" s="9" t="s">
        <v>41</v>
      </c>
      <c r="K3926" t="str">
        <v xml:space="preserve">track
</v>
      </c>
      <c r="L3926" s="4" t="str">
        <f t="shared" si="72"/>
        <v xml:space="preserve">track  </v>
      </c>
      <c r="N3926" s="4" cm="1">
        <f t="array" ref="N3926">SUM(--(_xlfn.TEXTSPLIT($J$3653,, " ") = M3926))</f>
        <v>1</v>
      </c>
      <c r="O3926">
        <v>1</v>
      </c>
      <c r="P3926">
        <v>0</v>
      </c>
      <c r="Q3926">
        <v>1</v>
      </c>
    </row>
    <row r="3927" spans="5:17" x14ac:dyDescent="0.2">
      <c r="E3927" s="9" t="s">
        <v>41</v>
      </c>
      <c r="K3927" t="str">
        <v>You</v>
      </c>
      <c r="L3927" s="4" t="str">
        <f t="shared" si="72"/>
        <v>You</v>
      </c>
      <c r="N3927" s="4" cm="1">
        <f t="array" ref="N3927">SUM(--(_xlfn.TEXTSPLIT($J$3653,, " ") = M3927))</f>
        <v>1</v>
      </c>
      <c r="O3927">
        <v>1</v>
      </c>
      <c r="P3927">
        <v>0</v>
      </c>
      <c r="Q3927">
        <v>1</v>
      </c>
    </row>
    <row r="3928" spans="5:17" x14ac:dyDescent="0.2">
      <c r="E3928" s="9" t="s">
        <v>41</v>
      </c>
      <c r="K3928" t="str">
        <v>want</v>
      </c>
      <c r="L3928" s="4" t="str">
        <f t="shared" si="72"/>
        <v>want</v>
      </c>
      <c r="N3928" s="4" cm="1">
        <f t="array" ref="N3928">SUM(--(_xlfn.TEXTSPLIT($J$3653,, " ") = M3928))</f>
        <v>1</v>
      </c>
      <c r="O3928">
        <v>1</v>
      </c>
      <c r="P3928">
        <v>0</v>
      </c>
      <c r="Q3928">
        <v>1</v>
      </c>
    </row>
    <row r="3929" spans="5:17" x14ac:dyDescent="0.2">
      <c r="E3929" s="9" t="s">
        <v>41</v>
      </c>
      <c r="K3929" t="str">
        <v>a</v>
      </c>
      <c r="L3929" s="4" t="str">
        <f t="shared" si="72"/>
        <v>a</v>
      </c>
      <c r="N3929" s="4" cm="1">
        <f t="array" ref="N3929">SUM(--(_xlfn.TEXTSPLIT($J$3653,, " ") = M3929))</f>
        <v>1</v>
      </c>
      <c r="O3929">
        <v>1</v>
      </c>
      <c r="P3929">
        <v>0</v>
      </c>
      <c r="Q3929">
        <v>1</v>
      </c>
    </row>
    <row r="3930" spans="5:17" x14ac:dyDescent="0.2">
      <c r="E3930" s="9" t="s">
        <v>41</v>
      </c>
      <c r="K3930" t="str">
        <v>tally,</v>
      </c>
      <c r="L3930" s="4" t="str">
        <f t="shared" si="72"/>
        <v xml:space="preserve">tally </v>
      </c>
      <c r="N3930" s="4" cm="1">
        <f t="array" ref="N3930">SUM(--(_xlfn.TEXTSPLIT($J$3653,, " ") = M3930))</f>
        <v>1</v>
      </c>
      <c r="O3930">
        <v>1</v>
      </c>
      <c r="P3930">
        <v>0</v>
      </c>
      <c r="Q3930">
        <v>1</v>
      </c>
    </row>
    <row r="3931" spans="5:17" x14ac:dyDescent="0.2">
      <c r="E3931" s="9" t="s">
        <v>41</v>
      </c>
      <c r="K3931" t="str">
        <v>I</v>
      </c>
      <c r="L3931" s="4" t="str">
        <f t="shared" si="72"/>
        <v>I</v>
      </c>
      <c r="N3931" s="4" cm="1">
        <f t="array" ref="N3931">SUM(--(_xlfn.TEXTSPLIT($J$3653,, " ") = M3931))</f>
        <v>1</v>
      </c>
      <c r="O3931">
        <v>1</v>
      </c>
      <c r="P3931">
        <v>0</v>
      </c>
      <c r="Q3931">
        <v>1</v>
      </c>
    </row>
    <row r="3932" spans="5:17" x14ac:dyDescent="0.2">
      <c r="E3932" s="9" t="s">
        <v>41</v>
      </c>
      <c r="K3932" t="str">
        <v>lost</v>
      </c>
      <c r="L3932" s="4" t="str">
        <f t="shared" si="72"/>
        <v>lost</v>
      </c>
      <c r="N3932" s="4" cm="1">
        <f t="array" ref="N3932">SUM(--(_xlfn.TEXTSPLIT($J$3653,, " ") = M3932))</f>
        <v>1</v>
      </c>
      <c r="O3932">
        <v>1</v>
      </c>
      <c r="P3932">
        <v>0</v>
      </c>
      <c r="Q3932">
        <v>1</v>
      </c>
    </row>
    <row r="3933" spans="5:17" x14ac:dyDescent="0.2">
      <c r="E3933" s="9" t="s">
        <v>41</v>
      </c>
      <c r="K3933" t="str">
        <v>the</v>
      </c>
      <c r="L3933" s="4" t="str">
        <f t="shared" si="72"/>
        <v>the</v>
      </c>
      <c r="N3933" s="4" cm="1">
        <f t="array" ref="N3933">SUM(--(_xlfn.TEXTSPLIT($J$3653,, " ") = M3933))</f>
        <v>1</v>
      </c>
      <c r="O3933">
        <v>1</v>
      </c>
      <c r="P3933">
        <v>0</v>
      </c>
      <c r="Q3933">
        <v>1</v>
      </c>
    </row>
    <row r="3934" spans="5:17" x14ac:dyDescent="0.2">
      <c r="E3934" s="9" t="s">
        <v>41</v>
      </c>
      <c r="K3934" t="str">
        <v>count</v>
      </c>
      <c r="L3934" s="4" t="str">
        <f t="shared" si="72"/>
        <v>count</v>
      </c>
      <c r="N3934" s="4" cm="1">
        <f t="array" ref="N3934">SUM(--(_xlfn.TEXTSPLIT($J$3653,, " ") = M3934))</f>
        <v>1</v>
      </c>
      <c r="O3934">
        <v>1</v>
      </c>
      <c r="P3934">
        <v>0</v>
      </c>
      <c r="Q3934">
        <v>1</v>
      </c>
    </row>
    <row r="3935" spans="5:17" x14ac:dyDescent="0.2">
      <c r="E3935" s="9" t="s">
        <v>41</v>
      </c>
      <c r="K3935" t="str">
        <v>(You</v>
      </c>
      <c r="L3935" s="4" t="str">
        <f t="shared" si="72"/>
        <v xml:space="preserve"> You</v>
      </c>
      <c r="N3935" s="4" cm="1">
        <f t="array" ref="N3935">SUM(--(_xlfn.TEXTSPLIT($J$3653,, " ") = M3935))</f>
        <v>1</v>
      </c>
      <c r="O3935">
        <v>1</v>
      </c>
      <c r="P3935">
        <v>0</v>
      </c>
      <c r="Q3935">
        <v>1</v>
      </c>
    </row>
    <row r="3936" spans="5:17" x14ac:dyDescent="0.2">
      <c r="E3936" s="9" t="s">
        <v>41</v>
      </c>
      <c r="K3936" t="str">
        <v>want</v>
      </c>
      <c r="L3936" s="4" t="str">
        <f t="shared" si="72"/>
        <v>want</v>
      </c>
      <c r="N3936" s="4" cm="1">
        <f t="array" ref="N3936">SUM(--(_xlfn.TEXTSPLIT($J$3653,, " ") = M3936))</f>
        <v>1</v>
      </c>
      <c r="O3936">
        <v>1</v>
      </c>
      <c r="P3936">
        <v>0</v>
      </c>
      <c r="Q3936">
        <v>1</v>
      </c>
    </row>
    <row r="3937" spans="5:17" x14ac:dyDescent="0.2">
      <c r="E3937" s="9" t="s">
        <v>41</v>
      </c>
      <c r="K3937" t="str">
        <v>a</v>
      </c>
      <c r="L3937" s="4" t="str">
        <f t="shared" si="72"/>
        <v>a</v>
      </c>
      <c r="N3937" s="4" cm="1">
        <f t="array" ref="N3937">SUM(--(_xlfn.TEXTSPLIT($J$3653,, " ") = M3937))</f>
        <v>1</v>
      </c>
      <c r="O3937">
        <v>1</v>
      </c>
      <c r="P3937">
        <v>0</v>
      </c>
      <c r="Q3937">
        <v>1</v>
      </c>
    </row>
    <row r="3938" spans="5:17" x14ac:dyDescent="0.2">
      <c r="E3938" s="9" t="s">
        <v>41</v>
      </c>
      <c r="K3938" t="str">
        <v xml:space="preserve">tally)
</v>
      </c>
      <c r="L3938" s="4" t="str">
        <f t="shared" si="72"/>
        <v xml:space="preserve">tally  </v>
      </c>
      <c r="N3938" s="4" cm="1">
        <f t="array" ref="N3938">SUM(--(_xlfn.TEXTSPLIT($J$3653,, " ") = M3938))</f>
        <v>1</v>
      </c>
      <c r="O3938">
        <v>1</v>
      </c>
      <c r="P3938">
        <v>0</v>
      </c>
      <c r="Q3938">
        <v>1</v>
      </c>
    </row>
    <row r="3939" spans="5:17" x14ac:dyDescent="0.2">
      <c r="E3939" s="9" t="s">
        <v>41</v>
      </c>
      <c r="K3939" t="str">
        <v>You</v>
      </c>
      <c r="L3939" s="4" t="str">
        <f t="shared" si="72"/>
        <v>You</v>
      </c>
      <c r="N3939" s="4" cm="1">
        <f t="array" ref="N3939">SUM(--(_xlfn.TEXTSPLIT($J$3653,, " ") = M3939))</f>
        <v>1</v>
      </c>
      <c r="O3939">
        <v>1</v>
      </c>
      <c r="P3939">
        <v>0</v>
      </c>
      <c r="Q3939">
        <v>1</v>
      </c>
    </row>
    <row r="3940" spans="5:17" x14ac:dyDescent="0.2">
      <c r="E3940" s="9" t="s">
        <v>41</v>
      </c>
      <c r="K3940" t="str">
        <v>want</v>
      </c>
      <c r="L3940" s="4" t="str">
        <f t="shared" si="72"/>
        <v>want</v>
      </c>
      <c r="N3940" s="4" cm="1">
        <f t="array" ref="N3940">SUM(--(_xlfn.TEXTSPLIT($J$3653,, " ") = M3940))</f>
        <v>1</v>
      </c>
      <c r="O3940">
        <v>1</v>
      </c>
      <c r="P3940">
        <v>0</v>
      </c>
      <c r="Q3940">
        <v>1</v>
      </c>
    </row>
    <row r="3941" spans="5:17" x14ac:dyDescent="0.2">
      <c r="E3941" s="9" t="s">
        <v>41</v>
      </c>
      <c r="K3941" t="str">
        <v>to</v>
      </c>
      <c r="L3941" s="4" t="str">
        <f t="shared" si="72"/>
        <v>to</v>
      </c>
      <c r="N3941" s="4" cm="1">
        <f t="array" ref="N3941">SUM(--(_xlfn.TEXTSPLIT($J$3653,, " ") = M3941))</f>
        <v>1</v>
      </c>
      <c r="O3941">
        <v>1</v>
      </c>
      <c r="P3941">
        <v>0</v>
      </c>
      <c r="Q3941">
        <v>1</v>
      </c>
    </row>
    <row r="3942" spans="5:17" x14ac:dyDescent="0.2">
      <c r="E3942" s="9" t="s">
        <v>41</v>
      </c>
      <c r="K3942" t="str">
        <v>love</v>
      </c>
      <c r="L3942" s="4" t="str">
        <f t="shared" si="72"/>
        <v>love</v>
      </c>
      <c r="N3942" s="4" cm="1">
        <f t="array" ref="N3942">SUM(--(_xlfn.TEXTSPLIT($J$3653,, " ") = M3942))</f>
        <v>1</v>
      </c>
      <c r="O3942">
        <v>1</v>
      </c>
      <c r="P3942">
        <v>0</v>
      </c>
      <c r="Q3942">
        <v>1</v>
      </c>
    </row>
    <row r="3943" spans="5:17" x14ac:dyDescent="0.2">
      <c r="E3943" s="9" t="s">
        <v>41</v>
      </c>
      <c r="K3943" t="str">
        <v>me</v>
      </c>
      <c r="L3943" s="4" t="str">
        <f t="shared" si="72"/>
        <v>me</v>
      </c>
      <c r="N3943" s="4" cm="1">
        <f t="array" ref="N3943">SUM(--(_xlfn.TEXTSPLIT($J$3653,, " ") = M3943))</f>
        <v>1</v>
      </c>
      <c r="O3943">
        <v>1</v>
      </c>
      <c r="P3943">
        <v>0</v>
      </c>
      <c r="Q3943">
        <v>1</v>
      </c>
    </row>
    <row r="3944" spans="5:17" x14ac:dyDescent="0.2">
      <c r="E3944" s="9" t="s">
        <v>41</v>
      </c>
      <c r="K3944" t="str">
        <v>(You</v>
      </c>
      <c r="L3944" s="4" t="str">
        <f t="shared" si="72"/>
        <v xml:space="preserve"> You</v>
      </c>
      <c r="N3944" s="4" cm="1">
        <f t="array" ref="N3944">SUM(--(_xlfn.TEXTSPLIT($J$3653,, " ") = M3944))</f>
        <v>1</v>
      </c>
      <c r="O3944">
        <v>1</v>
      </c>
      <c r="P3944">
        <v>0</v>
      </c>
      <c r="Q3944">
        <v>1</v>
      </c>
    </row>
    <row r="3945" spans="5:17" x14ac:dyDescent="0.2">
      <c r="E3945" s="9" t="s">
        <v>41</v>
      </c>
      <c r="K3945" t="str">
        <v>want</v>
      </c>
      <c r="L3945" s="4" t="str">
        <f t="shared" si="72"/>
        <v>want</v>
      </c>
      <c r="N3945" s="4" cm="1">
        <f t="array" ref="N3945">SUM(--(_xlfn.TEXTSPLIT($J$3653,, " ") = M3945))</f>
        <v>1</v>
      </c>
      <c r="O3945">
        <v>1</v>
      </c>
      <c r="P3945">
        <v>0</v>
      </c>
      <c r="Q3945">
        <v>1</v>
      </c>
    </row>
    <row r="3946" spans="5:17" x14ac:dyDescent="0.2">
      <c r="E3946" s="9" t="s">
        <v>41</v>
      </c>
      <c r="K3946" t="str">
        <v>to</v>
      </c>
      <c r="L3946" s="4" t="str">
        <f t="shared" si="72"/>
        <v>to</v>
      </c>
      <c r="N3946" s="4" cm="1">
        <f t="array" ref="N3946">SUM(--(_xlfn.TEXTSPLIT($J$3653,, " ") = M3946))</f>
        <v>1</v>
      </c>
      <c r="O3946">
        <v>1</v>
      </c>
      <c r="P3946">
        <v>0</v>
      </c>
      <c r="Q3946">
        <v>1</v>
      </c>
    </row>
    <row r="3947" spans="5:17" x14ac:dyDescent="0.2">
      <c r="E3947" s="9" t="s">
        <v>41</v>
      </c>
      <c r="K3947" t="str">
        <v>love</v>
      </c>
      <c r="L3947" s="4" t="str">
        <f t="shared" si="72"/>
        <v>love</v>
      </c>
      <c r="N3947" s="4" cm="1">
        <f t="array" ref="N3947">SUM(--(_xlfn.TEXTSPLIT($J$3653,, " ") = M3947))</f>
        <v>1</v>
      </c>
      <c r="O3947">
        <v>1</v>
      </c>
      <c r="P3947">
        <v>0</v>
      </c>
      <c r="Q3947">
        <v>1</v>
      </c>
    </row>
    <row r="3948" spans="5:17" x14ac:dyDescent="0.2">
      <c r="E3948" s="9" t="s">
        <v>41</v>
      </c>
      <c r="K3948" t="str">
        <v>me),</v>
      </c>
      <c r="L3948" s="4" t="str">
        <f t="shared" si="72"/>
        <v xml:space="preserve">me  </v>
      </c>
      <c r="N3948" s="4" cm="1">
        <f t="array" ref="N3948">SUM(--(_xlfn.TEXTSPLIT($J$3653,, " ") = M3948))</f>
        <v>1</v>
      </c>
      <c r="O3948">
        <v>1</v>
      </c>
      <c r="P3948">
        <v>0</v>
      </c>
      <c r="Q3948">
        <v>1</v>
      </c>
    </row>
    <row r="3949" spans="5:17" x14ac:dyDescent="0.2">
      <c r="E3949" s="9" t="s">
        <v>41</v>
      </c>
      <c r="K3949" t="str">
        <v>I'll</v>
      </c>
      <c r="L3949" s="4" t="str">
        <f t="shared" si="72"/>
        <v>I ll</v>
      </c>
      <c r="N3949" s="4" cm="1">
        <f t="array" ref="N3949">SUM(--(_xlfn.TEXTSPLIT($J$3653,, " ") = M3949))</f>
        <v>1</v>
      </c>
      <c r="O3949">
        <v>1</v>
      </c>
      <c r="P3949">
        <v>0</v>
      </c>
      <c r="Q3949">
        <v>1</v>
      </c>
    </row>
    <row r="3950" spans="5:17" x14ac:dyDescent="0.2">
      <c r="E3950" s="9" t="s">
        <v>41</v>
      </c>
      <c r="K3950" t="str">
        <v>let</v>
      </c>
      <c r="L3950" s="4" t="str">
        <f t="shared" si="72"/>
        <v>let</v>
      </c>
      <c r="N3950" s="4" cm="1">
        <f t="array" ref="N3950">SUM(--(_xlfn.TEXTSPLIT($J$3653,, " ") = M3950))</f>
        <v>1</v>
      </c>
      <c r="O3950">
        <v>1</v>
      </c>
      <c r="P3950">
        <v>0</v>
      </c>
      <c r="Q3950">
        <v>1</v>
      </c>
    </row>
    <row r="3951" spans="5:17" x14ac:dyDescent="0.2">
      <c r="E3951" s="9" t="s">
        <v>41</v>
      </c>
      <c r="K3951" t="str">
        <v>you</v>
      </c>
      <c r="L3951" s="4" t="str">
        <f t="shared" si="72"/>
        <v>you</v>
      </c>
      <c r="N3951" s="4" cm="1">
        <f t="array" ref="N3951">SUM(--(_xlfn.TEXTSPLIT($J$3653,, " ") = M3951))</f>
        <v>1</v>
      </c>
      <c r="O3951">
        <v>1</v>
      </c>
      <c r="P3951">
        <v>0</v>
      </c>
      <c r="Q3951">
        <v>1</v>
      </c>
    </row>
    <row r="3952" spans="5:17" x14ac:dyDescent="0.2">
      <c r="E3952" s="9" t="s">
        <v>41</v>
      </c>
      <c r="K3952" t="str">
        <v xml:space="preserve">down
</v>
      </c>
      <c r="L3952" s="4" t="str">
        <f t="shared" si="72"/>
        <v xml:space="preserve">down </v>
      </c>
      <c r="N3952" s="4" cm="1">
        <f t="array" ref="N3952">SUM(--(_xlfn.TEXTSPLIT($J$3653,, " ") = M3952))</f>
        <v>1</v>
      </c>
      <c r="O3952">
        <v>1</v>
      </c>
      <c r="P3952">
        <v>0</v>
      </c>
      <c r="Q3952">
        <v>1</v>
      </c>
    </row>
    <row r="3953" spans="5:17" x14ac:dyDescent="0.2">
      <c r="E3953" s="9" t="s">
        <v>41</v>
      </c>
      <c r="K3953" t="str">
        <v>Still</v>
      </c>
      <c r="L3953" s="4" t="str">
        <f t="shared" si="72"/>
        <v>Still</v>
      </c>
      <c r="N3953" s="4" cm="1">
        <f t="array" ref="N3953">SUM(--(_xlfn.TEXTSPLIT($J$3653,, " ") = M3953))</f>
        <v>1</v>
      </c>
      <c r="O3953">
        <v>1</v>
      </c>
      <c r="P3953">
        <v>0</v>
      </c>
      <c r="Q3953">
        <v>1</v>
      </c>
    </row>
    <row r="3954" spans="5:17" x14ac:dyDescent="0.2">
      <c r="E3954" s="9" t="s">
        <v>41</v>
      </c>
      <c r="K3954" t="str">
        <v>now</v>
      </c>
      <c r="L3954" s="4" t="str">
        <f t="shared" si="72"/>
        <v>now</v>
      </c>
      <c r="N3954" s="4" cm="1">
        <f t="array" ref="N3954">SUM(--(_xlfn.TEXTSPLIT($J$3653,, " ") = M3954))</f>
        <v>1</v>
      </c>
      <c r="O3954">
        <v>1</v>
      </c>
      <c r="P3954">
        <v>0</v>
      </c>
      <c r="Q3954">
        <v>1</v>
      </c>
    </row>
    <row r="3955" spans="5:17" x14ac:dyDescent="0.2">
      <c r="E3955" s="9" t="s">
        <v>41</v>
      </c>
      <c r="K3955" t="str">
        <v>(Still</v>
      </c>
      <c r="L3955" s="4" t="str">
        <f t="shared" si="72"/>
        <v xml:space="preserve"> Still</v>
      </c>
      <c r="N3955" s="4" cm="1">
        <f t="array" ref="N3955">SUM(--(_xlfn.TEXTSPLIT($J$3653,, " ") = M3955))</f>
        <v>1</v>
      </c>
      <c r="O3955">
        <v>1</v>
      </c>
      <c r="P3955">
        <v>0</v>
      </c>
      <c r="Q3955">
        <v>1</v>
      </c>
    </row>
    <row r="3956" spans="5:17" x14ac:dyDescent="0.2">
      <c r="E3956" s="9" t="s">
        <v>41</v>
      </c>
      <c r="K3956" t="str">
        <v>now),</v>
      </c>
      <c r="L3956" s="4" t="str">
        <f t="shared" si="72"/>
        <v xml:space="preserve">now  </v>
      </c>
      <c r="N3956" s="4" cm="1">
        <f t="array" ref="N3956">SUM(--(_xlfn.TEXTSPLIT($J$3653,, " ") = M3956))</f>
        <v>1</v>
      </c>
      <c r="O3956">
        <v>1</v>
      </c>
      <c r="P3956">
        <v>0</v>
      </c>
      <c r="Q3956">
        <v>1</v>
      </c>
    </row>
    <row r="3957" spans="5:17" x14ac:dyDescent="0.2">
      <c r="E3957" s="9" t="s">
        <v>41</v>
      </c>
      <c r="K3957" t="str">
        <v>you</v>
      </c>
      <c r="L3957" s="4" t="str">
        <f t="shared" si="72"/>
        <v>you</v>
      </c>
      <c r="N3957" s="4" cm="1">
        <f t="array" ref="N3957">SUM(--(_xlfn.TEXTSPLIT($J$3653,, " ") = M3957))</f>
        <v>1</v>
      </c>
      <c r="O3957">
        <v>1</v>
      </c>
      <c r="P3957">
        <v>0</v>
      </c>
      <c r="Q3957">
        <v>1</v>
      </c>
    </row>
    <row r="3958" spans="5:17" x14ac:dyDescent="0.2">
      <c r="E3958" s="9" t="s">
        <v>41</v>
      </c>
      <c r="K3958" t="str">
        <v>believe</v>
      </c>
      <c r="L3958" s="4" t="str">
        <f t="shared" si="72"/>
        <v>believe</v>
      </c>
      <c r="N3958" s="4" cm="1">
        <f t="array" ref="N3958">SUM(--(_xlfn.TEXTSPLIT($J$3653,, " ") = M3958))</f>
        <v>1</v>
      </c>
      <c r="O3958">
        <v>1</v>
      </c>
      <c r="P3958">
        <v>0</v>
      </c>
      <c r="Q3958">
        <v>1</v>
      </c>
    </row>
    <row r="3959" spans="5:17" x14ac:dyDescent="0.2">
      <c r="E3959" s="9" t="s">
        <v>41</v>
      </c>
      <c r="K3959" t="str">
        <v>in</v>
      </c>
      <c r="L3959" s="4" t="str">
        <f t="shared" si="72"/>
        <v>in</v>
      </c>
      <c r="N3959" s="4" cm="1">
        <f t="array" ref="N3959">SUM(--(_xlfn.TEXTSPLIT($J$3653,, " ") = M3959))</f>
        <v>1</v>
      </c>
      <c r="O3959">
        <v>1</v>
      </c>
      <c r="P3959">
        <v>0</v>
      </c>
      <c r="Q3959">
        <v>1</v>
      </c>
    </row>
    <row r="3960" spans="5:17" x14ac:dyDescent="0.2">
      <c r="E3960" s="9" t="s">
        <v>41</v>
      </c>
      <c r="K3960" t="str">
        <v>me</v>
      </c>
      <c r="L3960" s="4" t="str">
        <f t="shared" si="72"/>
        <v>me</v>
      </c>
      <c r="N3960" s="4" cm="1">
        <f t="array" ref="N3960">SUM(--(_xlfn.TEXTSPLIT($J$3653,, " ") = M3960))</f>
        <v>1</v>
      </c>
      <c r="O3960">
        <v>1</v>
      </c>
      <c r="P3960">
        <v>0</v>
      </c>
      <c r="Q3960">
        <v>1</v>
      </c>
    </row>
    <row r="3961" spans="5:17" x14ac:dyDescent="0.2">
      <c r="E3961" s="9" t="s">
        <v>41</v>
      </c>
      <c r="K3961" t="str">
        <v>somehow</v>
      </c>
      <c r="L3961" s="4" t="str">
        <f t="shared" si="72"/>
        <v>somehow</v>
      </c>
      <c r="N3961" s="4" cm="1">
        <f t="array" ref="N3961">SUM(--(_xlfn.TEXTSPLIT($J$3653,, " ") = M3961))</f>
        <v>1</v>
      </c>
      <c r="O3961">
        <v>1</v>
      </c>
      <c r="P3961">
        <v>0</v>
      </c>
      <c r="Q3961">
        <v>1</v>
      </c>
    </row>
    <row r="3962" spans="5:17" x14ac:dyDescent="0.2">
      <c r="E3962" s="9" t="s">
        <v>41</v>
      </c>
      <c r="K3962" t="str">
        <v>(You</v>
      </c>
      <c r="L3962" s="4" t="str">
        <f t="shared" si="72"/>
        <v xml:space="preserve"> You</v>
      </c>
      <c r="N3962" s="4" cm="1">
        <f t="array" ref="N3962">SUM(--(_xlfn.TEXTSPLIT($J$3653,, " ") = M3962))</f>
        <v>1</v>
      </c>
      <c r="O3962">
        <v>1</v>
      </c>
      <c r="P3962">
        <v>0</v>
      </c>
      <c r="Q3962">
        <v>1</v>
      </c>
    </row>
    <row r="3963" spans="5:17" x14ac:dyDescent="0.2">
      <c r="E3963" s="9" t="s">
        <v>41</v>
      </c>
      <c r="K3963" t="str">
        <v>believe</v>
      </c>
      <c r="L3963" s="4" t="str">
        <f t="shared" si="72"/>
        <v>believe</v>
      </c>
      <c r="N3963" s="4" cm="1">
        <f t="array" ref="N3963">SUM(--(_xlfn.TEXTSPLIT($J$3653,, " ") = M3963))</f>
        <v>1</v>
      </c>
      <c r="O3963">
        <v>1</v>
      </c>
      <c r="P3963">
        <v>0</v>
      </c>
      <c r="Q3963">
        <v>1</v>
      </c>
    </row>
    <row r="3964" spans="5:17" x14ac:dyDescent="0.2">
      <c r="E3964" s="9" t="s">
        <v>41</v>
      </c>
      <c r="K3964" t="str">
        <v>in</v>
      </c>
      <c r="L3964" s="4" t="str">
        <f t="shared" si="72"/>
        <v>in</v>
      </c>
      <c r="N3964" s="4" cm="1">
        <f t="array" ref="N3964">SUM(--(_xlfn.TEXTSPLIT($J$3653,, " ") = M3964))</f>
        <v>1</v>
      </c>
      <c r="O3964">
        <v>1</v>
      </c>
      <c r="P3964">
        <v>0</v>
      </c>
      <c r="Q3964">
        <v>1</v>
      </c>
    </row>
    <row r="3965" spans="5:17" x14ac:dyDescent="0.2">
      <c r="E3965" s="9" t="s">
        <v>41</v>
      </c>
      <c r="K3965" t="str">
        <v>me</v>
      </c>
      <c r="L3965" s="4" t="str">
        <f t="shared" si="72"/>
        <v>me</v>
      </c>
      <c r="N3965" s="4" cm="1">
        <f t="array" ref="N3965">SUM(--(_xlfn.TEXTSPLIT($J$3653,, " ") = M3965))</f>
        <v>1</v>
      </c>
      <c r="O3965">
        <v>1</v>
      </c>
      <c r="P3965">
        <v>0</v>
      </c>
      <c r="Q3965">
        <v>1</v>
      </c>
    </row>
    <row r="3966" spans="5:17" x14ac:dyDescent="0.2">
      <c r="E3966" s="9" t="s">
        <v>41</v>
      </c>
      <c r="K3966" t="str">
        <v xml:space="preserve">somehow)
</v>
      </c>
      <c r="L3966" s="4" t="str">
        <f t="shared" si="72"/>
        <v xml:space="preserve">somehow  </v>
      </c>
      <c r="N3966" s="4" cm="1">
        <f t="array" ref="N3966">SUM(--(_xlfn.TEXTSPLIT($J$3653,, " ") = M3966))</f>
        <v>1</v>
      </c>
      <c r="O3966">
        <v>1</v>
      </c>
      <c r="P3966">
        <v>0</v>
      </c>
      <c r="Q3966">
        <v>1</v>
      </c>
    </row>
    <row r="3967" spans="5:17" x14ac:dyDescent="0.2">
      <c r="E3967" s="9" t="s">
        <v>41</v>
      </c>
      <c r="K3967" t="str">
        <v>When</v>
      </c>
      <c r="L3967" s="4" t="str">
        <f t="shared" si="72"/>
        <v>When</v>
      </c>
      <c r="N3967" s="4" cm="1">
        <f t="array" ref="N3967">SUM(--(_xlfn.TEXTSPLIT($J$3653,, " ") = M3967))</f>
        <v>1</v>
      </c>
      <c r="O3967">
        <v>1</v>
      </c>
      <c r="P3967">
        <v>0</v>
      </c>
      <c r="Q3967">
        <v>1</v>
      </c>
    </row>
    <row r="3968" spans="5:17" x14ac:dyDescent="0.2">
      <c r="E3968" s="9" t="s">
        <v>41</v>
      </c>
      <c r="K3968" t="str">
        <v>I</v>
      </c>
      <c r="L3968" s="4" t="str">
        <f t="shared" si="72"/>
        <v>I</v>
      </c>
      <c r="N3968" s="4" cm="1">
        <f t="array" ref="N3968">SUM(--(_xlfn.TEXTSPLIT($J$3653,, " ") = M3968))</f>
        <v>1</v>
      </c>
      <c r="O3968">
        <v>1</v>
      </c>
      <c r="P3968">
        <v>0</v>
      </c>
      <c r="Q3968">
        <v>1</v>
      </c>
    </row>
    <row r="3969" spans="5:17" x14ac:dyDescent="0.2">
      <c r="E3969" s="9" t="s">
        <v>41</v>
      </c>
      <c r="K3969" t="str">
        <v>replay</v>
      </c>
      <c r="L3969" s="4" t="str">
        <f t="shared" si="72"/>
        <v>replay</v>
      </c>
      <c r="N3969" s="4" cm="1">
        <f t="array" ref="N3969">SUM(--(_xlfn.TEXTSPLIT($J$3653,, " ") = M3969))</f>
        <v>1</v>
      </c>
      <c r="O3969">
        <v>1</v>
      </c>
      <c r="P3969">
        <v>0</v>
      </c>
      <c r="Q3969">
        <v>1</v>
      </c>
    </row>
    <row r="3970" spans="5:17" x14ac:dyDescent="0.2">
      <c r="E3970" s="9" t="s">
        <v>41</v>
      </c>
      <c r="K3970" t="str">
        <v>it</v>
      </c>
      <c r="L3970" s="4" t="str">
        <f t="shared" si="72"/>
        <v>it</v>
      </c>
      <c r="N3970" s="4" cm="1">
        <f t="array" ref="N3970">SUM(--(_xlfn.TEXTSPLIT($J$3653,, " ") = M3970))</f>
        <v>1</v>
      </c>
      <c r="O3970">
        <v>1</v>
      </c>
      <c r="P3970">
        <v>0</v>
      </c>
      <c r="Q3970">
        <v>1</v>
      </c>
    </row>
    <row r="3971" spans="5:17" x14ac:dyDescent="0.2">
      <c r="E3971" s="9" t="s">
        <v>41</v>
      </c>
      <c r="K3971" t="str">
        <v>in</v>
      </c>
      <c r="L3971" s="4" t="str">
        <f t="shared" si="72"/>
        <v>in</v>
      </c>
      <c r="N3971" s="4" cm="1">
        <f t="array" ref="N3971">SUM(--(_xlfn.TEXTSPLIT($J$3653,, " ") = M3971))</f>
        <v>1</v>
      </c>
      <c r="O3971">
        <v>1</v>
      </c>
      <c r="P3971">
        <v>0</v>
      </c>
      <c r="Q3971">
        <v>1</v>
      </c>
    </row>
    <row r="3972" spans="5:17" x14ac:dyDescent="0.2">
      <c r="E3972" s="9" t="s">
        <v>41</v>
      </c>
      <c r="K3972" t="str">
        <v>my</v>
      </c>
      <c r="L3972" s="4" t="str">
        <f t="shared" si="72"/>
        <v>my</v>
      </c>
      <c r="N3972" s="4" cm="1">
        <f t="array" ref="N3972">SUM(--(_xlfn.TEXTSPLIT($J$3653,, " ") = M3972))</f>
        <v>1</v>
      </c>
      <c r="O3972">
        <v>1</v>
      </c>
      <c r="P3972">
        <v>0</v>
      </c>
      <c r="Q3972">
        <v>1</v>
      </c>
    </row>
    <row r="3973" spans="5:17" x14ac:dyDescent="0.2">
      <c r="E3973" s="9" t="s">
        <v>41</v>
      </c>
      <c r="K3973" t="str">
        <v>mind</v>
      </c>
      <c r="L3973" s="4" t="str">
        <f t="shared" si="72"/>
        <v>mind</v>
      </c>
      <c r="N3973" s="4" cm="1">
        <f t="array" ref="N3973">SUM(--(_xlfn.TEXTSPLIT($J$3653,, " ") = M3973))</f>
        <v>1</v>
      </c>
      <c r="O3973">
        <v>1</v>
      </c>
      <c r="P3973">
        <v>0</v>
      </c>
      <c r="Q3973">
        <v>1</v>
      </c>
    </row>
    <row r="3974" spans="5:17" x14ac:dyDescent="0.2">
      <c r="E3974" s="9" t="s">
        <v>41</v>
      </c>
      <c r="K3974" t="str">
        <v>(When</v>
      </c>
      <c r="L3974" s="4" t="str">
        <f t="shared" ref="L3974:L3998" si="73">_xlfn.REGEXREPLACE(K3974, "[^A-Za-z ]", " ")</f>
        <v xml:space="preserve"> When</v>
      </c>
      <c r="N3974" s="4" cm="1">
        <f t="array" ref="N3974">SUM(--(_xlfn.TEXTSPLIT($J$3653,, " ") = M3974))</f>
        <v>1</v>
      </c>
      <c r="O3974">
        <v>1</v>
      </c>
      <c r="P3974">
        <v>0</v>
      </c>
      <c r="Q3974">
        <v>1</v>
      </c>
    </row>
    <row r="3975" spans="5:17" x14ac:dyDescent="0.2">
      <c r="E3975" s="9" t="s">
        <v>41</v>
      </c>
      <c r="K3975" t="str">
        <v>I</v>
      </c>
      <c r="L3975" s="4" t="str">
        <f t="shared" si="73"/>
        <v>I</v>
      </c>
      <c r="N3975" s="4" cm="1">
        <f t="array" ref="N3975">SUM(--(_xlfn.TEXTSPLIT($J$3653,, " ") = M3975))</f>
        <v>1</v>
      </c>
      <c r="O3975">
        <v>1</v>
      </c>
      <c r="P3975">
        <v>0</v>
      </c>
      <c r="Q3975">
        <v>1</v>
      </c>
    </row>
    <row r="3976" spans="5:17" x14ac:dyDescent="0.2">
      <c r="E3976" s="9" t="s">
        <v>41</v>
      </c>
      <c r="K3976" t="str">
        <v>replay</v>
      </c>
      <c r="L3976" s="4" t="str">
        <f t="shared" si="73"/>
        <v>replay</v>
      </c>
      <c r="N3976" s="4" cm="1">
        <f t="array" ref="N3976">SUM(--(_xlfn.TEXTSPLIT($J$3653,, " ") = M3976))</f>
        <v>1</v>
      </c>
      <c r="O3976">
        <v>1</v>
      </c>
      <c r="P3976">
        <v>0</v>
      </c>
      <c r="Q3976">
        <v>1</v>
      </c>
    </row>
    <row r="3977" spans="5:17" x14ac:dyDescent="0.2">
      <c r="E3977" s="9" t="s">
        <v>41</v>
      </c>
      <c r="K3977" t="str">
        <v xml:space="preserve">it)
</v>
      </c>
      <c r="L3977" s="4" t="str">
        <f t="shared" si="73"/>
        <v xml:space="preserve">it  </v>
      </c>
      <c r="N3977" s="4" cm="1">
        <f t="array" ref="N3977">SUM(--(_xlfn.TEXTSPLIT($J$3653,, " ") = M3977))</f>
        <v>1</v>
      </c>
      <c r="O3977">
        <v>1</v>
      </c>
      <c r="P3977">
        <v>0</v>
      </c>
      <c r="Q3977">
        <v>1</v>
      </c>
    </row>
    <row r="3978" spans="5:17" x14ac:dyDescent="0.2">
      <c r="E3978" s="9" t="s">
        <v>41</v>
      </c>
      <c r="K3978" t="str">
        <v>I</v>
      </c>
      <c r="L3978" s="4" t="str">
        <f t="shared" si="73"/>
        <v>I</v>
      </c>
      <c r="N3978" s="4" cm="1">
        <f t="array" ref="N3978">SUM(--(_xlfn.TEXTSPLIT($J$3653,, " ") = M3978))</f>
        <v>1</v>
      </c>
      <c r="O3978">
        <v>1</v>
      </c>
      <c r="P3978">
        <v>0</v>
      </c>
      <c r="Q3978">
        <v>1</v>
      </c>
    </row>
    <row r="3979" spans="5:17" x14ac:dyDescent="0.2">
      <c r="E3979" s="9" t="s">
        <v>41</v>
      </c>
      <c r="K3979" t="str">
        <v>see</v>
      </c>
      <c r="L3979" s="4" t="str">
        <f t="shared" si="73"/>
        <v>see</v>
      </c>
      <c r="N3979" s="4" cm="1">
        <f t="array" ref="N3979">SUM(--(_xlfn.TEXTSPLIT($J$3653,, " ") = M3979))</f>
        <v>1</v>
      </c>
      <c r="O3979">
        <v>1</v>
      </c>
      <c r="P3979">
        <v>0</v>
      </c>
      <c r="Q3979">
        <v>1</v>
      </c>
    </row>
    <row r="3980" spans="5:17" x14ac:dyDescent="0.2">
      <c r="E3980" s="9" t="s">
        <v>41</v>
      </c>
      <c r="K3980" t="str">
        <v>your</v>
      </c>
      <c r="L3980" s="4" t="str">
        <f t="shared" si="73"/>
        <v>your</v>
      </c>
      <c r="N3980" s="4" cm="1">
        <f t="array" ref="N3980">SUM(--(_xlfn.TEXTSPLIT($J$3653,, " ") = M3980))</f>
        <v>1</v>
      </c>
      <c r="O3980">
        <v>1</v>
      </c>
      <c r="P3980">
        <v>0</v>
      </c>
      <c r="Q3980">
        <v>1</v>
      </c>
    </row>
    <row r="3981" spans="5:17" x14ac:dyDescent="0.2">
      <c r="E3981" s="9" t="s">
        <v>41</v>
      </c>
      <c r="K3981" t="str">
        <v>heartbreak</v>
      </c>
      <c r="L3981" s="4" t="str">
        <f t="shared" si="73"/>
        <v>heartbreak</v>
      </c>
      <c r="N3981" s="4" cm="1">
        <f t="array" ref="N3981">SUM(--(_xlfn.TEXTSPLIT($J$3653,, " ") = M3981))</f>
        <v>1</v>
      </c>
      <c r="O3981">
        <v>1</v>
      </c>
      <c r="P3981">
        <v>0</v>
      </c>
      <c r="Q3981">
        <v>1</v>
      </c>
    </row>
    <row r="3982" spans="5:17" x14ac:dyDescent="0.2">
      <c r="E3982" s="9" t="s">
        <v>41</v>
      </c>
      <c r="K3982" t="str">
        <v>every</v>
      </c>
      <c r="L3982" s="4" t="str">
        <f t="shared" si="73"/>
        <v>every</v>
      </c>
      <c r="N3982" s="4" cm="1">
        <f t="array" ref="N3982">SUM(--(_xlfn.TEXTSPLIT($J$3653,, " ") = M3982))</f>
        <v>1</v>
      </c>
      <c r="O3982">
        <v>1</v>
      </c>
      <c r="P3982">
        <v>0</v>
      </c>
      <c r="Q3982">
        <v>1</v>
      </c>
    </row>
    <row r="3983" spans="5:17" x14ac:dyDescent="0.2">
      <c r="E3983" s="9" t="s">
        <v>41</v>
      </c>
      <c r="K3983" t="str">
        <v>time</v>
      </c>
      <c r="L3983" s="4" t="str">
        <f t="shared" si="73"/>
        <v>time</v>
      </c>
      <c r="N3983" s="4" cm="1">
        <f t="array" ref="N3983">SUM(--(_xlfn.TEXTSPLIT($J$3653,, " ") = M3983))</f>
        <v>1</v>
      </c>
      <c r="O3983">
        <v>1</v>
      </c>
      <c r="P3983">
        <v>0</v>
      </c>
      <c r="Q3983">
        <v>1</v>
      </c>
    </row>
    <row r="3984" spans="5:17" x14ac:dyDescent="0.2">
      <c r="E3984" s="9" t="s">
        <v>41</v>
      </c>
      <c r="K3984" t="str">
        <v>(I</v>
      </c>
      <c r="L3984" s="4" t="str">
        <f t="shared" si="73"/>
        <v xml:space="preserve"> I</v>
      </c>
      <c r="N3984" s="4" cm="1">
        <f t="array" ref="N3984">SUM(--(_xlfn.TEXTSPLIT($J$3653,, " ") = M3984))</f>
        <v>1</v>
      </c>
      <c r="O3984">
        <v>1</v>
      </c>
      <c r="P3984">
        <v>0</v>
      </c>
      <c r="Q3984">
        <v>1</v>
      </c>
    </row>
    <row r="3985" spans="1:18" x14ac:dyDescent="0.2">
      <c r="E3985" s="9" t="s">
        <v>41</v>
      </c>
      <c r="K3985" t="str">
        <v>see</v>
      </c>
      <c r="L3985" s="4" t="str">
        <f t="shared" si="73"/>
        <v>see</v>
      </c>
      <c r="N3985" s="4" cm="1">
        <f t="array" ref="N3985">SUM(--(_xlfn.TEXTSPLIT($J$3653,, " ") = M3985))</f>
        <v>1</v>
      </c>
      <c r="O3985">
        <v>1</v>
      </c>
      <c r="P3985">
        <v>0</v>
      </c>
      <c r="Q3985">
        <v>1</v>
      </c>
    </row>
    <row r="3986" spans="1:18" x14ac:dyDescent="0.2">
      <c r="E3986" s="9" t="s">
        <v>41</v>
      </c>
      <c r="K3986" t="str">
        <v>your</v>
      </c>
      <c r="L3986" s="4" t="str">
        <f t="shared" si="73"/>
        <v>your</v>
      </c>
      <c r="N3986" s="4" cm="1">
        <f t="array" ref="N3986">SUM(--(_xlfn.TEXTSPLIT($J$3653,, " ") = M3986))</f>
        <v>1</v>
      </c>
      <c r="O3986">
        <v>1</v>
      </c>
      <c r="P3986">
        <v>0</v>
      </c>
      <c r="Q3986">
        <v>1</v>
      </c>
    </row>
    <row r="3987" spans="1:18" x14ac:dyDescent="0.2">
      <c r="E3987" s="9" t="s">
        <v>41</v>
      </c>
      <c r="K3987" t="str">
        <v xml:space="preserve">heartbreak)
</v>
      </c>
      <c r="L3987" s="4" t="str">
        <f t="shared" si="73"/>
        <v xml:space="preserve">heartbreak  </v>
      </c>
      <c r="N3987" s="4" cm="1">
        <f t="array" ref="N3987">SUM(--(_xlfn.TEXTSPLIT($J$3653,, " ") = M3987))</f>
        <v>1</v>
      </c>
      <c r="O3987">
        <v>1</v>
      </c>
      <c r="P3987">
        <v>0</v>
      </c>
      <c r="Q3987">
        <v>1</v>
      </c>
    </row>
    <row r="3988" spans="1:18" x14ac:dyDescent="0.2">
      <c r="E3988" s="9" t="s">
        <v>41</v>
      </c>
      <c r="K3988" t="str">
        <v>Still</v>
      </c>
      <c r="L3988" s="4" t="str">
        <f t="shared" si="73"/>
        <v>Still</v>
      </c>
      <c r="N3988" s="4" cm="1">
        <f t="array" ref="N3988">SUM(--(_xlfn.TEXTSPLIT($J$3653,, " ") = M3988))</f>
        <v>1</v>
      </c>
      <c r="O3988">
        <v>1</v>
      </c>
      <c r="P3988">
        <v>0</v>
      </c>
      <c r="Q3988">
        <v>1</v>
      </c>
    </row>
    <row r="3989" spans="1:18" x14ac:dyDescent="0.2">
      <c r="E3989" s="9" t="s">
        <v>41</v>
      </c>
      <c r="K3989" t="str">
        <v>now</v>
      </c>
      <c r="L3989" s="4" t="str">
        <f t="shared" si="73"/>
        <v>now</v>
      </c>
      <c r="N3989" s="4" cm="1">
        <f t="array" ref="N3989">SUM(--(_xlfn.TEXTSPLIT($J$3653,, " ") = M3989))</f>
        <v>1</v>
      </c>
      <c r="O3989">
        <v>1</v>
      </c>
      <c r="P3989">
        <v>0</v>
      </c>
      <c r="Q3989">
        <v>1</v>
      </c>
    </row>
    <row r="3990" spans="1:18" x14ac:dyDescent="0.2">
      <c r="E3990" s="9" t="s">
        <v>41</v>
      </c>
      <c r="K3990" t="str">
        <v>(Still</v>
      </c>
      <c r="L3990" s="4" t="str">
        <f t="shared" si="73"/>
        <v xml:space="preserve"> Still</v>
      </c>
      <c r="N3990" s="4" cm="1">
        <f t="array" ref="N3990">SUM(--(_xlfn.TEXTSPLIT($J$3653,, " ") = M3990))</f>
        <v>1</v>
      </c>
      <c r="O3990">
        <v>1</v>
      </c>
      <c r="P3990">
        <v>0</v>
      </c>
      <c r="Q3990">
        <v>1</v>
      </c>
    </row>
    <row r="3991" spans="1:18" x14ac:dyDescent="0.2">
      <c r="E3991" s="9" t="s">
        <v>41</v>
      </c>
      <c r="K3991" t="str">
        <v>now),</v>
      </c>
      <c r="L3991" s="4" t="str">
        <f t="shared" si="73"/>
        <v xml:space="preserve">now  </v>
      </c>
      <c r="N3991" s="4" cm="1">
        <f t="array" ref="N3991">SUM(--(_xlfn.TEXTSPLIT($J$3653,, " ") = M3991))</f>
        <v>1</v>
      </c>
      <c r="O3991">
        <v>1</v>
      </c>
      <c r="P3991">
        <v>0</v>
      </c>
      <c r="Q3991">
        <v>1</v>
      </c>
    </row>
    <row r="3992" spans="1:18" x14ac:dyDescent="0.2">
      <c r="E3992" s="9" t="s">
        <v>41</v>
      </c>
      <c r="K3992" t="str">
        <v>you</v>
      </c>
      <c r="L3992" s="4" t="str">
        <f t="shared" si="73"/>
        <v>you</v>
      </c>
      <c r="N3992" s="4" cm="1">
        <f t="array" ref="N3992">SUM(--(_xlfn.TEXTSPLIT($J$3653,, " ") = M3992))</f>
        <v>1</v>
      </c>
      <c r="O3992">
        <v>1</v>
      </c>
      <c r="P3992">
        <v>0</v>
      </c>
      <c r="Q3992">
        <v>1</v>
      </c>
    </row>
    <row r="3993" spans="1:18" x14ac:dyDescent="0.2">
      <c r="E3993" s="9" t="s">
        <v>41</v>
      </c>
      <c r="K3993" t="str">
        <v>believe</v>
      </c>
      <c r="L3993" s="4" t="str">
        <f t="shared" si="73"/>
        <v>believe</v>
      </c>
      <c r="N3993" s="4" cm="1">
        <f t="array" ref="N3993">SUM(--(_xlfn.TEXTSPLIT($J$3653,, " ") = M3993))</f>
        <v>1</v>
      </c>
      <c r="O3993">
        <v>1</v>
      </c>
      <c r="P3993">
        <v>0</v>
      </c>
      <c r="Q3993">
        <v>1</v>
      </c>
    </row>
    <row r="3994" spans="1:18" x14ac:dyDescent="0.2">
      <c r="E3994" s="9" t="s">
        <v>41</v>
      </c>
      <c r="K3994" t="str">
        <v>in</v>
      </c>
      <c r="L3994" s="4" t="str">
        <f t="shared" si="73"/>
        <v>in</v>
      </c>
      <c r="N3994" s="4" cm="1">
        <f t="array" ref="N3994">SUM(--(_xlfn.TEXTSPLIT($J$3653,, " ") = M3994))</f>
        <v>1</v>
      </c>
      <c r="O3994">
        <v>1</v>
      </c>
      <c r="P3994">
        <v>0</v>
      </c>
      <c r="Q3994">
        <v>1</v>
      </c>
    </row>
    <row r="3995" spans="1:18" x14ac:dyDescent="0.2">
      <c r="E3995" s="9" t="s">
        <v>41</v>
      </c>
      <c r="K3995" t="str">
        <v>me</v>
      </c>
      <c r="L3995" s="4" t="str">
        <f t="shared" si="73"/>
        <v>me</v>
      </c>
      <c r="N3995" s="4" cm="1">
        <f t="array" ref="N3995">SUM(--(_xlfn.TEXTSPLIT($J$3653,, " ") = M3995))</f>
        <v>1</v>
      </c>
      <c r="O3995">
        <v>1</v>
      </c>
      <c r="P3995">
        <v>0</v>
      </c>
      <c r="Q3995">
        <v>1</v>
      </c>
    </row>
    <row r="3996" spans="1:18" x14ac:dyDescent="0.2">
      <c r="E3996" s="9" t="s">
        <v>41</v>
      </c>
      <c r="K3996" t="str">
        <v xml:space="preserve">somehow
</v>
      </c>
      <c r="L3996" s="4" t="str">
        <f t="shared" si="73"/>
        <v xml:space="preserve">somehow  </v>
      </c>
      <c r="N3996" s="4" cm="1">
        <f t="array" ref="N3996">SUM(--(_xlfn.TEXTSPLIT($J$3653,, " ") = M3996))</f>
        <v>1</v>
      </c>
      <c r="O3996">
        <v>1</v>
      </c>
      <c r="P3996">
        <v>0</v>
      </c>
      <c r="Q3996">
        <v>1</v>
      </c>
    </row>
    <row r="3997" spans="1:18" x14ac:dyDescent="0.2">
      <c r="E3997" s="9" t="s">
        <v>41</v>
      </c>
      <c r="K3997" t="str">
        <v>Yeah,</v>
      </c>
      <c r="L3997" s="4" t="str">
        <f t="shared" si="73"/>
        <v xml:space="preserve">Yeah </v>
      </c>
      <c r="N3997" s="4" cm="1">
        <f t="array" ref="N3997">SUM(--(_xlfn.TEXTSPLIT($J$3653,, " ") = M3997))</f>
        <v>1</v>
      </c>
      <c r="O3997">
        <v>1</v>
      </c>
      <c r="P3997">
        <v>0</v>
      </c>
      <c r="Q3997">
        <v>1</v>
      </c>
    </row>
    <row r="3998" spans="1:18" x14ac:dyDescent="0.2">
      <c r="E3998" s="9" t="s">
        <v>41</v>
      </c>
      <c r="K3998" t="str">
        <v>yeah"</v>
      </c>
      <c r="L3998" s="4" t="str">
        <f t="shared" si="73"/>
        <v xml:space="preserve">yeah </v>
      </c>
      <c r="N3998" s="4" cm="1">
        <f t="array" ref="N3998">SUM(--(_xlfn.TEXTSPLIT($J$3653,, " ") = M3998))</f>
        <v>1</v>
      </c>
      <c r="O3998">
        <v>1</v>
      </c>
      <c r="P3998">
        <v>0</v>
      </c>
      <c r="Q3998">
        <v>1</v>
      </c>
    </row>
    <row r="3999" spans="1:18" x14ac:dyDescent="0.2">
      <c r="A3999" s="4">
        <v>13</v>
      </c>
      <c r="B3999" s="5">
        <v>45912</v>
      </c>
      <c r="C3999" s="6">
        <v>9.375E-2</v>
      </c>
      <c r="D3999" s="7">
        <v>135</v>
      </c>
      <c r="E3999" s="9" t="s">
        <v>43</v>
      </c>
      <c r="F3999" s="4">
        <v>13</v>
      </c>
      <c r="G3999" s="8" t="s">
        <v>15</v>
      </c>
      <c r="H3999" s="9" t="s">
        <v>44</v>
      </c>
      <c r="I3999" s="4">
        <v>1</v>
      </c>
      <c r="J3999" s="4" t="str">
        <f>_xlfn.TEXTJOIN(" ", TRUE, H3999:H4012)</f>
        <v xml:space="preserve"> "I am starting it all over once again
 Did I learn a thing?
 (hoo-hoo-hoo, hoo-hoo-hoo, hoo-hoo-hoO)
 Intentions are everything
 (hoo-hoo-hoo, hoo-hoo-hoo, hoo-hoo-hoO)
 Intentions will set you free
 You will fail most every day and every way
 Did you learn a thing?
 (hoo-hoo-hoo, hoo-hoo-hoo, hoo-hoo-hoO)
 Intentions lack memory
 (hoo-hoo-hoo, hoo-hoo-hoo, hoo-hoo-hoO)
 Intentions will set you free
 Just try to be"</v>
      </c>
      <c r="K3999" s="4" t="str" cm="1">
        <f t="array" ref="K3999:K4058">_xlfn.TEXTSPLIT(J3999, ," ")</f>
        <v/>
      </c>
      <c r="L3999" s="4" t="str">
        <f>_xlfn.REGEXREPLACE(K3999, "[^A-Za-z ]", " ")</f>
        <v/>
      </c>
      <c r="M3999" s="4" t="str" cm="1">
        <f t="array" ref="M3999:M4035">_xlfn.UNIQUE(_xlfn.TEXTSPLIT(J3999, , " "))</f>
        <v/>
      </c>
      <c r="N3999" s="4" cm="1">
        <f t="array" ref="N3999">SUM(--(_xlfn.TEXTSPLIT($J$3999,, " ") = M3999))</f>
        <v>1</v>
      </c>
      <c r="O3999" s="4" cm="1">
        <f t="array" ref="O3999:O4058">_xlfn._xlws.SORT(N3999:N4058, ,-1)</f>
        <v>4</v>
      </c>
      <c r="P3999" s="4" t="str" cm="1">
        <f t="array" ref="P3999:Q4058">_xlfn.SORTBY(M3999:N4058, N3999:N4058, -1)</f>
        <v>(hoo-hoo-hoo,</v>
      </c>
      <c r="Q3999" s="4">
        <v>4</v>
      </c>
      <c r="R3999">
        <v>4058</v>
      </c>
    </row>
    <row r="4000" spans="1:18" x14ac:dyDescent="0.2">
      <c r="E4000" s="9" t="s">
        <v>43</v>
      </c>
      <c r="K4000" t="str">
        <v>"I</v>
      </c>
      <c r="L4000" s="4" t="str">
        <f t="shared" ref="L4000:L4058" si="74">_xlfn.REGEXREPLACE(K4000, "[^A-Za-z ]", " ")</f>
        <v xml:space="preserve"> I</v>
      </c>
      <c r="M4000" t="str">
        <v>"I</v>
      </c>
      <c r="N4000" s="4" cm="1">
        <f t="array" ref="N4000">SUM(--(_xlfn.TEXTSPLIT($J$3999,, " ") = M4000))</f>
        <v>1</v>
      </c>
      <c r="O4000">
        <v>4</v>
      </c>
      <c r="P4000" t="str">
        <v>hoo-hoo-hoo,</v>
      </c>
      <c r="Q4000">
        <v>4</v>
      </c>
    </row>
    <row r="4001" spans="5:17" x14ac:dyDescent="0.2">
      <c r="E4001" s="9" t="s">
        <v>43</v>
      </c>
      <c r="K4001" t="str">
        <v>am</v>
      </c>
      <c r="L4001" s="4" t="str">
        <f t="shared" si="74"/>
        <v>am</v>
      </c>
      <c r="M4001" t="str">
        <v>am</v>
      </c>
      <c r="N4001" s="4" cm="1">
        <f t="array" ref="N4001">SUM(--(_xlfn.TEXTSPLIT($J$3999,, " ") = M4001))</f>
        <v>1</v>
      </c>
      <c r="O4001">
        <v>4</v>
      </c>
      <c r="P4001" t="str">
        <v>Intentions</v>
      </c>
      <c r="Q4001">
        <v>4</v>
      </c>
    </row>
    <row r="4002" spans="5:17" x14ac:dyDescent="0.2">
      <c r="E4002" s="9" t="s">
        <v>43</v>
      </c>
      <c r="K4002" t="str">
        <v>starting</v>
      </c>
      <c r="L4002" s="4" t="str">
        <f t="shared" si="74"/>
        <v>starting</v>
      </c>
      <c r="M4002" t="str">
        <v>starting</v>
      </c>
      <c r="N4002" s="4" cm="1">
        <f t="array" ref="N4002">SUM(--(_xlfn.TEXTSPLIT($J$3999,, " ") = M4002))</f>
        <v>1</v>
      </c>
      <c r="O4002">
        <v>4</v>
      </c>
      <c r="P4002" t="str">
        <v>you</v>
      </c>
      <c r="Q4002">
        <v>4</v>
      </c>
    </row>
    <row r="4003" spans="5:17" x14ac:dyDescent="0.2">
      <c r="E4003" s="9" t="s">
        <v>43</v>
      </c>
      <c r="K4003" t="str">
        <v>it</v>
      </c>
      <c r="L4003" s="4" t="str">
        <f t="shared" si="74"/>
        <v>it</v>
      </c>
      <c r="M4003" t="str">
        <v>it</v>
      </c>
      <c r="N4003" s="4" cm="1">
        <f t="array" ref="N4003">SUM(--(_xlfn.TEXTSPLIT($J$3999,, " ") = M4003))</f>
        <v>1</v>
      </c>
      <c r="O4003">
        <v>3</v>
      </c>
      <c r="P4003" t="str">
        <v>will</v>
      </c>
      <c r="Q4003">
        <v>3</v>
      </c>
    </row>
    <row r="4004" spans="5:17" x14ac:dyDescent="0.2">
      <c r="E4004" s="9" t="s">
        <v>43</v>
      </c>
      <c r="K4004" t="str">
        <v>all</v>
      </c>
      <c r="L4004" s="4" t="str">
        <f t="shared" si="74"/>
        <v>all</v>
      </c>
      <c r="M4004" t="str">
        <v>all</v>
      </c>
      <c r="N4004" s="4" cm="1">
        <f t="array" ref="N4004">SUM(--(_xlfn.TEXTSPLIT($J$3999,, " ") = M4004))</f>
        <v>1</v>
      </c>
      <c r="O4004">
        <v>2</v>
      </c>
      <c r="P4004" t="str">
        <v>Did</v>
      </c>
      <c r="Q4004">
        <v>2</v>
      </c>
    </row>
    <row r="4005" spans="5:17" x14ac:dyDescent="0.2">
      <c r="E4005" s="9" t="s">
        <v>43</v>
      </c>
      <c r="K4005" t="str">
        <v>over</v>
      </c>
      <c r="L4005" s="4" t="str">
        <f t="shared" si="74"/>
        <v>over</v>
      </c>
      <c r="M4005" t="str">
        <v>over</v>
      </c>
      <c r="N4005" s="4" cm="1">
        <f t="array" ref="N4005">SUM(--(_xlfn.TEXTSPLIT($J$3999,, " ") = M4005))</f>
        <v>1</v>
      </c>
      <c r="O4005">
        <v>2</v>
      </c>
      <c r="P4005" t="str">
        <v>learn</v>
      </c>
      <c r="Q4005">
        <v>2</v>
      </c>
    </row>
    <row r="4006" spans="5:17" x14ac:dyDescent="0.2">
      <c r="E4006" s="9" t="s">
        <v>43</v>
      </c>
      <c r="K4006" t="str">
        <v>once</v>
      </c>
      <c r="L4006" s="4" t="str">
        <f t="shared" si="74"/>
        <v>once</v>
      </c>
      <c r="M4006" t="str">
        <v>once</v>
      </c>
      <c r="N4006" s="4" cm="1">
        <f t="array" ref="N4006">SUM(--(_xlfn.TEXTSPLIT($J$3999,, " ") = M4006))</f>
        <v>1</v>
      </c>
      <c r="O4006">
        <v>2</v>
      </c>
      <c r="P4006" t="str">
        <v>a</v>
      </c>
      <c r="Q4006">
        <v>2</v>
      </c>
    </row>
    <row r="4007" spans="5:17" x14ac:dyDescent="0.2">
      <c r="E4007" s="9" t="s">
        <v>43</v>
      </c>
      <c r="K4007" t="str">
        <v xml:space="preserve">again
</v>
      </c>
      <c r="L4007" s="4" t="str">
        <f t="shared" si="74"/>
        <v xml:space="preserve">again </v>
      </c>
      <c r="M4007" t="str">
        <v xml:space="preserve">again
</v>
      </c>
      <c r="N4007" s="4" cm="1">
        <f t="array" ref="N4007">SUM(--(_xlfn.TEXTSPLIT($J$3999,, " ") = M4007))</f>
        <v>1</v>
      </c>
      <c r="O4007">
        <v>2</v>
      </c>
      <c r="P4007" t="str">
        <v xml:space="preserve">thing?
</v>
      </c>
      <c r="Q4007">
        <v>2</v>
      </c>
    </row>
    <row r="4008" spans="5:17" x14ac:dyDescent="0.2">
      <c r="E4008" s="9" t="s">
        <v>43</v>
      </c>
      <c r="K4008" t="str">
        <v>Did</v>
      </c>
      <c r="L4008" s="4" t="str">
        <f t="shared" si="74"/>
        <v>Did</v>
      </c>
      <c r="M4008" t="str">
        <v>Did</v>
      </c>
      <c r="N4008" s="4" cm="1">
        <f t="array" ref="N4008">SUM(--(_xlfn.TEXTSPLIT($J$3999,, " ") = M4008))</f>
        <v>2</v>
      </c>
      <c r="O4008">
        <v>2</v>
      </c>
      <c r="P4008" t="str">
        <v xml:space="preserve">hoo-hoo-hoO)
</v>
      </c>
      <c r="Q4008">
        <v>2</v>
      </c>
    </row>
    <row r="4009" spans="5:17" x14ac:dyDescent="0.2">
      <c r="E4009" s="9" t="s">
        <v>43</v>
      </c>
      <c r="K4009" t="str">
        <v>I</v>
      </c>
      <c r="L4009" s="4" t="str">
        <f t="shared" si="74"/>
        <v>I</v>
      </c>
      <c r="M4009" t="str">
        <v>I</v>
      </c>
      <c r="N4009" s="4" cm="1">
        <f t="array" ref="N4009">SUM(--(_xlfn.TEXTSPLIT($J$3999,, " ") = M4009))</f>
        <v>1</v>
      </c>
      <c r="O4009">
        <v>2</v>
      </c>
      <c r="P4009" t="str">
        <v xml:space="preserve">hoo-hoo-hoO)
</v>
      </c>
      <c r="Q4009">
        <v>2</v>
      </c>
    </row>
    <row r="4010" spans="5:17" x14ac:dyDescent="0.2">
      <c r="E4010" s="9" t="s">
        <v>43</v>
      </c>
      <c r="K4010" t="str">
        <v>learn</v>
      </c>
      <c r="L4010" s="4" t="str">
        <f t="shared" si="74"/>
        <v>learn</v>
      </c>
      <c r="M4010" t="str">
        <v>learn</v>
      </c>
      <c r="N4010" s="4" cm="1">
        <f t="array" ref="N4010">SUM(--(_xlfn.TEXTSPLIT($J$3999,, " ") = M4010))</f>
        <v>2</v>
      </c>
      <c r="O4010">
        <v>2</v>
      </c>
      <c r="P4010" t="str">
        <v>set</v>
      </c>
      <c r="Q4010">
        <v>2</v>
      </c>
    </row>
    <row r="4011" spans="5:17" x14ac:dyDescent="0.2">
      <c r="E4011" s="9" t="s">
        <v>43</v>
      </c>
      <c r="K4011" t="str">
        <v>a</v>
      </c>
      <c r="L4011" s="4" t="str">
        <f t="shared" si="74"/>
        <v>a</v>
      </c>
      <c r="M4011" t="str">
        <v>a</v>
      </c>
      <c r="N4011" s="4" cm="1">
        <f t="array" ref="N4011">SUM(--(_xlfn.TEXTSPLIT($J$3999,, " ") = M4011))</f>
        <v>2</v>
      </c>
      <c r="O4011">
        <v>2</v>
      </c>
      <c r="P4011" t="str">
        <v xml:space="preserve">free
</v>
      </c>
      <c r="Q4011">
        <v>2</v>
      </c>
    </row>
    <row r="4012" spans="5:17" x14ac:dyDescent="0.2">
      <c r="E4012" s="9" t="s">
        <v>43</v>
      </c>
      <c r="K4012" t="str">
        <v xml:space="preserve">thing?
</v>
      </c>
      <c r="L4012" s="4" t="str">
        <f t="shared" si="74"/>
        <v xml:space="preserve">thing  </v>
      </c>
      <c r="M4012" t="str">
        <v xml:space="preserve">thing?
</v>
      </c>
      <c r="N4012" s="4" cm="1">
        <f t="array" ref="N4012">SUM(--(_xlfn.TEXTSPLIT($J$3999,, " ") = M4012))</f>
        <v>2</v>
      </c>
      <c r="O4012">
        <v>2</v>
      </c>
      <c r="P4012" t="str">
        <v>every</v>
      </c>
      <c r="Q4012">
        <v>2</v>
      </c>
    </row>
    <row r="4013" spans="5:17" x14ac:dyDescent="0.2">
      <c r="E4013" s="9" t="s">
        <v>43</v>
      </c>
      <c r="K4013" t="str">
        <v>(hoo-hoo-hoo,</v>
      </c>
      <c r="L4013" s="4" t="str">
        <f t="shared" si="74"/>
        <v xml:space="preserve"> hoo hoo hoo </v>
      </c>
      <c r="M4013" t="str">
        <v>(hoo-hoo-hoo,</v>
      </c>
      <c r="N4013" s="4" cm="1">
        <f t="array" ref="N4013">SUM(--(_xlfn.TEXTSPLIT($J$3999,, " ") = M4013))</f>
        <v>4</v>
      </c>
      <c r="O4013">
        <v>1</v>
      </c>
      <c r="P4013" t="str">
        <v/>
      </c>
      <c r="Q4013">
        <v>1</v>
      </c>
    </row>
    <row r="4014" spans="5:17" x14ac:dyDescent="0.2">
      <c r="E4014" s="9" t="s">
        <v>43</v>
      </c>
      <c r="K4014" t="str">
        <v>hoo-hoo-hoo,</v>
      </c>
      <c r="L4014" s="4" t="str">
        <f t="shared" si="74"/>
        <v xml:space="preserve">hoo hoo hoo </v>
      </c>
      <c r="M4014" t="str">
        <v>hoo-hoo-hoo,</v>
      </c>
      <c r="N4014" s="4" cm="1">
        <f t="array" ref="N4014">SUM(--(_xlfn.TEXTSPLIT($J$3999,, " ") = M4014))</f>
        <v>4</v>
      </c>
      <c r="O4014">
        <v>1</v>
      </c>
      <c r="P4014" t="str">
        <v>"I</v>
      </c>
      <c r="Q4014">
        <v>1</v>
      </c>
    </row>
    <row r="4015" spans="5:17" x14ac:dyDescent="0.2">
      <c r="E4015" s="9" t="s">
        <v>43</v>
      </c>
      <c r="K4015" t="str">
        <v xml:space="preserve">hoo-hoo-hoO)
</v>
      </c>
      <c r="L4015" s="4" t="str">
        <f t="shared" si="74"/>
        <v xml:space="preserve">hoo hoo hoO   </v>
      </c>
      <c r="M4015" t="str">
        <v xml:space="preserve">hoo-hoo-hoO)
</v>
      </c>
      <c r="N4015" s="4" cm="1">
        <f t="array" ref="N4015">SUM(--(_xlfn.TEXTSPLIT($J$3999,, " ") = M4015))</f>
        <v>2</v>
      </c>
      <c r="O4015">
        <v>1</v>
      </c>
      <c r="P4015" t="str">
        <v>am</v>
      </c>
      <c r="Q4015">
        <v>1</v>
      </c>
    </row>
    <row r="4016" spans="5:17" x14ac:dyDescent="0.2">
      <c r="E4016" s="9" t="s">
        <v>43</v>
      </c>
      <c r="K4016" t="str">
        <v>Intentions</v>
      </c>
      <c r="L4016" s="4" t="str">
        <f t="shared" si="74"/>
        <v>Intentions</v>
      </c>
      <c r="M4016" t="str">
        <v>Intentions</v>
      </c>
      <c r="N4016" s="4" cm="1">
        <f t="array" ref="N4016">SUM(--(_xlfn.TEXTSPLIT($J$3999,, " ") = M4016))</f>
        <v>4</v>
      </c>
      <c r="O4016">
        <v>1</v>
      </c>
      <c r="P4016" t="str">
        <v>starting</v>
      </c>
      <c r="Q4016">
        <v>1</v>
      </c>
    </row>
    <row r="4017" spans="5:17" x14ac:dyDescent="0.2">
      <c r="E4017" s="9" t="s">
        <v>43</v>
      </c>
      <c r="K4017" t="str">
        <v>are</v>
      </c>
      <c r="L4017" s="4" t="str">
        <f t="shared" si="74"/>
        <v>are</v>
      </c>
      <c r="M4017" t="str">
        <v>are</v>
      </c>
      <c r="N4017" s="4" cm="1">
        <f t="array" ref="N4017">SUM(--(_xlfn.TEXTSPLIT($J$3999,, " ") = M4017))</f>
        <v>1</v>
      </c>
      <c r="O4017">
        <v>1</v>
      </c>
      <c r="P4017" t="str">
        <v>it</v>
      </c>
      <c r="Q4017">
        <v>1</v>
      </c>
    </row>
    <row r="4018" spans="5:17" x14ac:dyDescent="0.2">
      <c r="E4018" s="9" t="s">
        <v>43</v>
      </c>
      <c r="K4018" t="str">
        <v xml:space="preserve">everything
</v>
      </c>
      <c r="L4018" s="4" t="str">
        <f t="shared" si="74"/>
        <v xml:space="preserve">everything </v>
      </c>
      <c r="M4018" t="str">
        <v xml:space="preserve">everything
</v>
      </c>
      <c r="N4018" s="4" cm="1">
        <f t="array" ref="N4018">SUM(--(_xlfn.TEXTSPLIT($J$3999,, " ") = M4018))</f>
        <v>1</v>
      </c>
      <c r="O4018">
        <v>1</v>
      </c>
      <c r="P4018" t="str">
        <v>all</v>
      </c>
      <c r="Q4018">
        <v>1</v>
      </c>
    </row>
    <row r="4019" spans="5:17" x14ac:dyDescent="0.2">
      <c r="E4019" s="9" t="s">
        <v>43</v>
      </c>
      <c r="K4019" t="str">
        <v>(hoo-hoo-hoo,</v>
      </c>
      <c r="L4019" s="4" t="str">
        <f t="shared" si="74"/>
        <v xml:space="preserve"> hoo hoo hoo </v>
      </c>
      <c r="M4019" t="str">
        <v xml:space="preserve">hoo-hoo-hoO)
</v>
      </c>
      <c r="N4019" s="4" cm="1">
        <f t="array" ref="N4019">SUM(--(_xlfn.TEXTSPLIT($J$3999,, " ") = M4019))</f>
        <v>2</v>
      </c>
      <c r="O4019">
        <v>1</v>
      </c>
      <c r="P4019" t="str">
        <v>over</v>
      </c>
      <c r="Q4019">
        <v>1</v>
      </c>
    </row>
    <row r="4020" spans="5:17" x14ac:dyDescent="0.2">
      <c r="E4020" s="9" t="s">
        <v>43</v>
      </c>
      <c r="K4020" t="str">
        <v>hoo-hoo-hoo,</v>
      </c>
      <c r="L4020" s="4" t="str">
        <f t="shared" si="74"/>
        <v xml:space="preserve">hoo hoo hoo </v>
      </c>
      <c r="M4020" t="str">
        <v>will</v>
      </c>
      <c r="N4020" s="4" cm="1">
        <f t="array" ref="N4020">SUM(--(_xlfn.TEXTSPLIT($J$3999,, " ") = M4020))</f>
        <v>3</v>
      </c>
      <c r="O4020">
        <v>1</v>
      </c>
      <c r="P4020" t="str">
        <v>once</v>
      </c>
      <c r="Q4020">
        <v>1</v>
      </c>
    </row>
    <row r="4021" spans="5:17" x14ac:dyDescent="0.2">
      <c r="E4021" s="9" t="s">
        <v>43</v>
      </c>
      <c r="K4021" t="str">
        <v xml:space="preserve">hoo-hoo-hoO)
</v>
      </c>
      <c r="L4021" s="4" t="str">
        <f t="shared" si="74"/>
        <v xml:space="preserve">hoo hoo hoO  </v>
      </c>
      <c r="M4021" t="str">
        <v>set</v>
      </c>
      <c r="N4021" s="4" cm="1">
        <f t="array" ref="N4021">SUM(--(_xlfn.TEXTSPLIT($J$3999,, " ") = M4021))</f>
        <v>2</v>
      </c>
      <c r="O4021">
        <v>1</v>
      </c>
      <c r="P4021" t="str">
        <v xml:space="preserve">again
</v>
      </c>
      <c r="Q4021">
        <v>1</v>
      </c>
    </row>
    <row r="4022" spans="5:17" x14ac:dyDescent="0.2">
      <c r="E4022" s="9" t="s">
        <v>43</v>
      </c>
      <c r="K4022" t="str">
        <v>Intentions</v>
      </c>
      <c r="L4022" s="4" t="str">
        <f t="shared" si="74"/>
        <v>Intentions</v>
      </c>
      <c r="M4022" t="str">
        <v>you</v>
      </c>
      <c r="N4022" s="4" cm="1">
        <f t="array" ref="N4022">SUM(--(_xlfn.TEXTSPLIT($J$3999,, " ") = M4022))</f>
        <v>4</v>
      </c>
      <c r="O4022">
        <v>1</v>
      </c>
      <c r="P4022" t="str">
        <v>I</v>
      </c>
      <c r="Q4022">
        <v>1</v>
      </c>
    </row>
    <row r="4023" spans="5:17" x14ac:dyDescent="0.2">
      <c r="E4023" s="9" t="s">
        <v>43</v>
      </c>
      <c r="K4023" t="str">
        <v>will</v>
      </c>
      <c r="L4023" s="4" t="str">
        <f t="shared" si="74"/>
        <v>will</v>
      </c>
      <c r="M4023" t="str">
        <v xml:space="preserve">free
</v>
      </c>
      <c r="N4023" s="4" cm="1">
        <f t="array" ref="N4023">SUM(--(_xlfn.TEXTSPLIT($J$3999,, " ") = M4023))</f>
        <v>2</v>
      </c>
      <c r="O4023">
        <v>1</v>
      </c>
      <c r="P4023" t="str">
        <v>are</v>
      </c>
      <c r="Q4023">
        <v>1</v>
      </c>
    </row>
    <row r="4024" spans="5:17" x14ac:dyDescent="0.2">
      <c r="E4024" s="9" t="s">
        <v>43</v>
      </c>
      <c r="K4024" t="str">
        <v>set</v>
      </c>
      <c r="L4024" s="4" t="str">
        <f t="shared" si="74"/>
        <v>set</v>
      </c>
      <c r="M4024" t="str">
        <v>fail</v>
      </c>
      <c r="N4024" s="4" cm="1">
        <f t="array" ref="N4024">SUM(--(_xlfn.TEXTSPLIT($J$3999,, " ") = M4024))</f>
        <v>1</v>
      </c>
      <c r="O4024">
        <v>1</v>
      </c>
      <c r="P4024" t="str">
        <v xml:space="preserve">everything
</v>
      </c>
      <c r="Q4024">
        <v>1</v>
      </c>
    </row>
    <row r="4025" spans="5:17" x14ac:dyDescent="0.2">
      <c r="E4025" s="9" t="s">
        <v>43</v>
      </c>
      <c r="K4025" t="str">
        <v>you</v>
      </c>
      <c r="L4025" s="4" t="str">
        <f t="shared" si="74"/>
        <v>you</v>
      </c>
      <c r="M4025" t="str">
        <v>most</v>
      </c>
      <c r="N4025" s="4" cm="1">
        <f t="array" ref="N4025">SUM(--(_xlfn.TEXTSPLIT($J$3999,, " ") = M4025))</f>
        <v>1</v>
      </c>
      <c r="O4025">
        <v>1</v>
      </c>
      <c r="P4025" t="str">
        <v>fail</v>
      </c>
      <c r="Q4025">
        <v>1</v>
      </c>
    </row>
    <row r="4026" spans="5:17" x14ac:dyDescent="0.2">
      <c r="E4026" s="9" t="s">
        <v>43</v>
      </c>
      <c r="K4026" t="str">
        <v xml:space="preserve">free
</v>
      </c>
      <c r="L4026" s="4" t="str">
        <f t="shared" si="74"/>
        <v xml:space="preserve">free  </v>
      </c>
      <c r="M4026" t="str">
        <v>every</v>
      </c>
      <c r="N4026" s="4" cm="1">
        <f t="array" ref="N4026">SUM(--(_xlfn.TEXTSPLIT($J$3999,, " ") = M4026))</f>
        <v>2</v>
      </c>
      <c r="O4026">
        <v>1</v>
      </c>
      <c r="P4026" t="str">
        <v>most</v>
      </c>
      <c r="Q4026">
        <v>1</v>
      </c>
    </row>
    <row r="4027" spans="5:17" x14ac:dyDescent="0.2">
      <c r="E4027" s="9" t="s">
        <v>43</v>
      </c>
      <c r="K4027" t="str">
        <v>You</v>
      </c>
      <c r="L4027" s="4" t="str">
        <f t="shared" si="74"/>
        <v>You</v>
      </c>
      <c r="M4027" t="str">
        <v>day</v>
      </c>
      <c r="N4027" s="4" cm="1">
        <f t="array" ref="N4027">SUM(--(_xlfn.TEXTSPLIT($J$3999,, " ") = M4027))</f>
        <v>1</v>
      </c>
      <c r="O4027">
        <v>1</v>
      </c>
      <c r="P4027" t="str">
        <v>day</v>
      </c>
      <c r="Q4027">
        <v>1</v>
      </c>
    </row>
    <row r="4028" spans="5:17" x14ac:dyDescent="0.2">
      <c r="E4028" s="9" t="s">
        <v>43</v>
      </c>
      <c r="K4028" t="str">
        <v>will</v>
      </c>
      <c r="L4028" s="4" t="str">
        <f t="shared" si="74"/>
        <v>will</v>
      </c>
      <c r="M4028" t="str">
        <v>and</v>
      </c>
      <c r="N4028" s="4" cm="1">
        <f t="array" ref="N4028">SUM(--(_xlfn.TEXTSPLIT($J$3999,, " ") = M4028))</f>
        <v>1</v>
      </c>
      <c r="O4028">
        <v>1</v>
      </c>
      <c r="P4028" t="str">
        <v>and</v>
      </c>
      <c r="Q4028">
        <v>1</v>
      </c>
    </row>
    <row r="4029" spans="5:17" x14ac:dyDescent="0.2">
      <c r="E4029" s="9" t="s">
        <v>43</v>
      </c>
      <c r="K4029" t="str">
        <v>fail</v>
      </c>
      <c r="L4029" s="4" t="str">
        <f t="shared" si="74"/>
        <v>fail</v>
      </c>
      <c r="M4029" t="str">
        <v xml:space="preserve">way
</v>
      </c>
      <c r="N4029" s="4" cm="1">
        <f t="array" ref="N4029">SUM(--(_xlfn.TEXTSPLIT($J$3999,, " ") = M4029))</f>
        <v>1</v>
      </c>
      <c r="O4029">
        <v>1</v>
      </c>
      <c r="P4029" t="str">
        <v xml:space="preserve">way
</v>
      </c>
      <c r="Q4029">
        <v>1</v>
      </c>
    </row>
    <row r="4030" spans="5:17" x14ac:dyDescent="0.2">
      <c r="E4030" s="9" t="s">
        <v>43</v>
      </c>
      <c r="K4030" t="str">
        <v>most</v>
      </c>
      <c r="L4030" s="4" t="str">
        <f t="shared" si="74"/>
        <v>most</v>
      </c>
      <c r="M4030" t="str">
        <v>lack</v>
      </c>
      <c r="N4030" s="4" cm="1">
        <f t="array" ref="N4030">SUM(--(_xlfn.TEXTSPLIT($J$3999,, " ") = M4030))</f>
        <v>1</v>
      </c>
      <c r="O4030">
        <v>1</v>
      </c>
      <c r="P4030" t="str">
        <v>lack</v>
      </c>
      <c r="Q4030">
        <v>1</v>
      </c>
    </row>
    <row r="4031" spans="5:17" x14ac:dyDescent="0.2">
      <c r="E4031" s="9" t="s">
        <v>43</v>
      </c>
      <c r="K4031" t="str">
        <v>every</v>
      </c>
      <c r="L4031" s="4" t="str">
        <f t="shared" si="74"/>
        <v>every</v>
      </c>
      <c r="M4031" t="str">
        <v xml:space="preserve">memory
</v>
      </c>
      <c r="N4031" s="4" cm="1">
        <f t="array" ref="N4031">SUM(--(_xlfn.TEXTSPLIT($J$3999,, " ") = M4031))</f>
        <v>1</v>
      </c>
      <c r="O4031">
        <v>1</v>
      </c>
      <c r="P4031" t="str">
        <v xml:space="preserve">memory
</v>
      </c>
      <c r="Q4031">
        <v>1</v>
      </c>
    </row>
    <row r="4032" spans="5:17" x14ac:dyDescent="0.2">
      <c r="E4032" s="9" t="s">
        <v>43</v>
      </c>
      <c r="K4032" t="str">
        <v>day</v>
      </c>
      <c r="L4032" s="4" t="str">
        <f t="shared" si="74"/>
        <v>day</v>
      </c>
      <c r="M4032" t="str">
        <v>Just</v>
      </c>
      <c r="N4032" s="4" cm="1">
        <f t="array" ref="N4032">SUM(--(_xlfn.TEXTSPLIT($J$3999,, " ") = M4032))</f>
        <v>1</v>
      </c>
      <c r="O4032">
        <v>1</v>
      </c>
      <c r="P4032" t="str">
        <v>Just</v>
      </c>
      <c r="Q4032">
        <v>1</v>
      </c>
    </row>
    <row r="4033" spans="5:17" x14ac:dyDescent="0.2">
      <c r="E4033" s="9" t="s">
        <v>43</v>
      </c>
      <c r="K4033" t="str">
        <v>and</v>
      </c>
      <c r="L4033" s="4" t="str">
        <f t="shared" si="74"/>
        <v>and</v>
      </c>
      <c r="M4033" t="str">
        <v>try</v>
      </c>
      <c r="N4033" s="4" cm="1">
        <f t="array" ref="N4033">SUM(--(_xlfn.TEXTSPLIT($J$3999,, " ") = M4033))</f>
        <v>1</v>
      </c>
      <c r="O4033">
        <v>1</v>
      </c>
      <c r="P4033" t="str">
        <v>try</v>
      </c>
      <c r="Q4033">
        <v>1</v>
      </c>
    </row>
    <row r="4034" spans="5:17" x14ac:dyDescent="0.2">
      <c r="E4034" s="9" t="s">
        <v>43</v>
      </c>
      <c r="K4034" t="str">
        <v>every</v>
      </c>
      <c r="L4034" s="4" t="str">
        <f t="shared" si="74"/>
        <v>every</v>
      </c>
      <c r="M4034" t="str">
        <v>to</v>
      </c>
      <c r="N4034" s="4" cm="1">
        <f t="array" ref="N4034">SUM(--(_xlfn.TEXTSPLIT($J$3999,, " ") = M4034))</f>
        <v>1</v>
      </c>
      <c r="O4034">
        <v>1</v>
      </c>
      <c r="P4034" t="str">
        <v>to</v>
      </c>
      <c r="Q4034">
        <v>1</v>
      </c>
    </row>
    <row r="4035" spans="5:17" x14ac:dyDescent="0.2">
      <c r="E4035" s="9" t="s">
        <v>43</v>
      </c>
      <c r="K4035" t="str">
        <v xml:space="preserve">way
</v>
      </c>
      <c r="L4035" s="4" t="str">
        <f t="shared" si="74"/>
        <v xml:space="preserve">way </v>
      </c>
      <c r="M4035" t="str">
        <v>be"</v>
      </c>
      <c r="N4035" s="4" cm="1">
        <f t="array" ref="N4035">SUM(--(_xlfn.TEXTSPLIT($J$3999,, " ") = M4035))</f>
        <v>1</v>
      </c>
      <c r="O4035">
        <v>1</v>
      </c>
      <c r="P4035" t="str">
        <v>be"</v>
      </c>
      <c r="Q4035">
        <v>1</v>
      </c>
    </row>
    <row r="4036" spans="5:17" x14ac:dyDescent="0.2">
      <c r="E4036" s="9" t="s">
        <v>43</v>
      </c>
      <c r="K4036" t="str">
        <v>Did</v>
      </c>
      <c r="L4036" s="4" t="str">
        <f t="shared" si="74"/>
        <v>Did</v>
      </c>
      <c r="N4036" s="4" cm="1">
        <f t="array" ref="N4036">SUM(--(_xlfn.TEXTSPLIT($J$3999,, " ") = M4036))</f>
        <v>1</v>
      </c>
      <c r="O4036">
        <v>1</v>
      </c>
      <c r="P4036">
        <v>0</v>
      </c>
      <c r="Q4036">
        <v>1</v>
      </c>
    </row>
    <row r="4037" spans="5:17" x14ac:dyDescent="0.2">
      <c r="E4037" s="9" t="s">
        <v>43</v>
      </c>
      <c r="K4037" t="str">
        <v>you</v>
      </c>
      <c r="L4037" s="4" t="str">
        <f t="shared" si="74"/>
        <v>you</v>
      </c>
      <c r="N4037" s="4" cm="1">
        <f t="array" ref="N4037">SUM(--(_xlfn.TEXTSPLIT($J$3999,, " ") = M4037))</f>
        <v>1</v>
      </c>
      <c r="O4037">
        <v>1</v>
      </c>
      <c r="P4037">
        <v>0</v>
      </c>
      <c r="Q4037">
        <v>1</v>
      </c>
    </row>
    <row r="4038" spans="5:17" x14ac:dyDescent="0.2">
      <c r="E4038" s="9" t="s">
        <v>43</v>
      </c>
      <c r="K4038" t="str">
        <v>learn</v>
      </c>
      <c r="L4038" s="4" t="str">
        <f t="shared" si="74"/>
        <v>learn</v>
      </c>
      <c r="N4038" s="4" cm="1">
        <f t="array" ref="N4038">SUM(--(_xlfn.TEXTSPLIT($J$3999,, " ") = M4038))</f>
        <v>1</v>
      </c>
      <c r="O4038">
        <v>1</v>
      </c>
      <c r="P4038">
        <v>0</v>
      </c>
      <c r="Q4038">
        <v>1</v>
      </c>
    </row>
    <row r="4039" spans="5:17" x14ac:dyDescent="0.2">
      <c r="E4039" s="9" t="s">
        <v>43</v>
      </c>
      <c r="K4039" t="str">
        <v>a</v>
      </c>
      <c r="L4039" s="4" t="str">
        <f t="shared" si="74"/>
        <v>a</v>
      </c>
      <c r="N4039" s="4" cm="1">
        <f t="array" ref="N4039">SUM(--(_xlfn.TEXTSPLIT($J$3999,, " ") = M4039))</f>
        <v>1</v>
      </c>
      <c r="O4039">
        <v>1</v>
      </c>
      <c r="P4039">
        <v>0</v>
      </c>
      <c r="Q4039">
        <v>1</v>
      </c>
    </row>
    <row r="4040" spans="5:17" x14ac:dyDescent="0.2">
      <c r="E4040" s="9" t="s">
        <v>43</v>
      </c>
      <c r="K4040" t="str">
        <v xml:space="preserve">thing?
</v>
      </c>
      <c r="L4040" s="4" t="str">
        <f t="shared" si="74"/>
        <v xml:space="preserve">thing  </v>
      </c>
      <c r="N4040" s="4" cm="1">
        <f t="array" ref="N4040">SUM(--(_xlfn.TEXTSPLIT($J$3999,, " ") = M4040))</f>
        <v>1</v>
      </c>
      <c r="O4040">
        <v>1</v>
      </c>
      <c r="P4040">
        <v>0</v>
      </c>
      <c r="Q4040">
        <v>1</v>
      </c>
    </row>
    <row r="4041" spans="5:17" x14ac:dyDescent="0.2">
      <c r="E4041" s="9" t="s">
        <v>43</v>
      </c>
      <c r="K4041" t="str">
        <v>(hoo-hoo-hoo,</v>
      </c>
      <c r="L4041" s="4" t="str">
        <f t="shared" si="74"/>
        <v xml:space="preserve"> hoo hoo hoo </v>
      </c>
      <c r="N4041" s="4" cm="1">
        <f t="array" ref="N4041">SUM(--(_xlfn.TEXTSPLIT($J$3999,, " ") = M4041))</f>
        <v>1</v>
      </c>
      <c r="O4041">
        <v>1</v>
      </c>
      <c r="P4041">
        <v>0</v>
      </c>
      <c r="Q4041">
        <v>1</v>
      </c>
    </row>
    <row r="4042" spans="5:17" x14ac:dyDescent="0.2">
      <c r="E4042" s="9" t="s">
        <v>43</v>
      </c>
      <c r="K4042" t="str">
        <v>hoo-hoo-hoo,</v>
      </c>
      <c r="L4042" s="4" t="str">
        <f t="shared" si="74"/>
        <v xml:space="preserve">hoo hoo hoo </v>
      </c>
      <c r="N4042" s="4" cm="1">
        <f t="array" ref="N4042">SUM(--(_xlfn.TEXTSPLIT($J$3999,, " ") = M4042))</f>
        <v>1</v>
      </c>
      <c r="O4042">
        <v>1</v>
      </c>
      <c r="P4042">
        <v>0</v>
      </c>
      <c r="Q4042">
        <v>1</v>
      </c>
    </row>
    <row r="4043" spans="5:17" x14ac:dyDescent="0.2">
      <c r="E4043" s="9" t="s">
        <v>43</v>
      </c>
      <c r="K4043" t="str">
        <v xml:space="preserve">hoo-hoo-hoO)
</v>
      </c>
      <c r="L4043" s="4" t="str">
        <f t="shared" si="74"/>
        <v xml:space="preserve">hoo hoo hoO   </v>
      </c>
      <c r="N4043" s="4" cm="1">
        <f t="array" ref="N4043">SUM(--(_xlfn.TEXTSPLIT($J$3999,, " ") = M4043))</f>
        <v>1</v>
      </c>
      <c r="O4043">
        <v>1</v>
      </c>
      <c r="P4043">
        <v>0</v>
      </c>
      <c r="Q4043">
        <v>1</v>
      </c>
    </row>
    <row r="4044" spans="5:17" x14ac:dyDescent="0.2">
      <c r="E4044" s="9" t="s">
        <v>43</v>
      </c>
      <c r="K4044" t="str">
        <v>Intentions</v>
      </c>
      <c r="L4044" s="4" t="str">
        <f t="shared" si="74"/>
        <v>Intentions</v>
      </c>
      <c r="N4044" s="4" cm="1">
        <f t="array" ref="N4044">SUM(--(_xlfn.TEXTSPLIT($J$3999,, " ") = M4044))</f>
        <v>1</v>
      </c>
      <c r="O4044">
        <v>1</v>
      </c>
      <c r="P4044">
        <v>0</v>
      </c>
      <c r="Q4044">
        <v>1</v>
      </c>
    </row>
    <row r="4045" spans="5:17" x14ac:dyDescent="0.2">
      <c r="E4045" s="9" t="s">
        <v>43</v>
      </c>
      <c r="K4045" t="str">
        <v>lack</v>
      </c>
      <c r="L4045" s="4" t="str">
        <f t="shared" si="74"/>
        <v>lack</v>
      </c>
      <c r="N4045" s="4" cm="1">
        <f t="array" ref="N4045">SUM(--(_xlfn.TEXTSPLIT($J$3999,, " ") = M4045))</f>
        <v>1</v>
      </c>
      <c r="O4045">
        <v>1</v>
      </c>
      <c r="P4045">
        <v>0</v>
      </c>
      <c r="Q4045">
        <v>1</v>
      </c>
    </row>
    <row r="4046" spans="5:17" x14ac:dyDescent="0.2">
      <c r="E4046" s="9" t="s">
        <v>43</v>
      </c>
      <c r="K4046" t="str">
        <v xml:space="preserve">memory
</v>
      </c>
      <c r="L4046" s="4" t="str">
        <f t="shared" si="74"/>
        <v xml:space="preserve">memory </v>
      </c>
      <c r="N4046" s="4" cm="1">
        <f t="array" ref="N4046">SUM(--(_xlfn.TEXTSPLIT($J$3999,, " ") = M4046))</f>
        <v>1</v>
      </c>
      <c r="O4046">
        <v>1</v>
      </c>
      <c r="P4046">
        <v>0</v>
      </c>
      <c r="Q4046">
        <v>1</v>
      </c>
    </row>
    <row r="4047" spans="5:17" x14ac:dyDescent="0.2">
      <c r="E4047" s="9" t="s">
        <v>43</v>
      </c>
      <c r="K4047" t="str">
        <v>(hoo-hoo-hoo,</v>
      </c>
      <c r="L4047" s="4" t="str">
        <f t="shared" si="74"/>
        <v xml:space="preserve"> hoo hoo hoo </v>
      </c>
      <c r="N4047" s="4" cm="1">
        <f t="array" ref="N4047">SUM(--(_xlfn.TEXTSPLIT($J$3999,, " ") = M4047))</f>
        <v>1</v>
      </c>
      <c r="O4047">
        <v>1</v>
      </c>
      <c r="P4047">
        <v>0</v>
      </c>
      <c r="Q4047">
        <v>1</v>
      </c>
    </row>
    <row r="4048" spans="5:17" x14ac:dyDescent="0.2">
      <c r="E4048" s="9" t="s">
        <v>43</v>
      </c>
      <c r="K4048" t="str">
        <v>hoo-hoo-hoo,</v>
      </c>
      <c r="L4048" s="4" t="str">
        <f t="shared" si="74"/>
        <v xml:space="preserve">hoo hoo hoo </v>
      </c>
      <c r="N4048" s="4" cm="1">
        <f t="array" ref="N4048">SUM(--(_xlfn.TEXTSPLIT($J$3999,, " ") = M4048))</f>
        <v>1</v>
      </c>
      <c r="O4048">
        <v>1</v>
      </c>
      <c r="P4048">
        <v>0</v>
      </c>
      <c r="Q4048">
        <v>1</v>
      </c>
    </row>
    <row r="4049" spans="1:18" x14ac:dyDescent="0.2">
      <c r="E4049" s="9" t="s">
        <v>43</v>
      </c>
      <c r="K4049" t="str">
        <v xml:space="preserve">hoo-hoo-hoO)
</v>
      </c>
      <c r="L4049" s="4" t="str">
        <f t="shared" si="74"/>
        <v xml:space="preserve">hoo hoo hoO  </v>
      </c>
      <c r="N4049" s="4" cm="1">
        <f t="array" ref="N4049">SUM(--(_xlfn.TEXTSPLIT($J$3999,, " ") = M4049))</f>
        <v>1</v>
      </c>
      <c r="O4049">
        <v>1</v>
      </c>
      <c r="P4049">
        <v>0</v>
      </c>
      <c r="Q4049">
        <v>1</v>
      </c>
    </row>
    <row r="4050" spans="1:18" x14ac:dyDescent="0.2">
      <c r="E4050" s="9" t="s">
        <v>43</v>
      </c>
      <c r="K4050" t="str">
        <v>Intentions</v>
      </c>
      <c r="L4050" s="4" t="str">
        <f t="shared" si="74"/>
        <v>Intentions</v>
      </c>
      <c r="N4050" s="4" cm="1">
        <f t="array" ref="N4050">SUM(--(_xlfn.TEXTSPLIT($J$3999,, " ") = M4050))</f>
        <v>1</v>
      </c>
      <c r="O4050">
        <v>1</v>
      </c>
      <c r="P4050">
        <v>0</v>
      </c>
      <c r="Q4050">
        <v>1</v>
      </c>
    </row>
    <row r="4051" spans="1:18" x14ac:dyDescent="0.2">
      <c r="E4051" s="9" t="s">
        <v>43</v>
      </c>
      <c r="K4051" t="str">
        <v>will</v>
      </c>
      <c r="L4051" s="4" t="str">
        <f t="shared" si="74"/>
        <v>will</v>
      </c>
      <c r="N4051" s="4" cm="1">
        <f t="array" ref="N4051">SUM(--(_xlfn.TEXTSPLIT($J$3999,, " ") = M4051))</f>
        <v>1</v>
      </c>
      <c r="O4051">
        <v>1</v>
      </c>
      <c r="P4051">
        <v>0</v>
      </c>
      <c r="Q4051">
        <v>1</v>
      </c>
    </row>
    <row r="4052" spans="1:18" x14ac:dyDescent="0.2">
      <c r="E4052" s="9" t="s">
        <v>43</v>
      </c>
      <c r="K4052" t="str">
        <v>set</v>
      </c>
      <c r="L4052" s="4" t="str">
        <f t="shared" si="74"/>
        <v>set</v>
      </c>
      <c r="N4052" s="4" cm="1">
        <f t="array" ref="N4052">SUM(--(_xlfn.TEXTSPLIT($J$3999,, " ") = M4052))</f>
        <v>1</v>
      </c>
      <c r="O4052">
        <v>1</v>
      </c>
      <c r="P4052">
        <v>0</v>
      </c>
      <c r="Q4052">
        <v>1</v>
      </c>
    </row>
    <row r="4053" spans="1:18" x14ac:dyDescent="0.2">
      <c r="E4053" s="9" t="s">
        <v>43</v>
      </c>
      <c r="K4053" t="str">
        <v>you</v>
      </c>
      <c r="L4053" s="4" t="str">
        <f t="shared" si="74"/>
        <v>you</v>
      </c>
      <c r="N4053" s="4" cm="1">
        <f t="array" ref="N4053">SUM(--(_xlfn.TEXTSPLIT($J$3999,, " ") = M4053))</f>
        <v>1</v>
      </c>
      <c r="O4053">
        <v>1</v>
      </c>
      <c r="P4053">
        <v>0</v>
      </c>
      <c r="Q4053">
        <v>1</v>
      </c>
    </row>
    <row r="4054" spans="1:18" x14ac:dyDescent="0.2">
      <c r="E4054" s="9" t="s">
        <v>43</v>
      </c>
      <c r="K4054" t="str">
        <v xml:space="preserve">free
</v>
      </c>
      <c r="L4054" s="4" t="str">
        <f t="shared" si="74"/>
        <v xml:space="preserve">free  </v>
      </c>
      <c r="N4054" s="4" cm="1">
        <f t="array" ref="N4054">SUM(--(_xlfn.TEXTSPLIT($J$3999,, " ") = M4054))</f>
        <v>1</v>
      </c>
      <c r="O4054">
        <v>1</v>
      </c>
      <c r="P4054">
        <v>0</v>
      </c>
      <c r="Q4054">
        <v>1</v>
      </c>
    </row>
    <row r="4055" spans="1:18" x14ac:dyDescent="0.2">
      <c r="E4055" s="9" t="s">
        <v>43</v>
      </c>
      <c r="K4055" t="str">
        <v>Just</v>
      </c>
      <c r="L4055" s="4" t="str">
        <f t="shared" si="74"/>
        <v>Just</v>
      </c>
      <c r="N4055" s="4" cm="1">
        <f t="array" ref="N4055">SUM(--(_xlfn.TEXTSPLIT($J$3999,, " ") = M4055))</f>
        <v>1</v>
      </c>
      <c r="O4055">
        <v>1</v>
      </c>
      <c r="P4055">
        <v>0</v>
      </c>
      <c r="Q4055">
        <v>1</v>
      </c>
    </row>
    <row r="4056" spans="1:18" x14ac:dyDescent="0.2">
      <c r="E4056" s="9" t="s">
        <v>43</v>
      </c>
      <c r="K4056" t="str">
        <v>try</v>
      </c>
      <c r="L4056" s="4" t="str">
        <f t="shared" si="74"/>
        <v>try</v>
      </c>
      <c r="N4056" s="4" cm="1">
        <f t="array" ref="N4056">SUM(--(_xlfn.TEXTSPLIT($J$3999,, " ") = M4056))</f>
        <v>1</v>
      </c>
      <c r="O4056">
        <v>1</v>
      </c>
      <c r="P4056">
        <v>0</v>
      </c>
      <c r="Q4056">
        <v>1</v>
      </c>
    </row>
    <row r="4057" spans="1:18" x14ac:dyDescent="0.2">
      <c r="E4057" s="9" t="s">
        <v>43</v>
      </c>
      <c r="K4057" t="str">
        <v>to</v>
      </c>
      <c r="L4057" s="4" t="str">
        <f t="shared" si="74"/>
        <v>to</v>
      </c>
      <c r="N4057" s="4" cm="1">
        <f t="array" ref="N4057">SUM(--(_xlfn.TEXTSPLIT($J$3999,, " ") = M4057))</f>
        <v>1</v>
      </c>
      <c r="O4057">
        <v>1</v>
      </c>
      <c r="P4057">
        <v>0</v>
      </c>
      <c r="Q4057">
        <v>1</v>
      </c>
    </row>
    <row r="4058" spans="1:18" x14ac:dyDescent="0.2">
      <c r="E4058" s="9" t="s">
        <v>43</v>
      </c>
      <c r="K4058" t="str">
        <v>be"</v>
      </c>
      <c r="L4058" s="4" t="str">
        <f t="shared" si="74"/>
        <v xml:space="preserve">be </v>
      </c>
      <c r="N4058" s="4" cm="1">
        <f t="array" ref="N4058">SUM(--(_xlfn.TEXTSPLIT($J$3999,, " ") = M4058))</f>
        <v>1</v>
      </c>
      <c r="O4058">
        <v>1</v>
      </c>
      <c r="P4058">
        <v>0</v>
      </c>
      <c r="Q4058">
        <v>1</v>
      </c>
    </row>
    <row r="4059" spans="1:18" x14ac:dyDescent="0.2">
      <c r="A4059" s="4">
        <v>14</v>
      </c>
      <c r="B4059" s="5">
        <v>45912</v>
      </c>
      <c r="C4059" s="6">
        <v>0.21111111111111111</v>
      </c>
      <c r="D4059" s="7">
        <v>304</v>
      </c>
      <c r="E4059" s="9" t="s">
        <v>45</v>
      </c>
      <c r="F4059" s="9">
        <v>14</v>
      </c>
      <c r="G4059" s="8" t="s">
        <v>15</v>
      </c>
      <c r="H4059" s="9" t="s">
        <v>46</v>
      </c>
      <c r="I4059" s="4">
        <v>1</v>
      </c>
      <c r="J4059" s="4" t="str">
        <f>_xlfn.TEXTJOIN(" ", TRUE, H4059:H4072)</f>
        <v xml:space="preserve"> "When I see the devil's eyes
 A current travels down my spine
 He found me
 Seems as though I've lost again
 A story told at nauseam
 He found me
 Maybe once or twice or three
 He's tried his hand at drowning me
 But I'm still on fire
 At least I'm pretty sure
 When I see the devil's eyes
 I'll look away and smile wide
 You found me
 'Cause then I'll know you're also there
 'Cause proof is in the opposite
 You found me
 A drag path etched in the surface as evidence
 I left there on purpose a sad, sad
 Laying on the surface (Yeah)
 Can you find me? I dug my heels into the gravel as evidence
 For you to unravel a drag path etched in the surface (Yeah)
 Can you find me?
 What will you do?
 Please, please hurry
 What will you do?
 Please, please hurry
 Can you, can you, can you, can you?
 I'm trapped now, etched in the surface as evidence
 I'm left there on purpose, a sad sign, laying on the surface
 Can you, can you find, can you find me?
 I dug my heels into a gravel as evidence
 For you to unravel the drag path
 Etched in the surface
 Can you find me? (Can you find me?)
 Can you find me? (Can you find me?)
 Can you find me? (Can you find me?)
 Can you find me? (Can you find me?)
 Then the sun begins to rise
 We made it through the darkest night
 You found me"</v>
      </c>
      <c r="K4059" s="4" t="str" cm="1">
        <f t="array" ref="K4059:K4313">_xlfn.TEXTSPLIT(J4059, ," ")</f>
        <v/>
      </c>
      <c r="L4059" s="4" t="str">
        <f>_xlfn.REGEXREPLACE(K4059, "[^A-Za-z ]", " ")</f>
        <v/>
      </c>
      <c r="M4059" s="4" t="str" cm="1">
        <f t="array" ref="M4059:M4176">_xlfn.UNIQUE(_xlfn.TEXTSPLIT(J4059, , " "))</f>
        <v/>
      </c>
      <c r="N4059" s="4" cm="1">
        <f t="array" ref="N4059">SUM(--(_xlfn.TEXTSPLIT($J$4059,, " ") = M4059))</f>
        <v>1</v>
      </c>
      <c r="O4059" s="4" cm="1">
        <f t="array" ref="O4059:O4313">_xlfn._xlws.SORT(N4059:N4313, ,-1)</f>
        <v>19</v>
      </c>
      <c r="P4059" s="4" t="str" cm="1">
        <f t="array" ref="P4059:Q4313">_xlfn.SORTBY(M4059:N4313, N4059:N4313, -1)</f>
        <v>You</v>
      </c>
      <c r="Q4059" s="4">
        <v>19</v>
      </c>
      <c r="R4059">
        <v>4313</v>
      </c>
    </row>
    <row r="4060" spans="1:18" x14ac:dyDescent="0.2">
      <c r="E4060" s="9" t="s">
        <v>45</v>
      </c>
      <c r="K4060" t="str">
        <v>"When</v>
      </c>
      <c r="L4060" s="4" t="str">
        <f t="shared" ref="L4060:L4123" si="75">_xlfn.REGEXREPLACE(K4060, "[^A-Za-z ]", " ")</f>
        <v xml:space="preserve"> When</v>
      </c>
      <c r="M4060" t="str">
        <v>"When</v>
      </c>
      <c r="N4060" s="4" cm="1">
        <f t="array" ref="N4060">SUM(--(_xlfn.TEXTSPLIT($J$4059,, " ") = M4060))</f>
        <v>1</v>
      </c>
      <c r="O4060">
        <v>13</v>
      </c>
      <c r="P4060" t="str">
        <v>the</v>
      </c>
      <c r="Q4060">
        <v>13</v>
      </c>
    </row>
    <row r="4061" spans="1:18" x14ac:dyDescent="0.2">
      <c r="E4061" s="9" t="s">
        <v>45</v>
      </c>
      <c r="K4061" t="str">
        <v>I</v>
      </c>
      <c r="L4061" s="4" t="str">
        <f t="shared" si="75"/>
        <v>I</v>
      </c>
      <c r="M4061" t="str">
        <v>I</v>
      </c>
      <c r="N4061" s="4" cm="1">
        <f t="array" ref="N4061">SUM(--(_xlfn.TEXTSPLIT($J$4059,, " ") = M4061))</f>
        <v>5</v>
      </c>
      <c r="O4061">
        <v>13</v>
      </c>
      <c r="P4061" t="str">
        <v>Can</v>
      </c>
      <c r="Q4061">
        <v>13</v>
      </c>
    </row>
    <row r="4062" spans="1:18" x14ac:dyDescent="0.2">
      <c r="E4062" s="9" t="s">
        <v>45</v>
      </c>
      <c r="K4062" t="str">
        <v>see</v>
      </c>
      <c r="L4062" s="4" t="str">
        <f t="shared" si="75"/>
        <v>see</v>
      </c>
      <c r="M4062" t="str">
        <v>see</v>
      </c>
      <c r="N4062" s="4" cm="1">
        <f t="array" ref="N4062">SUM(--(_xlfn.TEXTSPLIT($J$4059,, " ") = M4062))</f>
        <v>2</v>
      </c>
      <c r="O4062">
        <v>11</v>
      </c>
      <c r="P4062" t="str">
        <v>find</v>
      </c>
      <c r="Q4062">
        <v>11</v>
      </c>
    </row>
    <row r="4063" spans="1:18" x14ac:dyDescent="0.2">
      <c r="E4063" s="9" t="s">
        <v>45</v>
      </c>
      <c r="K4063" t="str">
        <v>the</v>
      </c>
      <c r="L4063" s="4" t="str">
        <f t="shared" si="75"/>
        <v>the</v>
      </c>
      <c r="M4063" t="str">
        <v>the</v>
      </c>
      <c r="N4063" s="4" cm="1">
        <f t="array" ref="N4063">SUM(--(_xlfn.TEXTSPLIT($J$4059,, " ") = M4063))</f>
        <v>13</v>
      </c>
      <c r="O4063">
        <v>7</v>
      </c>
      <c r="P4063" t="str">
        <v>A</v>
      </c>
      <c r="Q4063">
        <v>7</v>
      </c>
    </row>
    <row r="4064" spans="1:18" x14ac:dyDescent="0.2">
      <c r="E4064" s="9" t="s">
        <v>45</v>
      </c>
      <c r="K4064" t="str">
        <v>devil's</v>
      </c>
      <c r="L4064" s="4" t="str">
        <f t="shared" si="75"/>
        <v>devil s</v>
      </c>
      <c r="M4064" t="str">
        <v>devil's</v>
      </c>
      <c r="N4064" s="4" cm="1">
        <f t="array" ref="N4064">SUM(--(_xlfn.TEXTSPLIT($J$4059,, " ") = M4064))</f>
        <v>2</v>
      </c>
      <c r="O4064">
        <v>5</v>
      </c>
      <c r="P4064" t="str">
        <v>I</v>
      </c>
      <c r="Q4064">
        <v>5</v>
      </c>
    </row>
    <row r="4065" spans="5:17" x14ac:dyDescent="0.2">
      <c r="E4065" s="9" t="s">
        <v>45</v>
      </c>
      <c r="K4065" t="str">
        <v xml:space="preserve">eyes
</v>
      </c>
      <c r="L4065" s="4" t="str">
        <f t="shared" si="75"/>
        <v xml:space="preserve">eyes </v>
      </c>
      <c r="M4065" t="str">
        <v xml:space="preserve">eyes
</v>
      </c>
      <c r="N4065" s="4" cm="1">
        <f t="array" ref="N4065">SUM(--(_xlfn.TEXTSPLIT($J$4059,, " ") = M4065))</f>
        <v>2</v>
      </c>
      <c r="O4065">
        <v>5</v>
      </c>
      <c r="P4065" t="str">
        <v>found</v>
      </c>
      <c r="Q4065">
        <v>5</v>
      </c>
    </row>
    <row r="4066" spans="5:17" x14ac:dyDescent="0.2">
      <c r="E4066" s="9" t="s">
        <v>45</v>
      </c>
      <c r="K4066" t="str">
        <v>A</v>
      </c>
      <c r="L4066" s="4" t="str">
        <f t="shared" si="75"/>
        <v>A</v>
      </c>
      <c r="M4066" t="str">
        <v>A</v>
      </c>
      <c r="N4066" s="4" cm="1">
        <f t="array" ref="N4066">SUM(--(_xlfn.TEXTSPLIT($J$4059,, " ") = M4066))</f>
        <v>7</v>
      </c>
      <c r="O4066">
        <v>5</v>
      </c>
      <c r="P4066" t="str">
        <v>as</v>
      </c>
      <c r="Q4066">
        <v>5</v>
      </c>
    </row>
    <row r="4067" spans="5:17" x14ac:dyDescent="0.2">
      <c r="E4067" s="9" t="s">
        <v>45</v>
      </c>
      <c r="K4067" t="str">
        <v>current</v>
      </c>
      <c r="L4067" s="4" t="str">
        <f t="shared" si="75"/>
        <v>current</v>
      </c>
      <c r="M4067" t="str">
        <v>current</v>
      </c>
      <c r="N4067" s="4" cm="1">
        <f t="array" ref="N4067">SUM(--(_xlfn.TEXTSPLIT($J$4059,, " ") = M4067))</f>
        <v>1</v>
      </c>
      <c r="O4067">
        <v>5</v>
      </c>
      <c r="P4067" t="str">
        <v>on</v>
      </c>
      <c r="Q4067">
        <v>5</v>
      </c>
    </row>
    <row r="4068" spans="5:17" x14ac:dyDescent="0.2">
      <c r="E4068" s="9" t="s">
        <v>45</v>
      </c>
      <c r="K4068" t="str">
        <v>travels</v>
      </c>
      <c r="L4068" s="4" t="str">
        <f t="shared" si="75"/>
        <v>travels</v>
      </c>
      <c r="M4068" t="str">
        <v>travels</v>
      </c>
      <c r="N4068" s="4" cm="1">
        <f t="array" ref="N4068">SUM(--(_xlfn.TEXTSPLIT($J$4059,, " ") = M4068))</f>
        <v>1</v>
      </c>
      <c r="O4068">
        <v>5</v>
      </c>
      <c r="P4068" t="str">
        <v>in</v>
      </c>
      <c r="Q4068">
        <v>5</v>
      </c>
    </row>
    <row r="4069" spans="5:17" x14ac:dyDescent="0.2">
      <c r="E4069" s="9" t="s">
        <v>45</v>
      </c>
      <c r="K4069" t="str">
        <v>down</v>
      </c>
      <c r="L4069" s="4" t="str">
        <f t="shared" si="75"/>
        <v>down</v>
      </c>
      <c r="M4069" t="str">
        <v>down</v>
      </c>
      <c r="N4069" s="4" cm="1">
        <f t="array" ref="N4069">SUM(--(_xlfn.TEXTSPLIT($J$4059,, " ") = M4069))</f>
        <v>1</v>
      </c>
      <c r="O4069">
        <v>5</v>
      </c>
      <c r="P4069" t="str">
        <v>me?</v>
      </c>
      <c r="Q4069">
        <v>5</v>
      </c>
    </row>
    <row r="4070" spans="5:17" x14ac:dyDescent="0.2">
      <c r="E4070" s="9" t="s">
        <v>45</v>
      </c>
      <c r="K4070" t="str">
        <v>my</v>
      </c>
      <c r="L4070" s="4" t="str">
        <f t="shared" si="75"/>
        <v>my</v>
      </c>
      <c r="M4070" t="str">
        <v>my</v>
      </c>
      <c r="N4070" s="4" cm="1">
        <f t="array" ref="N4070">SUM(--(_xlfn.TEXTSPLIT($J$4059,, " ") = M4070))</f>
        <v>3</v>
      </c>
      <c r="O4070">
        <v>4</v>
      </c>
      <c r="P4070" t="str">
        <v xml:space="preserve">me
</v>
      </c>
      <c r="Q4070">
        <v>4</v>
      </c>
    </row>
    <row r="4071" spans="5:17" x14ac:dyDescent="0.2">
      <c r="E4071" s="9" t="s">
        <v>45</v>
      </c>
      <c r="K4071" t="str">
        <v xml:space="preserve">spine
</v>
      </c>
      <c r="L4071" s="4" t="str">
        <f t="shared" si="75"/>
        <v xml:space="preserve">spine </v>
      </c>
      <c r="M4071" t="str">
        <v xml:space="preserve">spine
</v>
      </c>
      <c r="N4071" s="4" cm="1">
        <f t="array" ref="N4071">SUM(--(_xlfn.TEXTSPLIT($J$4059,, " ") = M4071))</f>
        <v>1</v>
      </c>
      <c r="O4071">
        <v>4</v>
      </c>
      <c r="P4071" t="str">
        <v>I'm</v>
      </c>
      <c r="Q4071">
        <v>4</v>
      </c>
    </row>
    <row r="4072" spans="5:17" x14ac:dyDescent="0.2">
      <c r="E4072" s="9" t="s">
        <v>45</v>
      </c>
      <c r="K4072" t="str">
        <v>He</v>
      </c>
      <c r="L4072" s="4" t="str">
        <f t="shared" si="75"/>
        <v>He</v>
      </c>
      <c r="M4072" t="str">
        <v>He</v>
      </c>
      <c r="N4072" s="4" cm="1">
        <f t="array" ref="N4072">SUM(--(_xlfn.TEXTSPLIT($J$4059,, " ") = M4072))</f>
        <v>2</v>
      </c>
      <c r="O4072">
        <v>4</v>
      </c>
      <c r="P4072" t="str">
        <v>etched</v>
      </c>
      <c r="Q4072">
        <v>4</v>
      </c>
    </row>
    <row r="4073" spans="5:17" x14ac:dyDescent="0.2">
      <c r="E4073" s="9" t="s">
        <v>45</v>
      </c>
      <c r="K4073" t="str">
        <v>found</v>
      </c>
      <c r="L4073" s="4" t="str">
        <f t="shared" si="75"/>
        <v>found</v>
      </c>
      <c r="M4073" t="str">
        <v>found</v>
      </c>
      <c r="N4073" s="4" cm="1">
        <f t="array" ref="N4073">SUM(--(_xlfn.TEXTSPLIT($J$4059,, " ") = M4073))</f>
        <v>5</v>
      </c>
      <c r="O4073">
        <v>4</v>
      </c>
      <c r="P4073" t="str">
        <v>surface</v>
      </c>
      <c r="Q4073">
        <v>4</v>
      </c>
    </row>
    <row r="4074" spans="5:17" x14ac:dyDescent="0.2">
      <c r="E4074" s="9" t="s">
        <v>45</v>
      </c>
      <c r="K4074" t="str">
        <v xml:space="preserve">me
</v>
      </c>
      <c r="L4074" s="4" t="str">
        <f t="shared" si="75"/>
        <v xml:space="preserve">me </v>
      </c>
      <c r="M4074" t="str">
        <v xml:space="preserve">me
</v>
      </c>
      <c r="N4074" s="4" cm="1">
        <f t="array" ref="N4074">SUM(--(_xlfn.TEXTSPLIT($J$4059,, " ") = M4074))</f>
        <v>4</v>
      </c>
      <c r="O4074">
        <v>4</v>
      </c>
      <c r="P4074" t="str">
        <v xml:space="preserve">evidence
</v>
      </c>
      <c r="Q4074">
        <v>4</v>
      </c>
    </row>
    <row r="4075" spans="5:17" x14ac:dyDescent="0.2">
      <c r="E4075" s="9" t="s">
        <v>45</v>
      </c>
      <c r="K4075" t="str">
        <v>Seems</v>
      </c>
      <c r="L4075" s="4" t="str">
        <f t="shared" si="75"/>
        <v>Seems</v>
      </c>
      <c r="M4075" t="str">
        <v>Seems</v>
      </c>
      <c r="N4075" s="4" cm="1">
        <f t="array" ref="N4075">SUM(--(_xlfn.TEXTSPLIT($J$4059,, " ") = M4075))</f>
        <v>1</v>
      </c>
      <c r="O4075">
        <v>4</v>
      </c>
      <c r="P4075" t="str">
        <v>you,</v>
      </c>
      <c r="Q4075">
        <v>4</v>
      </c>
    </row>
    <row r="4076" spans="5:17" x14ac:dyDescent="0.2">
      <c r="E4076" s="9" t="s">
        <v>45</v>
      </c>
      <c r="K4076" t="str">
        <v>as</v>
      </c>
      <c r="L4076" s="4" t="str">
        <f t="shared" si="75"/>
        <v>as</v>
      </c>
      <c r="M4076" t="str">
        <v>as</v>
      </c>
      <c r="N4076" s="4" cm="1">
        <f t="array" ref="N4076">SUM(--(_xlfn.TEXTSPLIT($J$4059,, " ") = M4076))</f>
        <v>5</v>
      </c>
      <c r="O4076">
        <v>4</v>
      </c>
      <c r="P4076" t="str">
        <v>(Can</v>
      </c>
      <c r="Q4076">
        <v>4</v>
      </c>
    </row>
    <row r="4077" spans="5:17" x14ac:dyDescent="0.2">
      <c r="E4077" s="9" t="s">
        <v>45</v>
      </c>
      <c r="K4077" t="str">
        <v>though</v>
      </c>
      <c r="L4077" s="4" t="str">
        <f t="shared" si="75"/>
        <v>though</v>
      </c>
      <c r="M4077" t="str">
        <v>though</v>
      </c>
      <c r="N4077" s="4" cm="1">
        <f t="array" ref="N4077">SUM(--(_xlfn.TEXTSPLIT($J$4059,, " ") = M4077))</f>
        <v>1</v>
      </c>
      <c r="O4077">
        <v>3</v>
      </c>
      <c r="P4077" t="str">
        <v>my</v>
      </c>
      <c r="Q4077">
        <v>3</v>
      </c>
    </row>
    <row r="4078" spans="5:17" x14ac:dyDescent="0.2">
      <c r="E4078" s="9" t="s">
        <v>45</v>
      </c>
      <c r="K4078" t="str">
        <v>I've</v>
      </c>
      <c r="L4078" s="4" t="str">
        <f t="shared" si="75"/>
        <v>I ve</v>
      </c>
      <c r="M4078" t="str">
        <v>I've</v>
      </c>
      <c r="N4078" s="4" cm="1">
        <f t="array" ref="N4078">SUM(--(_xlfn.TEXTSPLIT($J$4059,, " ") = M4078))</f>
        <v>1</v>
      </c>
      <c r="O4078">
        <v>3</v>
      </c>
      <c r="P4078" t="str">
        <v>at</v>
      </c>
      <c r="Q4078">
        <v>3</v>
      </c>
    </row>
    <row r="4079" spans="5:17" x14ac:dyDescent="0.2">
      <c r="E4079" s="9" t="s">
        <v>45</v>
      </c>
      <c r="K4079" t="str">
        <v>lost</v>
      </c>
      <c r="L4079" s="4" t="str">
        <f t="shared" si="75"/>
        <v>lost</v>
      </c>
      <c r="M4079" t="str">
        <v>lost</v>
      </c>
      <c r="N4079" s="4" cm="1">
        <f t="array" ref="N4079">SUM(--(_xlfn.TEXTSPLIT($J$4059,, " ") = M4079))</f>
        <v>1</v>
      </c>
      <c r="O4079">
        <v>3</v>
      </c>
      <c r="P4079" t="str">
        <v>drag</v>
      </c>
      <c r="Q4079">
        <v>3</v>
      </c>
    </row>
    <row r="4080" spans="5:17" x14ac:dyDescent="0.2">
      <c r="E4080" s="9" t="s">
        <v>45</v>
      </c>
      <c r="K4080" t="str">
        <v xml:space="preserve">again
</v>
      </c>
      <c r="L4080" s="4" t="str">
        <f t="shared" si="75"/>
        <v xml:space="preserve">again </v>
      </c>
      <c r="M4080" t="str">
        <v xml:space="preserve">again
</v>
      </c>
      <c r="N4080" s="4" cm="1">
        <f t="array" ref="N4080">SUM(--(_xlfn.TEXTSPLIT($J$4059,, " ") = M4080))</f>
        <v>1</v>
      </c>
      <c r="O4080">
        <v>3</v>
      </c>
      <c r="P4080" t="str">
        <v>to</v>
      </c>
      <c r="Q4080">
        <v>3</v>
      </c>
    </row>
    <row r="4081" spans="5:17" x14ac:dyDescent="0.2">
      <c r="E4081" s="9" t="s">
        <v>45</v>
      </c>
      <c r="K4081" t="str">
        <v>A</v>
      </c>
      <c r="L4081" s="4" t="str">
        <f t="shared" si="75"/>
        <v>A</v>
      </c>
      <c r="M4081" t="str">
        <v>story</v>
      </c>
      <c r="N4081" s="4" cm="1">
        <f t="array" ref="N4081">SUM(--(_xlfn.TEXTSPLIT($J$4059,, " ") = M4081))</f>
        <v>1</v>
      </c>
      <c r="O4081">
        <v>3</v>
      </c>
      <c r="P4081" t="str">
        <v xml:space="preserve">me?)
</v>
      </c>
      <c r="Q4081">
        <v>3</v>
      </c>
    </row>
    <row r="4082" spans="5:17" x14ac:dyDescent="0.2">
      <c r="E4082" s="9" t="s">
        <v>45</v>
      </c>
      <c r="K4082" t="str">
        <v>story</v>
      </c>
      <c r="L4082" s="4" t="str">
        <f t="shared" si="75"/>
        <v>story</v>
      </c>
      <c r="M4082" t="str">
        <v>told</v>
      </c>
      <c r="N4082" s="4" cm="1">
        <f t="array" ref="N4082">SUM(--(_xlfn.TEXTSPLIT($J$4059,, " ") = M4082))</f>
        <v>1</v>
      </c>
      <c r="O4082">
        <v>2</v>
      </c>
      <c r="P4082" t="str">
        <v>see</v>
      </c>
      <c r="Q4082">
        <v>2</v>
      </c>
    </row>
    <row r="4083" spans="5:17" x14ac:dyDescent="0.2">
      <c r="E4083" s="9" t="s">
        <v>45</v>
      </c>
      <c r="K4083" t="str">
        <v>told</v>
      </c>
      <c r="L4083" s="4" t="str">
        <f t="shared" si="75"/>
        <v>told</v>
      </c>
      <c r="M4083" t="str">
        <v>at</v>
      </c>
      <c r="N4083" s="4" cm="1">
        <f t="array" ref="N4083">SUM(--(_xlfn.TEXTSPLIT($J$4059,, " ") = M4083))</f>
        <v>3</v>
      </c>
      <c r="O4083">
        <v>2</v>
      </c>
      <c r="P4083" t="str">
        <v>devil's</v>
      </c>
      <c r="Q4083">
        <v>2</v>
      </c>
    </row>
    <row r="4084" spans="5:17" x14ac:dyDescent="0.2">
      <c r="E4084" s="9" t="s">
        <v>45</v>
      </c>
      <c r="K4084" t="str">
        <v>at</v>
      </c>
      <c r="L4084" s="4" t="str">
        <f t="shared" si="75"/>
        <v>at</v>
      </c>
      <c r="M4084" t="str">
        <v xml:space="preserve">nauseam
</v>
      </c>
      <c r="N4084" s="4" cm="1">
        <f t="array" ref="N4084">SUM(--(_xlfn.TEXTSPLIT($J$4059,, " ") = M4084))</f>
        <v>1</v>
      </c>
      <c r="O4084">
        <v>2</v>
      </c>
      <c r="P4084" t="str">
        <v xml:space="preserve">eyes
</v>
      </c>
      <c r="Q4084">
        <v>2</v>
      </c>
    </row>
    <row r="4085" spans="5:17" x14ac:dyDescent="0.2">
      <c r="E4085" s="9" t="s">
        <v>45</v>
      </c>
      <c r="K4085" t="str">
        <v xml:space="preserve">nauseam
</v>
      </c>
      <c r="L4085" s="4" t="str">
        <f t="shared" si="75"/>
        <v xml:space="preserve">nauseam </v>
      </c>
      <c r="M4085" t="str">
        <v>Maybe</v>
      </c>
      <c r="N4085" s="4" cm="1">
        <f t="array" ref="N4085">SUM(--(_xlfn.TEXTSPLIT($J$4059,, " ") = M4085))</f>
        <v>1</v>
      </c>
      <c r="O4085">
        <v>2</v>
      </c>
      <c r="P4085" t="str">
        <v>He</v>
      </c>
      <c r="Q4085">
        <v>2</v>
      </c>
    </row>
    <row r="4086" spans="5:17" x14ac:dyDescent="0.2">
      <c r="E4086" s="9" t="s">
        <v>45</v>
      </c>
      <c r="K4086" t="str">
        <v>He</v>
      </c>
      <c r="L4086" s="4" t="str">
        <f t="shared" si="75"/>
        <v>He</v>
      </c>
      <c r="M4086" t="str">
        <v>once</v>
      </c>
      <c r="N4086" s="4" cm="1">
        <f t="array" ref="N4086">SUM(--(_xlfn.TEXTSPLIT($J$4059,, " ") = M4086))</f>
        <v>1</v>
      </c>
      <c r="O4086">
        <v>2</v>
      </c>
      <c r="P4086" t="str">
        <v>or</v>
      </c>
      <c r="Q4086">
        <v>2</v>
      </c>
    </row>
    <row r="4087" spans="5:17" x14ac:dyDescent="0.2">
      <c r="E4087" s="9" t="s">
        <v>45</v>
      </c>
      <c r="K4087" t="str">
        <v>found</v>
      </c>
      <c r="L4087" s="4" t="str">
        <f t="shared" si="75"/>
        <v>found</v>
      </c>
      <c r="M4087" t="str">
        <v>or</v>
      </c>
      <c r="N4087" s="4" cm="1">
        <f t="array" ref="N4087">SUM(--(_xlfn.TEXTSPLIT($J$4059,, " ") = M4087))</f>
        <v>2</v>
      </c>
      <c r="O4087">
        <v>2</v>
      </c>
      <c r="P4087" t="str">
        <v>I'll</v>
      </c>
      <c r="Q4087">
        <v>2</v>
      </c>
    </row>
    <row r="4088" spans="5:17" x14ac:dyDescent="0.2">
      <c r="E4088" s="9" t="s">
        <v>45</v>
      </c>
      <c r="K4088" t="str">
        <v xml:space="preserve">me
</v>
      </c>
      <c r="L4088" s="4" t="str">
        <f t="shared" si="75"/>
        <v xml:space="preserve">me </v>
      </c>
      <c r="M4088" t="str">
        <v>twice</v>
      </c>
      <c r="N4088" s="4" cm="1">
        <f t="array" ref="N4088">SUM(--(_xlfn.TEXTSPLIT($J$4059,, " ") = M4088))</f>
        <v>1</v>
      </c>
      <c r="O4088">
        <v>2</v>
      </c>
      <c r="P4088" t="str">
        <v>'Cause</v>
      </c>
      <c r="Q4088">
        <v>2</v>
      </c>
    </row>
    <row r="4089" spans="5:17" x14ac:dyDescent="0.2">
      <c r="E4089" s="9" t="s">
        <v>45</v>
      </c>
      <c r="K4089" t="str">
        <v>Maybe</v>
      </c>
      <c r="L4089" s="4" t="str">
        <f t="shared" si="75"/>
        <v>Maybe</v>
      </c>
      <c r="M4089" t="str">
        <v xml:space="preserve">three
</v>
      </c>
      <c r="N4089" s="4" cm="1">
        <f t="array" ref="N4089">SUM(--(_xlfn.TEXTSPLIT($J$4059,, " ") = M4089))</f>
        <v>1</v>
      </c>
      <c r="O4089">
        <v>2</v>
      </c>
      <c r="P4089" t="str">
        <v>then</v>
      </c>
      <c r="Q4089">
        <v>2</v>
      </c>
    </row>
    <row r="4090" spans="5:17" x14ac:dyDescent="0.2">
      <c r="E4090" s="9" t="s">
        <v>45</v>
      </c>
      <c r="K4090" t="str">
        <v>once</v>
      </c>
      <c r="L4090" s="4" t="str">
        <f t="shared" si="75"/>
        <v>once</v>
      </c>
      <c r="M4090" t="str">
        <v>He's</v>
      </c>
      <c r="N4090" s="4" cm="1">
        <f t="array" ref="N4090">SUM(--(_xlfn.TEXTSPLIT($J$4059,, " ") = M4090))</f>
        <v>1</v>
      </c>
      <c r="O4090">
        <v>2</v>
      </c>
      <c r="P4090" t="str">
        <v>path</v>
      </c>
      <c r="Q4090">
        <v>2</v>
      </c>
    </row>
    <row r="4091" spans="5:17" x14ac:dyDescent="0.2">
      <c r="E4091" s="9" t="s">
        <v>45</v>
      </c>
      <c r="K4091" t="str">
        <v>or</v>
      </c>
      <c r="L4091" s="4" t="str">
        <f t="shared" si="75"/>
        <v>or</v>
      </c>
      <c r="M4091" t="str">
        <v>tried</v>
      </c>
      <c r="N4091" s="4" cm="1">
        <f t="array" ref="N4091">SUM(--(_xlfn.TEXTSPLIT($J$4059,, " ") = M4091))</f>
        <v>1</v>
      </c>
      <c r="O4091">
        <v>2</v>
      </c>
      <c r="P4091" t="str">
        <v>left</v>
      </c>
      <c r="Q4091">
        <v>2</v>
      </c>
    </row>
    <row r="4092" spans="5:17" x14ac:dyDescent="0.2">
      <c r="E4092" s="9" t="s">
        <v>45</v>
      </c>
      <c r="K4092" t="str">
        <v>twice</v>
      </c>
      <c r="L4092" s="4" t="str">
        <f t="shared" si="75"/>
        <v>twice</v>
      </c>
      <c r="M4092" t="str">
        <v>his</v>
      </c>
      <c r="N4092" s="4" cm="1">
        <f t="array" ref="N4092">SUM(--(_xlfn.TEXTSPLIT($J$4059,, " ") = M4092))</f>
        <v>1</v>
      </c>
      <c r="O4092">
        <v>2</v>
      </c>
      <c r="P4092" t="str">
        <v>there</v>
      </c>
      <c r="Q4092">
        <v>2</v>
      </c>
    </row>
    <row r="4093" spans="5:17" x14ac:dyDescent="0.2">
      <c r="E4093" s="9" t="s">
        <v>45</v>
      </c>
      <c r="K4093" t="str">
        <v>or</v>
      </c>
      <c r="L4093" s="4" t="str">
        <f t="shared" si="75"/>
        <v>or</v>
      </c>
      <c r="M4093" t="str">
        <v>hand</v>
      </c>
      <c r="N4093" s="4" cm="1">
        <f t="array" ref="N4093">SUM(--(_xlfn.TEXTSPLIT($J$4059,, " ") = M4093))</f>
        <v>1</v>
      </c>
      <c r="O4093">
        <v>2</v>
      </c>
      <c r="P4093" t="str">
        <v>Laying</v>
      </c>
      <c r="Q4093">
        <v>2</v>
      </c>
    </row>
    <row r="4094" spans="5:17" x14ac:dyDescent="0.2">
      <c r="E4094" s="9" t="s">
        <v>45</v>
      </c>
      <c r="K4094" t="str">
        <v xml:space="preserve">three
</v>
      </c>
      <c r="L4094" s="4" t="str">
        <f t="shared" si="75"/>
        <v xml:space="preserve">three </v>
      </c>
      <c r="M4094" t="str">
        <v>drowning</v>
      </c>
      <c r="N4094" s="4" cm="1">
        <f t="array" ref="N4094">SUM(--(_xlfn.TEXTSPLIT($J$4059,, " ") = M4094))</f>
        <v>1</v>
      </c>
      <c r="O4094">
        <v>2</v>
      </c>
      <c r="P4094" t="str">
        <v xml:space="preserve">(Yeah)
</v>
      </c>
      <c r="Q4094">
        <v>2</v>
      </c>
    </row>
    <row r="4095" spans="5:17" x14ac:dyDescent="0.2">
      <c r="E4095" s="9" t="s">
        <v>45</v>
      </c>
      <c r="K4095" t="str">
        <v>He's</v>
      </c>
      <c r="L4095" s="4" t="str">
        <f t="shared" si="75"/>
        <v>He s</v>
      </c>
      <c r="M4095" t="str">
        <v>But</v>
      </c>
      <c r="N4095" s="4" cm="1">
        <f t="array" ref="N4095">SUM(--(_xlfn.TEXTSPLIT($J$4059,, " ") = M4095))</f>
        <v>1</v>
      </c>
      <c r="O4095">
        <v>2</v>
      </c>
      <c r="P4095" t="str">
        <v>dug</v>
      </c>
      <c r="Q4095">
        <v>2</v>
      </c>
    </row>
    <row r="4096" spans="5:17" x14ac:dyDescent="0.2">
      <c r="E4096" s="9" t="s">
        <v>45</v>
      </c>
      <c r="K4096" t="str">
        <v>tried</v>
      </c>
      <c r="L4096" s="4" t="str">
        <f t="shared" si="75"/>
        <v>tried</v>
      </c>
      <c r="M4096" t="str">
        <v>I'm</v>
      </c>
      <c r="N4096" s="4" cm="1">
        <f t="array" ref="N4096">SUM(--(_xlfn.TEXTSPLIT($J$4059,, " ") = M4096))</f>
        <v>4</v>
      </c>
      <c r="O4096">
        <v>2</v>
      </c>
      <c r="P4096" t="str">
        <v>heels</v>
      </c>
      <c r="Q4096">
        <v>2</v>
      </c>
    </row>
    <row r="4097" spans="5:17" x14ac:dyDescent="0.2">
      <c r="E4097" s="9" t="s">
        <v>45</v>
      </c>
      <c r="K4097" t="str">
        <v>his</v>
      </c>
      <c r="L4097" s="4" t="str">
        <f t="shared" si="75"/>
        <v>his</v>
      </c>
      <c r="M4097" t="str">
        <v>still</v>
      </c>
      <c r="N4097" s="4" cm="1">
        <f t="array" ref="N4097">SUM(--(_xlfn.TEXTSPLIT($J$4059,, " ") = M4097))</f>
        <v>1</v>
      </c>
      <c r="O4097">
        <v>2</v>
      </c>
      <c r="P4097" t="str">
        <v>into</v>
      </c>
      <c r="Q4097">
        <v>2</v>
      </c>
    </row>
    <row r="4098" spans="5:17" x14ac:dyDescent="0.2">
      <c r="E4098" s="9" t="s">
        <v>45</v>
      </c>
      <c r="K4098" t="str">
        <v>hand</v>
      </c>
      <c r="L4098" s="4" t="str">
        <f t="shared" si="75"/>
        <v>hand</v>
      </c>
      <c r="M4098" t="str">
        <v>on</v>
      </c>
      <c r="N4098" s="4" cm="1">
        <f t="array" ref="N4098">SUM(--(_xlfn.TEXTSPLIT($J$4059,, " ") = M4098))</f>
        <v>5</v>
      </c>
      <c r="O4098">
        <v>2</v>
      </c>
      <c r="P4098" t="str">
        <v>gravel</v>
      </c>
      <c r="Q4098">
        <v>2</v>
      </c>
    </row>
    <row r="4099" spans="5:17" x14ac:dyDescent="0.2">
      <c r="E4099" s="9" t="s">
        <v>45</v>
      </c>
      <c r="K4099" t="str">
        <v>at</v>
      </c>
      <c r="L4099" s="4" t="str">
        <f t="shared" si="75"/>
        <v>at</v>
      </c>
      <c r="M4099" t="str">
        <v xml:space="preserve">fire
</v>
      </c>
      <c r="N4099" s="4" cm="1">
        <f t="array" ref="N4099">SUM(--(_xlfn.TEXTSPLIT($J$4059,, " ") = M4099))</f>
        <v>1</v>
      </c>
      <c r="O4099">
        <v>2</v>
      </c>
      <c r="P4099" t="str">
        <v>For</v>
      </c>
      <c r="Q4099">
        <v>2</v>
      </c>
    </row>
    <row r="4100" spans="5:17" x14ac:dyDescent="0.2">
      <c r="E4100" s="9" t="s">
        <v>45</v>
      </c>
      <c r="K4100" t="str">
        <v>drowning</v>
      </c>
      <c r="L4100" s="4" t="str">
        <f t="shared" si="75"/>
        <v>drowning</v>
      </c>
      <c r="M4100" t="str">
        <v>least</v>
      </c>
      <c r="N4100" s="4" cm="1">
        <f t="array" ref="N4100">SUM(--(_xlfn.TEXTSPLIT($J$4059,, " ") = M4100))</f>
        <v>1</v>
      </c>
      <c r="O4100">
        <v>2</v>
      </c>
      <c r="P4100" t="str">
        <v>unravel</v>
      </c>
      <c r="Q4100">
        <v>2</v>
      </c>
    </row>
    <row r="4101" spans="5:17" x14ac:dyDescent="0.2">
      <c r="E4101" s="9" t="s">
        <v>45</v>
      </c>
      <c r="K4101" t="str">
        <v xml:space="preserve">me
</v>
      </c>
      <c r="L4101" s="4" t="str">
        <f t="shared" si="75"/>
        <v xml:space="preserve">me </v>
      </c>
      <c r="M4101" t="str">
        <v>pretty</v>
      </c>
      <c r="N4101" s="4" cm="1">
        <f t="array" ref="N4101">SUM(--(_xlfn.TEXTSPLIT($J$4059,, " ") = M4101))</f>
        <v>1</v>
      </c>
      <c r="O4101">
        <v>2</v>
      </c>
      <c r="P4101" t="str">
        <v>What</v>
      </c>
      <c r="Q4101">
        <v>2</v>
      </c>
    </row>
    <row r="4102" spans="5:17" x14ac:dyDescent="0.2">
      <c r="E4102" s="9" t="s">
        <v>45</v>
      </c>
      <c r="K4102" t="str">
        <v>But</v>
      </c>
      <c r="L4102" s="4" t="str">
        <f t="shared" si="75"/>
        <v>But</v>
      </c>
      <c r="M4102" t="str">
        <v xml:space="preserve">sure
</v>
      </c>
      <c r="N4102" s="4" cm="1">
        <f t="array" ref="N4102">SUM(--(_xlfn.TEXTSPLIT($J$4059,, " ") = M4102))</f>
        <v>1</v>
      </c>
      <c r="O4102">
        <v>2</v>
      </c>
      <c r="P4102" t="str">
        <v>will</v>
      </c>
      <c r="Q4102">
        <v>2</v>
      </c>
    </row>
    <row r="4103" spans="5:17" x14ac:dyDescent="0.2">
      <c r="E4103" s="9" t="s">
        <v>45</v>
      </c>
      <c r="K4103" t="str">
        <v>I'm</v>
      </c>
      <c r="L4103" s="4" t="str">
        <f t="shared" si="75"/>
        <v>I m</v>
      </c>
      <c r="M4103" t="str">
        <v>When</v>
      </c>
      <c r="N4103" s="4" cm="1">
        <f t="array" ref="N4103">SUM(--(_xlfn.TEXTSPLIT($J$4059,, " ") = M4103))</f>
        <v>1</v>
      </c>
      <c r="O4103">
        <v>2</v>
      </c>
      <c r="P4103" t="str">
        <v xml:space="preserve">do?
</v>
      </c>
      <c r="Q4103">
        <v>2</v>
      </c>
    </row>
    <row r="4104" spans="5:17" x14ac:dyDescent="0.2">
      <c r="E4104" s="9" t="s">
        <v>45</v>
      </c>
      <c r="K4104" t="str">
        <v>still</v>
      </c>
      <c r="L4104" s="4" t="str">
        <f t="shared" si="75"/>
        <v>still</v>
      </c>
      <c r="M4104" t="str">
        <v>I'll</v>
      </c>
      <c r="N4104" s="4" cm="1">
        <f t="array" ref="N4104">SUM(--(_xlfn.TEXTSPLIT($J$4059,, " ") = M4104))</f>
        <v>2</v>
      </c>
      <c r="O4104">
        <v>2</v>
      </c>
      <c r="P4104" t="str">
        <v>Please,</v>
      </c>
      <c r="Q4104">
        <v>2</v>
      </c>
    </row>
    <row r="4105" spans="5:17" x14ac:dyDescent="0.2">
      <c r="E4105" s="9" t="s">
        <v>45</v>
      </c>
      <c r="K4105" t="str">
        <v>on</v>
      </c>
      <c r="L4105" s="4" t="str">
        <f t="shared" si="75"/>
        <v>on</v>
      </c>
      <c r="M4105" t="str">
        <v>look</v>
      </c>
      <c r="N4105" s="4" cm="1">
        <f t="array" ref="N4105">SUM(--(_xlfn.TEXTSPLIT($J$4059,, " ") = M4105))</f>
        <v>1</v>
      </c>
      <c r="O4105">
        <v>2</v>
      </c>
      <c r="P4105" t="str">
        <v>please</v>
      </c>
      <c r="Q4105">
        <v>2</v>
      </c>
    </row>
    <row r="4106" spans="5:17" x14ac:dyDescent="0.2">
      <c r="E4106" s="9" t="s">
        <v>45</v>
      </c>
      <c r="K4106" t="str">
        <v xml:space="preserve">fire
</v>
      </c>
      <c r="L4106" s="4" t="str">
        <f t="shared" si="75"/>
        <v xml:space="preserve">fire </v>
      </c>
      <c r="M4106" t="str">
        <v>away</v>
      </c>
      <c r="N4106" s="4" cm="1">
        <f t="array" ref="N4106">SUM(--(_xlfn.TEXTSPLIT($J$4059,, " ") = M4106))</f>
        <v>1</v>
      </c>
      <c r="O4106">
        <v>1</v>
      </c>
      <c r="P4106" t="str">
        <v/>
      </c>
      <c r="Q4106">
        <v>1</v>
      </c>
    </row>
    <row r="4107" spans="5:17" x14ac:dyDescent="0.2">
      <c r="E4107" s="9" t="s">
        <v>45</v>
      </c>
      <c r="K4107" t="str">
        <v>At</v>
      </c>
      <c r="L4107" s="4" t="str">
        <f t="shared" si="75"/>
        <v>At</v>
      </c>
      <c r="M4107" t="str">
        <v>and</v>
      </c>
      <c r="N4107" s="4" cm="1">
        <f t="array" ref="N4107">SUM(--(_xlfn.TEXTSPLIT($J$4059,, " ") = M4107))</f>
        <v>1</v>
      </c>
      <c r="O4107">
        <v>1</v>
      </c>
      <c r="P4107" t="str">
        <v>"When</v>
      </c>
      <c r="Q4107">
        <v>1</v>
      </c>
    </row>
    <row r="4108" spans="5:17" x14ac:dyDescent="0.2">
      <c r="E4108" s="9" t="s">
        <v>45</v>
      </c>
      <c r="K4108" t="str">
        <v>least</v>
      </c>
      <c r="L4108" s="4" t="str">
        <f t="shared" si="75"/>
        <v>least</v>
      </c>
      <c r="M4108" t="str">
        <v>smile</v>
      </c>
      <c r="N4108" s="4" cm="1">
        <f t="array" ref="N4108">SUM(--(_xlfn.TEXTSPLIT($J$4059,, " ") = M4108))</f>
        <v>1</v>
      </c>
      <c r="O4108">
        <v>1</v>
      </c>
      <c r="P4108" t="str">
        <v>current</v>
      </c>
      <c r="Q4108">
        <v>1</v>
      </c>
    </row>
    <row r="4109" spans="5:17" x14ac:dyDescent="0.2">
      <c r="E4109" s="9" t="s">
        <v>45</v>
      </c>
      <c r="K4109" t="str">
        <v>I'm</v>
      </c>
      <c r="L4109" s="4" t="str">
        <f t="shared" si="75"/>
        <v>I m</v>
      </c>
      <c r="M4109" t="str">
        <v xml:space="preserve">wide
</v>
      </c>
      <c r="N4109" s="4" cm="1">
        <f t="array" ref="N4109">SUM(--(_xlfn.TEXTSPLIT($J$4059,, " ") = M4109))</f>
        <v>1</v>
      </c>
      <c r="O4109">
        <v>1</v>
      </c>
      <c r="P4109" t="str">
        <v>travels</v>
      </c>
      <c r="Q4109">
        <v>1</v>
      </c>
    </row>
    <row r="4110" spans="5:17" x14ac:dyDescent="0.2">
      <c r="E4110" s="9" t="s">
        <v>45</v>
      </c>
      <c r="K4110" t="str">
        <v>pretty</v>
      </c>
      <c r="L4110" s="4" t="str">
        <f t="shared" si="75"/>
        <v>pretty</v>
      </c>
      <c r="M4110" t="str">
        <v>You</v>
      </c>
      <c r="N4110" s="4" cm="1">
        <f t="array" ref="N4110">SUM(--(_xlfn.TEXTSPLIT($J$4059,, " ") = M4110))</f>
        <v>19</v>
      </c>
      <c r="O4110">
        <v>1</v>
      </c>
      <c r="P4110" t="str">
        <v>down</v>
      </c>
      <c r="Q4110">
        <v>1</v>
      </c>
    </row>
    <row r="4111" spans="5:17" x14ac:dyDescent="0.2">
      <c r="E4111" s="9" t="s">
        <v>45</v>
      </c>
      <c r="K4111" t="str">
        <v xml:space="preserve">sure
</v>
      </c>
      <c r="L4111" s="4" t="str">
        <f t="shared" si="75"/>
        <v xml:space="preserve">sure  </v>
      </c>
      <c r="M4111" t="str">
        <v>'Cause</v>
      </c>
      <c r="N4111" s="4" cm="1">
        <f t="array" ref="N4111">SUM(--(_xlfn.TEXTSPLIT($J$4059,, " ") = M4111))</f>
        <v>2</v>
      </c>
      <c r="O4111">
        <v>1</v>
      </c>
      <c r="P4111" t="str">
        <v xml:space="preserve">spine
</v>
      </c>
      <c r="Q4111">
        <v>1</v>
      </c>
    </row>
    <row r="4112" spans="5:17" x14ac:dyDescent="0.2">
      <c r="E4112" s="9" t="s">
        <v>45</v>
      </c>
      <c r="K4112" t="str">
        <v>When</v>
      </c>
      <c r="L4112" s="4" t="str">
        <f t="shared" si="75"/>
        <v>When</v>
      </c>
      <c r="M4112" t="str">
        <v>then</v>
      </c>
      <c r="N4112" s="4" cm="1">
        <f t="array" ref="N4112">SUM(--(_xlfn.TEXTSPLIT($J$4059,, " ") = M4112))</f>
        <v>2</v>
      </c>
      <c r="O4112">
        <v>1</v>
      </c>
      <c r="P4112" t="str">
        <v>Seems</v>
      </c>
      <c r="Q4112">
        <v>1</v>
      </c>
    </row>
    <row r="4113" spans="5:17" x14ac:dyDescent="0.2">
      <c r="E4113" s="9" t="s">
        <v>45</v>
      </c>
      <c r="K4113" t="str">
        <v>I</v>
      </c>
      <c r="L4113" s="4" t="str">
        <f t="shared" si="75"/>
        <v>I</v>
      </c>
      <c r="M4113" t="str">
        <v>know</v>
      </c>
      <c r="N4113" s="4" cm="1">
        <f t="array" ref="N4113">SUM(--(_xlfn.TEXTSPLIT($J$4059,, " ") = M4113))</f>
        <v>1</v>
      </c>
      <c r="O4113">
        <v>1</v>
      </c>
      <c r="P4113" t="str">
        <v>though</v>
      </c>
      <c r="Q4113">
        <v>1</v>
      </c>
    </row>
    <row r="4114" spans="5:17" x14ac:dyDescent="0.2">
      <c r="E4114" s="9" t="s">
        <v>45</v>
      </c>
      <c r="K4114" t="str">
        <v>see</v>
      </c>
      <c r="L4114" s="4" t="str">
        <f t="shared" si="75"/>
        <v>see</v>
      </c>
      <c r="M4114" t="str">
        <v>you're</v>
      </c>
      <c r="N4114" s="4" cm="1">
        <f t="array" ref="N4114">SUM(--(_xlfn.TEXTSPLIT($J$4059,, " ") = M4114))</f>
        <v>1</v>
      </c>
      <c r="O4114">
        <v>1</v>
      </c>
      <c r="P4114" t="str">
        <v>I've</v>
      </c>
      <c r="Q4114">
        <v>1</v>
      </c>
    </row>
    <row r="4115" spans="5:17" x14ac:dyDescent="0.2">
      <c r="E4115" s="9" t="s">
        <v>45</v>
      </c>
      <c r="K4115" t="str">
        <v>the</v>
      </c>
      <c r="L4115" s="4" t="str">
        <f t="shared" si="75"/>
        <v>the</v>
      </c>
      <c r="M4115" t="str">
        <v>also</v>
      </c>
      <c r="N4115" s="4" cm="1">
        <f t="array" ref="N4115">SUM(--(_xlfn.TEXTSPLIT($J$4059,, " ") = M4115))</f>
        <v>1</v>
      </c>
      <c r="O4115">
        <v>1</v>
      </c>
      <c r="P4115" t="str">
        <v>lost</v>
      </c>
      <c r="Q4115">
        <v>1</v>
      </c>
    </row>
    <row r="4116" spans="5:17" x14ac:dyDescent="0.2">
      <c r="E4116" s="9" t="s">
        <v>45</v>
      </c>
      <c r="K4116" t="str">
        <v>devil's</v>
      </c>
      <c r="L4116" s="4" t="str">
        <f t="shared" si="75"/>
        <v>devil s</v>
      </c>
      <c r="M4116" t="str">
        <v xml:space="preserve">there
</v>
      </c>
      <c r="N4116" s="4" cm="1">
        <f t="array" ref="N4116">SUM(--(_xlfn.TEXTSPLIT($J$4059,, " ") = M4116))</f>
        <v>1</v>
      </c>
      <c r="O4116">
        <v>1</v>
      </c>
      <c r="P4116" t="str">
        <v xml:space="preserve">again
</v>
      </c>
      <c r="Q4116">
        <v>1</v>
      </c>
    </row>
    <row r="4117" spans="5:17" x14ac:dyDescent="0.2">
      <c r="E4117" s="9" t="s">
        <v>45</v>
      </c>
      <c r="K4117" t="str">
        <v xml:space="preserve">eyes
</v>
      </c>
      <c r="L4117" s="4" t="str">
        <f t="shared" si="75"/>
        <v xml:space="preserve">eyes </v>
      </c>
      <c r="M4117" t="str">
        <v>proof</v>
      </c>
      <c r="N4117" s="4" cm="1">
        <f t="array" ref="N4117">SUM(--(_xlfn.TEXTSPLIT($J$4059,, " ") = M4117))</f>
        <v>1</v>
      </c>
      <c r="O4117">
        <v>1</v>
      </c>
      <c r="P4117" t="str">
        <v>story</v>
      </c>
      <c r="Q4117">
        <v>1</v>
      </c>
    </row>
    <row r="4118" spans="5:17" x14ac:dyDescent="0.2">
      <c r="E4118" s="9" t="s">
        <v>45</v>
      </c>
      <c r="K4118" t="str">
        <v>I'll</v>
      </c>
      <c r="L4118" s="4" t="str">
        <f t="shared" si="75"/>
        <v>I ll</v>
      </c>
      <c r="M4118" t="str">
        <v>is</v>
      </c>
      <c r="N4118" s="4" cm="1">
        <f t="array" ref="N4118">SUM(--(_xlfn.TEXTSPLIT($J$4059,, " ") = M4118))</f>
        <v>1</v>
      </c>
      <c r="O4118">
        <v>1</v>
      </c>
      <c r="P4118" t="str">
        <v>told</v>
      </c>
      <c r="Q4118">
        <v>1</v>
      </c>
    </row>
    <row r="4119" spans="5:17" x14ac:dyDescent="0.2">
      <c r="E4119" s="9" t="s">
        <v>45</v>
      </c>
      <c r="K4119" t="str">
        <v>look</v>
      </c>
      <c r="L4119" s="4" t="str">
        <f t="shared" si="75"/>
        <v>look</v>
      </c>
      <c r="M4119" t="str">
        <v>in</v>
      </c>
      <c r="N4119" s="4" cm="1">
        <f t="array" ref="N4119">SUM(--(_xlfn.TEXTSPLIT($J$4059,, " ") = M4119))</f>
        <v>5</v>
      </c>
      <c r="O4119">
        <v>1</v>
      </c>
      <c r="P4119" t="str">
        <v xml:space="preserve">nauseam
</v>
      </c>
      <c r="Q4119">
        <v>1</v>
      </c>
    </row>
    <row r="4120" spans="5:17" x14ac:dyDescent="0.2">
      <c r="E4120" s="9" t="s">
        <v>45</v>
      </c>
      <c r="K4120" t="str">
        <v>away</v>
      </c>
      <c r="L4120" s="4" t="str">
        <f t="shared" si="75"/>
        <v>away</v>
      </c>
      <c r="M4120" t="str">
        <v xml:space="preserve">opposite
</v>
      </c>
      <c r="N4120" s="4" cm="1">
        <f t="array" ref="N4120">SUM(--(_xlfn.TEXTSPLIT($J$4059,, " ") = M4120))</f>
        <v>1</v>
      </c>
      <c r="O4120">
        <v>1</v>
      </c>
      <c r="P4120" t="str">
        <v>Maybe</v>
      </c>
      <c r="Q4120">
        <v>1</v>
      </c>
    </row>
    <row r="4121" spans="5:17" x14ac:dyDescent="0.2">
      <c r="E4121" s="9" t="s">
        <v>45</v>
      </c>
      <c r="K4121" t="str">
        <v>and</v>
      </c>
      <c r="L4121" s="4" t="str">
        <f t="shared" si="75"/>
        <v>and</v>
      </c>
      <c r="M4121" t="str">
        <v xml:space="preserve">me
</v>
      </c>
      <c r="N4121" s="4" cm="1">
        <f t="array" ref="N4121">SUM(--(_xlfn.TEXTSPLIT($J$4059,, " ") = M4121))</f>
        <v>1</v>
      </c>
      <c r="O4121">
        <v>1</v>
      </c>
      <c r="P4121" t="str">
        <v>once</v>
      </c>
      <c r="Q4121">
        <v>1</v>
      </c>
    </row>
    <row r="4122" spans="5:17" x14ac:dyDescent="0.2">
      <c r="E4122" s="9" t="s">
        <v>45</v>
      </c>
      <c r="K4122" t="str">
        <v>smile</v>
      </c>
      <c r="L4122" s="4" t="str">
        <f t="shared" si="75"/>
        <v>smile</v>
      </c>
      <c r="M4122" t="str">
        <v>drag</v>
      </c>
      <c r="N4122" s="4" cm="1">
        <f t="array" ref="N4122">SUM(--(_xlfn.TEXTSPLIT($J$4059,, " ") = M4122))</f>
        <v>3</v>
      </c>
      <c r="O4122">
        <v>1</v>
      </c>
      <c r="P4122" t="str">
        <v>twice</v>
      </c>
      <c r="Q4122">
        <v>1</v>
      </c>
    </row>
    <row r="4123" spans="5:17" x14ac:dyDescent="0.2">
      <c r="E4123" s="9" t="s">
        <v>45</v>
      </c>
      <c r="K4123" t="str">
        <v xml:space="preserve">wide
</v>
      </c>
      <c r="L4123" s="4" t="str">
        <f t="shared" si="75"/>
        <v xml:space="preserve">wide </v>
      </c>
      <c r="M4123" t="str">
        <v>path</v>
      </c>
      <c r="N4123" s="4" cm="1">
        <f t="array" ref="N4123">SUM(--(_xlfn.TEXTSPLIT($J$4059,, " ") = M4123))</f>
        <v>2</v>
      </c>
      <c r="O4123">
        <v>1</v>
      </c>
      <c r="P4123" t="str">
        <v xml:space="preserve">three
</v>
      </c>
      <c r="Q4123">
        <v>1</v>
      </c>
    </row>
    <row r="4124" spans="5:17" x14ac:dyDescent="0.2">
      <c r="E4124" s="9" t="s">
        <v>45</v>
      </c>
      <c r="K4124" t="str">
        <v>You</v>
      </c>
      <c r="L4124" s="4" t="str">
        <f t="shared" ref="L4124:L4187" si="76">_xlfn.REGEXREPLACE(K4124, "[^A-Za-z ]", " ")</f>
        <v>You</v>
      </c>
      <c r="M4124" t="str">
        <v>etched</v>
      </c>
      <c r="N4124" s="4" cm="1">
        <f t="array" ref="N4124">SUM(--(_xlfn.TEXTSPLIT($J$4059,, " ") = M4124))</f>
        <v>4</v>
      </c>
      <c r="O4124">
        <v>1</v>
      </c>
      <c r="P4124" t="str">
        <v>He's</v>
      </c>
      <c r="Q4124">
        <v>1</v>
      </c>
    </row>
    <row r="4125" spans="5:17" x14ac:dyDescent="0.2">
      <c r="E4125" s="9" t="s">
        <v>45</v>
      </c>
      <c r="K4125" t="str">
        <v>found</v>
      </c>
      <c r="L4125" s="4" t="str">
        <f t="shared" si="76"/>
        <v>found</v>
      </c>
      <c r="M4125" t="str">
        <v>surface</v>
      </c>
      <c r="N4125" s="4" cm="1">
        <f t="array" ref="N4125">SUM(--(_xlfn.TEXTSPLIT($J$4059,, " ") = M4125))</f>
        <v>4</v>
      </c>
      <c r="O4125">
        <v>1</v>
      </c>
      <c r="P4125" t="str">
        <v>tried</v>
      </c>
      <c r="Q4125">
        <v>1</v>
      </c>
    </row>
    <row r="4126" spans="5:17" x14ac:dyDescent="0.2">
      <c r="E4126" s="9" t="s">
        <v>45</v>
      </c>
      <c r="K4126" t="str">
        <v xml:space="preserve">me
</v>
      </c>
      <c r="L4126" s="4" t="str">
        <f t="shared" si="76"/>
        <v xml:space="preserve">me </v>
      </c>
      <c r="M4126" t="str">
        <v xml:space="preserve">evidence
</v>
      </c>
      <c r="N4126" s="4" cm="1">
        <f t="array" ref="N4126">SUM(--(_xlfn.TEXTSPLIT($J$4059,, " ") = M4126))</f>
        <v>4</v>
      </c>
      <c r="O4126">
        <v>1</v>
      </c>
      <c r="P4126" t="str">
        <v>his</v>
      </c>
      <c r="Q4126">
        <v>1</v>
      </c>
    </row>
    <row r="4127" spans="5:17" x14ac:dyDescent="0.2">
      <c r="E4127" s="9" t="s">
        <v>45</v>
      </c>
      <c r="K4127" t="str">
        <v>'Cause</v>
      </c>
      <c r="L4127" s="4" t="str">
        <f t="shared" si="76"/>
        <v xml:space="preserve"> Cause</v>
      </c>
      <c r="M4127" t="str">
        <v>left</v>
      </c>
      <c r="N4127" s="4" cm="1">
        <f t="array" ref="N4127">SUM(--(_xlfn.TEXTSPLIT($J$4059,, " ") = M4127))</f>
        <v>2</v>
      </c>
      <c r="O4127">
        <v>1</v>
      </c>
      <c r="P4127" t="str">
        <v>hand</v>
      </c>
      <c r="Q4127">
        <v>1</v>
      </c>
    </row>
    <row r="4128" spans="5:17" x14ac:dyDescent="0.2">
      <c r="E4128" s="9" t="s">
        <v>45</v>
      </c>
      <c r="K4128" t="str">
        <v>then</v>
      </c>
      <c r="L4128" s="4" t="str">
        <f t="shared" si="76"/>
        <v>then</v>
      </c>
      <c r="M4128" t="str">
        <v>there</v>
      </c>
      <c r="N4128" s="4" cm="1">
        <f t="array" ref="N4128">SUM(--(_xlfn.TEXTSPLIT($J$4059,, " ") = M4128))</f>
        <v>2</v>
      </c>
      <c r="O4128">
        <v>1</v>
      </c>
      <c r="P4128" t="str">
        <v>drowning</v>
      </c>
      <c r="Q4128">
        <v>1</v>
      </c>
    </row>
    <row r="4129" spans="5:17" x14ac:dyDescent="0.2">
      <c r="E4129" s="9" t="s">
        <v>45</v>
      </c>
      <c r="K4129" t="str">
        <v>I'll</v>
      </c>
      <c r="L4129" s="4" t="str">
        <f t="shared" si="76"/>
        <v>I ll</v>
      </c>
      <c r="M4129" t="str">
        <v>purpose</v>
      </c>
      <c r="N4129" s="4" cm="1">
        <f t="array" ref="N4129">SUM(--(_xlfn.TEXTSPLIT($J$4059,, " ") = M4129))</f>
        <v>1</v>
      </c>
      <c r="O4129">
        <v>1</v>
      </c>
      <c r="P4129" t="str">
        <v>But</v>
      </c>
      <c r="Q4129">
        <v>1</v>
      </c>
    </row>
    <row r="4130" spans="5:17" x14ac:dyDescent="0.2">
      <c r="E4130" s="9" t="s">
        <v>45</v>
      </c>
      <c r="K4130" t="str">
        <v>know</v>
      </c>
      <c r="L4130" s="4" t="str">
        <f t="shared" si="76"/>
        <v>know</v>
      </c>
      <c r="M4130" t="str">
        <v>sad,</v>
      </c>
      <c r="N4130" s="4" cm="1">
        <f t="array" ref="N4130">SUM(--(_xlfn.TEXTSPLIT($J$4059,, " ") = M4130))</f>
        <v>1</v>
      </c>
      <c r="O4130">
        <v>1</v>
      </c>
      <c r="P4130" t="str">
        <v>still</v>
      </c>
      <c r="Q4130">
        <v>1</v>
      </c>
    </row>
    <row r="4131" spans="5:17" x14ac:dyDescent="0.2">
      <c r="E4131" s="9" t="s">
        <v>45</v>
      </c>
      <c r="K4131" t="str">
        <v>you're</v>
      </c>
      <c r="L4131" s="4" t="str">
        <f t="shared" si="76"/>
        <v>you re</v>
      </c>
      <c r="M4131" t="str">
        <v xml:space="preserve">sad
</v>
      </c>
      <c r="N4131" s="4" cm="1">
        <f t="array" ref="N4131">SUM(--(_xlfn.TEXTSPLIT($J$4059,, " ") = M4131))</f>
        <v>1</v>
      </c>
      <c r="O4131">
        <v>1</v>
      </c>
      <c r="P4131" t="str">
        <v xml:space="preserve">fire
</v>
      </c>
      <c r="Q4131">
        <v>1</v>
      </c>
    </row>
    <row r="4132" spans="5:17" x14ac:dyDescent="0.2">
      <c r="E4132" s="9" t="s">
        <v>45</v>
      </c>
      <c r="K4132" t="str">
        <v>also</v>
      </c>
      <c r="L4132" s="4" t="str">
        <f t="shared" si="76"/>
        <v>also</v>
      </c>
      <c r="M4132" t="str">
        <v>Laying</v>
      </c>
      <c r="N4132" s="4" cm="1">
        <f t="array" ref="N4132">SUM(--(_xlfn.TEXTSPLIT($J$4059,, " ") = M4132))</f>
        <v>2</v>
      </c>
      <c r="O4132">
        <v>1</v>
      </c>
      <c r="P4132" t="str">
        <v>least</v>
      </c>
      <c r="Q4132">
        <v>1</v>
      </c>
    </row>
    <row r="4133" spans="5:17" x14ac:dyDescent="0.2">
      <c r="E4133" s="9" t="s">
        <v>45</v>
      </c>
      <c r="K4133" t="str">
        <v xml:space="preserve">there
</v>
      </c>
      <c r="L4133" s="4" t="str">
        <f t="shared" si="76"/>
        <v xml:space="preserve">there </v>
      </c>
      <c r="M4133" t="str">
        <v xml:space="preserve">(Yeah)
</v>
      </c>
      <c r="N4133" s="4" cm="1">
        <f t="array" ref="N4133">SUM(--(_xlfn.TEXTSPLIT($J$4059,, " ") = M4133))</f>
        <v>2</v>
      </c>
      <c r="O4133">
        <v>1</v>
      </c>
      <c r="P4133" t="str">
        <v>pretty</v>
      </c>
      <c r="Q4133">
        <v>1</v>
      </c>
    </row>
    <row r="4134" spans="5:17" x14ac:dyDescent="0.2">
      <c r="E4134" s="9" t="s">
        <v>45</v>
      </c>
      <c r="K4134" t="str">
        <v>'Cause</v>
      </c>
      <c r="L4134" s="4" t="str">
        <f t="shared" si="76"/>
        <v xml:space="preserve"> Cause</v>
      </c>
      <c r="M4134" t="str">
        <v>Can</v>
      </c>
      <c r="N4134" s="4" cm="1">
        <f t="array" ref="N4134">SUM(--(_xlfn.TEXTSPLIT($J$4059,, " ") = M4134))</f>
        <v>13</v>
      </c>
      <c r="O4134">
        <v>1</v>
      </c>
      <c r="P4134" t="str">
        <v xml:space="preserve">sure
</v>
      </c>
      <c r="Q4134">
        <v>1</v>
      </c>
    </row>
    <row r="4135" spans="5:17" x14ac:dyDescent="0.2">
      <c r="E4135" s="9" t="s">
        <v>45</v>
      </c>
      <c r="K4135" t="str">
        <v>proof</v>
      </c>
      <c r="L4135" s="4" t="str">
        <f t="shared" si="76"/>
        <v>proof</v>
      </c>
      <c r="M4135" t="str">
        <v>find</v>
      </c>
      <c r="N4135" s="4" cm="1">
        <f t="array" ref="N4135">SUM(--(_xlfn.TEXTSPLIT($J$4059,, " ") = M4135))</f>
        <v>11</v>
      </c>
      <c r="O4135">
        <v>1</v>
      </c>
      <c r="P4135" t="str">
        <v>When</v>
      </c>
      <c r="Q4135">
        <v>1</v>
      </c>
    </row>
    <row r="4136" spans="5:17" x14ac:dyDescent="0.2">
      <c r="E4136" s="9" t="s">
        <v>45</v>
      </c>
      <c r="K4136" t="str">
        <v>is</v>
      </c>
      <c r="L4136" s="4" t="str">
        <f t="shared" si="76"/>
        <v>is</v>
      </c>
      <c r="M4136" t="str">
        <v>me?</v>
      </c>
      <c r="N4136" s="4" cm="1">
        <f t="array" ref="N4136">SUM(--(_xlfn.TEXTSPLIT($J$4059,, " ") = M4136))</f>
        <v>5</v>
      </c>
      <c r="O4136">
        <v>1</v>
      </c>
      <c r="P4136" t="str">
        <v>look</v>
      </c>
      <c r="Q4136">
        <v>1</v>
      </c>
    </row>
    <row r="4137" spans="5:17" x14ac:dyDescent="0.2">
      <c r="E4137" s="9" t="s">
        <v>45</v>
      </c>
      <c r="K4137" t="str">
        <v>in</v>
      </c>
      <c r="L4137" s="4" t="str">
        <f t="shared" si="76"/>
        <v>in</v>
      </c>
      <c r="M4137" t="str">
        <v>dug</v>
      </c>
      <c r="N4137" s="4" cm="1">
        <f t="array" ref="N4137">SUM(--(_xlfn.TEXTSPLIT($J$4059,, " ") = M4137))</f>
        <v>2</v>
      </c>
      <c r="O4137">
        <v>1</v>
      </c>
      <c r="P4137" t="str">
        <v>away</v>
      </c>
      <c r="Q4137">
        <v>1</v>
      </c>
    </row>
    <row r="4138" spans="5:17" x14ac:dyDescent="0.2">
      <c r="E4138" s="9" t="s">
        <v>45</v>
      </c>
      <c r="K4138" t="str">
        <v>the</v>
      </c>
      <c r="L4138" s="4" t="str">
        <f t="shared" si="76"/>
        <v>the</v>
      </c>
      <c r="M4138" t="str">
        <v>heels</v>
      </c>
      <c r="N4138" s="4" cm="1">
        <f t="array" ref="N4138">SUM(--(_xlfn.TEXTSPLIT($J$4059,, " ") = M4138))</f>
        <v>2</v>
      </c>
      <c r="O4138">
        <v>1</v>
      </c>
      <c r="P4138" t="str">
        <v>and</v>
      </c>
      <c r="Q4138">
        <v>1</v>
      </c>
    </row>
    <row r="4139" spans="5:17" x14ac:dyDescent="0.2">
      <c r="E4139" s="9" t="s">
        <v>45</v>
      </c>
      <c r="K4139" t="str">
        <v xml:space="preserve">opposite
</v>
      </c>
      <c r="L4139" s="4" t="str">
        <f t="shared" si="76"/>
        <v xml:space="preserve">opposite </v>
      </c>
      <c r="M4139" t="str">
        <v>into</v>
      </c>
      <c r="N4139" s="4" cm="1">
        <f t="array" ref="N4139">SUM(--(_xlfn.TEXTSPLIT($J$4059,, " ") = M4139))</f>
        <v>2</v>
      </c>
      <c r="O4139">
        <v>1</v>
      </c>
      <c r="P4139" t="str">
        <v>smile</v>
      </c>
      <c r="Q4139">
        <v>1</v>
      </c>
    </row>
    <row r="4140" spans="5:17" x14ac:dyDescent="0.2">
      <c r="E4140" s="9" t="s">
        <v>45</v>
      </c>
      <c r="K4140" t="str">
        <v>You</v>
      </c>
      <c r="L4140" s="4" t="str">
        <f t="shared" si="76"/>
        <v>You</v>
      </c>
      <c r="M4140" t="str">
        <v>gravel</v>
      </c>
      <c r="N4140" s="4" cm="1">
        <f t="array" ref="N4140">SUM(--(_xlfn.TEXTSPLIT($J$4059,, " ") = M4140))</f>
        <v>2</v>
      </c>
      <c r="O4140">
        <v>1</v>
      </c>
      <c r="P4140" t="str">
        <v xml:space="preserve">wide
</v>
      </c>
      <c r="Q4140">
        <v>1</v>
      </c>
    </row>
    <row r="4141" spans="5:17" x14ac:dyDescent="0.2">
      <c r="E4141" s="9" t="s">
        <v>45</v>
      </c>
      <c r="K4141" t="str">
        <v>found</v>
      </c>
      <c r="L4141" s="4" t="str">
        <f t="shared" si="76"/>
        <v>found</v>
      </c>
      <c r="M4141" t="str">
        <v>For</v>
      </c>
      <c r="N4141" s="4" cm="1">
        <f t="array" ref="N4141">SUM(--(_xlfn.TEXTSPLIT($J$4059,, " ") = M4141))</f>
        <v>2</v>
      </c>
      <c r="O4141">
        <v>1</v>
      </c>
      <c r="P4141" t="str">
        <v>know</v>
      </c>
      <c r="Q4141">
        <v>1</v>
      </c>
    </row>
    <row r="4142" spans="5:17" x14ac:dyDescent="0.2">
      <c r="E4142" s="9" t="s">
        <v>45</v>
      </c>
      <c r="K4142" t="str">
        <v xml:space="preserve">me
</v>
      </c>
      <c r="L4142" s="4" t="str">
        <f t="shared" si="76"/>
        <v xml:space="preserve">me  </v>
      </c>
      <c r="M4142" t="str">
        <v>to</v>
      </c>
      <c r="N4142" s="4" cm="1">
        <f t="array" ref="N4142">SUM(--(_xlfn.TEXTSPLIT($J$4059,, " ") = M4142))</f>
        <v>3</v>
      </c>
      <c r="O4142">
        <v>1</v>
      </c>
      <c r="P4142" t="str">
        <v>you're</v>
      </c>
      <c r="Q4142">
        <v>1</v>
      </c>
    </row>
    <row r="4143" spans="5:17" x14ac:dyDescent="0.2">
      <c r="E4143" s="9" t="s">
        <v>45</v>
      </c>
      <c r="K4143" t="str">
        <v>A</v>
      </c>
      <c r="L4143" s="4" t="str">
        <f t="shared" si="76"/>
        <v>A</v>
      </c>
      <c r="M4143" t="str">
        <v>unravel</v>
      </c>
      <c r="N4143" s="4" cm="1">
        <f t="array" ref="N4143">SUM(--(_xlfn.TEXTSPLIT($J$4059,, " ") = M4143))</f>
        <v>2</v>
      </c>
      <c r="O4143">
        <v>1</v>
      </c>
      <c r="P4143" t="str">
        <v>also</v>
      </c>
      <c r="Q4143">
        <v>1</v>
      </c>
    </row>
    <row r="4144" spans="5:17" x14ac:dyDescent="0.2">
      <c r="E4144" s="9" t="s">
        <v>45</v>
      </c>
      <c r="K4144" t="str">
        <v>drag</v>
      </c>
      <c r="L4144" s="4" t="str">
        <f t="shared" si="76"/>
        <v>drag</v>
      </c>
      <c r="M4144" t="str">
        <v xml:space="preserve">me?
</v>
      </c>
      <c r="N4144" s="4" cm="1">
        <f t="array" ref="N4144">SUM(--(_xlfn.TEXTSPLIT($J$4059,, " ") = M4144))</f>
        <v>1</v>
      </c>
      <c r="O4144">
        <v>1</v>
      </c>
      <c r="P4144" t="str">
        <v xml:space="preserve">there
</v>
      </c>
      <c r="Q4144">
        <v>1</v>
      </c>
    </row>
    <row r="4145" spans="5:17" x14ac:dyDescent="0.2">
      <c r="E4145" s="9" t="s">
        <v>45</v>
      </c>
      <c r="K4145" t="str">
        <v>path</v>
      </c>
      <c r="L4145" s="4" t="str">
        <f t="shared" si="76"/>
        <v>path</v>
      </c>
      <c r="M4145" t="str">
        <v>What</v>
      </c>
      <c r="N4145" s="4" cm="1">
        <f t="array" ref="N4145">SUM(--(_xlfn.TEXTSPLIT($J$4059,, " ") = M4145))</f>
        <v>2</v>
      </c>
      <c r="O4145">
        <v>1</v>
      </c>
      <c r="P4145" t="str">
        <v>proof</v>
      </c>
      <c r="Q4145">
        <v>1</v>
      </c>
    </row>
    <row r="4146" spans="5:17" x14ac:dyDescent="0.2">
      <c r="E4146" s="9" t="s">
        <v>45</v>
      </c>
      <c r="K4146" t="str">
        <v>etched</v>
      </c>
      <c r="L4146" s="4" t="str">
        <f t="shared" si="76"/>
        <v>etched</v>
      </c>
      <c r="M4146" t="str">
        <v>will</v>
      </c>
      <c r="N4146" s="4" cm="1">
        <f t="array" ref="N4146">SUM(--(_xlfn.TEXTSPLIT($J$4059,, " ") = M4146))</f>
        <v>2</v>
      </c>
      <c r="O4146">
        <v>1</v>
      </c>
      <c r="P4146" t="str">
        <v>is</v>
      </c>
      <c r="Q4146">
        <v>1</v>
      </c>
    </row>
    <row r="4147" spans="5:17" x14ac:dyDescent="0.2">
      <c r="E4147" s="9" t="s">
        <v>45</v>
      </c>
      <c r="K4147" t="str">
        <v>in</v>
      </c>
      <c r="L4147" s="4" t="str">
        <f t="shared" si="76"/>
        <v>in</v>
      </c>
      <c r="M4147" t="str">
        <v xml:space="preserve">do?
</v>
      </c>
      <c r="N4147" s="4" cm="1">
        <f t="array" ref="N4147">SUM(--(_xlfn.TEXTSPLIT($J$4059,, " ") = M4147))</f>
        <v>2</v>
      </c>
      <c r="O4147">
        <v>1</v>
      </c>
      <c r="P4147" t="str">
        <v xml:space="preserve">opposite
</v>
      </c>
      <c r="Q4147">
        <v>1</v>
      </c>
    </row>
    <row r="4148" spans="5:17" x14ac:dyDescent="0.2">
      <c r="E4148" s="9" t="s">
        <v>45</v>
      </c>
      <c r="K4148" t="str">
        <v>the</v>
      </c>
      <c r="L4148" s="4" t="str">
        <f t="shared" si="76"/>
        <v>the</v>
      </c>
      <c r="M4148" t="str">
        <v>Please,</v>
      </c>
      <c r="N4148" s="4" cm="1">
        <f t="array" ref="N4148">SUM(--(_xlfn.TEXTSPLIT($J$4059,, " ") = M4148))</f>
        <v>2</v>
      </c>
      <c r="O4148">
        <v>1</v>
      </c>
      <c r="P4148" t="str">
        <v xml:space="preserve">me
</v>
      </c>
      <c r="Q4148">
        <v>1</v>
      </c>
    </row>
    <row r="4149" spans="5:17" x14ac:dyDescent="0.2">
      <c r="E4149" s="9" t="s">
        <v>45</v>
      </c>
      <c r="K4149" t="str">
        <v>surface</v>
      </c>
      <c r="L4149" s="4" t="str">
        <f t="shared" si="76"/>
        <v>surface</v>
      </c>
      <c r="M4149" t="str">
        <v>please</v>
      </c>
      <c r="N4149" s="4" cm="1">
        <f t="array" ref="N4149">SUM(--(_xlfn.TEXTSPLIT($J$4059,, " ") = M4149))</f>
        <v>2</v>
      </c>
      <c r="O4149">
        <v>1</v>
      </c>
      <c r="P4149" t="str">
        <v>purpose</v>
      </c>
      <c r="Q4149">
        <v>1</v>
      </c>
    </row>
    <row r="4150" spans="5:17" x14ac:dyDescent="0.2">
      <c r="E4150" s="9" t="s">
        <v>45</v>
      </c>
      <c r="K4150" t="str">
        <v>as</v>
      </c>
      <c r="L4150" s="4" t="str">
        <f t="shared" si="76"/>
        <v>as</v>
      </c>
      <c r="M4150" t="str">
        <v xml:space="preserve">hurry
</v>
      </c>
      <c r="N4150" s="4" cm="1">
        <f t="array" ref="N4150">SUM(--(_xlfn.TEXTSPLIT($J$4059,, " ") = M4150))</f>
        <v>1</v>
      </c>
      <c r="O4150">
        <v>1</v>
      </c>
      <c r="P4150" t="str">
        <v>sad,</v>
      </c>
      <c r="Q4150">
        <v>1</v>
      </c>
    </row>
    <row r="4151" spans="5:17" x14ac:dyDescent="0.2">
      <c r="E4151" s="9" t="s">
        <v>45</v>
      </c>
      <c r="K4151" t="str">
        <v xml:space="preserve">evidence
</v>
      </c>
      <c r="L4151" s="4" t="str">
        <f t="shared" si="76"/>
        <v xml:space="preserve">evidence </v>
      </c>
      <c r="M4151" t="str">
        <v xml:space="preserve">hurry
</v>
      </c>
      <c r="N4151" s="4" cm="1">
        <f t="array" ref="N4151">SUM(--(_xlfn.TEXTSPLIT($J$4059,, " ") = M4151))</f>
        <v>1</v>
      </c>
      <c r="O4151">
        <v>1</v>
      </c>
      <c r="P4151" t="str">
        <v xml:space="preserve">sad
</v>
      </c>
      <c r="Q4151">
        <v>1</v>
      </c>
    </row>
    <row r="4152" spans="5:17" x14ac:dyDescent="0.2">
      <c r="E4152" s="9" t="s">
        <v>45</v>
      </c>
      <c r="K4152" t="str">
        <v>I</v>
      </c>
      <c r="L4152" s="4" t="str">
        <f t="shared" si="76"/>
        <v>I</v>
      </c>
      <c r="M4152" t="str">
        <v>you,</v>
      </c>
      <c r="N4152" s="4" cm="1">
        <f t="array" ref="N4152">SUM(--(_xlfn.TEXTSPLIT($J$4059,, " ") = M4152))</f>
        <v>4</v>
      </c>
      <c r="O4152">
        <v>1</v>
      </c>
      <c r="P4152" t="str">
        <v xml:space="preserve">me?
</v>
      </c>
      <c r="Q4152">
        <v>1</v>
      </c>
    </row>
    <row r="4153" spans="5:17" x14ac:dyDescent="0.2">
      <c r="E4153" s="9" t="s">
        <v>45</v>
      </c>
      <c r="K4153" t="str">
        <v>left</v>
      </c>
      <c r="L4153" s="4" t="str">
        <f t="shared" si="76"/>
        <v>left</v>
      </c>
      <c r="M4153" t="str">
        <v xml:space="preserve">you?
</v>
      </c>
      <c r="N4153" s="4" cm="1">
        <f t="array" ref="N4153">SUM(--(_xlfn.TEXTSPLIT($J$4059,, " ") = M4153))</f>
        <v>1</v>
      </c>
      <c r="O4153">
        <v>1</v>
      </c>
      <c r="P4153" t="str">
        <v xml:space="preserve">hurry
</v>
      </c>
      <c r="Q4153">
        <v>1</v>
      </c>
    </row>
    <row r="4154" spans="5:17" x14ac:dyDescent="0.2">
      <c r="E4154" s="9" t="s">
        <v>45</v>
      </c>
      <c r="K4154" t="str">
        <v>there</v>
      </c>
      <c r="L4154" s="4" t="str">
        <f t="shared" si="76"/>
        <v>there</v>
      </c>
      <c r="M4154" t="str">
        <v>trapped</v>
      </c>
      <c r="N4154" s="4" cm="1">
        <f t="array" ref="N4154">SUM(--(_xlfn.TEXTSPLIT($J$4059,, " ") = M4154))</f>
        <v>1</v>
      </c>
      <c r="O4154">
        <v>1</v>
      </c>
      <c r="P4154" t="str">
        <v xml:space="preserve">hurry
</v>
      </c>
      <c r="Q4154">
        <v>1</v>
      </c>
    </row>
    <row r="4155" spans="5:17" x14ac:dyDescent="0.2">
      <c r="E4155" s="9" t="s">
        <v>45</v>
      </c>
      <c r="K4155" t="str">
        <v>on</v>
      </c>
      <c r="L4155" s="4" t="str">
        <f t="shared" si="76"/>
        <v>on</v>
      </c>
      <c r="M4155" t="str">
        <v>now,</v>
      </c>
      <c r="N4155" s="4" cm="1">
        <f t="array" ref="N4155">SUM(--(_xlfn.TEXTSPLIT($J$4059,, " ") = M4155))</f>
        <v>1</v>
      </c>
      <c r="O4155">
        <v>1</v>
      </c>
      <c r="P4155" t="str">
        <v xml:space="preserve">you?
</v>
      </c>
      <c r="Q4155">
        <v>1</v>
      </c>
    </row>
    <row r="4156" spans="5:17" x14ac:dyDescent="0.2">
      <c r="E4156" s="9" t="s">
        <v>45</v>
      </c>
      <c r="K4156" t="str">
        <v>purpose</v>
      </c>
      <c r="L4156" s="4" t="str">
        <f t="shared" si="76"/>
        <v>purpose</v>
      </c>
      <c r="M4156" t="str">
        <v>purpose,</v>
      </c>
      <c r="N4156" s="4" cm="1">
        <f t="array" ref="N4156">SUM(--(_xlfn.TEXTSPLIT($J$4059,, " ") = M4156))</f>
        <v>1</v>
      </c>
      <c r="O4156">
        <v>1</v>
      </c>
      <c r="P4156" t="str">
        <v>trapped</v>
      </c>
      <c r="Q4156">
        <v>1</v>
      </c>
    </row>
    <row r="4157" spans="5:17" x14ac:dyDescent="0.2">
      <c r="E4157" s="9" t="s">
        <v>45</v>
      </c>
      <c r="K4157" t="str">
        <v>a</v>
      </c>
      <c r="L4157" s="4" t="str">
        <f t="shared" si="76"/>
        <v>a</v>
      </c>
      <c r="M4157" t="str">
        <v>sad</v>
      </c>
      <c r="N4157" s="4" cm="1">
        <f t="array" ref="N4157">SUM(--(_xlfn.TEXTSPLIT($J$4059,, " ") = M4157))</f>
        <v>1</v>
      </c>
      <c r="O4157">
        <v>1</v>
      </c>
      <c r="P4157" t="str">
        <v>now,</v>
      </c>
      <c r="Q4157">
        <v>1</v>
      </c>
    </row>
    <row r="4158" spans="5:17" x14ac:dyDescent="0.2">
      <c r="E4158" s="9" t="s">
        <v>45</v>
      </c>
      <c r="K4158" t="str">
        <v>sad,</v>
      </c>
      <c r="L4158" s="4" t="str">
        <f t="shared" si="76"/>
        <v xml:space="preserve">sad </v>
      </c>
      <c r="M4158" t="str">
        <v>sign,</v>
      </c>
      <c r="N4158" s="4" cm="1">
        <f t="array" ref="N4158">SUM(--(_xlfn.TEXTSPLIT($J$4059,, " ") = M4158))</f>
        <v>1</v>
      </c>
      <c r="O4158">
        <v>1</v>
      </c>
      <c r="P4158" t="str">
        <v>purpose,</v>
      </c>
      <c r="Q4158">
        <v>1</v>
      </c>
    </row>
    <row r="4159" spans="5:17" x14ac:dyDescent="0.2">
      <c r="E4159" s="9" t="s">
        <v>45</v>
      </c>
      <c r="K4159" t="str">
        <v xml:space="preserve">sad
</v>
      </c>
      <c r="L4159" s="4" t="str">
        <f t="shared" si="76"/>
        <v xml:space="preserve">sad </v>
      </c>
      <c r="M4159" t="str">
        <v xml:space="preserve">surface
</v>
      </c>
      <c r="N4159" s="4" cm="1">
        <f t="array" ref="N4159">SUM(--(_xlfn.TEXTSPLIT($J$4059,, " ") = M4159))</f>
        <v>1</v>
      </c>
      <c r="O4159">
        <v>1</v>
      </c>
      <c r="P4159" t="str">
        <v>sad</v>
      </c>
      <c r="Q4159">
        <v>1</v>
      </c>
    </row>
    <row r="4160" spans="5:17" x14ac:dyDescent="0.2">
      <c r="E4160" s="9" t="s">
        <v>45</v>
      </c>
      <c r="K4160" t="str">
        <v>Laying</v>
      </c>
      <c r="L4160" s="4" t="str">
        <f t="shared" si="76"/>
        <v>Laying</v>
      </c>
      <c r="M4160" t="str">
        <v>find,</v>
      </c>
      <c r="N4160" s="4" cm="1">
        <f t="array" ref="N4160">SUM(--(_xlfn.TEXTSPLIT($J$4059,, " ") = M4160))</f>
        <v>1</v>
      </c>
      <c r="O4160">
        <v>1</v>
      </c>
      <c r="P4160" t="str">
        <v>sign,</v>
      </c>
      <c r="Q4160">
        <v>1</v>
      </c>
    </row>
    <row r="4161" spans="5:17" x14ac:dyDescent="0.2">
      <c r="E4161" s="9" t="s">
        <v>45</v>
      </c>
      <c r="K4161" t="str">
        <v>on</v>
      </c>
      <c r="L4161" s="4" t="str">
        <f t="shared" si="76"/>
        <v>on</v>
      </c>
      <c r="M4161" t="str">
        <v xml:space="preserve">me?
</v>
      </c>
      <c r="N4161" s="4" cm="1">
        <f t="array" ref="N4161">SUM(--(_xlfn.TEXTSPLIT($J$4059,, " ") = M4161))</f>
        <v>1</v>
      </c>
      <c r="O4161">
        <v>1</v>
      </c>
      <c r="P4161" t="str">
        <v xml:space="preserve">surface
</v>
      </c>
      <c r="Q4161">
        <v>1</v>
      </c>
    </row>
    <row r="4162" spans="5:17" x14ac:dyDescent="0.2">
      <c r="E4162" s="9" t="s">
        <v>45</v>
      </c>
      <c r="K4162" t="str">
        <v>the</v>
      </c>
      <c r="L4162" s="4" t="str">
        <f t="shared" si="76"/>
        <v>the</v>
      </c>
      <c r="M4162" t="str">
        <v xml:space="preserve">path
</v>
      </c>
      <c r="N4162" s="4" cm="1">
        <f t="array" ref="N4162">SUM(--(_xlfn.TEXTSPLIT($J$4059,, " ") = M4162))</f>
        <v>1</v>
      </c>
      <c r="O4162">
        <v>1</v>
      </c>
      <c r="P4162" t="str">
        <v>find,</v>
      </c>
      <c r="Q4162">
        <v>1</v>
      </c>
    </row>
    <row r="4163" spans="5:17" x14ac:dyDescent="0.2">
      <c r="E4163" s="9" t="s">
        <v>45</v>
      </c>
      <c r="K4163" t="str">
        <v>surface</v>
      </c>
      <c r="L4163" s="4" t="str">
        <f t="shared" si="76"/>
        <v>surface</v>
      </c>
      <c r="M4163" t="str">
        <v xml:space="preserve">surface
</v>
      </c>
      <c r="N4163" s="4" cm="1">
        <f t="array" ref="N4163">SUM(--(_xlfn.TEXTSPLIT($J$4059,, " ") = M4163))</f>
        <v>1</v>
      </c>
      <c r="O4163">
        <v>1</v>
      </c>
      <c r="P4163" t="str">
        <v xml:space="preserve">me?
</v>
      </c>
      <c r="Q4163">
        <v>1</v>
      </c>
    </row>
    <row r="4164" spans="5:17" x14ac:dyDescent="0.2">
      <c r="E4164" s="9" t="s">
        <v>45</v>
      </c>
      <c r="K4164" t="str">
        <v xml:space="preserve">(Yeah)
</v>
      </c>
      <c r="L4164" s="4" t="str">
        <f t="shared" si="76"/>
        <v xml:space="preserve"> Yeah  </v>
      </c>
      <c r="M4164" t="str">
        <v>(Can</v>
      </c>
      <c r="N4164" s="4" cm="1">
        <f t="array" ref="N4164">SUM(--(_xlfn.TEXTSPLIT($J$4059,, " ") = M4164))</f>
        <v>4</v>
      </c>
      <c r="O4164">
        <v>1</v>
      </c>
      <c r="P4164" t="str">
        <v xml:space="preserve">path
</v>
      </c>
      <c r="Q4164">
        <v>1</v>
      </c>
    </row>
    <row r="4165" spans="5:17" x14ac:dyDescent="0.2">
      <c r="E4165" s="9" t="s">
        <v>45</v>
      </c>
      <c r="K4165" t="str">
        <v>Can</v>
      </c>
      <c r="L4165" s="4" t="str">
        <f t="shared" si="76"/>
        <v>Can</v>
      </c>
      <c r="M4165" t="str">
        <v xml:space="preserve">me?)
</v>
      </c>
      <c r="N4165" s="4" cm="1">
        <f t="array" ref="N4165">SUM(--(_xlfn.TEXTSPLIT($J$4059,, " ") = M4165))</f>
        <v>3</v>
      </c>
      <c r="O4165">
        <v>1</v>
      </c>
      <c r="P4165" t="str">
        <v xml:space="preserve">surface
</v>
      </c>
      <c r="Q4165">
        <v>1</v>
      </c>
    </row>
    <row r="4166" spans="5:17" x14ac:dyDescent="0.2">
      <c r="E4166" s="9" t="s">
        <v>45</v>
      </c>
      <c r="K4166" t="str">
        <v>you</v>
      </c>
      <c r="L4166" s="4" t="str">
        <f t="shared" si="76"/>
        <v>you</v>
      </c>
      <c r="M4166" t="str">
        <v xml:space="preserve">me?)
</v>
      </c>
      <c r="N4166" s="4" cm="1">
        <f t="array" ref="N4166">SUM(--(_xlfn.TEXTSPLIT($J$4059,, " ") = M4166))</f>
        <v>1</v>
      </c>
      <c r="O4166">
        <v>1</v>
      </c>
      <c r="P4166" t="str">
        <v xml:space="preserve">me?)
</v>
      </c>
      <c r="Q4166">
        <v>1</v>
      </c>
    </row>
    <row r="4167" spans="5:17" x14ac:dyDescent="0.2">
      <c r="E4167" s="9" t="s">
        <v>45</v>
      </c>
      <c r="K4167" t="str">
        <v>find</v>
      </c>
      <c r="L4167" s="4" t="str">
        <f t="shared" si="76"/>
        <v>find</v>
      </c>
      <c r="M4167" t="str">
        <v>sun</v>
      </c>
      <c r="N4167" s="4" cm="1">
        <f t="array" ref="N4167">SUM(--(_xlfn.TEXTSPLIT($J$4059,, " ") = M4167))</f>
        <v>1</v>
      </c>
      <c r="O4167">
        <v>1</v>
      </c>
      <c r="P4167" t="str">
        <v>sun</v>
      </c>
      <c r="Q4167">
        <v>1</v>
      </c>
    </row>
    <row r="4168" spans="5:17" x14ac:dyDescent="0.2">
      <c r="E4168" s="9" t="s">
        <v>45</v>
      </c>
      <c r="K4168" t="str">
        <v>me?</v>
      </c>
      <c r="L4168" s="4" t="str">
        <f t="shared" si="76"/>
        <v xml:space="preserve">me </v>
      </c>
      <c r="M4168" t="str">
        <v>begins</v>
      </c>
      <c r="N4168" s="4" cm="1">
        <f t="array" ref="N4168">SUM(--(_xlfn.TEXTSPLIT($J$4059,, " ") = M4168))</f>
        <v>1</v>
      </c>
      <c r="O4168">
        <v>1</v>
      </c>
      <c r="P4168" t="str">
        <v>begins</v>
      </c>
      <c r="Q4168">
        <v>1</v>
      </c>
    </row>
    <row r="4169" spans="5:17" x14ac:dyDescent="0.2">
      <c r="E4169" s="9" t="s">
        <v>45</v>
      </c>
      <c r="K4169" t="str">
        <v>I</v>
      </c>
      <c r="L4169" s="4" t="str">
        <f t="shared" si="76"/>
        <v>I</v>
      </c>
      <c r="M4169" t="str">
        <v xml:space="preserve">rise
</v>
      </c>
      <c r="N4169" s="4" cm="1">
        <f t="array" ref="N4169">SUM(--(_xlfn.TEXTSPLIT($J$4059,, " ") = M4169))</f>
        <v>1</v>
      </c>
      <c r="O4169">
        <v>1</v>
      </c>
      <c r="P4169" t="str">
        <v xml:space="preserve">rise
</v>
      </c>
      <c r="Q4169">
        <v>1</v>
      </c>
    </row>
    <row r="4170" spans="5:17" x14ac:dyDescent="0.2">
      <c r="E4170" s="9" t="s">
        <v>45</v>
      </c>
      <c r="K4170" t="str">
        <v>dug</v>
      </c>
      <c r="L4170" s="4" t="str">
        <f t="shared" si="76"/>
        <v>dug</v>
      </c>
      <c r="M4170" t="str">
        <v>We</v>
      </c>
      <c r="N4170" s="4" cm="1">
        <f t="array" ref="N4170">SUM(--(_xlfn.TEXTSPLIT($J$4059,, " ") = M4170))</f>
        <v>1</v>
      </c>
      <c r="O4170">
        <v>1</v>
      </c>
      <c r="P4170" t="str">
        <v>We</v>
      </c>
      <c r="Q4170">
        <v>1</v>
      </c>
    </row>
    <row r="4171" spans="5:17" x14ac:dyDescent="0.2">
      <c r="E4171" s="9" t="s">
        <v>45</v>
      </c>
      <c r="K4171" t="str">
        <v>my</v>
      </c>
      <c r="L4171" s="4" t="str">
        <f t="shared" si="76"/>
        <v>my</v>
      </c>
      <c r="M4171" t="str">
        <v>made</v>
      </c>
      <c r="N4171" s="4" cm="1">
        <f t="array" ref="N4171">SUM(--(_xlfn.TEXTSPLIT($J$4059,, " ") = M4171))</f>
        <v>1</v>
      </c>
      <c r="O4171">
        <v>1</v>
      </c>
      <c r="P4171" t="str">
        <v>made</v>
      </c>
      <c r="Q4171">
        <v>1</v>
      </c>
    </row>
    <row r="4172" spans="5:17" x14ac:dyDescent="0.2">
      <c r="E4172" s="9" t="s">
        <v>45</v>
      </c>
      <c r="K4172" t="str">
        <v>heels</v>
      </c>
      <c r="L4172" s="4" t="str">
        <f t="shared" si="76"/>
        <v>heels</v>
      </c>
      <c r="M4172" t="str">
        <v>it</v>
      </c>
      <c r="N4172" s="4" cm="1">
        <f t="array" ref="N4172">SUM(--(_xlfn.TEXTSPLIT($J$4059,, " ") = M4172))</f>
        <v>1</v>
      </c>
      <c r="O4172">
        <v>1</v>
      </c>
      <c r="P4172" t="str">
        <v>it</v>
      </c>
      <c r="Q4172">
        <v>1</v>
      </c>
    </row>
    <row r="4173" spans="5:17" x14ac:dyDescent="0.2">
      <c r="E4173" s="9" t="s">
        <v>45</v>
      </c>
      <c r="K4173" t="str">
        <v>into</v>
      </c>
      <c r="L4173" s="4" t="str">
        <f t="shared" si="76"/>
        <v>into</v>
      </c>
      <c r="M4173" t="str">
        <v>through</v>
      </c>
      <c r="N4173" s="4" cm="1">
        <f t="array" ref="N4173">SUM(--(_xlfn.TEXTSPLIT($J$4059,, " ") = M4173))</f>
        <v>1</v>
      </c>
      <c r="O4173">
        <v>1</v>
      </c>
      <c r="P4173" t="str">
        <v>through</v>
      </c>
      <c r="Q4173">
        <v>1</v>
      </c>
    </row>
    <row r="4174" spans="5:17" x14ac:dyDescent="0.2">
      <c r="E4174" s="9" t="s">
        <v>45</v>
      </c>
      <c r="K4174" t="str">
        <v>the</v>
      </c>
      <c r="L4174" s="4" t="str">
        <f t="shared" si="76"/>
        <v>the</v>
      </c>
      <c r="M4174" t="str">
        <v>darkest</v>
      </c>
      <c r="N4174" s="4" cm="1">
        <f t="array" ref="N4174">SUM(--(_xlfn.TEXTSPLIT($J$4059,, " ") = M4174))</f>
        <v>1</v>
      </c>
      <c r="O4174">
        <v>1</v>
      </c>
      <c r="P4174" t="str">
        <v>darkest</v>
      </c>
      <c r="Q4174">
        <v>1</v>
      </c>
    </row>
    <row r="4175" spans="5:17" x14ac:dyDescent="0.2">
      <c r="E4175" s="9" t="s">
        <v>45</v>
      </c>
      <c r="K4175" t="str">
        <v>gravel</v>
      </c>
      <c r="L4175" s="4" t="str">
        <f t="shared" si="76"/>
        <v>gravel</v>
      </c>
      <c r="M4175" t="str">
        <v xml:space="preserve">night
</v>
      </c>
      <c r="N4175" s="4" cm="1">
        <f t="array" ref="N4175">SUM(--(_xlfn.TEXTSPLIT($J$4059,, " ") = M4175))</f>
        <v>1</v>
      </c>
      <c r="O4175">
        <v>1</v>
      </c>
      <c r="P4175" t="str">
        <v xml:space="preserve">night
</v>
      </c>
      <c r="Q4175">
        <v>1</v>
      </c>
    </row>
    <row r="4176" spans="5:17" x14ac:dyDescent="0.2">
      <c r="E4176" s="9" t="s">
        <v>45</v>
      </c>
      <c r="K4176" t="str">
        <v>as</v>
      </c>
      <c r="L4176" s="4" t="str">
        <f t="shared" si="76"/>
        <v>as</v>
      </c>
      <c r="M4176" t="str">
        <v>me"</v>
      </c>
      <c r="N4176" s="4" cm="1">
        <f t="array" ref="N4176">SUM(--(_xlfn.TEXTSPLIT($J$4059,, " ") = M4176))</f>
        <v>1</v>
      </c>
      <c r="O4176">
        <v>1</v>
      </c>
      <c r="P4176" t="str">
        <v>me"</v>
      </c>
      <c r="Q4176">
        <v>1</v>
      </c>
    </row>
    <row r="4177" spans="5:17" x14ac:dyDescent="0.2">
      <c r="E4177" s="9" t="s">
        <v>45</v>
      </c>
      <c r="K4177" t="str">
        <v xml:space="preserve">evidence
</v>
      </c>
      <c r="L4177" s="4" t="str">
        <f t="shared" si="76"/>
        <v xml:space="preserve">evidence </v>
      </c>
      <c r="N4177" s="4" cm="1">
        <f t="array" ref="N4177">SUM(--(_xlfn.TEXTSPLIT($J$4059,, " ") = M4177))</f>
        <v>1</v>
      </c>
      <c r="O4177">
        <v>1</v>
      </c>
      <c r="P4177">
        <v>0</v>
      </c>
      <c r="Q4177">
        <v>1</v>
      </c>
    </row>
    <row r="4178" spans="5:17" x14ac:dyDescent="0.2">
      <c r="E4178" s="9" t="s">
        <v>45</v>
      </c>
      <c r="K4178" t="str">
        <v>For</v>
      </c>
      <c r="L4178" s="4" t="str">
        <f t="shared" si="76"/>
        <v>For</v>
      </c>
      <c r="N4178" s="4" cm="1">
        <f t="array" ref="N4178">SUM(--(_xlfn.TEXTSPLIT($J$4059,, " ") = M4178))</f>
        <v>1</v>
      </c>
      <c r="O4178">
        <v>1</v>
      </c>
      <c r="P4178">
        <v>0</v>
      </c>
      <c r="Q4178">
        <v>1</v>
      </c>
    </row>
    <row r="4179" spans="5:17" x14ac:dyDescent="0.2">
      <c r="E4179" s="9" t="s">
        <v>45</v>
      </c>
      <c r="K4179" t="str">
        <v>you</v>
      </c>
      <c r="L4179" s="4" t="str">
        <f t="shared" si="76"/>
        <v>you</v>
      </c>
      <c r="N4179" s="4" cm="1">
        <f t="array" ref="N4179">SUM(--(_xlfn.TEXTSPLIT($J$4059,, " ") = M4179))</f>
        <v>1</v>
      </c>
      <c r="O4179">
        <v>1</v>
      </c>
      <c r="P4179">
        <v>0</v>
      </c>
      <c r="Q4179">
        <v>1</v>
      </c>
    </row>
    <row r="4180" spans="5:17" x14ac:dyDescent="0.2">
      <c r="E4180" s="9" t="s">
        <v>45</v>
      </c>
      <c r="K4180" t="str">
        <v>to</v>
      </c>
      <c r="L4180" s="4" t="str">
        <f t="shared" si="76"/>
        <v>to</v>
      </c>
      <c r="N4180" s="4" cm="1">
        <f t="array" ref="N4180">SUM(--(_xlfn.TEXTSPLIT($J$4059,, " ") = M4180))</f>
        <v>1</v>
      </c>
      <c r="O4180">
        <v>1</v>
      </c>
      <c r="P4180">
        <v>0</v>
      </c>
      <c r="Q4180">
        <v>1</v>
      </c>
    </row>
    <row r="4181" spans="5:17" x14ac:dyDescent="0.2">
      <c r="E4181" s="9" t="s">
        <v>45</v>
      </c>
      <c r="K4181" t="str">
        <v>unravel</v>
      </c>
      <c r="L4181" s="4" t="str">
        <f t="shared" si="76"/>
        <v>unravel</v>
      </c>
      <c r="N4181" s="4" cm="1">
        <f t="array" ref="N4181">SUM(--(_xlfn.TEXTSPLIT($J$4059,, " ") = M4181))</f>
        <v>1</v>
      </c>
      <c r="O4181">
        <v>1</v>
      </c>
      <c r="P4181">
        <v>0</v>
      </c>
      <c r="Q4181">
        <v>1</v>
      </c>
    </row>
    <row r="4182" spans="5:17" x14ac:dyDescent="0.2">
      <c r="E4182" s="9" t="s">
        <v>45</v>
      </c>
      <c r="K4182" t="str">
        <v>a</v>
      </c>
      <c r="L4182" s="4" t="str">
        <f t="shared" si="76"/>
        <v>a</v>
      </c>
      <c r="N4182" s="4" cm="1">
        <f t="array" ref="N4182">SUM(--(_xlfn.TEXTSPLIT($J$4059,, " ") = M4182))</f>
        <v>1</v>
      </c>
      <c r="O4182">
        <v>1</v>
      </c>
      <c r="P4182">
        <v>0</v>
      </c>
      <c r="Q4182">
        <v>1</v>
      </c>
    </row>
    <row r="4183" spans="5:17" x14ac:dyDescent="0.2">
      <c r="E4183" s="9" t="s">
        <v>45</v>
      </c>
      <c r="K4183" t="str">
        <v>drag</v>
      </c>
      <c r="L4183" s="4" t="str">
        <f t="shared" si="76"/>
        <v>drag</v>
      </c>
      <c r="N4183" s="4" cm="1">
        <f t="array" ref="N4183">SUM(--(_xlfn.TEXTSPLIT($J$4059,, " ") = M4183))</f>
        <v>1</v>
      </c>
      <c r="O4183">
        <v>1</v>
      </c>
      <c r="P4183">
        <v>0</v>
      </c>
      <c r="Q4183">
        <v>1</v>
      </c>
    </row>
    <row r="4184" spans="5:17" x14ac:dyDescent="0.2">
      <c r="E4184" s="9" t="s">
        <v>45</v>
      </c>
      <c r="K4184" t="str">
        <v>path</v>
      </c>
      <c r="L4184" s="4" t="str">
        <f t="shared" si="76"/>
        <v>path</v>
      </c>
      <c r="N4184" s="4" cm="1">
        <f t="array" ref="N4184">SUM(--(_xlfn.TEXTSPLIT($J$4059,, " ") = M4184))</f>
        <v>1</v>
      </c>
      <c r="O4184">
        <v>1</v>
      </c>
      <c r="P4184">
        <v>0</v>
      </c>
      <c r="Q4184">
        <v>1</v>
      </c>
    </row>
    <row r="4185" spans="5:17" x14ac:dyDescent="0.2">
      <c r="E4185" s="9" t="s">
        <v>45</v>
      </c>
      <c r="K4185" t="str">
        <v>etched</v>
      </c>
      <c r="L4185" s="4" t="str">
        <f t="shared" si="76"/>
        <v>etched</v>
      </c>
      <c r="N4185" s="4" cm="1">
        <f t="array" ref="N4185">SUM(--(_xlfn.TEXTSPLIT($J$4059,, " ") = M4185))</f>
        <v>1</v>
      </c>
      <c r="O4185">
        <v>1</v>
      </c>
      <c r="P4185">
        <v>0</v>
      </c>
      <c r="Q4185">
        <v>1</v>
      </c>
    </row>
    <row r="4186" spans="5:17" x14ac:dyDescent="0.2">
      <c r="E4186" s="9" t="s">
        <v>45</v>
      </c>
      <c r="K4186" t="str">
        <v>in</v>
      </c>
      <c r="L4186" s="4" t="str">
        <f t="shared" si="76"/>
        <v>in</v>
      </c>
      <c r="N4186" s="4" cm="1">
        <f t="array" ref="N4186">SUM(--(_xlfn.TEXTSPLIT($J$4059,, " ") = M4186))</f>
        <v>1</v>
      </c>
      <c r="O4186">
        <v>1</v>
      </c>
      <c r="P4186">
        <v>0</v>
      </c>
      <c r="Q4186">
        <v>1</v>
      </c>
    </row>
    <row r="4187" spans="5:17" x14ac:dyDescent="0.2">
      <c r="E4187" s="9" t="s">
        <v>45</v>
      </c>
      <c r="K4187" t="str">
        <v>the</v>
      </c>
      <c r="L4187" s="4" t="str">
        <f t="shared" si="76"/>
        <v>the</v>
      </c>
      <c r="N4187" s="4" cm="1">
        <f t="array" ref="N4187">SUM(--(_xlfn.TEXTSPLIT($J$4059,, " ") = M4187))</f>
        <v>1</v>
      </c>
      <c r="O4187">
        <v>1</v>
      </c>
      <c r="P4187">
        <v>0</v>
      </c>
      <c r="Q4187">
        <v>1</v>
      </c>
    </row>
    <row r="4188" spans="5:17" x14ac:dyDescent="0.2">
      <c r="E4188" s="9" t="s">
        <v>45</v>
      </c>
      <c r="K4188" t="str">
        <v>surface</v>
      </c>
      <c r="L4188" s="4" t="str">
        <f t="shared" ref="L4188:L4251" si="77">_xlfn.REGEXREPLACE(K4188, "[^A-Za-z ]", " ")</f>
        <v>surface</v>
      </c>
      <c r="N4188" s="4" cm="1">
        <f t="array" ref="N4188">SUM(--(_xlfn.TEXTSPLIT($J$4059,, " ") = M4188))</f>
        <v>1</v>
      </c>
      <c r="O4188">
        <v>1</v>
      </c>
      <c r="P4188">
        <v>0</v>
      </c>
      <c r="Q4188">
        <v>1</v>
      </c>
    </row>
    <row r="4189" spans="5:17" x14ac:dyDescent="0.2">
      <c r="E4189" s="9" t="s">
        <v>45</v>
      </c>
      <c r="K4189" t="str">
        <v xml:space="preserve">(Yeah)
</v>
      </c>
      <c r="L4189" s="4" t="str">
        <f t="shared" si="77"/>
        <v xml:space="preserve"> Yeah  </v>
      </c>
      <c r="N4189" s="4" cm="1">
        <f t="array" ref="N4189">SUM(--(_xlfn.TEXTSPLIT($J$4059,, " ") = M4189))</f>
        <v>1</v>
      </c>
      <c r="O4189">
        <v>1</v>
      </c>
      <c r="P4189">
        <v>0</v>
      </c>
      <c r="Q4189">
        <v>1</v>
      </c>
    </row>
    <row r="4190" spans="5:17" x14ac:dyDescent="0.2">
      <c r="E4190" s="9" t="s">
        <v>45</v>
      </c>
      <c r="K4190" t="str">
        <v>Can</v>
      </c>
      <c r="L4190" s="4" t="str">
        <f t="shared" si="77"/>
        <v>Can</v>
      </c>
      <c r="N4190" s="4" cm="1">
        <f t="array" ref="N4190">SUM(--(_xlfn.TEXTSPLIT($J$4059,, " ") = M4190))</f>
        <v>1</v>
      </c>
      <c r="O4190">
        <v>1</v>
      </c>
      <c r="P4190">
        <v>0</v>
      </c>
      <c r="Q4190">
        <v>1</v>
      </c>
    </row>
    <row r="4191" spans="5:17" x14ac:dyDescent="0.2">
      <c r="E4191" s="9" t="s">
        <v>45</v>
      </c>
      <c r="K4191" t="str">
        <v>you</v>
      </c>
      <c r="L4191" s="4" t="str">
        <f t="shared" si="77"/>
        <v>you</v>
      </c>
      <c r="N4191" s="4" cm="1">
        <f t="array" ref="N4191">SUM(--(_xlfn.TEXTSPLIT($J$4059,, " ") = M4191))</f>
        <v>1</v>
      </c>
      <c r="O4191">
        <v>1</v>
      </c>
      <c r="P4191">
        <v>0</v>
      </c>
      <c r="Q4191">
        <v>1</v>
      </c>
    </row>
    <row r="4192" spans="5:17" x14ac:dyDescent="0.2">
      <c r="E4192" s="9" t="s">
        <v>45</v>
      </c>
      <c r="K4192" t="str">
        <v>find</v>
      </c>
      <c r="L4192" s="4" t="str">
        <f t="shared" si="77"/>
        <v>find</v>
      </c>
      <c r="N4192" s="4" cm="1">
        <f t="array" ref="N4192">SUM(--(_xlfn.TEXTSPLIT($J$4059,, " ") = M4192))</f>
        <v>1</v>
      </c>
      <c r="O4192">
        <v>1</v>
      </c>
      <c r="P4192">
        <v>0</v>
      </c>
      <c r="Q4192">
        <v>1</v>
      </c>
    </row>
    <row r="4193" spans="5:17" x14ac:dyDescent="0.2">
      <c r="E4193" s="9" t="s">
        <v>45</v>
      </c>
      <c r="K4193" t="str">
        <v xml:space="preserve">me?
</v>
      </c>
      <c r="L4193" s="4" t="str">
        <f t="shared" si="77"/>
        <v xml:space="preserve">me   </v>
      </c>
      <c r="N4193" s="4" cm="1">
        <f t="array" ref="N4193">SUM(--(_xlfn.TEXTSPLIT($J$4059,, " ") = M4193))</f>
        <v>1</v>
      </c>
      <c r="O4193">
        <v>1</v>
      </c>
      <c r="P4193">
        <v>0</v>
      </c>
      <c r="Q4193">
        <v>1</v>
      </c>
    </row>
    <row r="4194" spans="5:17" x14ac:dyDescent="0.2">
      <c r="E4194" s="9" t="s">
        <v>45</v>
      </c>
      <c r="K4194" t="str">
        <v>What</v>
      </c>
      <c r="L4194" s="4" t="str">
        <f t="shared" si="77"/>
        <v>What</v>
      </c>
      <c r="N4194" s="4" cm="1">
        <f t="array" ref="N4194">SUM(--(_xlfn.TEXTSPLIT($J$4059,, " ") = M4194))</f>
        <v>1</v>
      </c>
      <c r="O4194">
        <v>1</v>
      </c>
      <c r="P4194">
        <v>0</v>
      </c>
      <c r="Q4194">
        <v>1</v>
      </c>
    </row>
    <row r="4195" spans="5:17" x14ac:dyDescent="0.2">
      <c r="E4195" s="9" t="s">
        <v>45</v>
      </c>
      <c r="K4195" t="str">
        <v>will</v>
      </c>
      <c r="L4195" s="4" t="str">
        <f t="shared" si="77"/>
        <v>will</v>
      </c>
      <c r="N4195" s="4" cm="1">
        <f t="array" ref="N4195">SUM(--(_xlfn.TEXTSPLIT($J$4059,, " ") = M4195))</f>
        <v>1</v>
      </c>
      <c r="O4195">
        <v>1</v>
      </c>
      <c r="P4195">
        <v>0</v>
      </c>
      <c r="Q4195">
        <v>1</v>
      </c>
    </row>
    <row r="4196" spans="5:17" x14ac:dyDescent="0.2">
      <c r="E4196" s="9" t="s">
        <v>45</v>
      </c>
      <c r="K4196" t="str">
        <v>you</v>
      </c>
      <c r="L4196" s="4" t="str">
        <f t="shared" si="77"/>
        <v>you</v>
      </c>
      <c r="N4196" s="4" cm="1">
        <f t="array" ref="N4196">SUM(--(_xlfn.TEXTSPLIT($J$4059,, " ") = M4196))</f>
        <v>1</v>
      </c>
      <c r="O4196">
        <v>1</v>
      </c>
      <c r="P4196">
        <v>0</v>
      </c>
      <c r="Q4196">
        <v>1</v>
      </c>
    </row>
    <row r="4197" spans="5:17" x14ac:dyDescent="0.2">
      <c r="E4197" s="9" t="s">
        <v>45</v>
      </c>
      <c r="K4197" t="str">
        <v xml:space="preserve">do?
</v>
      </c>
      <c r="L4197" s="4" t="str">
        <f t="shared" si="77"/>
        <v xml:space="preserve">do  </v>
      </c>
      <c r="N4197" s="4" cm="1">
        <f t="array" ref="N4197">SUM(--(_xlfn.TEXTSPLIT($J$4059,, " ") = M4197))</f>
        <v>1</v>
      </c>
      <c r="O4197">
        <v>1</v>
      </c>
      <c r="P4197">
        <v>0</v>
      </c>
      <c r="Q4197">
        <v>1</v>
      </c>
    </row>
    <row r="4198" spans="5:17" x14ac:dyDescent="0.2">
      <c r="E4198" s="9" t="s">
        <v>45</v>
      </c>
      <c r="K4198" t="str">
        <v>Please,</v>
      </c>
      <c r="L4198" s="4" t="str">
        <f t="shared" si="77"/>
        <v xml:space="preserve">Please </v>
      </c>
      <c r="N4198" s="4" cm="1">
        <f t="array" ref="N4198">SUM(--(_xlfn.TEXTSPLIT($J$4059,, " ") = M4198))</f>
        <v>1</v>
      </c>
      <c r="O4198">
        <v>1</v>
      </c>
      <c r="P4198">
        <v>0</v>
      </c>
      <c r="Q4198">
        <v>1</v>
      </c>
    </row>
    <row r="4199" spans="5:17" x14ac:dyDescent="0.2">
      <c r="E4199" s="9" t="s">
        <v>45</v>
      </c>
      <c r="K4199" t="str">
        <v>please</v>
      </c>
      <c r="L4199" s="4" t="str">
        <f t="shared" si="77"/>
        <v>please</v>
      </c>
      <c r="N4199" s="4" cm="1">
        <f t="array" ref="N4199">SUM(--(_xlfn.TEXTSPLIT($J$4059,, " ") = M4199))</f>
        <v>1</v>
      </c>
      <c r="O4199">
        <v>1</v>
      </c>
      <c r="P4199">
        <v>0</v>
      </c>
      <c r="Q4199">
        <v>1</v>
      </c>
    </row>
    <row r="4200" spans="5:17" x14ac:dyDescent="0.2">
      <c r="E4200" s="9" t="s">
        <v>45</v>
      </c>
      <c r="K4200" t="str">
        <v xml:space="preserve">hurry
</v>
      </c>
      <c r="L4200" s="4" t="str">
        <f t="shared" si="77"/>
        <v xml:space="preserve">hurry </v>
      </c>
      <c r="N4200" s="4" cm="1">
        <f t="array" ref="N4200">SUM(--(_xlfn.TEXTSPLIT($J$4059,, " ") = M4200))</f>
        <v>1</v>
      </c>
      <c r="O4200">
        <v>1</v>
      </c>
      <c r="P4200">
        <v>0</v>
      </c>
      <c r="Q4200">
        <v>1</v>
      </c>
    </row>
    <row r="4201" spans="5:17" x14ac:dyDescent="0.2">
      <c r="E4201" s="9" t="s">
        <v>45</v>
      </c>
      <c r="K4201" t="str">
        <v>What</v>
      </c>
      <c r="L4201" s="4" t="str">
        <f t="shared" si="77"/>
        <v>What</v>
      </c>
      <c r="N4201" s="4" cm="1">
        <f t="array" ref="N4201">SUM(--(_xlfn.TEXTSPLIT($J$4059,, " ") = M4201))</f>
        <v>1</v>
      </c>
      <c r="O4201">
        <v>1</v>
      </c>
      <c r="P4201">
        <v>0</v>
      </c>
      <c r="Q4201">
        <v>1</v>
      </c>
    </row>
    <row r="4202" spans="5:17" x14ac:dyDescent="0.2">
      <c r="E4202" s="9" t="s">
        <v>45</v>
      </c>
      <c r="K4202" t="str">
        <v>will</v>
      </c>
      <c r="L4202" s="4" t="str">
        <f t="shared" si="77"/>
        <v>will</v>
      </c>
      <c r="N4202" s="4" cm="1">
        <f t="array" ref="N4202">SUM(--(_xlfn.TEXTSPLIT($J$4059,, " ") = M4202))</f>
        <v>1</v>
      </c>
      <c r="O4202">
        <v>1</v>
      </c>
      <c r="P4202">
        <v>0</v>
      </c>
      <c r="Q4202">
        <v>1</v>
      </c>
    </row>
    <row r="4203" spans="5:17" x14ac:dyDescent="0.2">
      <c r="E4203" s="9" t="s">
        <v>45</v>
      </c>
      <c r="K4203" t="str">
        <v>you</v>
      </c>
      <c r="L4203" s="4" t="str">
        <f t="shared" si="77"/>
        <v>you</v>
      </c>
      <c r="N4203" s="4" cm="1">
        <f t="array" ref="N4203">SUM(--(_xlfn.TEXTSPLIT($J$4059,, " ") = M4203))</f>
        <v>1</v>
      </c>
      <c r="O4203">
        <v>1</v>
      </c>
      <c r="P4203">
        <v>0</v>
      </c>
      <c r="Q4203">
        <v>1</v>
      </c>
    </row>
    <row r="4204" spans="5:17" x14ac:dyDescent="0.2">
      <c r="E4204" s="9" t="s">
        <v>45</v>
      </c>
      <c r="K4204" t="str">
        <v xml:space="preserve">do?
</v>
      </c>
      <c r="L4204" s="4" t="str">
        <f t="shared" si="77"/>
        <v xml:space="preserve">do  </v>
      </c>
      <c r="N4204" s="4" cm="1">
        <f t="array" ref="N4204">SUM(--(_xlfn.TEXTSPLIT($J$4059,, " ") = M4204))</f>
        <v>1</v>
      </c>
      <c r="O4204">
        <v>1</v>
      </c>
      <c r="P4204">
        <v>0</v>
      </c>
      <c r="Q4204">
        <v>1</v>
      </c>
    </row>
    <row r="4205" spans="5:17" x14ac:dyDescent="0.2">
      <c r="E4205" s="9" t="s">
        <v>45</v>
      </c>
      <c r="K4205" t="str">
        <v>Please,</v>
      </c>
      <c r="L4205" s="4" t="str">
        <f t="shared" si="77"/>
        <v xml:space="preserve">Please </v>
      </c>
      <c r="N4205" s="4" cm="1">
        <f t="array" ref="N4205">SUM(--(_xlfn.TEXTSPLIT($J$4059,, " ") = M4205))</f>
        <v>1</v>
      </c>
      <c r="O4205">
        <v>1</v>
      </c>
      <c r="P4205">
        <v>0</v>
      </c>
      <c r="Q4205">
        <v>1</v>
      </c>
    </row>
    <row r="4206" spans="5:17" x14ac:dyDescent="0.2">
      <c r="E4206" s="9" t="s">
        <v>45</v>
      </c>
      <c r="K4206" t="str">
        <v>please</v>
      </c>
      <c r="L4206" s="4" t="str">
        <f t="shared" si="77"/>
        <v>please</v>
      </c>
      <c r="N4206" s="4" cm="1">
        <f t="array" ref="N4206">SUM(--(_xlfn.TEXTSPLIT($J$4059,, " ") = M4206))</f>
        <v>1</v>
      </c>
      <c r="O4206">
        <v>1</v>
      </c>
      <c r="P4206">
        <v>0</v>
      </c>
      <c r="Q4206">
        <v>1</v>
      </c>
    </row>
    <row r="4207" spans="5:17" x14ac:dyDescent="0.2">
      <c r="E4207" s="9" t="s">
        <v>45</v>
      </c>
      <c r="K4207" t="str">
        <v xml:space="preserve">hurry
</v>
      </c>
      <c r="L4207" s="4" t="str">
        <f t="shared" si="77"/>
        <v xml:space="preserve">hurry  </v>
      </c>
      <c r="N4207" s="4" cm="1">
        <f t="array" ref="N4207">SUM(--(_xlfn.TEXTSPLIT($J$4059,, " ") = M4207))</f>
        <v>1</v>
      </c>
      <c r="O4207">
        <v>1</v>
      </c>
      <c r="P4207">
        <v>0</v>
      </c>
      <c r="Q4207">
        <v>1</v>
      </c>
    </row>
    <row r="4208" spans="5:17" x14ac:dyDescent="0.2">
      <c r="E4208" s="9" t="s">
        <v>45</v>
      </c>
      <c r="K4208" t="str">
        <v>Can</v>
      </c>
      <c r="L4208" s="4" t="str">
        <f t="shared" si="77"/>
        <v>Can</v>
      </c>
      <c r="N4208" s="4" cm="1">
        <f t="array" ref="N4208">SUM(--(_xlfn.TEXTSPLIT($J$4059,, " ") = M4208))</f>
        <v>1</v>
      </c>
      <c r="O4208">
        <v>1</v>
      </c>
      <c r="P4208">
        <v>0</v>
      </c>
      <c r="Q4208">
        <v>1</v>
      </c>
    </row>
    <row r="4209" spans="5:17" x14ac:dyDescent="0.2">
      <c r="E4209" s="9" t="s">
        <v>45</v>
      </c>
      <c r="K4209" t="str">
        <v>you,</v>
      </c>
      <c r="L4209" s="4" t="str">
        <f t="shared" si="77"/>
        <v xml:space="preserve">you </v>
      </c>
      <c r="N4209" s="4" cm="1">
        <f t="array" ref="N4209">SUM(--(_xlfn.TEXTSPLIT($J$4059,, " ") = M4209))</f>
        <v>1</v>
      </c>
      <c r="O4209">
        <v>1</v>
      </c>
      <c r="P4209">
        <v>0</v>
      </c>
      <c r="Q4209">
        <v>1</v>
      </c>
    </row>
    <row r="4210" spans="5:17" x14ac:dyDescent="0.2">
      <c r="E4210" s="9" t="s">
        <v>45</v>
      </c>
      <c r="K4210" t="str">
        <v>can</v>
      </c>
      <c r="L4210" s="4" t="str">
        <f t="shared" si="77"/>
        <v>can</v>
      </c>
      <c r="N4210" s="4" cm="1">
        <f t="array" ref="N4210">SUM(--(_xlfn.TEXTSPLIT($J$4059,, " ") = M4210))</f>
        <v>1</v>
      </c>
      <c r="O4210">
        <v>1</v>
      </c>
      <c r="P4210">
        <v>0</v>
      </c>
      <c r="Q4210">
        <v>1</v>
      </c>
    </row>
    <row r="4211" spans="5:17" x14ac:dyDescent="0.2">
      <c r="E4211" s="9" t="s">
        <v>45</v>
      </c>
      <c r="K4211" t="str">
        <v>you,</v>
      </c>
      <c r="L4211" s="4" t="str">
        <f t="shared" si="77"/>
        <v xml:space="preserve">you </v>
      </c>
      <c r="N4211" s="4" cm="1">
        <f t="array" ref="N4211">SUM(--(_xlfn.TEXTSPLIT($J$4059,, " ") = M4211))</f>
        <v>1</v>
      </c>
      <c r="O4211">
        <v>1</v>
      </c>
      <c r="P4211">
        <v>0</v>
      </c>
      <c r="Q4211">
        <v>1</v>
      </c>
    </row>
    <row r="4212" spans="5:17" x14ac:dyDescent="0.2">
      <c r="E4212" s="9" t="s">
        <v>45</v>
      </c>
      <c r="K4212" t="str">
        <v>can</v>
      </c>
      <c r="L4212" s="4" t="str">
        <f t="shared" si="77"/>
        <v>can</v>
      </c>
      <c r="N4212" s="4" cm="1">
        <f t="array" ref="N4212">SUM(--(_xlfn.TEXTSPLIT($J$4059,, " ") = M4212))</f>
        <v>1</v>
      </c>
      <c r="O4212">
        <v>1</v>
      </c>
      <c r="P4212">
        <v>0</v>
      </c>
      <c r="Q4212">
        <v>1</v>
      </c>
    </row>
    <row r="4213" spans="5:17" x14ac:dyDescent="0.2">
      <c r="E4213" s="9" t="s">
        <v>45</v>
      </c>
      <c r="K4213" t="str">
        <v>you,</v>
      </c>
      <c r="L4213" s="4" t="str">
        <f t="shared" si="77"/>
        <v xml:space="preserve">you </v>
      </c>
      <c r="N4213" s="4" cm="1">
        <f t="array" ref="N4213">SUM(--(_xlfn.TEXTSPLIT($J$4059,, " ") = M4213))</f>
        <v>1</v>
      </c>
      <c r="O4213">
        <v>1</v>
      </c>
      <c r="P4213">
        <v>0</v>
      </c>
      <c r="Q4213">
        <v>1</v>
      </c>
    </row>
    <row r="4214" spans="5:17" x14ac:dyDescent="0.2">
      <c r="E4214" s="9" t="s">
        <v>45</v>
      </c>
      <c r="K4214" t="str">
        <v>can</v>
      </c>
      <c r="L4214" s="4" t="str">
        <f t="shared" si="77"/>
        <v>can</v>
      </c>
      <c r="N4214" s="4" cm="1">
        <f t="array" ref="N4214">SUM(--(_xlfn.TEXTSPLIT($J$4059,, " ") = M4214))</f>
        <v>1</v>
      </c>
      <c r="O4214">
        <v>1</v>
      </c>
      <c r="P4214">
        <v>0</v>
      </c>
      <c r="Q4214">
        <v>1</v>
      </c>
    </row>
    <row r="4215" spans="5:17" x14ac:dyDescent="0.2">
      <c r="E4215" s="9" t="s">
        <v>45</v>
      </c>
      <c r="K4215" t="str">
        <v xml:space="preserve">you?
</v>
      </c>
      <c r="L4215" s="4" t="str">
        <f t="shared" si="77"/>
        <v xml:space="preserve">you  </v>
      </c>
      <c r="N4215" s="4" cm="1">
        <f t="array" ref="N4215">SUM(--(_xlfn.TEXTSPLIT($J$4059,, " ") = M4215))</f>
        <v>1</v>
      </c>
      <c r="O4215">
        <v>1</v>
      </c>
      <c r="P4215">
        <v>0</v>
      </c>
      <c r="Q4215">
        <v>1</v>
      </c>
    </row>
    <row r="4216" spans="5:17" x14ac:dyDescent="0.2">
      <c r="E4216" s="9" t="s">
        <v>45</v>
      </c>
      <c r="K4216" t="str">
        <v>I'm</v>
      </c>
      <c r="L4216" s="4" t="str">
        <f t="shared" si="77"/>
        <v>I m</v>
      </c>
      <c r="N4216" s="4" cm="1">
        <f t="array" ref="N4216">SUM(--(_xlfn.TEXTSPLIT($J$4059,, " ") = M4216))</f>
        <v>1</v>
      </c>
      <c r="O4216">
        <v>1</v>
      </c>
      <c r="P4216">
        <v>0</v>
      </c>
      <c r="Q4216">
        <v>1</v>
      </c>
    </row>
    <row r="4217" spans="5:17" x14ac:dyDescent="0.2">
      <c r="E4217" s="9" t="s">
        <v>45</v>
      </c>
      <c r="K4217" t="str">
        <v>trapped</v>
      </c>
      <c r="L4217" s="4" t="str">
        <f t="shared" si="77"/>
        <v>trapped</v>
      </c>
      <c r="N4217" s="4" cm="1">
        <f t="array" ref="N4217">SUM(--(_xlfn.TEXTSPLIT($J$4059,, " ") = M4217))</f>
        <v>1</v>
      </c>
      <c r="O4217">
        <v>1</v>
      </c>
      <c r="P4217">
        <v>0</v>
      </c>
      <c r="Q4217">
        <v>1</v>
      </c>
    </row>
    <row r="4218" spans="5:17" x14ac:dyDescent="0.2">
      <c r="E4218" s="9" t="s">
        <v>45</v>
      </c>
      <c r="K4218" t="str">
        <v>now,</v>
      </c>
      <c r="L4218" s="4" t="str">
        <f t="shared" si="77"/>
        <v xml:space="preserve">now </v>
      </c>
      <c r="N4218" s="4" cm="1">
        <f t="array" ref="N4218">SUM(--(_xlfn.TEXTSPLIT($J$4059,, " ") = M4218))</f>
        <v>1</v>
      </c>
      <c r="O4218">
        <v>1</v>
      </c>
      <c r="P4218">
        <v>0</v>
      </c>
      <c r="Q4218">
        <v>1</v>
      </c>
    </row>
    <row r="4219" spans="5:17" x14ac:dyDescent="0.2">
      <c r="E4219" s="9" t="s">
        <v>45</v>
      </c>
      <c r="K4219" t="str">
        <v>etched</v>
      </c>
      <c r="L4219" s="4" t="str">
        <f t="shared" si="77"/>
        <v>etched</v>
      </c>
      <c r="N4219" s="4" cm="1">
        <f t="array" ref="N4219">SUM(--(_xlfn.TEXTSPLIT($J$4059,, " ") = M4219))</f>
        <v>1</v>
      </c>
      <c r="O4219">
        <v>1</v>
      </c>
      <c r="P4219">
        <v>0</v>
      </c>
      <c r="Q4219">
        <v>1</v>
      </c>
    </row>
    <row r="4220" spans="5:17" x14ac:dyDescent="0.2">
      <c r="E4220" s="9" t="s">
        <v>45</v>
      </c>
      <c r="K4220" t="str">
        <v>in</v>
      </c>
      <c r="L4220" s="4" t="str">
        <f t="shared" si="77"/>
        <v>in</v>
      </c>
      <c r="N4220" s="4" cm="1">
        <f t="array" ref="N4220">SUM(--(_xlfn.TEXTSPLIT($J$4059,, " ") = M4220))</f>
        <v>1</v>
      </c>
      <c r="O4220">
        <v>1</v>
      </c>
      <c r="P4220">
        <v>0</v>
      </c>
      <c r="Q4220">
        <v>1</v>
      </c>
    </row>
    <row r="4221" spans="5:17" x14ac:dyDescent="0.2">
      <c r="E4221" s="9" t="s">
        <v>45</v>
      </c>
      <c r="K4221" t="str">
        <v>the</v>
      </c>
      <c r="L4221" s="4" t="str">
        <f t="shared" si="77"/>
        <v>the</v>
      </c>
      <c r="N4221" s="4" cm="1">
        <f t="array" ref="N4221">SUM(--(_xlfn.TEXTSPLIT($J$4059,, " ") = M4221))</f>
        <v>1</v>
      </c>
      <c r="O4221">
        <v>1</v>
      </c>
      <c r="P4221">
        <v>0</v>
      </c>
      <c r="Q4221">
        <v>1</v>
      </c>
    </row>
    <row r="4222" spans="5:17" x14ac:dyDescent="0.2">
      <c r="E4222" s="9" t="s">
        <v>45</v>
      </c>
      <c r="K4222" t="str">
        <v>surface</v>
      </c>
      <c r="L4222" s="4" t="str">
        <f t="shared" si="77"/>
        <v>surface</v>
      </c>
      <c r="N4222" s="4" cm="1">
        <f t="array" ref="N4222">SUM(--(_xlfn.TEXTSPLIT($J$4059,, " ") = M4222))</f>
        <v>1</v>
      </c>
      <c r="O4222">
        <v>1</v>
      </c>
      <c r="P4222">
        <v>0</v>
      </c>
      <c r="Q4222">
        <v>1</v>
      </c>
    </row>
    <row r="4223" spans="5:17" x14ac:dyDescent="0.2">
      <c r="E4223" s="9" t="s">
        <v>45</v>
      </c>
      <c r="K4223" t="str">
        <v>as</v>
      </c>
      <c r="L4223" s="4" t="str">
        <f t="shared" si="77"/>
        <v>as</v>
      </c>
      <c r="N4223" s="4" cm="1">
        <f t="array" ref="N4223">SUM(--(_xlfn.TEXTSPLIT($J$4059,, " ") = M4223))</f>
        <v>1</v>
      </c>
      <c r="O4223">
        <v>1</v>
      </c>
      <c r="P4223">
        <v>0</v>
      </c>
      <c r="Q4223">
        <v>1</v>
      </c>
    </row>
    <row r="4224" spans="5:17" x14ac:dyDescent="0.2">
      <c r="E4224" s="9" t="s">
        <v>45</v>
      </c>
      <c r="K4224" t="str">
        <v xml:space="preserve">evidence
</v>
      </c>
      <c r="L4224" s="4" t="str">
        <f t="shared" si="77"/>
        <v xml:space="preserve">evidence </v>
      </c>
      <c r="N4224" s="4" cm="1">
        <f t="array" ref="N4224">SUM(--(_xlfn.TEXTSPLIT($J$4059,, " ") = M4224))</f>
        <v>1</v>
      </c>
      <c r="O4224">
        <v>1</v>
      </c>
      <c r="P4224">
        <v>0</v>
      </c>
      <c r="Q4224">
        <v>1</v>
      </c>
    </row>
    <row r="4225" spans="5:17" x14ac:dyDescent="0.2">
      <c r="E4225" s="9" t="s">
        <v>45</v>
      </c>
      <c r="K4225" t="str">
        <v>I'm</v>
      </c>
      <c r="L4225" s="4" t="str">
        <f t="shared" si="77"/>
        <v>I m</v>
      </c>
      <c r="N4225" s="4" cm="1">
        <f t="array" ref="N4225">SUM(--(_xlfn.TEXTSPLIT($J$4059,, " ") = M4225))</f>
        <v>1</v>
      </c>
      <c r="O4225">
        <v>1</v>
      </c>
      <c r="P4225">
        <v>0</v>
      </c>
      <c r="Q4225">
        <v>1</v>
      </c>
    </row>
    <row r="4226" spans="5:17" x14ac:dyDescent="0.2">
      <c r="E4226" s="9" t="s">
        <v>45</v>
      </c>
      <c r="K4226" t="str">
        <v>left</v>
      </c>
      <c r="L4226" s="4" t="str">
        <f t="shared" si="77"/>
        <v>left</v>
      </c>
      <c r="N4226" s="4" cm="1">
        <f t="array" ref="N4226">SUM(--(_xlfn.TEXTSPLIT($J$4059,, " ") = M4226))</f>
        <v>1</v>
      </c>
      <c r="O4226">
        <v>1</v>
      </c>
      <c r="P4226">
        <v>0</v>
      </c>
      <c r="Q4226">
        <v>1</v>
      </c>
    </row>
    <row r="4227" spans="5:17" x14ac:dyDescent="0.2">
      <c r="E4227" s="9" t="s">
        <v>45</v>
      </c>
      <c r="K4227" t="str">
        <v>there</v>
      </c>
      <c r="L4227" s="4" t="str">
        <f t="shared" si="77"/>
        <v>there</v>
      </c>
      <c r="N4227" s="4" cm="1">
        <f t="array" ref="N4227">SUM(--(_xlfn.TEXTSPLIT($J$4059,, " ") = M4227))</f>
        <v>1</v>
      </c>
      <c r="O4227">
        <v>1</v>
      </c>
      <c r="P4227">
        <v>0</v>
      </c>
      <c r="Q4227">
        <v>1</v>
      </c>
    </row>
    <row r="4228" spans="5:17" x14ac:dyDescent="0.2">
      <c r="E4228" s="9" t="s">
        <v>45</v>
      </c>
      <c r="K4228" t="str">
        <v>on</v>
      </c>
      <c r="L4228" s="4" t="str">
        <f t="shared" si="77"/>
        <v>on</v>
      </c>
      <c r="N4228" s="4" cm="1">
        <f t="array" ref="N4228">SUM(--(_xlfn.TEXTSPLIT($J$4059,, " ") = M4228))</f>
        <v>1</v>
      </c>
      <c r="O4228">
        <v>1</v>
      </c>
      <c r="P4228">
        <v>0</v>
      </c>
      <c r="Q4228">
        <v>1</v>
      </c>
    </row>
    <row r="4229" spans="5:17" x14ac:dyDescent="0.2">
      <c r="E4229" s="9" t="s">
        <v>45</v>
      </c>
      <c r="K4229" t="str">
        <v>purpose,</v>
      </c>
      <c r="L4229" s="4" t="str">
        <f t="shared" si="77"/>
        <v xml:space="preserve">purpose </v>
      </c>
      <c r="N4229" s="4" cm="1">
        <f t="array" ref="N4229">SUM(--(_xlfn.TEXTSPLIT($J$4059,, " ") = M4229))</f>
        <v>1</v>
      </c>
      <c r="O4229">
        <v>1</v>
      </c>
      <c r="P4229">
        <v>0</v>
      </c>
      <c r="Q4229">
        <v>1</v>
      </c>
    </row>
    <row r="4230" spans="5:17" x14ac:dyDescent="0.2">
      <c r="E4230" s="9" t="s">
        <v>45</v>
      </c>
      <c r="K4230" t="str">
        <v>a</v>
      </c>
      <c r="L4230" s="4" t="str">
        <f t="shared" si="77"/>
        <v>a</v>
      </c>
      <c r="N4230" s="4" cm="1">
        <f t="array" ref="N4230">SUM(--(_xlfn.TEXTSPLIT($J$4059,, " ") = M4230))</f>
        <v>1</v>
      </c>
      <c r="O4230">
        <v>1</v>
      </c>
      <c r="P4230">
        <v>0</v>
      </c>
      <c r="Q4230">
        <v>1</v>
      </c>
    </row>
    <row r="4231" spans="5:17" x14ac:dyDescent="0.2">
      <c r="E4231" s="9" t="s">
        <v>45</v>
      </c>
      <c r="K4231" t="str">
        <v>sad</v>
      </c>
      <c r="L4231" s="4" t="str">
        <f t="shared" si="77"/>
        <v>sad</v>
      </c>
      <c r="N4231" s="4" cm="1">
        <f t="array" ref="N4231">SUM(--(_xlfn.TEXTSPLIT($J$4059,, " ") = M4231))</f>
        <v>1</v>
      </c>
      <c r="O4231">
        <v>1</v>
      </c>
      <c r="P4231">
        <v>0</v>
      </c>
      <c r="Q4231">
        <v>1</v>
      </c>
    </row>
    <row r="4232" spans="5:17" x14ac:dyDescent="0.2">
      <c r="E4232" s="9" t="s">
        <v>45</v>
      </c>
      <c r="K4232" t="str">
        <v>sign,</v>
      </c>
      <c r="L4232" s="4" t="str">
        <f t="shared" si="77"/>
        <v xml:space="preserve">sign </v>
      </c>
      <c r="N4232" s="4" cm="1">
        <f t="array" ref="N4232">SUM(--(_xlfn.TEXTSPLIT($J$4059,, " ") = M4232))</f>
        <v>1</v>
      </c>
      <c r="O4232">
        <v>1</v>
      </c>
      <c r="P4232">
        <v>0</v>
      </c>
      <c r="Q4232">
        <v>1</v>
      </c>
    </row>
    <row r="4233" spans="5:17" x14ac:dyDescent="0.2">
      <c r="E4233" s="9" t="s">
        <v>45</v>
      </c>
      <c r="K4233" t="str">
        <v>laying</v>
      </c>
      <c r="L4233" s="4" t="str">
        <f t="shared" si="77"/>
        <v>laying</v>
      </c>
      <c r="N4233" s="4" cm="1">
        <f t="array" ref="N4233">SUM(--(_xlfn.TEXTSPLIT($J$4059,, " ") = M4233))</f>
        <v>1</v>
      </c>
      <c r="O4233">
        <v>1</v>
      </c>
      <c r="P4233">
        <v>0</v>
      </c>
      <c r="Q4233">
        <v>1</v>
      </c>
    </row>
    <row r="4234" spans="5:17" x14ac:dyDescent="0.2">
      <c r="E4234" s="9" t="s">
        <v>45</v>
      </c>
      <c r="K4234" t="str">
        <v>on</v>
      </c>
      <c r="L4234" s="4" t="str">
        <f t="shared" si="77"/>
        <v>on</v>
      </c>
      <c r="N4234" s="4" cm="1">
        <f t="array" ref="N4234">SUM(--(_xlfn.TEXTSPLIT($J$4059,, " ") = M4234))</f>
        <v>1</v>
      </c>
      <c r="O4234">
        <v>1</v>
      </c>
      <c r="P4234">
        <v>0</v>
      </c>
      <c r="Q4234">
        <v>1</v>
      </c>
    </row>
    <row r="4235" spans="5:17" x14ac:dyDescent="0.2">
      <c r="E4235" s="9" t="s">
        <v>45</v>
      </c>
      <c r="K4235" t="str">
        <v>the</v>
      </c>
      <c r="L4235" s="4" t="str">
        <f t="shared" si="77"/>
        <v>the</v>
      </c>
      <c r="N4235" s="4" cm="1">
        <f t="array" ref="N4235">SUM(--(_xlfn.TEXTSPLIT($J$4059,, " ") = M4235))</f>
        <v>1</v>
      </c>
      <c r="O4235">
        <v>1</v>
      </c>
      <c r="P4235">
        <v>0</v>
      </c>
      <c r="Q4235">
        <v>1</v>
      </c>
    </row>
    <row r="4236" spans="5:17" x14ac:dyDescent="0.2">
      <c r="E4236" s="9" t="s">
        <v>45</v>
      </c>
      <c r="K4236" t="str">
        <v xml:space="preserve">surface
</v>
      </c>
      <c r="L4236" s="4" t="str">
        <f t="shared" si="77"/>
        <v xml:space="preserve">surface </v>
      </c>
      <c r="N4236" s="4" cm="1">
        <f t="array" ref="N4236">SUM(--(_xlfn.TEXTSPLIT($J$4059,, " ") = M4236))</f>
        <v>1</v>
      </c>
      <c r="O4236">
        <v>1</v>
      </c>
      <c r="P4236">
        <v>0</v>
      </c>
      <c r="Q4236">
        <v>1</v>
      </c>
    </row>
    <row r="4237" spans="5:17" x14ac:dyDescent="0.2">
      <c r="E4237" s="9" t="s">
        <v>45</v>
      </c>
      <c r="K4237" t="str">
        <v>Can</v>
      </c>
      <c r="L4237" s="4" t="str">
        <f t="shared" si="77"/>
        <v>Can</v>
      </c>
      <c r="N4237" s="4" cm="1">
        <f t="array" ref="N4237">SUM(--(_xlfn.TEXTSPLIT($J$4059,, " ") = M4237))</f>
        <v>1</v>
      </c>
      <c r="O4237">
        <v>1</v>
      </c>
      <c r="P4237">
        <v>0</v>
      </c>
      <c r="Q4237">
        <v>1</v>
      </c>
    </row>
    <row r="4238" spans="5:17" x14ac:dyDescent="0.2">
      <c r="E4238" s="9" t="s">
        <v>45</v>
      </c>
      <c r="K4238" t="str">
        <v>you,</v>
      </c>
      <c r="L4238" s="4" t="str">
        <f t="shared" si="77"/>
        <v xml:space="preserve">you </v>
      </c>
      <c r="N4238" s="4" cm="1">
        <f t="array" ref="N4238">SUM(--(_xlfn.TEXTSPLIT($J$4059,, " ") = M4238))</f>
        <v>1</v>
      </c>
      <c r="O4238">
        <v>1</v>
      </c>
      <c r="P4238">
        <v>0</v>
      </c>
      <c r="Q4238">
        <v>1</v>
      </c>
    </row>
    <row r="4239" spans="5:17" x14ac:dyDescent="0.2">
      <c r="E4239" s="9" t="s">
        <v>45</v>
      </c>
      <c r="K4239" t="str">
        <v>can</v>
      </c>
      <c r="L4239" s="4" t="str">
        <f t="shared" si="77"/>
        <v>can</v>
      </c>
      <c r="N4239" s="4" cm="1">
        <f t="array" ref="N4239">SUM(--(_xlfn.TEXTSPLIT($J$4059,, " ") = M4239))</f>
        <v>1</v>
      </c>
      <c r="O4239">
        <v>1</v>
      </c>
      <c r="P4239">
        <v>0</v>
      </c>
      <c r="Q4239">
        <v>1</v>
      </c>
    </row>
    <row r="4240" spans="5:17" x14ac:dyDescent="0.2">
      <c r="E4240" s="9" t="s">
        <v>45</v>
      </c>
      <c r="K4240" t="str">
        <v>you</v>
      </c>
      <c r="L4240" s="4" t="str">
        <f t="shared" si="77"/>
        <v>you</v>
      </c>
      <c r="N4240" s="4" cm="1">
        <f t="array" ref="N4240">SUM(--(_xlfn.TEXTSPLIT($J$4059,, " ") = M4240))</f>
        <v>1</v>
      </c>
      <c r="O4240">
        <v>1</v>
      </c>
      <c r="P4240">
        <v>0</v>
      </c>
      <c r="Q4240">
        <v>1</v>
      </c>
    </row>
    <row r="4241" spans="5:17" x14ac:dyDescent="0.2">
      <c r="E4241" s="9" t="s">
        <v>45</v>
      </c>
      <c r="K4241" t="str">
        <v>find,</v>
      </c>
      <c r="L4241" s="4" t="str">
        <f t="shared" si="77"/>
        <v xml:space="preserve">find </v>
      </c>
      <c r="N4241" s="4" cm="1">
        <f t="array" ref="N4241">SUM(--(_xlfn.TEXTSPLIT($J$4059,, " ") = M4241))</f>
        <v>1</v>
      </c>
      <c r="O4241">
        <v>1</v>
      </c>
      <c r="P4241">
        <v>0</v>
      </c>
      <c r="Q4241">
        <v>1</v>
      </c>
    </row>
    <row r="4242" spans="5:17" x14ac:dyDescent="0.2">
      <c r="E4242" s="9" t="s">
        <v>45</v>
      </c>
      <c r="K4242" t="str">
        <v>can</v>
      </c>
      <c r="L4242" s="4" t="str">
        <f t="shared" si="77"/>
        <v>can</v>
      </c>
      <c r="N4242" s="4" cm="1">
        <f t="array" ref="N4242">SUM(--(_xlfn.TEXTSPLIT($J$4059,, " ") = M4242))</f>
        <v>1</v>
      </c>
      <c r="O4242">
        <v>1</v>
      </c>
      <c r="P4242">
        <v>0</v>
      </c>
      <c r="Q4242">
        <v>1</v>
      </c>
    </row>
    <row r="4243" spans="5:17" x14ac:dyDescent="0.2">
      <c r="E4243" s="9" t="s">
        <v>45</v>
      </c>
      <c r="K4243" t="str">
        <v>you</v>
      </c>
      <c r="L4243" s="4" t="str">
        <f t="shared" si="77"/>
        <v>you</v>
      </c>
      <c r="N4243" s="4" cm="1">
        <f t="array" ref="N4243">SUM(--(_xlfn.TEXTSPLIT($J$4059,, " ") = M4243))</f>
        <v>1</v>
      </c>
      <c r="O4243">
        <v>1</v>
      </c>
      <c r="P4243">
        <v>0</v>
      </c>
      <c r="Q4243">
        <v>1</v>
      </c>
    </row>
    <row r="4244" spans="5:17" x14ac:dyDescent="0.2">
      <c r="E4244" s="9" t="s">
        <v>45</v>
      </c>
      <c r="K4244" t="str">
        <v>find</v>
      </c>
      <c r="L4244" s="4" t="str">
        <f t="shared" si="77"/>
        <v>find</v>
      </c>
      <c r="N4244" s="4" cm="1">
        <f t="array" ref="N4244">SUM(--(_xlfn.TEXTSPLIT($J$4059,, " ") = M4244))</f>
        <v>1</v>
      </c>
      <c r="O4244">
        <v>1</v>
      </c>
      <c r="P4244">
        <v>0</v>
      </c>
      <c r="Q4244">
        <v>1</v>
      </c>
    </row>
    <row r="4245" spans="5:17" x14ac:dyDescent="0.2">
      <c r="E4245" s="9" t="s">
        <v>45</v>
      </c>
      <c r="K4245" t="str">
        <v xml:space="preserve">me?
</v>
      </c>
      <c r="L4245" s="4" t="str">
        <f t="shared" si="77"/>
        <v xml:space="preserve">me  </v>
      </c>
      <c r="N4245" s="4" cm="1">
        <f t="array" ref="N4245">SUM(--(_xlfn.TEXTSPLIT($J$4059,, " ") = M4245))</f>
        <v>1</v>
      </c>
      <c r="O4245">
        <v>1</v>
      </c>
      <c r="P4245">
        <v>0</v>
      </c>
      <c r="Q4245">
        <v>1</v>
      </c>
    </row>
    <row r="4246" spans="5:17" x14ac:dyDescent="0.2">
      <c r="E4246" s="9" t="s">
        <v>45</v>
      </c>
      <c r="K4246" t="str">
        <v>I</v>
      </c>
      <c r="L4246" s="4" t="str">
        <f t="shared" si="77"/>
        <v>I</v>
      </c>
      <c r="N4246" s="4" cm="1">
        <f t="array" ref="N4246">SUM(--(_xlfn.TEXTSPLIT($J$4059,, " ") = M4246))</f>
        <v>1</v>
      </c>
      <c r="O4246">
        <v>1</v>
      </c>
      <c r="P4246">
        <v>0</v>
      </c>
      <c r="Q4246">
        <v>1</v>
      </c>
    </row>
    <row r="4247" spans="5:17" x14ac:dyDescent="0.2">
      <c r="E4247" s="9" t="s">
        <v>45</v>
      </c>
      <c r="K4247" t="str">
        <v>dug</v>
      </c>
      <c r="L4247" s="4" t="str">
        <f t="shared" si="77"/>
        <v>dug</v>
      </c>
      <c r="N4247" s="4" cm="1">
        <f t="array" ref="N4247">SUM(--(_xlfn.TEXTSPLIT($J$4059,, " ") = M4247))</f>
        <v>1</v>
      </c>
      <c r="O4247">
        <v>1</v>
      </c>
      <c r="P4247">
        <v>0</v>
      </c>
      <c r="Q4247">
        <v>1</v>
      </c>
    </row>
    <row r="4248" spans="5:17" x14ac:dyDescent="0.2">
      <c r="E4248" s="9" t="s">
        <v>45</v>
      </c>
      <c r="K4248" t="str">
        <v>my</v>
      </c>
      <c r="L4248" s="4" t="str">
        <f t="shared" si="77"/>
        <v>my</v>
      </c>
      <c r="N4248" s="4" cm="1">
        <f t="array" ref="N4248">SUM(--(_xlfn.TEXTSPLIT($J$4059,, " ") = M4248))</f>
        <v>1</v>
      </c>
      <c r="O4248">
        <v>1</v>
      </c>
      <c r="P4248">
        <v>0</v>
      </c>
      <c r="Q4248">
        <v>1</v>
      </c>
    </row>
    <row r="4249" spans="5:17" x14ac:dyDescent="0.2">
      <c r="E4249" s="9" t="s">
        <v>45</v>
      </c>
      <c r="K4249" t="str">
        <v>heels</v>
      </c>
      <c r="L4249" s="4" t="str">
        <f t="shared" si="77"/>
        <v>heels</v>
      </c>
      <c r="N4249" s="4" cm="1">
        <f t="array" ref="N4249">SUM(--(_xlfn.TEXTSPLIT($J$4059,, " ") = M4249))</f>
        <v>1</v>
      </c>
      <c r="O4249">
        <v>1</v>
      </c>
      <c r="P4249">
        <v>0</v>
      </c>
      <c r="Q4249">
        <v>1</v>
      </c>
    </row>
    <row r="4250" spans="5:17" x14ac:dyDescent="0.2">
      <c r="E4250" s="9" t="s">
        <v>45</v>
      </c>
      <c r="K4250" t="str">
        <v>into</v>
      </c>
      <c r="L4250" s="4" t="str">
        <f t="shared" si="77"/>
        <v>into</v>
      </c>
      <c r="N4250" s="4" cm="1">
        <f t="array" ref="N4250">SUM(--(_xlfn.TEXTSPLIT($J$4059,, " ") = M4250))</f>
        <v>1</v>
      </c>
      <c r="O4250">
        <v>1</v>
      </c>
      <c r="P4250">
        <v>0</v>
      </c>
      <c r="Q4250">
        <v>1</v>
      </c>
    </row>
    <row r="4251" spans="5:17" x14ac:dyDescent="0.2">
      <c r="E4251" s="9" t="s">
        <v>45</v>
      </c>
      <c r="K4251" t="str">
        <v>a</v>
      </c>
      <c r="L4251" s="4" t="str">
        <f t="shared" si="77"/>
        <v>a</v>
      </c>
      <c r="N4251" s="4" cm="1">
        <f t="array" ref="N4251">SUM(--(_xlfn.TEXTSPLIT($J$4059,, " ") = M4251))</f>
        <v>1</v>
      </c>
      <c r="O4251">
        <v>1</v>
      </c>
      <c r="P4251">
        <v>0</v>
      </c>
      <c r="Q4251">
        <v>1</v>
      </c>
    </row>
    <row r="4252" spans="5:17" x14ac:dyDescent="0.2">
      <c r="E4252" s="9" t="s">
        <v>45</v>
      </c>
      <c r="K4252" t="str">
        <v>gravel</v>
      </c>
      <c r="L4252" s="4" t="str">
        <f t="shared" ref="L4252:L4313" si="78">_xlfn.REGEXREPLACE(K4252, "[^A-Za-z ]", " ")</f>
        <v>gravel</v>
      </c>
      <c r="N4252" s="4" cm="1">
        <f t="array" ref="N4252">SUM(--(_xlfn.TEXTSPLIT($J$4059,, " ") = M4252))</f>
        <v>1</v>
      </c>
      <c r="O4252">
        <v>1</v>
      </c>
      <c r="P4252">
        <v>0</v>
      </c>
      <c r="Q4252">
        <v>1</v>
      </c>
    </row>
    <row r="4253" spans="5:17" x14ac:dyDescent="0.2">
      <c r="E4253" s="9" t="s">
        <v>45</v>
      </c>
      <c r="K4253" t="str">
        <v>as</v>
      </c>
      <c r="L4253" s="4" t="str">
        <f t="shared" si="78"/>
        <v>as</v>
      </c>
      <c r="N4253" s="4" cm="1">
        <f t="array" ref="N4253">SUM(--(_xlfn.TEXTSPLIT($J$4059,, " ") = M4253))</f>
        <v>1</v>
      </c>
      <c r="O4253">
        <v>1</v>
      </c>
      <c r="P4253">
        <v>0</v>
      </c>
      <c r="Q4253">
        <v>1</v>
      </c>
    </row>
    <row r="4254" spans="5:17" x14ac:dyDescent="0.2">
      <c r="E4254" s="9" t="s">
        <v>45</v>
      </c>
      <c r="K4254" t="str">
        <v xml:space="preserve">evidence
</v>
      </c>
      <c r="L4254" s="4" t="str">
        <f t="shared" si="78"/>
        <v xml:space="preserve">evidence </v>
      </c>
      <c r="N4254" s="4" cm="1">
        <f t="array" ref="N4254">SUM(--(_xlfn.TEXTSPLIT($J$4059,, " ") = M4254))</f>
        <v>1</v>
      </c>
      <c r="O4254">
        <v>1</v>
      </c>
      <c r="P4254">
        <v>0</v>
      </c>
      <c r="Q4254">
        <v>1</v>
      </c>
    </row>
    <row r="4255" spans="5:17" x14ac:dyDescent="0.2">
      <c r="E4255" s="9" t="s">
        <v>45</v>
      </c>
      <c r="K4255" t="str">
        <v>For</v>
      </c>
      <c r="L4255" s="4" t="str">
        <f t="shared" si="78"/>
        <v>For</v>
      </c>
      <c r="N4255" s="4" cm="1">
        <f t="array" ref="N4255">SUM(--(_xlfn.TEXTSPLIT($J$4059,, " ") = M4255))</f>
        <v>1</v>
      </c>
      <c r="O4255">
        <v>1</v>
      </c>
      <c r="P4255">
        <v>0</v>
      </c>
      <c r="Q4255">
        <v>1</v>
      </c>
    </row>
    <row r="4256" spans="5:17" x14ac:dyDescent="0.2">
      <c r="E4256" s="9" t="s">
        <v>45</v>
      </c>
      <c r="K4256" t="str">
        <v>you</v>
      </c>
      <c r="L4256" s="4" t="str">
        <f t="shared" si="78"/>
        <v>you</v>
      </c>
      <c r="N4256" s="4" cm="1">
        <f t="array" ref="N4256">SUM(--(_xlfn.TEXTSPLIT($J$4059,, " ") = M4256))</f>
        <v>1</v>
      </c>
      <c r="O4256">
        <v>1</v>
      </c>
      <c r="P4256">
        <v>0</v>
      </c>
      <c r="Q4256">
        <v>1</v>
      </c>
    </row>
    <row r="4257" spans="5:17" x14ac:dyDescent="0.2">
      <c r="E4257" s="9" t="s">
        <v>45</v>
      </c>
      <c r="K4257" t="str">
        <v>to</v>
      </c>
      <c r="L4257" s="4" t="str">
        <f t="shared" si="78"/>
        <v>to</v>
      </c>
      <c r="N4257" s="4" cm="1">
        <f t="array" ref="N4257">SUM(--(_xlfn.TEXTSPLIT($J$4059,, " ") = M4257))</f>
        <v>1</v>
      </c>
      <c r="O4257">
        <v>1</v>
      </c>
      <c r="P4257">
        <v>0</v>
      </c>
      <c r="Q4257">
        <v>1</v>
      </c>
    </row>
    <row r="4258" spans="5:17" x14ac:dyDescent="0.2">
      <c r="E4258" s="9" t="s">
        <v>45</v>
      </c>
      <c r="K4258" t="str">
        <v>unravel</v>
      </c>
      <c r="L4258" s="4" t="str">
        <f t="shared" si="78"/>
        <v>unravel</v>
      </c>
      <c r="N4258" s="4" cm="1">
        <f t="array" ref="N4258">SUM(--(_xlfn.TEXTSPLIT($J$4059,, " ") = M4258))</f>
        <v>1</v>
      </c>
      <c r="O4258">
        <v>1</v>
      </c>
      <c r="P4258">
        <v>0</v>
      </c>
      <c r="Q4258">
        <v>1</v>
      </c>
    </row>
    <row r="4259" spans="5:17" x14ac:dyDescent="0.2">
      <c r="E4259" s="9" t="s">
        <v>45</v>
      </c>
      <c r="K4259" t="str">
        <v>the</v>
      </c>
      <c r="L4259" s="4" t="str">
        <f t="shared" si="78"/>
        <v>the</v>
      </c>
      <c r="N4259" s="4" cm="1">
        <f t="array" ref="N4259">SUM(--(_xlfn.TEXTSPLIT($J$4059,, " ") = M4259))</f>
        <v>1</v>
      </c>
      <c r="O4259">
        <v>1</v>
      </c>
      <c r="P4259">
        <v>0</v>
      </c>
      <c r="Q4259">
        <v>1</v>
      </c>
    </row>
    <row r="4260" spans="5:17" x14ac:dyDescent="0.2">
      <c r="E4260" s="9" t="s">
        <v>45</v>
      </c>
      <c r="K4260" t="str">
        <v>drag</v>
      </c>
      <c r="L4260" s="4" t="str">
        <f t="shared" si="78"/>
        <v>drag</v>
      </c>
      <c r="N4260" s="4" cm="1">
        <f t="array" ref="N4260">SUM(--(_xlfn.TEXTSPLIT($J$4059,, " ") = M4260))</f>
        <v>1</v>
      </c>
      <c r="O4260">
        <v>1</v>
      </c>
      <c r="P4260">
        <v>0</v>
      </c>
      <c r="Q4260">
        <v>1</v>
      </c>
    </row>
    <row r="4261" spans="5:17" x14ac:dyDescent="0.2">
      <c r="E4261" s="9" t="s">
        <v>45</v>
      </c>
      <c r="K4261" t="str">
        <v xml:space="preserve">path
</v>
      </c>
      <c r="L4261" s="4" t="str">
        <f t="shared" si="78"/>
        <v xml:space="preserve">path </v>
      </c>
      <c r="N4261" s="4" cm="1">
        <f t="array" ref="N4261">SUM(--(_xlfn.TEXTSPLIT($J$4059,, " ") = M4261))</f>
        <v>1</v>
      </c>
      <c r="O4261">
        <v>1</v>
      </c>
      <c r="P4261">
        <v>0</v>
      </c>
      <c r="Q4261">
        <v>1</v>
      </c>
    </row>
    <row r="4262" spans="5:17" x14ac:dyDescent="0.2">
      <c r="E4262" s="9" t="s">
        <v>45</v>
      </c>
      <c r="K4262" t="str">
        <v>Etched</v>
      </c>
      <c r="L4262" s="4" t="str">
        <f t="shared" si="78"/>
        <v>Etched</v>
      </c>
      <c r="N4262" s="4" cm="1">
        <f t="array" ref="N4262">SUM(--(_xlfn.TEXTSPLIT($J$4059,, " ") = M4262))</f>
        <v>1</v>
      </c>
      <c r="O4262">
        <v>1</v>
      </c>
      <c r="P4262">
        <v>0</v>
      </c>
      <c r="Q4262">
        <v>1</v>
      </c>
    </row>
    <row r="4263" spans="5:17" x14ac:dyDescent="0.2">
      <c r="E4263" s="9" t="s">
        <v>45</v>
      </c>
      <c r="K4263" t="str">
        <v>in</v>
      </c>
      <c r="L4263" s="4" t="str">
        <f t="shared" si="78"/>
        <v>in</v>
      </c>
      <c r="N4263" s="4" cm="1">
        <f t="array" ref="N4263">SUM(--(_xlfn.TEXTSPLIT($J$4059,, " ") = M4263))</f>
        <v>1</v>
      </c>
      <c r="O4263">
        <v>1</v>
      </c>
      <c r="P4263">
        <v>0</v>
      </c>
      <c r="Q4263">
        <v>1</v>
      </c>
    </row>
    <row r="4264" spans="5:17" x14ac:dyDescent="0.2">
      <c r="E4264" s="9" t="s">
        <v>45</v>
      </c>
      <c r="K4264" t="str">
        <v>the</v>
      </c>
      <c r="L4264" s="4" t="str">
        <f t="shared" si="78"/>
        <v>the</v>
      </c>
      <c r="N4264" s="4" cm="1">
        <f t="array" ref="N4264">SUM(--(_xlfn.TEXTSPLIT($J$4059,, " ") = M4264))</f>
        <v>1</v>
      </c>
      <c r="O4264">
        <v>1</v>
      </c>
      <c r="P4264">
        <v>0</v>
      </c>
      <c r="Q4264">
        <v>1</v>
      </c>
    </row>
    <row r="4265" spans="5:17" x14ac:dyDescent="0.2">
      <c r="E4265" s="9" t="s">
        <v>45</v>
      </c>
      <c r="K4265" t="str">
        <v xml:space="preserve">surface
</v>
      </c>
      <c r="L4265" s="4" t="str">
        <f t="shared" si="78"/>
        <v xml:space="preserve">surface  </v>
      </c>
      <c r="N4265" s="4" cm="1">
        <f t="array" ref="N4265">SUM(--(_xlfn.TEXTSPLIT($J$4059,, " ") = M4265))</f>
        <v>1</v>
      </c>
      <c r="O4265">
        <v>1</v>
      </c>
      <c r="P4265">
        <v>0</v>
      </c>
      <c r="Q4265">
        <v>1</v>
      </c>
    </row>
    <row r="4266" spans="5:17" x14ac:dyDescent="0.2">
      <c r="E4266" s="9" t="s">
        <v>45</v>
      </c>
      <c r="K4266" t="str">
        <v>Can</v>
      </c>
      <c r="L4266" s="4" t="str">
        <f t="shared" si="78"/>
        <v>Can</v>
      </c>
      <c r="N4266" s="4" cm="1">
        <f t="array" ref="N4266">SUM(--(_xlfn.TEXTSPLIT($J$4059,, " ") = M4266))</f>
        <v>1</v>
      </c>
      <c r="O4266">
        <v>1</v>
      </c>
      <c r="P4266">
        <v>0</v>
      </c>
      <c r="Q4266">
        <v>1</v>
      </c>
    </row>
    <row r="4267" spans="5:17" x14ac:dyDescent="0.2">
      <c r="E4267" s="9" t="s">
        <v>45</v>
      </c>
      <c r="K4267" t="str">
        <v>you</v>
      </c>
      <c r="L4267" s="4" t="str">
        <f t="shared" si="78"/>
        <v>you</v>
      </c>
      <c r="N4267" s="4" cm="1">
        <f t="array" ref="N4267">SUM(--(_xlfn.TEXTSPLIT($J$4059,, " ") = M4267))</f>
        <v>1</v>
      </c>
      <c r="O4267">
        <v>1</v>
      </c>
      <c r="P4267">
        <v>0</v>
      </c>
      <c r="Q4267">
        <v>1</v>
      </c>
    </row>
    <row r="4268" spans="5:17" x14ac:dyDescent="0.2">
      <c r="E4268" s="9" t="s">
        <v>45</v>
      </c>
      <c r="K4268" t="str">
        <v>find</v>
      </c>
      <c r="L4268" s="4" t="str">
        <f t="shared" si="78"/>
        <v>find</v>
      </c>
      <c r="N4268" s="4" cm="1">
        <f t="array" ref="N4268">SUM(--(_xlfn.TEXTSPLIT($J$4059,, " ") = M4268))</f>
        <v>1</v>
      </c>
      <c r="O4268">
        <v>1</v>
      </c>
      <c r="P4268">
        <v>0</v>
      </c>
      <c r="Q4268">
        <v>1</v>
      </c>
    </row>
    <row r="4269" spans="5:17" x14ac:dyDescent="0.2">
      <c r="E4269" s="9" t="s">
        <v>45</v>
      </c>
      <c r="K4269" t="str">
        <v>me?</v>
      </c>
      <c r="L4269" s="4" t="str">
        <f t="shared" si="78"/>
        <v xml:space="preserve">me </v>
      </c>
      <c r="N4269" s="4" cm="1">
        <f t="array" ref="N4269">SUM(--(_xlfn.TEXTSPLIT($J$4059,, " ") = M4269))</f>
        <v>1</v>
      </c>
      <c r="O4269">
        <v>1</v>
      </c>
      <c r="P4269">
        <v>0</v>
      </c>
      <c r="Q4269">
        <v>1</v>
      </c>
    </row>
    <row r="4270" spans="5:17" x14ac:dyDescent="0.2">
      <c r="E4270" s="9" t="s">
        <v>45</v>
      </c>
      <c r="K4270" t="str">
        <v>(Can</v>
      </c>
      <c r="L4270" s="4" t="str">
        <f t="shared" si="78"/>
        <v xml:space="preserve"> Can</v>
      </c>
      <c r="N4270" s="4" cm="1">
        <f t="array" ref="N4270">SUM(--(_xlfn.TEXTSPLIT($J$4059,, " ") = M4270))</f>
        <v>1</v>
      </c>
      <c r="O4270">
        <v>1</v>
      </c>
      <c r="P4270">
        <v>0</v>
      </c>
      <c r="Q4270">
        <v>1</v>
      </c>
    </row>
    <row r="4271" spans="5:17" x14ac:dyDescent="0.2">
      <c r="E4271" s="9" t="s">
        <v>45</v>
      </c>
      <c r="K4271" t="str">
        <v>you</v>
      </c>
      <c r="L4271" s="4" t="str">
        <f t="shared" si="78"/>
        <v>you</v>
      </c>
      <c r="N4271" s="4" cm="1">
        <f t="array" ref="N4271">SUM(--(_xlfn.TEXTSPLIT($J$4059,, " ") = M4271))</f>
        <v>1</v>
      </c>
      <c r="O4271">
        <v>1</v>
      </c>
      <c r="P4271">
        <v>0</v>
      </c>
      <c r="Q4271">
        <v>1</v>
      </c>
    </row>
    <row r="4272" spans="5:17" x14ac:dyDescent="0.2">
      <c r="E4272" s="9" t="s">
        <v>45</v>
      </c>
      <c r="K4272" t="str">
        <v>find</v>
      </c>
      <c r="L4272" s="4" t="str">
        <f t="shared" si="78"/>
        <v>find</v>
      </c>
      <c r="N4272" s="4" cm="1">
        <f t="array" ref="N4272">SUM(--(_xlfn.TEXTSPLIT($J$4059,, " ") = M4272))</f>
        <v>1</v>
      </c>
      <c r="O4272">
        <v>1</v>
      </c>
      <c r="P4272">
        <v>0</v>
      </c>
      <c r="Q4272">
        <v>1</v>
      </c>
    </row>
    <row r="4273" spans="5:17" x14ac:dyDescent="0.2">
      <c r="E4273" s="9" t="s">
        <v>45</v>
      </c>
      <c r="K4273" t="str">
        <v xml:space="preserve">me?)
</v>
      </c>
      <c r="L4273" s="4" t="str">
        <f t="shared" si="78"/>
        <v xml:space="preserve">me   </v>
      </c>
      <c r="N4273" s="4" cm="1">
        <f t="array" ref="N4273">SUM(--(_xlfn.TEXTSPLIT($J$4059,, " ") = M4273))</f>
        <v>1</v>
      </c>
      <c r="O4273">
        <v>1</v>
      </c>
      <c r="P4273">
        <v>0</v>
      </c>
      <c r="Q4273">
        <v>1</v>
      </c>
    </row>
    <row r="4274" spans="5:17" x14ac:dyDescent="0.2">
      <c r="E4274" s="9" t="s">
        <v>45</v>
      </c>
      <c r="K4274" t="str">
        <v>Can</v>
      </c>
      <c r="L4274" s="4" t="str">
        <f t="shared" si="78"/>
        <v>Can</v>
      </c>
      <c r="N4274" s="4" cm="1">
        <f t="array" ref="N4274">SUM(--(_xlfn.TEXTSPLIT($J$4059,, " ") = M4274))</f>
        <v>1</v>
      </c>
      <c r="O4274">
        <v>1</v>
      </c>
      <c r="P4274">
        <v>0</v>
      </c>
      <c r="Q4274">
        <v>1</v>
      </c>
    </row>
    <row r="4275" spans="5:17" x14ac:dyDescent="0.2">
      <c r="E4275" s="9" t="s">
        <v>45</v>
      </c>
      <c r="K4275" t="str">
        <v>you</v>
      </c>
      <c r="L4275" s="4" t="str">
        <f t="shared" si="78"/>
        <v>you</v>
      </c>
      <c r="N4275" s="4" cm="1">
        <f t="array" ref="N4275">SUM(--(_xlfn.TEXTSPLIT($J$4059,, " ") = M4275))</f>
        <v>1</v>
      </c>
      <c r="O4275">
        <v>1</v>
      </c>
      <c r="P4275">
        <v>0</v>
      </c>
      <c r="Q4275">
        <v>1</v>
      </c>
    </row>
    <row r="4276" spans="5:17" x14ac:dyDescent="0.2">
      <c r="E4276" s="9" t="s">
        <v>45</v>
      </c>
      <c r="K4276" t="str">
        <v>find</v>
      </c>
      <c r="L4276" s="4" t="str">
        <f t="shared" si="78"/>
        <v>find</v>
      </c>
      <c r="N4276" s="4" cm="1">
        <f t="array" ref="N4276">SUM(--(_xlfn.TEXTSPLIT($J$4059,, " ") = M4276))</f>
        <v>1</v>
      </c>
      <c r="O4276">
        <v>1</v>
      </c>
      <c r="P4276">
        <v>0</v>
      </c>
      <c r="Q4276">
        <v>1</v>
      </c>
    </row>
    <row r="4277" spans="5:17" x14ac:dyDescent="0.2">
      <c r="E4277" s="9" t="s">
        <v>45</v>
      </c>
      <c r="K4277" t="str">
        <v>me?</v>
      </c>
      <c r="L4277" s="4" t="str">
        <f t="shared" si="78"/>
        <v xml:space="preserve">me </v>
      </c>
      <c r="N4277" s="4" cm="1">
        <f t="array" ref="N4277">SUM(--(_xlfn.TEXTSPLIT($J$4059,, " ") = M4277))</f>
        <v>1</v>
      </c>
      <c r="O4277">
        <v>1</v>
      </c>
      <c r="P4277">
        <v>0</v>
      </c>
      <c r="Q4277">
        <v>1</v>
      </c>
    </row>
    <row r="4278" spans="5:17" x14ac:dyDescent="0.2">
      <c r="E4278" s="9" t="s">
        <v>45</v>
      </c>
      <c r="K4278" t="str">
        <v>(Can</v>
      </c>
      <c r="L4278" s="4" t="str">
        <f t="shared" si="78"/>
        <v xml:space="preserve"> Can</v>
      </c>
      <c r="N4278" s="4" cm="1">
        <f t="array" ref="N4278">SUM(--(_xlfn.TEXTSPLIT($J$4059,, " ") = M4278))</f>
        <v>1</v>
      </c>
      <c r="O4278">
        <v>1</v>
      </c>
      <c r="P4278">
        <v>0</v>
      </c>
      <c r="Q4278">
        <v>1</v>
      </c>
    </row>
    <row r="4279" spans="5:17" x14ac:dyDescent="0.2">
      <c r="E4279" s="9" t="s">
        <v>45</v>
      </c>
      <c r="K4279" t="str">
        <v>you</v>
      </c>
      <c r="L4279" s="4" t="str">
        <f t="shared" si="78"/>
        <v>you</v>
      </c>
      <c r="N4279" s="4" cm="1">
        <f t="array" ref="N4279">SUM(--(_xlfn.TEXTSPLIT($J$4059,, " ") = M4279))</f>
        <v>1</v>
      </c>
      <c r="O4279">
        <v>1</v>
      </c>
      <c r="P4279">
        <v>0</v>
      </c>
      <c r="Q4279">
        <v>1</v>
      </c>
    </row>
    <row r="4280" spans="5:17" x14ac:dyDescent="0.2">
      <c r="E4280" s="9" t="s">
        <v>45</v>
      </c>
      <c r="K4280" t="str">
        <v>find</v>
      </c>
      <c r="L4280" s="4" t="str">
        <f t="shared" si="78"/>
        <v>find</v>
      </c>
      <c r="N4280" s="4" cm="1">
        <f t="array" ref="N4280">SUM(--(_xlfn.TEXTSPLIT($J$4059,, " ") = M4280))</f>
        <v>1</v>
      </c>
      <c r="O4280">
        <v>1</v>
      </c>
      <c r="P4280">
        <v>0</v>
      </c>
      <c r="Q4280">
        <v>1</v>
      </c>
    </row>
    <row r="4281" spans="5:17" x14ac:dyDescent="0.2">
      <c r="E4281" s="9" t="s">
        <v>45</v>
      </c>
      <c r="K4281" t="str">
        <v xml:space="preserve">me?)
</v>
      </c>
      <c r="L4281" s="4" t="str">
        <f t="shared" si="78"/>
        <v xml:space="preserve">me   </v>
      </c>
      <c r="N4281" s="4" cm="1">
        <f t="array" ref="N4281">SUM(--(_xlfn.TEXTSPLIT($J$4059,, " ") = M4281))</f>
        <v>1</v>
      </c>
      <c r="O4281">
        <v>1</v>
      </c>
      <c r="P4281">
        <v>0</v>
      </c>
      <c r="Q4281">
        <v>1</v>
      </c>
    </row>
    <row r="4282" spans="5:17" x14ac:dyDescent="0.2">
      <c r="E4282" s="9" t="s">
        <v>45</v>
      </c>
      <c r="K4282" t="str">
        <v>Can</v>
      </c>
      <c r="L4282" s="4" t="str">
        <f t="shared" si="78"/>
        <v>Can</v>
      </c>
      <c r="N4282" s="4" cm="1">
        <f t="array" ref="N4282">SUM(--(_xlfn.TEXTSPLIT($J$4059,, " ") = M4282))</f>
        <v>1</v>
      </c>
      <c r="O4282">
        <v>1</v>
      </c>
      <c r="P4282">
        <v>0</v>
      </c>
      <c r="Q4282">
        <v>1</v>
      </c>
    </row>
    <row r="4283" spans="5:17" x14ac:dyDescent="0.2">
      <c r="E4283" s="9" t="s">
        <v>45</v>
      </c>
      <c r="K4283" t="str">
        <v>you</v>
      </c>
      <c r="L4283" s="4" t="str">
        <f t="shared" si="78"/>
        <v>you</v>
      </c>
      <c r="N4283" s="4" cm="1">
        <f t="array" ref="N4283">SUM(--(_xlfn.TEXTSPLIT($J$4059,, " ") = M4283))</f>
        <v>1</v>
      </c>
      <c r="O4283">
        <v>1</v>
      </c>
      <c r="P4283">
        <v>0</v>
      </c>
      <c r="Q4283">
        <v>1</v>
      </c>
    </row>
    <row r="4284" spans="5:17" x14ac:dyDescent="0.2">
      <c r="E4284" s="9" t="s">
        <v>45</v>
      </c>
      <c r="K4284" t="str">
        <v>find</v>
      </c>
      <c r="L4284" s="4" t="str">
        <f t="shared" si="78"/>
        <v>find</v>
      </c>
      <c r="N4284" s="4" cm="1">
        <f t="array" ref="N4284">SUM(--(_xlfn.TEXTSPLIT($J$4059,, " ") = M4284))</f>
        <v>1</v>
      </c>
      <c r="O4284">
        <v>1</v>
      </c>
      <c r="P4284">
        <v>0</v>
      </c>
      <c r="Q4284">
        <v>1</v>
      </c>
    </row>
    <row r="4285" spans="5:17" x14ac:dyDescent="0.2">
      <c r="E4285" s="9" t="s">
        <v>45</v>
      </c>
      <c r="K4285" t="str">
        <v>me?</v>
      </c>
      <c r="L4285" s="4" t="str">
        <f t="shared" si="78"/>
        <v xml:space="preserve">me </v>
      </c>
      <c r="N4285" s="4" cm="1">
        <f t="array" ref="N4285">SUM(--(_xlfn.TEXTSPLIT($J$4059,, " ") = M4285))</f>
        <v>1</v>
      </c>
      <c r="O4285">
        <v>1</v>
      </c>
      <c r="P4285">
        <v>0</v>
      </c>
      <c r="Q4285">
        <v>1</v>
      </c>
    </row>
    <row r="4286" spans="5:17" x14ac:dyDescent="0.2">
      <c r="E4286" s="9" t="s">
        <v>45</v>
      </c>
      <c r="K4286" t="str">
        <v>(Can</v>
      </c>
      <c r="L4286" s="4" t="str">
        <f t="shared" si="78"/>
        <v xml:space="preserve"> Can</v>
      </c>
      <c r="N4286" s="4" cm="1">
        <f t="array" ref="N4286">SUM(--(_xlfn.TEXTSPLIT($J$4059,, " ") = M4286))</f>
        <v>1</v>
      </c>
      <c r="O4286">
        <v>1</v>
      </c>
      <c r="P4286">
        <v>0</v>
      </c>
      <c r="Q4286">
        <v>1</v>
      </c>
    </row>
    <row r="4287" spans="5:17" x14ac:dyDescent="0.2">
      <c r="E4287" s="9" t="s">
        <v>45</v>
      </c>
      <c r="K4287" t="str">
        <v>you</v>
      </c>
      <c r="L4287" s="4" t="str">
        <f t="shared" si="78"/>
        <v>you</v>
      </c>
      <c r="N4287" s="4" cm="1">
        <f t="array" ref="N4287">SUM(--(_xlfn.TEXTSPLIT($J$4059,, " ") = M4287))</f>
        <v>1</v>
      </c>
      <c r="O4287">
        <v>1</v>
      </c>
      <c r="P4287">
        <v>0</v>
      </c>
      <c r="Q4287">
        <v>1</v>
      </c>
    </row>
    <row r="4288" spans="5:17" x14ac:dyDescent="0.2">
      <c r="E4288" s="9" t="s">
        <v>45</v>
      </c>
      <c r="K4288" t="str">
        <v>find</v>
      </c>
      <c r="L4288" s="4" t="str">
        <f t="shared" si="78"/>
        <v>find</v>
      </c>
      <c r="N4288" s="4" cm="1">
        <f t="array" ref="N4288">SUM(--(_xlfn.TEXTSPLIT($J$4059,, " ") = M4288))</f>
        <v>1</v>
      </c>
      <c r="O4288">
        <v>1</v>
      </c>
      <c r="P4288">
        <v>0</v>
      </c>
      <c r="Q4288">
        <v>1</v>
      </c>
    </row>
    <row r="4289" spans="5:17" x14ac:dyDescent="0.2">
      <c r="E4289" s="9" t="s">
        <v>45</v>
      </c>
      <c r="K4289" t="str">
        <v xml:space="preserve">me?)
</v>
      </c>
      <c r="L4289" s="4" t="str">
        <f t="shared" si="78"/>
        <v xml:space="preserve">me   </v>
      </c>
      <c r="N4289" s="4" cm="1">
        <f t="array" ref="N4289">SUM(--(_xlfn.TEXTSPLIT($J$4059,, " ") = M4289))</f>
        <v>1</v>
      </c>
      <c r="O4289">
        <v>1</v>
      </c>
      <c r="P4289">
        <v>0</v>
      </c>
      <c r="Q4289">
        <v>1</v>
      </c>
    </row>
    <row r="4290" spans="5:17" x14ac:dyDescent="0.2">
      <c r="E4290" s="9" t="s">
        <v>45</v>
      </c>
      <c r="K4290" t="str">
        <v>Can</v>
      </c>
      <c r="L4290" s="4" t="str">
        <f t="shared" si="78"/>
        <v>Can</v>
      </c>
      <c r="N4290" s="4" cm="1">
        <f t="array" ref="N4290">SUM(--(_xlfn.TEXTSPLIT($J$4059,, " ") = M4290))</f>
        <v>1</v>
      </c>
      <c r="O4290">
        <v>1</v>
      </c>
      <c r="P4290">
        <v>0</v>
      </c>
      <c r="Q4290">
        <v>1</v>
      </c>
    </row>
    <row r="4291" spans="5:17" x14ac:dyDescent="0.2">
      <c r="E4291" s="9" t="s">
        <v>45</v>
      </c>
      <c r="K4291" t="str">
        <v>you</v>
      </c>
      <c r="L4291" s="4" t="str">
        <f t="shared" si="78"/>
        <v>you</v>
      </c>
      <c r="N4291" s="4" cm="1">
        <f t="array" ref="N4291">SUM(--(_xlfn.TEXTSPLIT($J$4059,, " ") = M4291))</f>
        <v>1</v>
      </c>
      <c r="O4291">
        <v>1</v>
      </c>
      <c r="P4291">
        <v>0</v>
      </c>
      <c r="Q4291">
        <v>1</v>
      </c>
    </row>
    <row r="4292" spans="5:17" x14ac:dyDescent="0.2">
      <c r="E4292" s="9" t="s">
        <v>45</v>
      </c>
      <c r="K4292" t="str">
        <v>find</v>
      </c>
      <c r="L4292" s="4" t="str">
        <f t="shared" si="78"/>
        <v>find</v>
      </c>
      <c r="N4292" s="4" cm="1">
        <f t="array" ref="N4292">SUM(--(_xlfn.TEXTSPLIT($J$4059,, " ") = M4292))</f>
        <v>1</v>
      </c>
      <c r="O4292">
        <v>1</v>
      </c>
      <c r="P4292">
        <v>0</v>
      </c>
      <c r="Q4292">
        <v>1</v>
      </c>
    </row>
    <row r="4293" spans="5:17" x14ac:dyDescent="0.2">
      <c r="E4293" s="9" t="s">
        <v>45</v>
      </c>
      <c r="K4293" t="str">
        <v>me?</v>
      </c>
      <c r="L4293" s="4" t="str">
        <f t="shared" si="78"/>
        <v xml:space="preserve">me </v>
      </c>
      <c r="N4293" s="4" cm="1">
        <f t="array" ref="N4293">SUM(--(_xlfn.TEXTSPLIT($J$4059,, " ") = M4293))</f>
        <v>1</v>
      </c>
      <c r="O4293">
        <v>1</v>
      </c>
      <c r="P4293">
        <v>0</v>
      </c>
      <c r="Q4293">
        <v>1</v>
      </c>
    </row>
    <row r="4294" spans="5:17" x14ac:dyDescent="0.2">
      <c r="E4294" s="9" t="s">
        <v>45</v>
      </c>
      <c r="K4294" t="str">
        <v>(Can</v>
      </c>
      <c r="L4294" s="4" t="str">
        <f t="shared" si="78"/>
        <v xml:space="preserve"> Can</v>
      </c>
      <c r="N4294" s="4" cm="1">
        <f t="array" ref="N4294">SUM(--(_xlfn.TEXTSPLIT($J$4059,, " ") = M4294))</f>
        <v>1</v>
      </c>
      <c r="O4294">
        <v>1</v>
      </c>
      <c r="P4294">
        <v>0</v>
      </c>
      <c r="Q4294">
        <v>1</v>
      </c>
    </row>
    <row r="4295" spans="5:17" x14ac:dyDescent="0.2">
      <c r="E4295" s="9" t="s">
        <v>45</v>
      </c>
      <c r="K4295" t="str">
        <v>you</v>
      </c>
      <c r="L4295" s="4" t="str">
        <f t="shared" si="78"/>
        <v>you</v>
      </c>
      <c r="N4295" s="4" cm="1">
        <f t="array" ref="N4295">SUM(--(_xlfn.TEXTSPLIT($J$4059,, " ") = M4295))</f>
        <v>1</v>
      </c>
      <c r="O4295">
        <v>1</v>
      </c>
      <c r="P4295">
        <v>0</v>
      </c>
      <c r="Q4295">
        <v>1</v>
      </c>
    </row>
    <row r="4296" spans="5:17" x14ac:dyDescent="0.2">
      <c r="E4296" s="9" t="s">
        <v>45</v>
      </c>
      <c r="K4296" t="str">
        <v>find</v>
      </c>
      <c r="L4296" s="4" t="str">
        <f t="shared" si="78"/>
        <v>find</v>
      </c>
      <c r="N4296" s="4" cm="1">
        <f t="array" ref="N4296">SUM(--(_xlfn.TEXTSPLIT($J$4059,, " ") = M4296))</f>
        <v>1</v>
      </c>
      <c r="O4296">
        <v>1</v>
      </c>
      <c r="P4296">
        <v>0</v>
      </c>
      <c r="Q4296">
        <v>1</v>
      </c>
    </row>
    <row r="4297" spans="5:17" x14ac:dyDescent="0.2">
      <c r="E4297" s="9" t="s">
        <v>45</v>
      </c>
      <c r="K4297" t="str">
        <v xml:space="preserve">me?)
</v>
      </c>
      <c r="L4297" s="4" t="str">
        <f t="shared" si="78"/>
        <v xml:space="preserve">me    </v>
      </c>
      <c r="N4297" s="4" cm="1">
        <f t="array" ref="N4297">SUM(--(_xlfn.TEXTSPLIT($J$4059,, " ") = M4297))</f>
        <v>1</v>
      </c>
      <c r="O4297">
        <v>1</v>
      </c>
      <c r="P4297">
        <v>0</v>
      </c>
      <c r="Q4297">
        <v>1</v>
      </c>
    </row>
    <row r="4298" spans="5:17" x14ac:dyDescent="0.2">
      <c r="E4298" s="9" t="s">
        <v>45</v>
      </c>
      <c r="K4298" t="str">
        <v>Then</v>
      </c>
      <c r="L4298" s="4" t="str">
        <f t="shared" si="78"/>
        <v>Then</v>
      </c>
      <c r="N4298" s="4" cm="1">
        <f t="array" ref="N4298">SUM(--(_xlfn.TEXTSPLIT($J$4059,, " ") = M4298))</f>
        <v>1</v>
      </c>
      <c r="O4298">
        <v>1</v>
      </c>
      <c r="P4298">
        <v>0</v>
      </c>
      <c r="Q4298">
        <v>1</v>
      </c>
    </row>
    <row r="4299" spans="5:17" x14ac:dyDescent="0.2">
      <c r="E4299" s="9" t="s">
        <v>45</v>
      </c>
      <c r="K4299" t="str">
        <v>the</v>
      </c>
      <c r="L4299" s="4" t="str">
        <f t="shared" si="78"/>
        <v>the</v>
      </c>
      <c r="N4299" s="4" cm="1">
        <f t="array" ref="N4299">SUM(--(_xlfn.TEXTSPLIT($J$4059,, " ") = M4299))</f>
        <v>1</v>
      </c>
      <c r="O4299">
        <v>1</v>
      </c>
      <c r="P4299">
        <v>0</v>
      </c>
      <c r="Q4299">
        <v>1</v>
      </c>
    </row>
    <row r="4300" spans="5:17" x14ac:dyDescent="0.2">
      <c r="E4300" s="9" t="s">
        <v>45</v>
      </c>
      <c r="K4300" t="str">
        <v>sun</v>
      </c>
      <c r="L4300" s="4" t="str">
        <f t="shared" si="78"/>
        <v>sun</v>
      </c>
      <c r="N4300" s="4" cm="1">
        <f t="array" ref="N4300">SUM(--(_xlfn.TEXTSPLIT($J$4059,, " ") = M4300))</f>
        <v>1</v>
      </c>
      <c r="O4300">
        <v>1</v>
      </c>
      <c r="P4300">
        <v>0</v>
      </c>
      <c r="Q4300">
        <v>1</v>
      </c>
    </row>
    <row r="4301" spans="5:17" x14ac:dyDescent="0.2">
      <c r="E4301" s="9" t="s">
        <v>45</v>
      </c>
      <c r="K4301" t="str">
        <v>begins</v>
      </c>
      <c r="L4301" s="4" t="str">
        <f t="shared" si="78"/>
        <v>begins</v>
      </c>
      <c r="N4301" s="4" cm="1">
        <f t="array" ref="N4301">SUM(--(_xlfn.TEXTSPLIT($J$4059,, " ") = M4301))</f>
        <v>1</v>
      </c>
      <c r="O4301">
        <v>1</v>
      </c>
      <c r="P4301">
        <v>0</v>
      </c>
      <c r="Q4301">
        <v>1</v>
      </c>
    </row>
    <row r="4302" spans="5:17" x14ac:dyDescent="0.2">
      <c r="E4302" s="9" t="s">
        <v>45</v>
      </c>
      <c r="K4302" t="str">
        <v>to</v>
      </c>
      <c r="L4302" s="4" t="str">
        <f t="shared" si="78"/>
        <v>to</v>
      </c>
      <c r="N4302" s="4" cm="1">
        <f t="array" ref="N4302">SUM(--(_xlfn.TEXTSPLIT($J$4059,, " ") = M4302))</f>
        <v>1</v>
      </c>
      <c r="O4302">
        <v>1</v>
      </c>
      <c r="P4302">
        <v>0</v>
      </c>
      <c r="Q4302">
        <v>1</v>
      </c>
    </row>
    <row r="4303" spans="5:17" x14ac:dyDescent="0.2">
      <c r="E4303" s="9" t="s">
        <v>45</v>
      </c>
      <c r="K4303" t="str">
        <v xml:space="preserve">rise
</v>
      </c>
      <c r="L4303" s="4" t="str">
        <f t="shared" si="78"/>
        <v xml:space="preserve">rise </v>
      </c>
      <c r="N4303" s="4" cm="1">
        <f t="array" ref="N4303">SUM(--(_xlfn.TEXTSPLIT($J$4059,, " ") = M4303))</f>
        <v>1</v>
      </c>
      <c r="O4303">
        <v>1</v>
      </c>
      <c r="P4303">
        <v>0</v>
      </c>
      <c r="Q4303">
        <v>1</v>
      </c>
    </row>
    <row r="4304" spans="5:17" x14ac:dyDescent="0.2">
      <c r="E4304" s="9" t="s">
        <v>45</v>
      </c>
      <c r="K4304" t="str">
        <v>We</v>
      </c>
      <c r="L4304" s="4" t="str">
        <f t="shared" si="78"/>
        <v>We</v>
      </c>
      <c r="N4304" s="4" cm="1">
        <f t="array" ref="N4304">SUM(--(_xlfn.TEXTSPLIT($J$4059,, " ") = M4304))</f>
        <v>1</v>
      </c>
      <c r="O4304">
        <v>1</v>
      </c>
      <c r="P4304">
        <v>0</v>
      </c>
      <c r="Q4304">
        <v>1</v>
      </c>
    </row>
    <row r="4305" spans="5:17" x14ac:dyDescent="0.2">
      <c r="E4305" s="9" t="s">
        <v>45</v>
      </c>
      <c r="K4305" t="str">
        <v>made</v>
      </c>
      <c r="L4305" s="4" t="str">
        <f t="shared" si="78"/>
        <v>made</v>
      </c>
      <c r="N4305" s="4" cm="1">
        <f t="array" ref="N4305">SUM(--(_xlfn.TEXTSPLIT($J$4059,, " ") = M4305))</f>
        <v>1</v>
      </c>
      <c r="O4305">
        <v>1</v>
      </c>
      <c r="P4305">
        <v>0</v>
      </c>
      <c r="Q4305">
        <v>1</v>
      </c>
    </row>
    <row r="4306" spans="5:17" x14ac:dyDescent="0.2">
      <c r="E4306" s="9" t="s">
        <v>45</v>
      </c>
      <c r="K4306" t="str">
        <v>it</v>
      </c>
      <c r="L4306" s="4" t="str">
        <f t="shared" si="78"/>
        <v>it</v>
      </c>
      <c r="N4306" s="4" cm="1">
        <f t="array" ref="N4306">SUM(--(_xlfn.TEXTSPLIT($J$4059,, " ") = M4306))</f>
        <v>1</v>
      </c>
      <c r="O4306">
        <v>1</v>
      </c>
      <c r="P4306">
        <v>0</v>
      </c>
      <c r="Q4306">
        <v>1</v>
      </c>
    </row>
    <row r="4307" spans="5:17" x14ac:dyDescent="0.2">
      <c r="E4307" s="9" t="s">
        <v>45</v>
      </c>
      <c r="K4307" t="str">
        <v>through</v>
      </c>
      <c r="L4307" s="4" t="str">
        <f t="shared" si="78"/>
        <v>through</v>
      </c>
      <c r="N4307" s="4" cm="1">
        <f t="array" ref="N4307">SUM(--(_xlfn.TEXTSPLIT($J$4059,, " ") = M4307))</f>
        <v>1</v>
      </c>
      <c r="O4307">
        <v>1</v>
      </c>
      <c r="P4307">
        <v>0</v>
      </c>
      <c r="Q4307">
        <v>1</v>
      </c>
    </row>
    <row r="4308" spans="5:17" x14ac:dyDescent="0.2">
      <c r="E4308" s="9" t="s">
        <v>45</v>
      </c>
      <c r="K4308" t="str">
        <v>the</v>
      </c>
      <c r="L4308" s="4" t="str">
        <f t="shared" si="78"/>
        <v>the</v>
      </c>
      <c r="N4308" s="4" cm="1">
        <f t="array" ref="N4308">SUM(--(_xlfn.TEXTSPLIT($J$4059,, " ") = M4308))</f>
        <v>1</v>
      </c>
      <c r="O4308">
        <v>1</v>
      </c>
      <c r="P4308">
        <v>0</v>
      </c>
      <c r="Q4308">
        <v>1</v>
      </c>
    </row>
    <row r="4309" spans="5:17" x14ac:dyDescent="0.2">
      <c r="E4309" s="9" t="s">
        <v>45</v>
      </c>
      <c r="K4309" t="str">
        <v>darkest</v>
      </c>
      <c r="L4309" s="4" t="str">
        <f t="shared" si="78"/>
        <v>darkest</v>
      </c>
      <c r="N4309" s="4" cm="1">
        <f t="array" ref="N4309">SUM(--(_xlfn.TEXTSPLIT($J$4059,, " ") = M4309))</f>
        <v>1</v>
      </c>
      <c r="O4309">
        <v>1</v>
      </c>
      <c r="P4309">
        <v>0</v>
      </c>
      <c r="Q4309">
        <v>1</v>
      </c>
    </row>
    <row r="4310" spans="5:17" x14ac:dyDescent="0.2">
      <c r="E4310" s="9" t="s">
        <v>45</v>
      </c>
      <c r="K4310" t="str">
        <v xml:space="preserve">night
</v>
      </c>
      <c r="L4310" s="4" t="str">
        <f t="shared" si="78"/>
        <v xml:space="preserve">night </v>
      </c>
      <c r="N4310" s="4" cm="1">
        <f t="array" ref="N4310">SUM(--(_xlfn.TEXTSPLIT($J$4059,, " ") = M4310))</f>
        <v>1</v>
      </c>
      <c r="O4310">
        <v>1</v>
      </c>
      <c r="P4310">
        <v>0</v>
      </c>
      <c r="Q4310">
        <v>1</v>
      </c>
    </row>
    <row r="4311" spans="5:17" x14ac:dyDescent="0.2">
      <c r="E4311" s="9" t="s">
        <v>45</v>
      </c>
      <c r="K4311" t="str">
        <v>You</v>
      </c>
      <c r="L4311" s="4" t="str">
        <f t="shared" si="78"/>
        <v>You</v>
      </c>
      <c r="N4311" s="4" cm="1">
        <f t="array" ref="N4311">SUM(--(_xlfn.TEXTSPLIT($J$4059,, " ") = M4311))</f>
        <v>1</v>
      </c>
      <c r="O4311">
        <v>1</v>
      </c>
      <c r="P4311">
        <v>0</v>
      </c>
      <c r="Q4311">
        <v>1</v>
      </c>
    </row>
    <row r="4312" spans="5:17" x14ac:dyDescent="0.2">
      <c r="E4312" s="9" t="s">
        <v>45</v>
      </c>
      <c r="K4312" t="str">
        <v>found</v>
      </c>
      <c r="L4312" s="4" t="str">
        <f t="shared" si="78"/>
        <v>found</v>
      </c>
      <c r="N4312" s="4" cm="1">
        <f t="array" ref="N4312">SUM(--(_xlfn.TEXTSPLIT($J$4059,, " ") = M4312))</f>
        <v>1</v>
      </c>
      <c r="O4312">
        <v>1</v>
      </c>
      <c r="P4312">
        <v>0</v>
      </c>
      <c r="Q4312">
        <v>1</v>
      </c>
    </row>
    <row r="4313" spans="5:17" x14ac:dyDescent="0.2">
      <c r="E4313" s="9" t="s">
        <v>45</v>
      </c>
      <c r="K4313" t="str">
        <v>me"</v>
      </c>
      <c r="L4313" s="4" t="str">
        <f t="shared" si="78"/>
        <v xml:space="preserve">me </v>
      </c>
      <c r="N4313" s="4" cm="1">
        <f t="array" ref="N4313">SUM(--(_xlfn.TEXTSPLIT($J$4059,, " ") = M4313))</f>
        <v>1</v>
      </c>
      <c r="O4313">
        <v>1</v>
      </c>
      <c r="P4313">
        <v>0</v>
      </c>
      <c r="Q4313">
        <v>1</v>
      </c>
    </row>
    <row r="4314" spans="5:17" x14ac:dyDescent="0.2">
      <c r="E4314" s="9"/>
    </row>
    <row r="4315" spans="5:17" x14ac:dyDescent="0.2">
      <c r="E4315" s="9"/>
    </row>
    <row r="4316" spans="5:17" x14ac:dyDescent="0.2">
      <c r="E4316" s="9"/>
    </row>
    <row r="4317" spans="5:17" x14ac:dyDescent="0.2">
      <c r="E4317" s="9"/>
    </row>
    <row r="4318" spans="5:17" x14ac:dyDescent="0.2">
      <c r="E4318" s="9"/>
    </row>
    <row r="4319" spans="5:17" x14ac:dyDescent="0.2">
      <c r="E4319" s="9"/>
    </row>
    <row r="4320" spans="5:17" x14ac:dyDescent="0.2">
      <c r="E4320" s="9"/>
    </row>
    <row r="4321" spans="5:5" x14ac:dyDescent="0.2">
      <c r="E4321" s="9"/>
    </row>
    <row r="4322" spans="5:5" x14ac:dyDescent="0.2">
      <c r="E4322" s="9"/>
    </row>
    <row r="4323" spans="5:5" x14ac:dyDescent="0.2">
      <c r="E4323" s="9"/>
    </row>
    <row r="4324" spans="5:5" x14ac:dyDescent="0.2">
      <c r="E4324" s="9"/>
    </row>
    <row r="4325" spans="5:5" x14ac:dyDescent="0.2">
      <c r="E4325" s="9"/>
    </row>
    <row r="4326" spans="5:5" x14ac:dyDescent="0.2">
      <c r="E4326" s="9"/>
    </row>
    <row r="4327" spans="5:5" x14ac:dyDescent="0.2">
      <c r="E4327" s="9"/>
    </row>
    <row r="4328" spans="5:5" x14ac:dyDescent="0.2">
      <c r="E4328" s="9"/>
    </row>
    <row r="4329" spans="5:5" x14ac:dyDescent="0.2">
      <c r="E4329" s="9"/>
    </row>
    <row r="4330" spans="5:5" x14ac:dyDescent="0.2">
      <c r="E4330" s="9"/>
    </row>
    <row r="4331" spans="5:5" x14ac:dyDescent="0.2">
      <c r="E4331" s="9"/>
    </row>
    <row r="4332" spans="5:5" x14ac:dyDescent="0.2">
      <c r="E4332" s="9"/>
    </row>
    <row r="4333" spans="5:5" x14ac:dyDescent="0.2">
      <c r="E4333" s="9"/>
    </row>
    <row r="4334" spans="5:5" x14ac:dyDescent="0.2">
      <c r="E4334" s="9"/>
    </row>
    <row r="4335" spans="5:5" x14ac:dyDescent="0.2">
      <c r="E4335" s="9"/>
    </row>
    <row r="4336" spans="5:5" x14ac:dyDescent="0.2">
      <c r="E4336" s="9"/>
    </row>
    <row r="4337" spans="5:5" x14ac:dyDescent="0.2">
      <c r="E4337" s="9"/>
    </row>
    <row r="4338" spans="5:5" x14ac:dyDescent="0.2">
      <c r="E4338" s="9"/>
    </row>
    <row r="4339" spans="5:5" x14ac:dyDescent="0.2">
      <c r="E4339" s="9"/>
    </row>
    <row r="4340" spans="5:5" x14ac:dyDescent="0.2">
      <c r="E4340" s="9"/>
    </row>
    <row r="4341" spans="5:5" x14ac:dyDescent="0.2">
      <c r="E4341" s="9"/>
    </row>
    <row r="4342" spans="5:5" x14ac:dyDescent="0.2">
      <c r="E4342" s="9"/>
    </row>
    <row r="4343" spans="5:5" x14ac:dyDescent="0.2">
      <c r="E4343" s="9"/>
    </row>
    <row r="4344" spans="5:5" x14ac:dyDescent="0.2">
      <c r="E4344" s="9"/>
    </row>
    <row r="4345" spans="5:5" x14ac:dyDescent="0.2">
      <c r="E4345" s="9"/>
    </row>
    <row r="4346" spans="5:5" x14ac:dyDescent="0.2">
      <c r="E4346" s="9"/>
    </row>
    <row r="4347" spans="5:5" x14ac:dyDescent="0.2">
      <c r="E4347" s="9"/>
    </row>
    <row r="4348" spans="5:5" x14ac:dyDescent="0.2">
      <c r="E4348" s="9"/>
    </row>
    <row r="4349" spans="5:5" x14ac:dyDescent="0.2">
      <c r="E4349" s="9"/>
    </row>
    <row r="4350" spans="5:5" x14ac:dyDescent="0.2">
      <c r="E4350" s="9"/>
    </row>
    <row r="4351" spans="5:5" x14ac:dyDescent="0.2">
      <c r="E4351" s="9"/>
    </row>
    <row r="4352" spans="5:5" x14ac:dyDescent="0.2">
      <c r="E4352" s="9"/>
    </row>
    <row r="4353" spans="5:5" x14ac:dyDescent="0.2">
      <c r="E4353" s="9"/>
    </row>
    <row r="4354" spans="5:5" x14ac:dyDescent="0.2">
      <c r="E4354" s="9"/>
    </row>
    <row r="4355" spans="5:5" x14ac:dyDescent="0.2">
      <c r="E4355" s="9"/>
    </row>
    <row r="4356" spans="5:5" x14ac:dyDescent="0.2">
      <c r="E4356" s="9"/>
    </row>
    <row r="4357" spans="5:5" x14ac:dyDescent="0.2">
      <c r="E4357" s="9"/>
    </row>
    <row r="4358" spans="5:5" x14ac:dyDescent="0.2">
      <c r="E4358" s="9"/>
    </row>
    <row r="4359" spans="5:5" x14ac:dyDescent="0.2">
      <c r="E4359" s="9"/>
    </row>
    <row r="4360" spans="5:5" x14ac:dyDescent="0.2">
      <c r="E4360" s="9"/>
    </row>
    <row r="4361" spans="5:5" x14ac:dyDescent="0.2">
      <c r="E4361" s="9"/>
    </row>
    <row r="4362" spans="5:5" x14ac:dyDescent="0.2">
      <c r="E4362" s="9"/>
    </row>
    <row r="4363" spans="5:5" x14ac:dyDescent="0.2">
      <c r="E4363" s="9"/>
    </row>
    <row r="4364" spans="5:5" x14ac:dyDescent="0.2">
      <c r="E4364" s="9"/>
    </row>
    <row r="4365" spans="5:5" x14ac:dyDescent="0.2">
      <c r="E4365" s="9"/>
    </row>
    <row r="4366" spans="5:5" x14ac:dyDescent="0.2">
      <c r="E4366" s="9"/>
    </row>
    <row r="4367" spans="5:5" x14ac:dyDescent="0.2">
      <c r="E4367" s="9"/>
    </row>
    <row r="4368" spans="5:5" x14ac:dyDescent="0.2">
      <c r="E4368" s="9"/>
    </row>
    <row r="4369" spans="5:5" x14ac:dyDescent="0.2">
      <c r="E4369" s="9"/>
    </row>
    <row r="4370" spans="5:5" x14ac:dyDescent="0.2">
      <c r="E4370" s="9"/>
    </row>
    <row r="4371" spans="5:5" x14ac:dyDescent="0.2">
      <c r="E4371" s="9"/>
    </row>
    <row r="4372" spans="5:5" x14ac:dyDescent="0.2">
      <c r="E4372" s="9"/>
    </row>
    <row r="4373" spans="5:5" x14ac:dyDescent="0.2">
      <c r="E4373" s="9"/>
    </row>
    <row r="4374" spans="5:5" x14ac:dyDescent="0.2">
      <c r="E4374" s="9"/>
    </row>
    <row r="4375" spans="5:5" x14ac:dyDescent="0.2">
      <c r="E4375" s="9"/>
    </row>
    <row r="4376" spans="5:5" x14ac:dyDescent="0.2">
      <c r="E4376" s="9"/>
    </row>
    <row r="4377" spans="5:5" x14ac:dyDescent="0.2">
      <c r="E4377" s="9"/>
    </row>
    <row r="4378" spans="5:5" x14ac:dyDescent="0.2">
      <c r="E4378" s="9"/>
    </row>
    <row r="4379" spans="5:5" x14ac:dyDescent="0.2">
      <c r="E4379" s="9"/>
    </row>
    <row r="4380" spans="5:5" x14ac:dyDescent="0.2">
      <c r="E4380" s="9"/>
    </row>
    <row r="4381" spans="5:5" x14ac:dyDescent="0.2">
      <c r="E4381" s="9"/>
    </row>
    <row r="4382" spans="5:5" x14ac:dyDescent="0.2">
      <c r="E4382" s="9"/>
    </row>
    <row r="4383" spans="5:5" x14ac:dyDescent="0.2">
      <c r="E4383" s="9"/>
    </row>
    <row r="4384" spans="5:5" x14ac:dyDescent="0.2">
      <c r="E4384" s="9"/>
    </row>
    <row r="4385" spans="5:5" x14ac:dyDescent="0.2">
      <c r="E4385" s="9"/>
    </row>
    <row r="4386" spans="5:5" x14ac:dyDescent="0.2">
      <c r="E4386" s="9"/>
    </row>
    <row r="4387" spans="5:5" x14ac:dyDescent="0.2">
      <c r="E4387" s="9"/>
    </row>
    <row r="4388" spans="5:5" x14ac:dyDescent="0.2">
      <c r="E4388" s="9"/>
    </row>
    <row r="4389" spans="5:5" x14ac:dyDescent="0.2">
      <c r="E4389" s="9"/>
    </row>
    <row r="4390" spans="5:5" x14ac:dyDescent="0.2">
      <c r="E4390" s="9"/>
    </row>
    <row r="4391" spans="5:5" x14ac:dyDescent="0.2">
      <c r="E4391" s="9"/>
    </row>
    <row r="4392" spans="5:5" x14ac:dyDescent="0.2">
      <c r="E4392" s="9"/>
    </row>
    <row r="4393" spans="5:5" x14ac:dyDescent="0.2">
      <c r="E4393" s="9"/>
    </row>
    <row r="4394" spans="5:5" x14ac:dyDescent="0.2">
      <c r="E4394" s="9"/>
    </row>
    <row r="4395" spans="5:5" x14ac:dyDescent="0.2">
      <c r="E4395" s="9"/>
    </row>
    <row r="4396" spans="5:5" x14ac:dyDescent="0.2">
      <c r="E4396" s="9"/>
    </row>
    <row r="4397" spans="5:5" x14ac:dyDescent="0.2">
      <c r="E4397" s="9"/>
    </row>
    <row r="4398" spans="5:5" x14ac:dyDescent="0.2">
      <c r="E4398" s="9"/>
    </row>
    <row r="4399" spans="5:5" x14ac:dyDescent="0.2">
      <c r="E4399" s="9"/>
    </row>
    <row r="4400" spans="5:5" x14ac:dyDescent="0.2">
      <c r="E4400" s="9"/>
    </row>
    <row r="4401" spans="5:5" x14ac:dyDescent="0.2">
      <c r="E4401" s="9"/>
    </row>
    <row r="4402" spans="5:5" x14ac:dyDescent="0.2">
      <c r="E4402" s="9"/>
    </row>
    <row r="4403" spans="5:5" x14ac:dyDescent="0.2">
      <c r="E4403" s="9"/>
    </row>
    <row r="4404" spans="5:5" x14ac:dyDescent="0.2">
      <c r="E4404" s="9"/>
    </row>
    <row r="4405" spans="5:5" x14ac:dyDescent="0.2">
      <c r="E4405" s="9"/>
    </row>
    <row r="4406" spans="5:5" x14ac:dyDescent="0.2">
      <c r="E4406" s="9"/>
    </row>
    <row r="4407" spans="5:5" x14ac:dyDescent="0.2">
      <c r="E4407" s="9"/>
    </row>
    <row r="4408" spans="5:5" x14ac:dyDescent="0.2">
      <c r="E4408" s="9"/>
    </row>
    <row r="4409" spans="5:5" x14ac:dyDescent="0.2">
      <c r="E4409" s="9"/>
    </row>
    <row r="4410" spans="5:5" x14ac:dyDescent="0.2">
      <c r="E4410" s="9"/>
    </row>
    <row r="4411" spans="5:5" x14ac:dyDescent="0.2">
      <c r="E4411" s="9"/>
    </row>
    <row r="4412" spans="5:5" x14ac:dyDescent="0.2">
      <c r="E4412" s="9"/>
    </row>
    <row r="4413" spans="5:5" x14ac:dyDescent="0.2">
      <c r="E4413" s="9"/>
    </row>
    <row r="4414" spans="5:5" x14ac:dyDescent="0.2">
      <c r="E4414" s="9"/>
    </row>
    <row r="4415" spans="5:5" x14ac:dyDescent="0.2">
      <c r="E4415" s="9"/>
    </row>
    <row r="4416" spans="5:5" x14ac:dyDescent="0.2">
      <c r="E4416" s="9"/>
    </row>
    <row r="4417" spans="5:5" x14ac:dyDescent="0.2">
      <c r="E4417" s="9"/>
    </row>
    <row r="4418" spans="5:5" x14ac:dyDescent="0.2">
      <c r="E4418" s="9"/>
    </row>
    <row r="4419" spans="5:5" x14ac:dyDescent="0.2">
      <c r="E4419" s="9"/>
    </row>
    <row r="4420" spans="5:5" x14ac:dyDescent="0.2">
      <c r="E4420" s="9"/>
    </row>
    <row r="4421" spans="5:5" x14ac:dyDescent="0.2">
      <c r="E4421" s="9"/>
    </row>
    <row r="4422" spans="5:5" x14ac:dyDescent="0.2">
      <c r="E4422" s="9"/>
    </row>
    <row r="4423" spans="5:5" x14ac:dyDescent="0.2">
      <c r="E4423" s="9"/>
    </row>
    <row r="4424" spans="5:5" x14ac:dyDescent="0.2">
      <c r="E4424" s="9"/>
    </row>
    <row r="4425" spans="5:5" x14ac:dyDescent="0.2">
      <c r="E4425" s="9"/>
    </row>
    <row r="4426" spans="5:5" x14ac:dyDescent="0.2">
      <c r="E4426" s="9"/>
    </row>
    <row r="4427" spans="5:5" x14ac:dyDescent="0.2">
      <c r="E4427" s="9"/>
    </row>
    <row r="4428" spans="5:5" x14ac:dyDescent="0.2">
      <c r="E4428" s="9"/>
    </row>
    <row r="4429" spans="5:5" x14ac:dyDescent="0.2">
      <c r="E4429" s="9"/>
    </row>
    <row r="4430" spans="5:5" x14ac:dyDescent="0.2">
      <c r="E4430" s="9"/>
    </row>
    <row r="4431" spans="5:5" x14ac:dyDescent="0.2">
      <c r="E4431" s="9"/>
    </row>
    <row r="4432" spans="5:5" x14ac:dyDescent="0.2">
      <c r="E4432" s="9"/>
    </row>
    <row r="4433" spans="5:5" x14ac:dyDescent="0.2">
      <c r="E4433" s="9"/>
    </row>
    <row r="4434" spans="5:5" x14ac:dyDescent="0.2">
      <c r="E4434" s="9"/>
    </row>
    <row r="4435" spans="5:5" x14ac:dyDescent="0.2">
      <c r="E4435" s="9"/>
    </row>
    <row r="4436" spans="5:5" x14ac:dyDescent="0.2">
      <c r="E4436" s="9"/>
    </row>
    <row r="4437" spans="5:5" x14ac:dyDescent="0.2">
      <c r="E4437" s="9"/>
    </row>
    <row r="4438" spans="5:5" x14ac:dyDescent="0.2">
      <c r="E4438" s="9"/>
    </row>
    <row r="4439" spans="5:5" x14ac:dyDescent="0.2">
      <c r="E4439" s="9"/>
    </row>
    <row r="4440" spans="5:5" x14ac:dyDescent="0.2">
      <c r="E4440" s="9"/>
    </row>
    <row r="4441" spans="5:5" x14ac:dyDescent="0.2">
      <c r="E4441" s="9"/>
    </row>
    <row r="4442" spans="5:5" x14ac:dyDescent="0.2">
      <c r="E4442" s="9"/>
    </row>
    <row r="4443" spans="5:5" x14ac:dyDescent="0.2">
      <c r="E4443" s="9"/>
    </row>
    <row r="4444" spans="5:5" x14ac:dyDescent="0.2">
      <c r="E4444" s="9"/>
    </row>
    <row r="4445" spans="5:5" x14ac:dyDescent="0.2">
      <c r="E4445" s="9"/>
    </row>
    <row r="4446" spans="5:5" x14ac:dyDescent="0.2">
      <c r="E4446" s="9"/>
    </row>
    <row r="4447" spans="5:5" x14ac:dyDescent="0.2">
      <c r="E4447" s="9"/>
    </row>
    <row r="4448" spans="5:5" x14ac:dyDescent="0.2">
      <c r="E4448" s="9"/>
    </row>
    <row r="4449" spans="5:5" x14ac:dyDescent="0.2">
      <c r="E4449" s="9"/>
    </row>
    <row r="4450" spans="5:5" x14ac:dyDescent="0.2">
      <c r="E4450" s="9"/>
    </row>
    <row r="4451" spans="5:5" x14ac:dyDescent="0.2">
      <c r="E4451" s="9"/>
    </row>
    <row r="4452" spans="5:5" x14ac:dyDescent="0.2">
      <c r="E4452" s="9"/>
    </row>
    <row r="4453" spans="5:5" x14ac:dyDescent="0.2">
      <c r="E4453" s="9"/>
    </row>
    <row r="4454" spans="5:5" x14ac:dyDescent="0.2">
      <c r="E4454" s="9"/>
    </row>
    <row r="4455" spans="5:5" x14ac:dyDescent="0.2">
      <c r="E4455" s="9"/>
    </row>
    <row r="4456" spans="5:5" x14ac:dyDescent="0.2">
      <c r="E4456" s="9"/>
    </row>
    <row r="4457" spans="5:5" x14ac:dyDescent="0.2">
      <c r="E4457" s="9"/>
    </row>
    <row r="4458" spans="5:5" x14ac:dyDescent="0.2">
      <c r="E4458" s="9"/>
    </row>
    <row r="4459" spans="5:5" x14ac:dyDescent="0.2">
      <c r="E4459" s="9"/>
    </row>
    <row r="4460" spans="5:5" x14ac:dyDescent="0.2">
      <c r="E4460" s="9"/>
    </row>
    <row r="4461" spans="5:5" x14ac:dyDescent="0.2">
      <c r="E4461" s="9"/>
    </row>
    <row r="4462" spans="5:5" x14ac:dyDescent="0.2">
      <c r="E4462" s="9"/>
    </row>
    <row r="4463" spans="5:5" x14ac:dyDescent="0.2">
      <c r="E4463" s="9"/>
    </row>
    <row r="4464" spans="5:5" x14ac:dyDescent="0.2">
      <c r="E4464" s="9"/>
    </row>
    <row r="4465" spans="5:5" x14ac:dyDescent="0.2">
      <c r="E4465" s="9"/>
    </row>
    <row r="4466" spans="5:5" x14ac:dyDescent="0.2">
      <c r="E4466" s="9"/>
    </row>
    <row r="4467" spans="5:5" x14ac:dyDescent="0.2">
      <c r="E4467" s="9"/>
    </row>
    <row r="4468" spans="5:5" x14ac:dyDescent="0.2">
      <c r="E4468" s="9"/>
    </row>
    <row r="4469" spans="5:5" x14ac:dyDescent="0.2">
      <c r="E4469" s="9"/>
    </row>
    <row r="4470" spans="5:5" x14ac:dyDescent="0.2">
      <c r="E4470" s="9"/>
    </row>
    <row r="4471" spans="5:5" x14ac:dyDescent="0.2">
      <c r="E4471" s="9"/>
    </row>
    <row r="4472" spans="5:5" x14ac:dyDescent="0.2">
      <c r="E4472" s="9"/>
    </row>
    <row r="4473" spans="5:5" x14ac:dyDescent="0.2">
      <c r="E4473" s="9"/>
    </row>
    <row r="4474" spans="5:5" x14ac:dyDescent="0.2">
      <c r="E4474" s="9"/>
    </row>
    <row r="4475" spans="5:5" x14ac:dyDescent="0.2">
      <c r="E4475" s="9"/>
    </row>
    <row r="4476" spans="5:5" x14ac:dyDescent="0.2">
      <c r="E4476" s="9"/>
    </row>
    <row r="4477" spans="5:5" x14ac:dyDescent="0.2">
      <c r="E4477" s="9"/>
    </row>
    <row r="4478" spans="5:5" x14ac:dyDescent="0.2">
      <c r="E4478" s="9"/>
    </row>
    <row r="4479" spans="5:5" x14ac:dyDescent="0.2">
      <c r="E447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85EA0-946A-FA4F-98D4-8722290C889C}">
  <dimension ref="A1:X2448"/>
  <sheetViews>
    <sheetView topLeftCell="D1" workbookViewId="0">
      <selection activeCell="O2" sqref="O2"/>
    </sheetView>
  </sheetViews>
  <sheetFormatPr baseColWidth="10" defaultRowHeight="15" x14ac:dyDescent="0.2"/>
  <sheetData>
    <row r="1" spans="1:24" x14ac:dyDescent="0.2">
      <c r="A1" s="1"/>
      <c r="B1" s="1" t="s">
        <v>0</v>
      </c>
      <c r="C1" s="2" t="s">
        <v>1</v>
      </c>
      <c r="D1" s="3" t="s">
        <v>2</v>
      </c>
      <c r="E1" s="1" t="s">
        <v>3</v>
      </c>
      <c r="F1" s="1" t="s">
        <v>4</v>
      </c>
      <c r="G1" s="1" t="s">
        <v>5</v>
      </c>
      <c r="H1" s="1" t="s">
        <v>6</v>
      </c>
      <c r="I1" s="1" t="s">
        <v>7</v>
      </c>
      <c r="J1" s="2" t="s">
        <v>8</v>
      </c>
      <c r="K1" s="2" t="s">
        <v>9</v>
      </c>
      <c r="L1" s="2" t="s">
        <v>10</v>
      </c>
      <c r="M1" s="2" t="s">
        <v>34</v>
      </c>
      <c r="N1" s="2" t="s">
        <v>11</v>
      </c>
      <c r="O1" s="11"/>
      <c r="P1" s="11"/>
      <c r="Q1" s="11"/>
      <c r="R1" s="11"/>
      <c r="S1" s="11"/>
      <c r="T1" s="11"/>
      <c r="U1" s="11"/>
      <c r="V1" s="2"/>
      <c r="W1" s="2"/>
      <c r="X1" s="2"/>
    </row>
    <row r="2" spans="1:24" s="4" customFormat="1" x14ac:dyDescent="0.2">
      <c r="A2" s="4">
        <v>1</v>
      </c>
      <c r="B2" s="5">
        <v>45912</v>
      </c>
      <c r="C2" s="6">
        <v>0.22361111111111112</v>
      </c>
      <c r="D2" s="7">
        <v>322</v>
      </c>
      <c r="E2" s="4" t="s">
        <v>14</v>
      </c>
      <c r="F2" s="4">
        <v>1</v>
      </c>
      <c r="G2" s="8" t="s">
        <v>15</v>
      </c>
      <c r="H2" s="9" t="s">
        <v>16</v>
      </c>
      <c r="I2" s="4">
        <v>1</v>
      </c>
      <c r="J2" s="4" t="str">
        <f>_xlfn.TEXTJOIN(" ", TRUE, H2)</f>
        <v>Square up with me, I can take your right, throw a left
 Pair up with me, I'ma take you right to the chest
 Warpath etched in the surface
 Lines of the yellow tape, they're moving quiet like a
 Serpentine in a formation
 Buddy, that's my team, pretty impatient
 Now they're waiting on me
 It might be the furthest we've reached
 Now move it up, move it up, it's a breach
 I wonder where you are
 I wanted you to show me
 The way around the city walls
 The way on through
 I wonder where you are
 I wanted you to show me
 But now the night has fallen
 Abandoned by the sun
 Square up with me, I can come to you, tell me when
 Pair up with me, I can run on you, in the end
 I write a promise in pencil, but my loyalty's in pen
 Use a mistake as a crooked stencil, then we trace it back again
 From the mainland to the island of violence
 It was the same plan for a while, decided
 To send me up and rip you outta your seat
 You see, in a city with no entrance, there is not a retreat
 I'm wondering what you thought would happen, who you thought I would be
 Was this a sideswipe or did you picture this in a dream?
 Buckle down, this is possibly the furthest we've reached
 Now move it up, move it up, it's a breach
 I wonder where you are
 I wanted you to show me
 The way around the city walls
 The way on through
 I wonder where you are
 I wanted you to show me
 But now the night has fallen
 Abandoned by the sun
 Abandoned by the sun
 My smile wraps around my head, splitting it in
 Two, two, two, two
 I don't have a clue how I can keep the top half
 Glued, glued, glued, glued
  My smile wraps around my head, splitting it in
 Two, two, two, two
  I don't have a clue how I can keep the top half
 Glued, glued, glued, glued
  I wonder where you are
I wanted you to show me
 Entertain my, entertain my
 Entertain my, entertain my
 Entertain my, entertain my
 Entertain my, entertain my faith
  This is the last time, this is the last time
 Entertain my faith
 This is the last time that I try
 Address my soul, address my soul, address my soul
 Entertain my faith
 This is the last time that I try</v>
      </c>
      <c r="K2" s="4" t="str" cm="1">
        <f t="array" ref="K2:K421">_xlfn.TEXTSPLIT(H2, ," ")</f>
        <v>Square</v>
      </c>
      <c r="L2" s="4" t="str" cm="1">
        <f t="array" ref="L2:L168">_xlfn.UNIQUE(_xlfn.TEXTSPLIT(K2:K421, , " "))</f>
        <v>Square</v>
      </c>
      <c r="M2" s="4" t="str">
        <f>_xlfn.REGEXREPLACE(L2, "[^A-Za-z ]", " ")</f>
        <v>Square</v>
      </c>
      <c r="N2" s="4" cm="1">
        <f t="array" ref="N2">SUM(--(_xlfn.TEXTSPLIT($J$2,, " ") = L2))</f>
        <v>2</v>
      </c>
      <c r="O2" t="e" cm="1">
        <f t="array" ref="O2">_xlfn._xlws.SORT(N2:N421,-1)</f>
        <v>#VALUE!</v>
      </c>
      <c r="P2"/>
      <c r="Q2"/>
      <c r="R2"/>
      <c r="S2"/>
      <c r="T2"/>
      <c r="U2"/>
    </row>
    <row r="3" spans="1:24" x14ac:dyDescent="0.2">
      <c r="E3" s="4" t="s">
        <v>14</v>
      </c>
      <c r="K3" t="str">
        <v>up</v>
      </c>
      <c r="L3" t="str">
        <v>up</v>
      </c>
      <c r="M3" s="4" t="str">
        <f t="shared" ref="M3:M66" si="0">_xlfn.REGEXREPLACE(K3, "[^A-Za-z ]", " ")</f>
        <v>up</v>
      </c>
      <c r="N3" s="4" cm="1">
        <f t="array" ref="N3">SUM(--(_xlfn.TEXTSPLIT($J$2,, " ") = L3))</f>
        <v>5</v>
      </c>
      <c r="V3" s="4"/>
      <c r="W3" s="4"/>
      <c r="X3" s="4"/>
    </row>
    <row r="4" spans="1:24" x14ac:dyDescent="0.2">
      <c r="E4" s="4" t="s">
        <v>14</v>
      </c>
      <c r="K4" t="str">
        <v>with</v>
      </c>
      <c r="L4" t="str">
        <v>with</v>
      </c>
      <c r="M4" s="4" t="str">
        <f t="shared" si="0"/>
        <v>with</v>
      </c>
      <c r="N4" s="4" cm="1">
        <f t="array" ref="N4">SUM(--(_xlfn.TEXTSPLIT($J$2,, " ") = L4))</f>
        <v>5</v>
      </c>
      <c r="V4" s="4"/>
      <c r="W4" s="4"/>
      <c r="X4" s="4"/>
    </row>
    <row r="5" spans="1:24" x14ac:dyDescent="0.2">
      <c r="E5" s="4" t="s">
        <v>14</v>
      </c>
      <c r="K5" t="str">
        <v>me,</v>
      </c>
      <c r="L5" t="str">
        <v>me,</v>
      </c>
      <c r="M5" s="4" t="str">
        <f t="shared" si="0"/>
        <v xml:space="preserve">me </v>
      </c>
      <c r="N5" s="4" cm="1">
        <f t="array" ref="N5">SUM(--(_xlfn.TEXTSPLIT($J$2,, " ") = L5))</f>
        <v>4</v>
      </c>
      <c r="V5" s="4"/>
      <c r="W5" s="4"/>
      <c r="X5" s="4"/>
    </row>
    <row r="6" spans="1:24" x14ac:dyDescent="0.2">
      <c r="E6" s="4" t="s">
        <v>14</v>
      </c>
      <c r="K6" t="str">
        <v>I</v>
      </c>
      <c r="L6" t="str">
        <v>I</v>
      </c>
      <c r="M6" s="4" t="str">
        <f t="shared" si="0"/>
        <v>I</v>
      </c>
      <c r="N6" s="4" cm="1">
        <f t="array" ref="N6">SUM(--(_xlfn.TEXTSPLIT($J$2,, " ") = L6))</f>
        <v>20</v>
      </c>
      <c r="V6" s="4"/>
      <c r="W6" s="4"/>
      <c r="X6" s="4"/>
    </row>
    <row r="7" spans="1:24" x14ac:dyDescent="0.2">
      <c r="E7" s="4" t="s">
        <v>14</v>
      </c>
      <c r="K7" t="str">
        <v>can</v>
      </c>
      <c r="L7" t="str">
        <v>can</v>
      </c>
      <c r="M7" s="4" t="str">
        <f t="shared" si="0"/>
        <v>can</v>
      </c>
      <c r="N7" s="4" cm="1">
        <f t="array" ref="N7">SUM(--(_xlfn.TEXTSPLIT($J$2,, " ") = L7))</f>
        <v>5</v>
      </c>
      <c r="V7" s="4"/>
      <c r="W7" s="4"/>
      <c r="X7" s="4"/>
    </row>
    <row r="8" spans="1:24" x14ac:dyDescent="0.2">
      <c r="E8" s="4" t="s">
        <v>14</v>
      </c>
      <c r="K8" t="str">
        <v>take</v>
      </c>
      <c r="L8" t="str">
        <v>take</v>
      </c>
      <c r="M8" s="4" t="str">
        <f t="shared" si="0"/>
        <v>take</v>
      </c>
      <c r="N8" s="4" cm="1">
        <f t="array" ref="N8">SUM(--(_xlfn.TEXTSPLIT($J$2,, " ") = L8))</f>
        <v>2</v>
      </c>
      <c r="V8" s="4"/>
      <c r="W8" s="4"/>
      <c r="X8" s="4"/>
    </row>
    <row r="9" spans="1:24" x14ac:dyDescent="0.2">
      <c r="E9" s="4" t="s">
        <v>14</v>
      </c>
      <c r="K9" t="str">
        <v>your</v>
      </c>
      <c r="L9" t="str">
        <v>your</v>
      </c>
      <c r="M9" s="4" t="str">
        <f t="shared" si="0"/>
        <v>your</v>
      </c>
      <c r="N9" s="4" cm="1">
        <f t="array" ref="N9">SUM(--(_xlfn.TEXTSPLIT($J$2,, " ") = L9))</f>
        <v>2</v>
      </c>
      <c r="V9" s="4"/>
      <c r="W9" s="4"/>
      <c r="X9" s="4"/>
    </row>
    <row r="10" spans="1:24" x14ac:dyDescent="0.2">
      <c r="E10" s="4" t="s">
        <v>14</v>
      </c>
      <c r="K10" t="str">
        <v>right,</v>
      </c>
      <c r="L10" t="str">
        <v>right,</v>
      </c>
      <c r="M10" s="4" t="str">
        <f t="shared" si="0"/>
        <v xml:space="preserve">right </v>
      </c>
      <c r="N10" s="4" cm="1">
        <f t="array" ref="N10">SUM(--(_xlfn.TEXTSPLIT($J$2,, " ") = L10))</f>
        <v>1</v>
      </c>
      <c r="V10" s="4"/>
      <c r="W10" s="4"/>
      <c r="X10" s="4"/>
    </row>
    <row r="11" spans="1:24" x14ac:dyDescent="0.2">
      <c r="E11" s="4" t="s">
        <v>14</v>
      </c>
      <c r="K11" t="str">
        <v>throw</v>
      </c>
      <c r="L11" t="str">
        <v>throw</v>
      </c>
      <c r="M11" s="4" t="str">
        <f t="shared" si="0"/>
        <v>throw</v>
      </c>
      <c r="N11" s="4" cm="1">
        <f t="array" ref="N11">SUM(--(_xlfn.TEXTSPLIT($J$2,, " ") = L11))</f>
        <v>1</v>
      </c>
      <c r="V11" s="4"/>
      <c r="W11" s="4"/>
      <c r="X11" s="4"/>
    </row>
    <row r="12" spans="1:24" x14ac:dyDescent="0.2">
      <c r="E12" s="4" t="s">
        <v>14</v>
      </c>
      <c r="K12" t="str">
        <v>a</v>
      </c>
      <c r="L12" t="str">
        <v>a</v>
      </c>
      <c r="M12" s="4" t="str">
        <f t="shared" si="0"/>
        <v>a</v>
      </c>
      <c r="N12" s="4" cm="1">
        <f t="array" ref="N12">SUM(--(_xlfn.TEXTSPLIT($J$2,, " ") = L12))</f>
        <v>14</v>
      </c>
      <c r="V12" s="4"/>
      <c r="W12" s="4"/>
      <c r="X12" s="4"/>
    </row>
    <row r="13" spans="1:24" x14ac:dyDescent="0.2">
      <c r="E13" s="4" t="s">
        <v>14</v>
      </c>
      <c r="K13" t="str">
        <v xml:space="preserve">left
</v>
      </c>
      <c r="L13" t="str">
        <v xml:space="preserve">left
</v>
      </c>
      <c r="M13" s="4" t="str">
        <f t="shared" si="0"/>
        <v xml:space="preserve">left </v>
      </c>
      <c r="N13" s="4" cm="1">
        <f t="array" ref="N13">SUM(--(_xlfn.TEXTSPLIT($J$2,, " ") = L13))</f>
        <v>1</v>
      </c>
      <c r="V13" s="4"/>
      <c r="W13" s="4"/>
      <c r="X13" s="4"/>
    </row>
    <row r="14" spans="1:24" x14ac:dyDescent="0.2">
      <c r="E14" s="4" t="s">
        <v>14</v>
      </c>
      <c r="K14" t="str">
        <v>Pair</v>
      </c>
      <c r="L14" t="str">
        <v>Pair</v>
      </c>
      <c r="M14" s="4" t="str">
        <f t="shared" si="0"/>
        <v>Pair</v>
      </c>
      <c r="N14" s="4" cm="1">
        <f t="array" ref="N14">SUM(--(_xlfn.TEXTSPLIT($J$2,, " ") = L14))</f>
        <v>2</v>
      </c>
      <c r="V14" s="4"/>
      <c r="W14" s="4"/>
      <c r="X14" s="4"/>
    </row>
    <row r="15" spans="1:24" x14ac:dyDescent="0.2">
      <c r="E15" s="4" t="s">
        <v>14</v>
      </c>
      <c r="K15" t="str">
        <v>up</v>
      </c>
      <c r="L15" t="str">
        <v>I'ma</v>
      </c>
      <c r="M15" s="4" t="str">
        <f t="shared" si="0"/>
        <v>up</v>
      </c>
      <c r="N15" s="4" cm="1">
        <f t="array" ref="N15">SUM(--(_xlfn.TEXTSPLIT($J$2,, " ") = L15))</f>
        <v>1</v>
      </c>
      <c r="V15" s="4"/>
      <c r="W15" s="4"/>
      <c r="X15" s="4"/>
    </row>
    <row r="16" spans="1:24" x14ac:dyDescent="0.2">
      <c r="E16" s="4" t="s">
        <v>14</v>
      </c>
      <c r="K16" t="str">
        <v>with</v>
      </c>
      <c r="L16" t="str">
        <v>you</v>
      </c>
      <c r="M16" s="4" t="str">
        <f t="shared" si="0"/>
        <v>with</v>
      </c>
      <c r="N16" s="4" cm="1">
        <f t="array" ref="N16">SUM(--(_xlfn.TEXTSPLIT($J$2,, " ") = L16))</f>
        <v>16</v>
      </c>
    </row>
    <row r="17" spans="5:14" x14ac:dyDescent="0.2">
      <c r="E17" s="4" t="s">
        <v>14</v>
      </c>
      <c r="K17" t="str">
        <v>me,</v>
      </c>
      <c r="L17" t="str">
        <v>right</v>
      </c>
      <c r="M17" s="4" t="str">
        <f t="shared" si="0"/>
        <v xml:space="preserve">me </v>
      </c>
      <c r="N17" s="4" cm="1">
        <f t="array" ref="N17">SUM(--(_xlfn.TEXTSPLIT($J$2,, " ") = L17))</f>
        <v>1</v>
      </c>
    </row>
    <row r="18" spans="5:14" x14ac:dyDescent="0.2">
      <c r="E18" s="4" t="s">
        <v>14</v>
      </c>
      <c r="K18" t="str">
        <v>I'ma</v>
      </c>
      <c r="L18" t="str">
        <v>to</v>
      </c>
      <c r="M18" s="4" t="str">
        <f t="shared" si="0"/>
        <v>I ma</v>
      </c>
      <c r="N18" s="4" cm="1">
        <f t="array" ref="N18">SUM(--(_xlfn.TEXTSPLIT($J$2,, " ") = L18))</f>
        <v>9</v>
      </c>
    </row>
    <row r="19" spans="5:14" x14ac:dyDescent="0.2">
      <c r="E19" s="4" t="s">
        <v>14</v>
      </c>
      <c r="K19" t="str">
        <v>take</v>
      </c>
      <c r="L19" t="str">
        <v>the</v>
      </c>
      <c r="M19" s="4" t="str">
        <f t="shared" si="0"/>
        <v>take</v>
      </c>
      <c r="N19" s="4" cm="1">
        <f t="array" ref="N19">SUM(--(_xlfn.TEXTSPLIT($J$2,, " ") = L19))</f>
        <v>26</v>
      </c>
    </row>
    <row r="20" spans="5:14" x14ac:dyDescent="0.2">
      <c r="E20" s="4" t="s">
        <v>14</v>
      </c>
      <c r="K20" t="str">
        <v>you</v>
      </c>
      <c r="L20" t="str">
        <v xml:space="preserve">chest
</v>
      </c>
      <c r="M20" s="4" t="str">
        <f t="shared" si="0"/>
        <v>you</v>
      </c>
      <c r="N20" s="4" cm="1">
        <f t="array" ref="N20">SUM(--(_xlfn.TEXTSPLIT($J$2,, " ") = L20))</f>
        <v>1</v>
      </c>
    </row>
    <row r="21" spans="5:14" x14ac:dyDescent="0.2">
      <c r="E21" s="4" t="s">
        <v>14</v>
      </c>
      <c r="K21" t="str">
        <v>right</v>
      </c>
      <c r="L21" t="str">
        <v>Warpath</v>
      </c>
      <c r="M21" s="4" t="str">
        <f t="shared" si="0"/>
        <v>right</v>
      </c>
      <c r="N21" s="4" cm="1">
        <f t="array" ref="N21">SUM(--(_xlfn.TEXTSPLIT($J$2,, " ") = L21))</f>
        <v>1</v>
      </c>
    </row>
    <row r="22" spans="5:14" x14ac:dyDescent="0.2">
      <c r="E22" s="4" t="s">
        <v>14</v>
      </c>
      <c r="K22" t="str">
        <v>to</v>
      </c>
      <c r="L22" t="str">
        <v>etched</v>
      </c>
      <c r="M22" s="4" t="str">
        <f t="shared" si="0"/>
        <v>to</v>
      </c>
      <c r="N22" s="4" cm="1">
        <f t="array" ref="N22">SUM(--(_xlfn.TEXTSPLIT($J$2,, " ") = L22))</f>
        <v>1</v>
      </c>
    </row>
    <row r="23" spans="5:14" x14ac:dyDescent="0.2">
      <c r="E23" s="4" t="s">
        <v>14</v>
      </c>
      <c r="K23" t="str">
        <v>the</v>
      </c>
      <c r="L23" t="str">
        <v>in</v>
      </c>
      <c r="M23" s="4" t="str">
        <f t="shared" si="0"/>
        <v>the</v>
      </c>
      <c r="N23" s="4" cm="1">
        <f t="array" ref="N23">SUM(--(_xlfn.TEXTSPLIT($J$2,, " ") = L23))</f>
        <v>7</v>
      </c>
    </row>
    <row r="24" spans="5:14" x14ac:dyDescent="0.2">
      <c r="E24" s="4" t="s">
        <v>14</v>
      </c>
      <c r="K24" t="str">
        <v xml:space="preserve">chest
</v>
      </c>
      <c r="L24" t="str">
        <v xml:space="preserve">surface
</v>
      </c>
      <c r="M24" s="4" t="str">
        <f t="shared" si="0"/>
        <v xml:space="preserve">chest </v>
      </c>
      <c r="N24" s="4" cm="1">
        <f t="array" ref="N24">SUM(--(_xlfn.TEXTSPLIT($J$2,, " ") = L24))</f>
        <v>1</v>
      </c>
    </row>
    <row r="25" spans="5:14" x14ac:dyDescent="0.2">
      <c r="E25" s="4" t="s">
        <v>14</v>
      </c>
      <c r="K25" t="str">
        <v>Warpath</v>
      </c>
      <c r="L25" t="str">
        <v>Lines</v>
      </c>
      <c r="M25" s="4" t="str">
        <f t="shared" si="0"/>
        <v>Warpath</v>
      </c>
      <c r="N25" s="4" cm="1">
        <f t="array" ref="N25">SUM(--(_xlfn.TEXTSPLIT($J$2,, " ") = L25))</f>
        <v>1</v>
      </c>
    </row>
    <row r="26" spans="5:14" x14ac:dyDescent="0.2">
      <c r="E26" s="4" t="s">
        <v>14</v>
      </c>
      <c r="K26" t="str">
        <v>etched</v>
      </c>
      <c r="L26" t="str">
        <v>of</v>
      </c>
      <c r="M26" s="4" t="str">
        <f t="shared" si="0"/>
        <v>etched</v>
      </c>
      <c r="N26" s="4" cm="1">
        <f t="array" ref="N26">SUM(--(_xlfn.TEXTSPLIT($J$2,, " ") = L26))</f>
        <v>2</v>
      </c>
    </row>
    <row r="27" spans="5:14" x14ac:dyDescent="0.2">
      <c r="E27" s="4" t="s">
        <v>14</v>
      </c>
      <c r="K27" t="str">
        <v>in</v>
      </c>
      <c r="L27" t="str">
        <v>yellow</v>
      </c>
      <c r="M27" s="4" t="str">
        <f t="shared" si="0"/>
        <v>in</v>
      </c>
      <c r="N27" s="4" cm="1">
        <f t="array" ref="N27">SUM(--(_xlfn.TEXTSPLIT($J$2,, " ") = L27))</f>
        <v>1</v>
      </c>
    </row>
    <row r="28" spans="5:14" x14ac:dyDescent="0.2">
      <c r="E28" s="4" t="s">
        <v>14</v>
      </c>
      <c r="K28" t="str">
        <v>the</v>
      </c>
      <c r="L28" t="str">
        <v>tape,</v>
      </c>
      <c r="M28" s="4" t="str">
        <f t="shared" si="0"/>
        <v>the</v>
      </c>
      <c r="N28" s="4" cm="1">
        <f t="array" ref="N28">SUM(--(_xlfn.TEXTSPLIT($J$2,, " ") = L28))</f>
        <v>1</v>
      </c>
    </row>
    <row r="29" spans="5:14" x14ac:dyDescent="0.2">
      <c r="E29" s="4" t="s">
        <v>14</v>
      </c>
      <c r="K29" t="str">
        <v xml:space="preserve">surface
</v>
      </c>
      <c r="L29" t="str">
        <v>they're</v>
      </c>
      <c r="M29" s="4" t="str">
        <f t="shared" si="0"/>
        <v xml:space="preserve">surface </v>
      </c>
      <c r="N29" s="4" cm="1">
        <f t="array" ref="N29">SUM(--(_xlfn.TEXTSPLIT($J$2,, " ") = L29))</f>
        <v>2</v>
      </c>
    </row>
    <row r="30" spans="5:14" x14ac:dyDescent="0.2">
      <c r="E30" s="4" t="s">
        <v>14</v>
      </c>
      <c r="K30" t="str">
        <v>Lines</v>
      </c>
      <c r="L30" t="str">
        <v>moving</v>
      </c>
      <c r="M30" s="4" t="str">
        <f t="shared" si="0"/>
        <v>Lines</v>
      </c>
      <c r="N30" s="4" cm="1">
        <f t="array" ref="N30">SUM(--(_xlfn.TEXTSPLIT($J$2,, " ") = L30))</f>
        <v>1</v>
      </c>
    </row>
    <row r="31" spans="5:14" x14ac:dyDescent="0.2">
      <c r="E31" s="4" t="s">
        <v>14</v>
      </c>
      <c r="K31" t="str">
        <v>of</v>
      </c>
      <c r="L31" t="str">
        <v>quiet</v>
      </c>
      <c r="M31" s="4" t="str">
        <f t="shared" si="0"/>
        <v>of</v>
      </c>
      <c r="N31" s="4" cm="1">
        <f t="array" ref="N31">SUM(--(_xlfn.TEXTSPLIT($J$2,, " ") = L31))</f>
        <v>1</v>
      </c>
    </row>
    <row r="32" spans="5:14" x14ac:dyDescent="0.2">
      <c r="E32" s="4" t="s">
        <v>14</v>
      </c>
      <c r="K32" t="str">
        <v>the</v>
      </c>
      <c r="L32" t="str">
        <v>like</v>
      </c>
      <c r="M32" s="4" t="str">
        <f t="shared" si="0"/>
        <v>the</v>
      </c>
      <c r="N32" s="4" cm="1">
        <f t="array" ref="N32">SUM(--(_xlfn.TEXTSPLIT($J$2,, " ") = L32))</f>
        <v>1</v>
      </c>
    </row>
    <row r="33" spans="5:14" x14ac:dyDescent="0.2">
      <c r="E33" s="4" t="s">
        <v>14</v>
      </c>
      <c r="K33" t="str">
        <v>yellow</v>
      </c>
      <c r="L33" t="str">
        <v xml:space="preserve">a
</v>
      </c>
      <c r="M33" s="4" t="str">
        <f t="shared" si="0"/>
        <v>yellow</v>
      </c>
      <c r="N33" s="4" cm="1">
        <f t="array" ref="N33">SUM(--(_xlfn.TEXTSPLIT($J$2,, " ") = L33))</f>
        <v>1</v>
      </c>
    </row>
    <row r="34" spans="5:14" x14ac:dyDescent="0.2">
      <c r="E34" s="4" t="s">
        <v>14</v>
      </c>
      <c r="K34" t="str">
        <v>tape,</v>
      </c>
      <c r="L34" t="str">
        <v>Serpentine</v>
      </c>
      <c r="M34" s="4" t="str">
        <f t="shared" si="0"/>
        <v xml:space="preserve">tape </v>
      </c>
      <c r="N34" s="4" cm="1">
        <f t="array" ref="N34">SUM(--(_xlfn.TEXTSPLIT($J$2,, " ") = L34))</f>
        <v>1</v>
      </c>
    </row>
    <row r="35" spans="5:14" x14ac:dyDescent="0.2">
      <c r="E35" s="4" t="s">
        <v>14</v>
      </c>
      <c r="K35" t="str">
        <v>they're</v>
      </c>
      <c r="L35" t="str">
        <v xml:space="preserve">formation
</v>
      </c>
      <c r="M35" s="4" t="str">
        <f t="shared" si="0"/>
        <v>they re</v>
      </c>
      <c r="N35" s="4" cm="1">
        <f t="array" ref="N35">SUM(--(_xlfn.TEXTSPLIT($J$2,, " ") = L35))</f>
        <v>1</v>
      </c>
    </row>
    <row r="36" spans="5:14" x14ac:dyDescent="0.2">
      <c r="E36" s="4" t="s">
        <v>14</v>
      </c>
      <c r="K36" t="str">
        <v>moving</v>
      </c>
      <c r="L36" t="str">
        <v>Buddy,</v>
      </c>
      <c r="M36" s="4" t="str">
        <f t="shared" si="0"/>
        <v>moving</v>
      </c>
      <c r="N36" s="4" cm="1">
        <f t="array" ref="N36">SUM(--(_xlfn.TEXTSPLIT($J$2,, " ") = L36))</f>
        <v>1</v>
      </c>
    </row>
    <row r="37" spans="5:14" x14ac:dyDescent="0.2">
      <c r="E37" s="4" t="s">
        <v>14</v>
      </c>
      <c r="K37" t="str">
        <v>quiet</v>
      </c>
      <c r="L37" t="str">
        <v>that's</v>
      </c>
      <c r="M37" s="4" t="str">
        <f t="shared" si="0"/>
        <v>quiet</v>
      </c>
      <c r="N37" s="4" cm="1">
        <f t="array" ref="N37">SUM(--(_xlfn.TEXTSPLIT($J$2,, " ") = L37))</f>
        <v>1</v>
      </c>
    </row>
    <row r="38" spans="5:14" x14ac:dyDescent="0.2">
      <c r="E38" s="4" t="s">
        <v>14</v>
      </c>
      <c r="K38" t="str">
        <v>like</v>
      </c>
      <c r="L38" t="str">
        <v>my</v>
      </c>
      <c r="M38" s="4" t="str">
        <f t="shared" si="0"/>
        <v>like</v>
      </c>
      <c r="N38" s="4" cm="1">
        <f t="array" ref="N38">SUM(--(_xlfn.TEXTSPLIT($J$2,, " ") = L38))</f>
        <v>12</v>
      </c>
    </row>
    <row r="39" spans="5:14" x14ac:dyDescent="0.2">
      <c r="E39" s="4" t="s">
        <v>14</v>
      </c>
      <c r="K39" t="str">
        <v xml:space="preserve">a
</v>
      </c>
      <c r="L39" t="str">
        <v>team,</v>
      </c>
      <c r="M39" s="4" t="str">
        <f t="shared" si="0"/>
        <v xml:space="preserve">a </v>
      </c>
      <c r="N39" s="4" cm="1">
        <f t="array" ref="N39">SUM(--(_xlfn.TEXTSPLIT($J$2,, " ") = L39))</f>
        <v>1</v>
      </c>
    </row>
    <row r="40" spans="5:14" x14ac:dyDescent="0.2">
      <c r="E40" s="4" t="s">
        <v>14</v>
      </c>
      <c r="K40" t="str">
        <v>Serpentine</v>
      </c>
      <c r="L40" t="str">
        <v>pretty</v>
      </c>
      <c r="M40" s="4" t="str">
        <f t="shared" si="0"/>
        <v>Serpentine</v>
      </c>
      <c r="N40" s="4" cm="1">
        <f t="array" ref="N40">SUM(--(_xlfn.TEXTSPLIT($J$2,, " ") = L40))</f>
        <v>1</v>
      </c>
    </row>
    <row r="41" spans="5:14" x14ac:dyDescent="0.2">
      <c r="E41" s="4" t="s">
        <v>14</v>
      </c>
      <c r="K41" t="str">
        <v>in</v>
      </c>
      <c r="L41" t="str">
        <v xml:space="preserve">impatient
</v>
      </c>
      <c r="M41" s="4" t="str">
        <f t="shared" si="0"/>
        <v>in</v>
      </c>
      <c r="N41" s="4" cm="1">
        <f t="array" ref="N41">SUM(--(_xlfn.TEXTSPLIT($J$2,, " ") = L41))</f>
        <v>1</v>
      </c>
    </row>
    <row r="42" spans="5:14" x14ac:dyDescent="0.2">
      <c r="E42" s="4" t="s">
        <v>14</v>
      </c>
      <c r="K42" t="str">
        <v>a</v>
      </c>
      <c r="L42" t="str">
        <v>Now</v>
      </c>
      <c r="M42" s="4" t="str">
        <f t="shared" si="0"/>
        <v>a</v>
      </c>
      <c r="N42" s="4" cm="1">
        <f t="array" ref="N42">SUM(--(_xlfn.TEXTSPLIT($J$2,, " ") = L42))</f>
        <v>5</v>
      </c>
    </row>
    <row r="43" spans="5:14" x14ac:dyDescent="0.2">
      <c r="E43" s="4" t="s">
        <v>14</v>
      </c>
      <c r="K43" t="str">
        <v xml:space="preserve">formation
</v>
      </c>
      <c r="L43" t="str">
        <v>waiting</v>
      </c>
      <c r="M43" s="4" t="str">
        <f t="shared" si="0"/>
        <v xml:space="preserve">formation </v>
      </c>
      <c r="N43" s="4" cm="1">
        <f t="array" ref="N43">SUM(--(_xlfn.TEXTSPLIT($J$2,, " ") = L43))</f>
        <v>1</v>
      </c>
    </row>
    <row r="44" spans="5:14" x14ac:dyDescent="0.2">
      <c r="E44" s="4" t="s">
        <v>14</v>
      </c>
      <c r="K44" t="str">
        <v>Buddy,</v>
      </c>
      <c r="L44" t="str">
        <v>on</v>
      </c>
      <c r="M44" s="4" t="str">
        <f t="shared" si="0"/>
        <v xml:space="preserve">Buddy </v>
      </c>
      <c r="N44" s="4" cm="1">
        <f t="array" ref="N44">SUM(--(_xlfn.TEXTSPLIT($J$2,, " ") = L44))</f>
        <v>4</v>
      </c>
    </row>
    <row r="45" spans="5:14" x14ac:dyDescent="0.2">
      <c r="E45" s="4" t="s">
        <v>14</v>
      </c>
      <c r="K45" t="str">
        <v>that's</v>
      </c>
      <c r="L45" t="str">
        <v xml:space="preserve">me
</v>
      </c>
      <c r="M45" s="4" t="str">
        <f t="shared" si="0"/>
        <v>that s</v>
      </c>
      <c r="N45" s="4" cm="1">
        <f t="array" ref="N45">SUM(--(_xlfn.TEXTSPLIT($J$2,, " ") = L45))</f>
        <v>5</v>
      </c>
    </row>
    <row r="46" spans="5:14" x14ac:dyDescent="0.2">
      <c r="E46" s="4" t="s">
        <v>14</v>
      </c>
      <c r="K46" t="str">
        <v>my</v>
      </c>
      <c r="L46" t="str">
        <v>It</v>
      </c>
      <c r="M46" s="4" t="str">
        <f t="shared" si="0"/>
        <v>my</v>
      </c>
      <c r="N46" s="4" cm="1">
        <f t="array" ref="N46">SUM(--(_xlfn.TEXTSPLIT($J$2,, " ") = L46))</f>
        <v>9</v>
      </c>
    </row>
    <row r="47" spans="5:14" x14ac:dyDescent="0.2">
      <c r="E47" s="4" t="s">
        <v>14</v>
      </c>
      <c r="K47" t="str">
        <v>team,</v>
      </c>
      <c r="L47" t="str">
        <v>might</v>
      </c>
      <c r="M47" s="4" t="str">
        <f t="shared" si="0"/>
        <v xml:space="preserve">team </v>
      </c>
      <c r="N47" s="4" cm="1">
        <f t="array" ref="N47">SUM(--(_xlfn.TEXTSPLIT($J$2,, " ") = L47))</f>
        <v>1</v>
      </c>
    </row>
    <row r="48" spans="5:14" x14ac:dyDescent="0.2">
      <c r="E48" s="4" t="s">
        <v>14</v>
      </c>
      <c r="K48" t="str">
        <v>pretty</v>
      </c>
      <c r="L48" t="str">
        <v>be</v>
      </c>
      <c r="M48" s="4" t="str">
        <f t="shared" si="0"/>
        <v>pretty</v>
      </c>
      <c r="N48" s="4" cm="1">
        <f t="array" ref="N48">SUM(--(_xlfn.TEXTSPLIT($J$2,, " ") = L48))</f>
        <v>1</v>
      </c>
    </row>
    <row r="49" spans="5:14" x14ac:dyDescent="0.2">
      <c r="E49" s="4" t="s">
        <v>14</v>
      </c>
      <c r="K49" t="str">
        <v xml:space="preserve">impatient
</v>
      </c>
      <c r="L49" t="str">
        <v>furthest</v>
      </c>
      <c r="M49" s="4" t="str">
        <f t="shared" si="0"/>
        <v xml:space="preserve">impatient </v>
      </c>
      <c r="N49" s="4" cm="1">
        <f t="array" ref="N49">SUM(--(_xlfn.TEXTSPLIT($J$2,, " ") = L49))</f>
        <v>2</v>
      </c>
    </row>
    <row r="50" spans="5:14" x14ac:dyDescent="0.2">
      <c r="E50" s="4" t="s">
        <v>14</v>
      </c>
      <c r="K50" t="str">
        <v>Now</v>
      </c>
      <c r="L50" t="str">
        <v>we've</v>
      </c>
      <c r="M50" s="4" t="str">
        <f t="shared" si="0"/>
        <v>Now</v>
      </c>
      <c r="N50" s="4" cm="1">
        <f t="array" ref="N50">SUM(--(_xlfn.TEXTSPLIT($J$2,, " ") = L50))</f>
        <v>2</v>
      </c>
    </row>
    <row r="51" spans="5:14" x14ac:dyDescent="0.2">
      <c r="E51" s="4" t="s">
        <v>14</v>
      </c>
      <c r="K51" t="str">
        <v>they're</v>
      </c>
      <c r="L51" t="str">
        <v xml:space="preserve">reached
</v>
      </c>
      <c r="M51" s="4" t="str">
        <f t="shared" si="0"/>
        <v>they re</v>
      </c>
      <c r="N51" s="4" cm="1">
        <f t="array" ref="N51">SUM(--(_xlfn.TEXTSPLIT($J$2,, " ") = L51))</f>
        <v>2</v>
      </c>
    </row>
    <row r="52" spans="5:14" x14ac:dyDescent="0.2">
      <c r="E52" s="4" t="s">
        <v>14</v>
      </c>
      <c r="K52" t="str">
        <v>waiting</v>
      </c>
      <c r="L52" t="str">
        <v>move</v>
      </c>
      <c r="M52" s="4" t="str">
        <f t="shared" si="0"/>
        <v>waiting</v>
      </c>
      <c r="N52" s="4" cm="1">
        <f t="array" ref="N52">SUM(--(_xlfn.TEXTSPLIT($J$2,, " ") = L52))</f>
        <v>4</v>
      </c>
    </row>
    <row r="53" spans="5:14" x14ac:dyDescent="0.2">
      <c r="E53" s="4" t="s">
        <v>14</v>
      </c>
      <c r="K53" t="str">
        <v>on</v>
      </c>
      <c r="L53" t="str">
        <v>up,</v>
      </c>
      <c r="M53" s="4" t="str">
        <f t="shared" si="0"/>
        <v>on</v>
      </c>
      <c r="N53" s="4" cm="1">
        <f t="array" ref="N53">SUM(--(_xlfn.TEXTSPLIT($J$2,, " ") = L53))</f>
        <v>4</v>
      </c>
    </row>
    <row r="54" spans="5:14" x14ac:dyDescent="0.2">
      <c r="E54" s="4" t="s">
        <v>14</v>
      </c>
      <c r="K54" t="str">
        <v xml:space="preserve">me
</v>
      </c>
      <c r="L54" t="str">
        <v>it's</v>
      </c>
      <c r="M54" s="4" t="str">
        <f t="shared" si="0"/>
        <v xml:space="preserve">me </v>
      </c>
      <c r="N54" s="4" cm="1">
        <f t="array" ref="N54">SUM(--(_xlfn.TEXTSPLIT($J$2,, " ") = L54))</f>
        <v>2</v>
      </c>
    </row>
    <row r="55" spans="5:14" x14ac:dyDescent="0.2">
      <c r="E55" s="4" t="s">
        <v>14</v>
      </c>
      <c r="K55" t="str">
        <v>It</v>
      </c>
      <c r="L55" t="str">
        <v xml:space="preserve">breach
</v>
      </c>
      <c r="M55" s="4" t="str">
        <f t="shared" si="0"/>
        <v>It</v>
      </c>
      <c r="N55" s="4" cm="1">
        <f t="array" ref="N55">SUM(--(_xlfn.TEXTSPLIT($J$2,, " ") = L55))</f>
        <v>2</v>
      </c>
    </row>
    <row r="56" spans="5:14" x14ac:dyDescent="0.2">
      <c r="E56" s="4" t="s">
        <v>14</v>
      </c>
      <c r="K56" t="str">
        <v>might</v>
      </c>
      <c r="L56" t="str">
        <v>wonder</v>
      </c>
      <c r="M56" s="4" t="str">
        <f t="shared" si="0"/>
        <v>might</v>
      </c>
      <c r="N56" s="4" cm="1">
        <f t="array" ref="N56">SUM(--(_xlfn.TEXTSPLIT($J$2,, " ") = L56))</f>
        <v>5</v>
      </c>
    </row>
    <row r="57" spans="5:14" x14ac:dyDescent="0.2">
      <c r="E57" s="4" t="s">
        <v>14</v>
      </c>
      <c r="K57" t="str">
        <v>be</v>
      </c>
      <c r="L57" t="str">
        <v>where</v>
      </c>
      <c r="M57" s="4" t="str">
        <f t="shared" si="0"/>
        <v>be</v>
      </c>
      <c r="N57" s="4" cm="1">
        <f t="array" ref="N57">SUM(--(_xlfn.TEXTSPLIT($J$2,, " ") = L57))</f>
        <v>5</v>
      </c>
    </row>
    <row r="58" spans="5:14" x14ac:dyDescent="0.2">
      <c r="E58" s="4" t="s">
        <v>14</v>
      </c>
      <c r="K58" t="str">
        <v>the</v>
      </c>
      <c r="L58" t="str">
        <v xml:space="preserve">are
</v>
      </c>
      <c r="M58" s="4" t="str">
        <f t="shared" si="0"/>
        <v>the</v>
      </c>
      <c r="N58" s="4" cm="1">
        <f t="array" ref="N58">SUM(--(_xlfn.TEXTSPLIT($J$2,, " ") = L58))</f>
        <v>4</v>
      </c>
    </row>
    <row r="59" spans="5:14" x14ac:dyDescent="0.2">
      <c r="E59" s="4" t="s">
        <v>14</v>
      </c>
      <c r="K59" t="str">
        <v>furthest</v>
      </c>
      <c r="L59" t="str">
        <v>wanted</v>
      </c>
      <c r="M59" s="4" t="str">
        <f t="shared" si="0"/>
        <v>furthest</v>
      </c>
      <c r="N59" s="4" cm="1">
        <f t="array" ref="N59">SUM(--(_xlfn.TEXTSPLIT($J$2,, " ") = L59))</f>
        <v>5</v>
      </c>
    </row>
    <row r="60" spans="5:14" x14ac:dyDescent="0.2">
      <c r="E60" s="4" t="s">
        <v>14</v>
      </c>
      <c r="K60" t="str">
        <v>we've</v>
      </c>
      <c r="L60" t="str">
        <v>show</v>
      </c>
      <c r="M60" s="4" t="str">
        <f t="shared" si="0"/>
        <v>we ve</v>
      </c>
      <c r="N60" s="4" cm="1">
        <f t="array" ref="N60">SUM(--(_xlfn.TEXTSPLIT($J$2,, " ") = L60))</f>
        <v>5</v>
      </c>
    </row>
    <row r="61" spans="5:14" x14ac:dyDescent="0.2">
      <c r="E61" s="4" t="s">
        <v>14</v>
      </c>
      <c r="K61" t="str">
        <v xml:space="preserve">reached
</v>
      </c>
      <c r="L61" t="str">
        <v>way</v>
      </c>
      <c r="M61" s="4" t="str">
        <f t="shared" si="0"/>
        <v xml:space="preserve">reached </v>
      </c>
      <c r="N61" s="4" cm="1">
        <f t="array" ref="N61">SUM(--(_xlfn.TEXTSPLIT($J$2,, " ") = L61))</f>
        <v>4</v>
      </c>
    </row>
    <row r="62" spans="5:14" x14ac:dyDescent="0.2">
      <c r="E62" s="4" t="s">
        <v>14</v>
      </c>
      <c r="K62" t="str">
        <v>Now</v>
      </c>
      <c r="L62" t="str">
        <v>around</v>
      </c>
      <c r="M62" s="4" t="str">
        <f t="shared" si="0"/>
        <v>Now</v>
      </c>
      <c r="N62" s="4" cm="1">
        <f t="array" ref="N62">SUM(--(_xlfn.TEXTSPLIT($J$2,, " ") = L62))</f>
        <v>4</v>
      </c>
    </row>
    <row r="63" spans="5:14" x14ac:dyDescent="0.2">
      <c r="E63" s="4" t="s">
        <v>14</v>
      </c>
      <c r="K63" t="str">
        <v>move</v>
      </c>
      <c r="L63" t="str">
        <v>city</v>
      </c>
      <c r="M63" s="4" t="str">
        <f t="shared" si="0"/>
        <v>move</v>
      </c>
      <c r="N63" s="4" cm="1">
        <f t="array" ref="N63">SUM(--(_xlfn.TEXTSPLIT($J$2,, " ") = L63))</f>
        <v>3</v>
      </c>
    </row>
    <row r="64" spans="5:14" x14ac:dyDescent="0.2">
      <c r="E64" s="4" t="s">
        <v>14</v>
      </c>
      <c r="K64" t="str">
        <v>it</v>
      </c>
      <c r="L64" t="str">
        <v xml:space="preserve">walls
</v>
      </c>
      <c r="M64" s="4" t="str">
        <f t="shared" si="0"/>
        <v>it</v>
      </c>
      <c r="N64" s="4" cm="1">
        <f t="array" ref="N64">SUM(--(_xlfn.TEXTSPLIT($J$2,, " ") = L64))</f>
        <v>2</v>
      </c>
    </row>
    <row r="65" spans="5:14" x14ac:dyDescent="0.2">
      <c r="E65" s="4" t="s">
        <v>14</v>
      </c>
      <c r="K65" t="str">
        <v>up,</v>
      </c>
      <c r="L65" t="str">
        <v xml:space="preserve">through
</v>
      </c>
      <c r="M65" s="4" t="str">
        <f t="shared" si="0"/>
        <v xml:space="preserve">up </v>
      </c>
      <c r="N65" s="4" cm="1">
        <f t="array" ref="N65">SUM(--(_xlfn.TEXTSPLIT($J$2,, " ") = L65))</f>
        <v>2</v>
      </c>
    </row>
    <row r="66" spans="5:14" x14ac:dyDescent="0.2">
      <c r="E66" s="4" t="s">
        <v>14</v>
      </c>
      <c r="K66" t="str">
        <v>move</v>
      </c>
      <c r="L66" t="str">
        <v>But</v>
      </c>
      <c r="M66" s="4" t="str">
        <f t="shared" si="0"/>
        <v>move</v>
      </c>
      <c r="N66" s="4" cm="1">
        <f t="array" ref="N66">SUM(--(_xlfn.TEXTSPLIT($J$2,, " ") = L66))</f>
        <v>3</v>
      </c>
    </row>
    <row r="67" spans="5:14" x14ac:dyDescent="0.2">
      <c r="E67" s="4" t="s">
        <v>14</v>
      </c>
      <c r="K67" t="str">
        <v>it</v>
      </c>
      <c r="L67" t="str">
        <v>night</v>
      </c>
      <c r="M67" s="4" t="str">
        <f t="shared" ref="M67:M130" si="1">_xlfn.REGEXREPLACE(K67, "[^A-Za-z ]", " ")</f>
        <v>it</v>
      </c>
      <c r="N67" s="4" cm="1">
        <f t="array" ref="N67">SUM(--(_xlfn.TEXTSPLIT($J$2,, " ") = L67))</f>
        <v>2</v>
      </c>
    </row>
    <row r="68" spans="5:14" x14ac:dyDescent="0.2">
      <c r="E68" s="4" t="s">
        <v>14</v>
      </c>
      <c r="K68" t="str">
        <v>up,</v>
      </c>
      <c r="L68" t="str">
        <v>has</v>
      </c>
      <c r="M68" s="4" t="str">
        <f t="shared" si="1"/>
        <v xml:space="preserve">up </v>
      </c>
      <c r="N68" s="4" cm="1">
        <f t="array" ref="N68">SUM(--(_xlfn.TEXTSPLIT($J$2,, " ") = L68))</f>
        <v>2</v>
      </c>
    </row>
    <row r="69" spans="5:14" x14ac:dyDescent="0.2">
      <c r="E69" s="4" t="s">
        <v>14</v>
      </c>
      <c r="K69" t="str">
        <v>it's</v>
      </c>
      <c r="L69" t="str">
        <v xml:space="preserve">fallen
</v>
      </c>
      <c r="M69" s="4" t="str">
        <f t="shared" si="1"/>
        <v>it s</v>
      </c>
      <c r="N69" s="4" cm="1">
        <f t="array" ref="N69">SUM(--(_xlfn.TEXTSPLIT($J$2,, " ") = L69))</f>
        <v>2</v>
      </c>
    </row>
    <row r="70" spans="5:14" x14ac:dyDescent="0.2">
      <c r="E70" s="4" t="s">
        <v>14</v>
      </c>
      <c r="K70" t="str">
        <v>a</v>
      </c>
      <c r="L70" t="str">
        <v>Abandoned</v>
      </c>
      <c r="M70" s="4" t="str">
        <f t="shared" si="1"/>
        <v>a</v>
      </c>
      <c r="N70" s="4" cm="1">
        <f t="array" ref="N70">SUM(--(_xlfn.TEXTSPLIT($J$2,, " ") = L70))</f>
        <v>3</v>
      </c>
    </row>
    <row r="71" spans="5:14" x14ac:dyDescent="0.2">
      <c r="E71" s="4" t="s">
        <v>14</v>
      </c>
      <c r="K71" t="str">
        <v xml:space="preserve">breach
</v>
      </c>
      <c r="L71" t="str">
        <v>by</v>
      </c>
      <c r="M71" s="4" t="str">
        <f t="shared" si="1"/>
        <v xml:space="preserve">breach  </v>
      </c>
      <c r="N71" s="4" cm="1">
        <f t="array" ref="N71">SUM(--(_xlfn.TEXTSPLIT($J$2,, " ") = L71))</f>
        <v>3</v>
      </c>
    </row>
    <row r="72" spans="5:14" x14ac:dyDescent="0.2">
      <c r="E72" s="4" t="s">
        <v>14</v>
      </c>
      <c r="K72" t="str">
        <v>I</v>
      </c>
      <c r="L72" t="str">
        <v xml:space="preserve">sun
</v>
      </c>
      <c r="M72" s="4" t="str">
        <f t="shared" si="1"/>
        <v>I</v>
      </c>
      <c r="N72" s="4" cm="1">
        <f t="array" ref="N72">SUM(--(_xlfn.TEXTSPLIT($J$2,, " ") = L72))</f>
        <v>2</v>
      </c>
    </row>
    <row r="73" spans="5:14" x14ac:dyDescent="0.2">
      <c r="E73" s="4" t="s">
        <v>14</v>
      </c>
      <c r="K73" t="str">
        <v>wonder</v>
      </c>
      <c r="L73" t="str">
        <v>come</v>
      </c>
      <c r="M73" s="4" t="str">
        <f t="shared" si="1"/>
        <v>wonder</v>
      </c>
      <c r="N73" s="4" cm="1">
        <f t="array" ref="N73">SUM(--(_xlfn.TEXTSPLIT($J$2,, " ") = L73))</f>
        <v>1</v>
      </c>
    </row>
    <row r="74" spans="5:14" x14ac:dyDescent="0.2">
      <c r="E74" s="4" t="s">
        <v>14</v>
      </c>
      <c r="K74" t="str">
        <v>where</v>
      </c>
      <c r="L74" t="str">
        <v>you,</v>
      </c>
      <c r="M74" s="4" t="str">
        <f t="shared" si="1"/>
        <v>where</v>
      </c>
      <c r="N74" s="4" cm="1">
        <f t="array" ref="N74">SUM(--(_xlfn.TEXTSPLIT($J$2,, " ") = L74))</f>
        <v>2</v>
      </c>
    </row>
    <row r="75" spans="5:14" x14ac:dyDescent="0.2">
      <c r="E75" s="4" t="s">
        <v>14</v>
      </c>
      <c r="K75" t="str">
        <v>you</v>
      </c>
      <c r="L75" t="str">
        <v>tell</v>
      </c>
      <c r="M75" s="4" t="str">
        <f t="shared" si="1"/>
        <v>you</v>
      </c>
      <c r="N75" s="4" cm="1">
        <f t="array" ref="N75">SUM(--(_xlfn.TEXTSPLIT($J$2,, " ") = L75))</f>
        <v>1</v>
      </c>
    </row>
    <row r="76" spans="5:14" x14ac:dyDescent="0.2">
      <c r="E76" s="4" t="s">
        <v>14</v>
      </c>
      <c r="K76" t="str">
        <v xml:space="preserve">are
</v>
      </c>
      <c r="L76" t="str">
        <v>me</v>
      </c>
      <c r="M76" s="4" t="str">
        <f t="shared" si="1"/>
        <v xml:space="preserve">are </v>
      </c>
      <c r="N76" s="4" cm="1">
        <f t="array" ref="N76">SUM(--(_xlfn.TEXTSPLIT($J$2,, " ") = L76))</f>
        <v>2</v>
      </c>
    </row>
    <row r="77" spans="5:14" x14ac:dyDescent="0.2">
      <c r="E77" s="4" t="s">
        <v>14</v>
      </c>
      <c r="K77" t="str">
        <v>I</v>
      </c>
      <c r="L77" t="str">
        <v xml:space="preserve">when
</v>
      </c>
      <c r="M77" s="4" t="str">
        <f t="shared" si="1"/>
        <v>I</v>
      </c>
      <c r="N77" s="4" cm="1">
        <f t="array" ref="N77">SUM(--(_xlfn.TEXTSPLIT($J$2,, " ") = L77))</f>
        <v>1</v>
      </c>
    </row>
    <row r="78" spans="5:14" x14ac:dyDescent="0.2">
      <c r="E78" s="4" t="s">
        <v>14</v>
      </c>
      <c r="K78" t="str">
        <v>wanted</v>
      </c>
      <c r="L78" t="str">
        <v>run</v>
      </c>
      <c r="M78" s="4" t="str">
        <f t="shared" si="1"/>
        <v>wanted</v>
      </c>
      <c r="N78" s="4" cm="1">
        <f t="array" ref="N78">SUM(--(_xlfn.TEXTSPLIT($J$2,, " ") = L78))</f>
        <v>1</v>
      </c>
    </row>
    <row r="79" spans="5:14" x14ac:dyDescent="0.2">
      <c r="E79" s="4" t="s">
        <v>14</v>
      </c>
      <c r="K79" t="str">
        <v>you</v>
      </c>
      <c r="L79" t="str">
        <v xml:space="preserve">end
</v>
      </c>
      <c r="M79" s="4" t="str">
        <f t="shared" si="1"/>
        <v>you</v>
      </c>
      <c r="N79" s="4" cm="1">
        <f t="array" ref="N79">SUM(--(_xlfn.TEXTSPLIT($J$2,, " ") = L79))</f>
        <v>1</v>
      </c>
    </row>
    <row r="80" spans="5:14" x14ac:dyDescent="0.2">
      <c r="E80" s="4" t="s">
        <v>14</v>
      </c>
      <c r="K80" t="str">
        <v>to</v>
      </c>
      <c r="L80" t="str">
        <v>write</v>
      </c>
      <c r="M80" s="4" t="str">
        <f t="shared" si="1"/>
        <v>to</v>
      </c>
      <c r="N80" s="4" cm="1">
        <f t="array" ref="N80">SUM(--(_xlfn.TEXTSPLIT($J$2,, " ") = L80))</f>
        <v>1</v>
      </c>
    </row>
    <row r="81" spans="5:14" x14ac:dyDescent="0.2">
      <c r="E81" s="4" t="s">
        <v>14</v>
      </c>
      <c r="K81" t="str">
        <v>show</v>
      </c>
      <c r="L81" t="str">
        <v>promise</v>
      </c>
      <c r="M81" s="4" t="str">
        <f t="shared" si="1"/>
        <v>show</v>
      </c>
      <c r="N81" s="4" cm="1">
        <f t="array" ref="N81">SUM(--(_xlfn.TEXTSPLIT($J$2,, " ") = L81))</f>
        <v>1</v>
      </c>
    </row>
    <row r="82" spans="5:14" x14ac:dyDescent="0.2">
      <c r="E82" s="4" t="s">
        <v>14</v>
      </c>
      <c r="K82" t="str">
        <v xml:space="preserve">me
</v>
      </c>
      <c r="L82" t="str">
        <v>pencil,</v>
      </c>
      <c r="M82" s="4" t="str">
        <f t="shared" si="1"/>
        <v xml:space="preserve">me </v>
      </c>
      <c r="N82" s="4" cm="1">
        <f t="array" ref="N82">SUM(--(_xlfn.TEXTSPLIT($J$2,, " ") = L82))</f>
        <v>1</v>
      </c>
    </row>
    <row r="83" spans="5:14" x14ac:dyDescent="0.2">
      <c r="E83" s="4" t="s">
        <v>14</v>
      </c>
      <c r="K83" t="str">
        <v>The</v>
      </c>
      <c r="L83" t="str">
        <v>loyalty's</v>
      </c>
      <c r="M83" s="4" t="str">
        <f t="shared" si="1"/>
        <v>The</v>
      </c>
      <c r="N83" s="4" cm="1">
        <f t="array" ref="N83">SUM(--(_xlfn.TEXTSPLIT($J$2,, " ") = L83))</f>
        <v>1</v>
      </c>
    </row>
    <row r="84" spans="5:14" x14ac:dyDescent="0.2">
      <c r="E84" s="4" t="s">
        <v>14</v>
      </c>
      <c r="K84" t="str">
        <v>way</v>
      </c>
      <c r="L84" t="str">
        <v xml:space="preserve">pen
</v>
      </c>
      <c r="M84" s="4" t="str">
        <f t="shared" si="1"/>
        <v>way</v>
      </c>
      <c r="N84" s="4" cm="1">
        <f t="array" ref="N84">SUM(--(_xlfn.TEXTSPLIT($J$2,, " ") = L84))</f>
        <v>1</v>
      </c>
    </row>
    <row r="85" spans="5:14" x14ac:dyDescent="0.2">
      <c r="E85" s="4" t="s">
        <v>14</v>
      </c>
      <c r="K85" t="str">
        <v>around</v>
      </c>
      <c r="L85" t="str">
        <v>Use</v>
      </c>
      <c r="M85" s="4" t="str">
        <f t="shared" si="1"/>
        <v>around</v>
      </c>
      <c r="N85" s="4" cm="1">
        <f t="array" ref="N85">SUM(--(_xlfn.TEXTSPLIT($J$2,, " ") = L85))</f>
        <v>1</v>
      </c>
    </row>
    <row r="86" spans="5:14" x14ac:dyDescent="0.2">
      <c r="E86" s="4" t="s">
        <v>14</v>
      </c>
      <c r="K86" t="str">
        <v>the</v>
      </c>
      <c r="L86" t="str">
        <v>mistake</v>
      </c>
      <c r="M86" s="4" t="str">
        <f t="shared" si="1"/>
        <v>the</v>
      </c>
      <c r="N86" s="4" cm="1">
        <f t="array" ref="N86">SUM(--(_xlfn.TEXTSPLIT($J$2,, " ") = L86))</f>
        <v>1</v>
      </c>
    </row>
    <row r="87" spans="5:14" x14ac:dyDescent="0.2">
      <c r="E87" s="4" t="s">
        <v>14</v>
      </c>
      <c r="K87" t="str">
        <v>city</v>
      </c>
      <c r="L87" t="str">
        <v>as</v>
      </c>
      <c r="M87" s="4" t="str">
        <f t="shared" si="1"/>
        <v>city</v>
      </c>
      <c r="N87" s="4" cm="1">
        <f t="array" ref="N87">SUM(--(_xlfn.TEXTSPLIT($J$2,, " ") = L87))</f>
        <v>1</v>
      </c>
    </row>
    <row r="88" spans="5:14" x14ac:dyDescent="0.2">
      <c r="E88" s="4" t="s">
        <v>14</v>
      </c>
      <c r="K88" t="str">
        <v xml:space="preserve">walls
</v>
      </c>
      <c r="L88" t="str">
        <v>crooked</v>
      </c>
      <c r="M88" s="4" t="str">
        <f t="shared" si="1"/>
        <v xml:space="preserve">walls </v>
      </c>
      <c r="N88" s="4" cm="1">
        <f t="array" ref="N88">SUM(--(_xlfn.TEXTSPLIT($J$2,, " ") = L88))</f>
        <v>1</v>
      </c>
    </row>
    <row r="89" spans="5:14" x14ac:dyDescent="0.2">
      <c r="E89" s="4" t="s">
        <v>14</v>
      </c>
      <c r="K89" t="str">
        <v>The</v>
      </c>
      <c r="L89" t="str">
        <v>stencil,</v>
      </c>
      <c r="M89" s="4" t="str">
        <f t="shared" si="1"/>
        <v>The</v>
      </c>
      <c r="N89" s="4" cm="1">
        <f t="array" ref="N89">SUM(--(_xlfn.TEXTSPLIT($J$2,, " ") = L89))</f>
        <v>1</v>
      </c>
    </row>
    <row r="90" spans="5:14" x14ac:dyDescent="0.2">
      <c r="E90" s="4" t="s">
        <v>14</v>
      </c>
      <c r="K90" t="str">
        <v>way</v>
      </c>
      <c r="L90" t="str">
        <v>then</v>
      </c>
      <c r="M90" s="4" t="str">
        <f t="shared" si="1"/>
        <v>way</v>
      </c>
      <c r="N90" s="4" cm="1">
        <f t="array" ref="N90">SUM(--(_xlfn.TEXTSPLIT($J$2,, " ") = L90))</f>
        <v>1</v>
      </c>
    </row>
    <row r="91" spans="5:14" x14ac:dyDescent="0.2">
      <c r="E91" s="4" t="s">
        <v>14</v>
      </c>
      <c r="K91" t="str">
        <v>on</v>
      </c>
      <c r="L91" t="str">
        <v>we</v>
      </c>
      <c r="M91" s="4" t="str">
        <f t="shared" si="1"/>
        <v>on</v>
      </c>
      <c r="N91" s="4" cm="1">
        <f t="array" ref="N91">SUM(--(_xlfn.TEXTSPLIT($J$2,, " ") = L91))</f>
        <v>1</v>
      </c>
    </row>
    <row r="92" spans="5:14" x14ac:dyDescent="0.2">
      <c r="E92" s="4" t="s">
        <v>14</v>
      </c>
      <c r="K92" t="str">
        <v xml:space="preserve">through
</v>
      </c>
      <c r="L92" t="str">
        <v>trace</v>
      </c>
      <c r="M92" s="4" t="str">
        <f t="shared" si="1"/>
        <v xml:space="preserve">through </v>
      </c>
      <c r="N92" s="4" cm="1">
        <f t="array" ref="N92">SUM(--(_xlfn.TEXTSPLIT($J$2,, " ") = L92))</f>
        <v>1</v>
      </c>
    </row>
    <row r="93" spans="5:14" x14ac:dyDescent="0.2">
      <c r="E93" s="4" t="s">
        <v>14</v>
      </c>
      <c r="K93" t="str">
        <v>I</v>
      </c>
      <c r="L93" t="str">
        <v>back</v>
      </c>
      <c r="M93" s="4" t="str">
        <f t="shared" si="1"/>
        <v>I</v>
      </c>
      <c r="N93" s="4" cm="1">
        <f t="array" ref="N93">SUM(--(_xlfn.TEXTSPLIT($J$2,, " ") = L93))</f>
        <v>1</v>
      </c>
    </row>
    <row r="94" spans="5:14" x14ac:dyDescent="0.2">
      <c r="E94" s="4" t="s">
        <v>14</v>
      </c>
      <c r="K94" t="str">
        <v>wonder</v>
      </c>
      <c r="L94" t="str">
        <v xml:space="preserve">again
</v>
      </c>
      <c r="M94" s="4" t="str">
        <f t="shared" si="1"/>
        <v>wonder</v>
      </c>
      <c r="N94" s="4" cm="1">
        <f t="array" ref="N94">SUM(--(_xlfn.TEXTSPLIT($J$2,, " ") = L94))</f>
        <v>1</v>
      </c>
    </row>
    <row r="95" spans="5:14" x14ac:dyDescent="0.2">
      <c r="E95" s="4" t="s">
        <v>14</v>
      </c>
      <c r="K95" t="str">
        <v>where</v>
      </c>
      <c r="L95" t="str">
        <v>From</v>
      </c>
      <c r="M95" s="4" t="str">
        <f t="shared" si="1"/>
        <v>where</v>
      </c>
      <c r="N95" s="4" cm="1">
        <f t="array" ref="N95">SUM(--(_xlfn.TEXTSPLIT($J$2,, " ") = L95))</f>
        <v>1</v>
      </c>
    </row>
    <row r="96" spans="5:14" x14ac:dyDescent="0.2">
      <c r="E96" s="4" t="s">
        <v>14</v>
      </c>
      <c r="K96" t="str">
        <v>you</v>
      </c>
      <c r="L96" t="str">
        <v>mainland</v>
      </c>
      <c r="M96" s="4" t="str">
        <f t="shared" si="1"/>
        <v>you</v>
      </c>
      <c r="N96" s="4" cm="1">
        <f t="array" ref="N96">SUM(--(_xlfn.TEXTSPLIT($J$2,, " ") = L96))</f>
        <v>1</v>
      </c>
    </row>
    <row r="97" spans="5:14" x14ac:dyDescent="0.2">
      <c r="E97" s="4" t="s">
        <v>14</v>
      </c>
      <c r="K97" t="str">
        <v xml:space="preserve">are
</v>
      </c>
      <c r="L97" t="str">
        <v>island</v>
      </c>
      <c r="M97" s="4" t="str">
        <f t="shared" si="1"/>
        <v xml:space="preserve">are </v>
      </c>
      <c r="N97" s="4" cm="1">
        <f t="array" ref="N97">SUM(--(_xlfn.TEXTSPLIT($J$2,, " ") = L97))</f>
        <v>1</v>
      </c>
    </row>
    <row r="98" spans="5:14" x14ac:dyDescent="0.2">
      <c r="E98" s="4" t="s">
        <v>14</v>
      </c>
      <c r="K98" t="str">
        <v>I</v>
      </c>
      <c r="L98" t="str">
        <v xml:space="preserve">violence
</v>
      </c>
      <c r="M98" s="4" t="str">
        <f t="shared" si="1"/>
        <v>I</v>
      </c>
      <c r="N98" s="4" cm="1">
        <f t="array" ref="N98">SUM(--(_xlfn.TEXTSPLIT($J$2,, " ") = L98))</f>
        <v>1</v>
      </c>
    </row>
    <row r="99" spans="5:14" x14ac:dyDescent="0.2">
      <c r="E99" s="4" t="s">
        <v>14</v>
      </c>
      <c r="K99" t="str">
        <v>wanted</v>
      </c>
      <c r="L99" t="str">
        <v>was</v>
      </c>
      <c r="M99" s="4" t="str">
        <f t="shared" si="1"/>
        <v>wanted</v>
      </c>
      <c r="N99" s="4" cm="1">
        <f t="array" ref="N99">SUM(--(_xlfn.TEXTSPLIT($J$2,, " ") = L99))</f>
        <v>2</v>
      </c>
    </row>
    <row r="100" spans="5:14" x14ac:dyDescent="0.2">
      <c r="E100" s="4" t="s">
        <v>14</v>
      </c>
      <c r="K100" t="str">
        <v>you</v>
      </c>
      <c r="L100" t="str">
        <v>same</v>
      </c>
      <c r="M100" s="4" t="str">
        <f t="shared" si="1"/>
        <v>you</v>
      </c>
      <c r="N100" s="4" cm="1">
        <f t="array" ref="N100">SUM(--(_xlfn.TEXTSPLIT($J$2,, " ") = L100))</f>
        <v>1</v>
      </c>
    </row>
    <row r="101" spans="5:14" x14ac:dyDescent="0.2">
      <c r="E101" s="4" t="s">
        <v>14</v>
      </c>
      <c r="K101" t="str">
        <v>to</v>
      </c>
      <c r="L101" t="str">
        <v>plan</v>
      </c>
      <c r="M101" s="4" t="str">
        <f t="shared" si="1"/>
        <v>to</v>
      </c>
      <c r="N101" s="4" cm="1">
        <f t="array" ref="N101">SUM(--(_xlfn.TEXTSPLIT($J$2,, " ") = L101))</f>
        <v>1</v>
      </c>
    </row>
    <row r="102" spans="5:14" x14ac:dyDescent="0.2">
      <c r="E102" s="4" t="s">
        <v>14</v>
      </c>
      <c r="K102" t="str">
        <v>show</v>
      </c>
      <c r="L102" t="str">
        <v>for</v>
      </c>
      <c r="M102" s="4" t="str">
        <f t="shared" si="1"/>
        <v>show</v>
      </c>
      <c r="N102" s="4" cm="1">
        <f t="array" ref="N102">SUM(--(_xlfn.TEXTSPLIT($J$2,, " ") = L102))</f>
        <v>1</v>
      </c>
    </row>
    <row r="103" spans="5:14" x14ac:dyDescent="0.2">
      <c r="E103" s="4" t="s">
        <v>14</v>
      </c>
      <c r="K103" t="str">
        <v xml:space="preserve">me
</v>
      </c>
      <c r="L103" t="str">
        <v>while,</v>
      </c>
      <c r="M103" s="4" t="str">
        <f t="shared" si="1"/>
        <v xml:space="preserve">me </v>
      </c>
      <c r="N103" s="4" cm="1">
        <f t="array" ref="N103">SUM(--(_xlfn.TEXTSPLIT($J$2,, " ") = L103))</f>
        <v>1</v>
      </c>
    </row>
    <row r="104" spans="5:14" x14ac:dyDescent="0.2">
      <c r="E104" s="4" t="s">
        <v>14</v>
      </c>
      <c r="K104" t="str">
        <v>But</v>
      </c>
      <c r="L104" t="str">
        <v xml:space="preserve">decided
</v>
      </c>
      <c r="M104" s="4" t="str">
        <f t="shared" si="1"/>
        <v>But</v>
      </c>
      <c r="N104" s="4" cm="1">
        <f t="array" ref="N104">SUM(--(_xlfn.TEXTSPLIT($J$2,, " ") = L104))</f>
        <v>1</v>
      </c>
    </row>
    <row r="105" spans="5:14" x14ac:dyDescent="0.2">
      <c r="E105" s="4" t="s">
        <v>14</v>
      </c>
      <c r="K105" t="str">
        <v>now</v>
      </c>
      <c r="L105" t="str">
        <v>send</v>
      </c>
      <c r="M105" s="4" t="str">
        <f t="shared" si="1"/>
        <v>now</v>
      </c>
      <c r="N105" s="4" cm="1">
        <f t="array" ref="N105">SUM(--(_xlfn.TEXTSPLIT($J$2,, " ") = L105))</f>
        <v>1</v>
      </c>
    </row>
    <row r="106" spans="5:14" x14ac:dyDescent="0.2">
      <c r="E106" s="4" t="s">
        <v>14</v>
      </c>
      <c r="K106" t="str">
        <v>the</v>
      </c>
      <c r="L106" t="str">
        <v>and</v>
      </c>
      <c r="M106" s="4" t="str">
        <f t="shared" si="1"/>
        <v>the</v>
      </c>
      <c r="N106" s="4" cm="1">
        <f t="array" ref="N106">SUM(--(_xlfn.TEXTSPLIT($J$2,, " ") = L106))</f>
        <v>1</v>
      </c>
    </row>
    <row r="107" spans="5:14" x14ac:dyDescent="0.2">
      <c r="E107" s="4" t="s">
        <v>14</v>
      </c>
      <c r="K107" t="str">
        <v>night</v>
      </c>
      <c r="L107" t="str">
        <v>rip</v>
      </c>
      <c r="M107" s="4" t="str">
        <f t="shared" si="1"/>
        <v>night</v>
      </c>
      <c r="N107" s="4" cm="1">
        <f t="array" ref="N107">SUM(--(_xlfn.TEXTSPLIT($J$2,, " ") = L107))</f>
        <v>1</v>
      </c>
    </row>
    <row r="108" spans="5:14" x14ac:dyDescent="0.2">
      <c r="E108" s="4" t="s">
        <v>14</v>
      </c>
      <c r="K108" t="str">
        <v>has</v>
      </c>
      <c r="L108" t="str">
        <v>outta</v>
      </c>
      <c r="M108" s="4" t="str">
        <f t="shared" si="1"/>
        <v>has</v>
      </c>
      <c r="N108" s="4" cm="1">
        <f t="array" ref="N108">SUM(--(_xlfn.TEXTSPLIT($J$2,, " ") = L108))</f>
        <v>1</v>
      </c>
    </row>
    <row r="109" spans="5:14" x14ac:dyDescent="0.2">
      <c r="E109" s="4" t="s">
        <v>14</v>
      </c>
      <c r="K109" t="str">
        <v xml:space="preserve">fallen
</v>
      </c>
      <c r="L109" t="str">
        <v xml:space="preserve">seat
</v>
      </c>
      <c r="M109" s="4" t="str">
        <f t="shared" si="1"/>
        <v xml:space="preserve">fallen </v>
      </c>
      <c r="N109" s="4" cm="1">
        <f t="array" ref="N109">SUM(--(_xlfn.TEXTSPLIT($J$2,, " ") = L109))</f>
        <v>1</v>
      </c>
    </row>
    <row r="110" spans="5:14" x14ac:dyDescent="0.2">
      <c r="E110" s="4" t="s">
        <v>14</v>
      </c>
      <c r="K110" t="str">
        <v>Abandoned</v>
      </c>
      <c r="L110" t="str">
        <v>see,</v>
      </c>
      <c r="M110" s="4" t="str">
        <f t="shared" si="1"/>
        <v>Abandoned</v>
      </c>
      <c r="N110" s="4" cm="1">
        <f t="array" ref="N110">SUM(--(_xlfn.TEXTSPLIT($J$2,, " ") = L110))</f>
        <v>1</v>
      </c>
    </row>
    <row r="111" spans="5:14" x14ac:dyDescent="0.2">
      <c r="E111" s="4" t="s">
        <v>14</v>
      </c>
      <c r="K111" t="str">
        <v>by</v>
      </c>
      <c r="L111" t="str">
        <v>no</v>
      </c>
      <c r="M111" s="4" t="str">
        <f t="shared" si="1"/>
        <v>by</v>
      </c>
      <c r="N111" s="4" cm="1">
        <f t="array" ref="N111">SUM(--(_xlfn.TEXTSPLIT($J$2,, " ") = L111))</f>
        <v>1</v>
      </c>
    </row>
    <row r="112" spans="5:14" x14ac:dyDescent="0.2">
      <c r="E112" s="4" t="s">
        <v>14</v>
      </c>
      <c r="K112" t="str">
        <v>the</v>
      </c>
      <c r="L112" t="str">
        <v>entrance,</v>
      </c>
      <c r="M112" s="4" t="str">
        <f t="shared" si="1"/>
        <v>the</v>
      </c>
      <c r="N112" s="4" cm="1">
        <f t="array" ref="N112">SUM(--(_xlfn.TEXTSPLIT($J$2,, " ") = L112))</f>
        <v>1</v>
      </c>
    </row>
    <row r="113" spans="5:14" x14ac:dyDescent="0.2">
      <c r="E113" s="4" t="s">
        <v>14</v>
      </c>
      <c r="K113" t="str">
        <v xml:space="preserve">sun
</v>
      </c>
      <c r="L113" t="str">
        <v>there</v>
      </c>
      <c r="M113" s="4" t="str">
        <f t="shared" si="1"/>
        <v xml:space="preserve">sun  </v>
      </c>
      <c r="N113" s="4" cm="1">
        <f t="array" ref="N113">SUM(--(_xlfn.TEXTSPLIT($J$2,, " ") = L113))</f>
        <v>1</v>
      </c>
    </row>
    <row r="114" spans="5:14" x14ac:dyDescent="0.2">
      <c r="E114" s="4" t="s">
        <v>14</v>
      </c>
      <c r="K114" t="str">
        <v>Square</v>
      </c>
      <c r="L114" t="str">
        <v>is</v>
      </c>
      <c r="M114" s="4" t="str">
        <f t="shared" si="1"/>
        <v>Square</v>
      </c>
      <c r="N114" s="4" cm="1">
        <f t="array" ref="N114">SUM(--(_xlfn.TEXTSPLIT($J$2,, " ") = L114))</f>
        <v>6</v>
      </c>
    </row>
    <row r="115" spans="5:14" x14ac:dyDescent="0.2">
      <c r="E115" s="4" t="s">
        <v>14</v>
      </c>
      <c r="K115" t="str">
        <v>up</v>
      </c>
      <c r="L115" t="str">
        <v>not</v>
      </c>
      <c r="M115" s="4" t="str">
        <f t="shared" si="1"/>
        <v>up</v>
      </c>
      <c r="N115" s="4" cm="1">
        <f t="array" ref="N115">SUM(--(_xlfn.TEXTSPLIT($J$2,, " ") = L115))</f>
        <v>1</v>
      </c>
    </row>
    <row r="116" spans="5:14" x14ac:dyDescent="0.2">
      <c r="E116" s="4" t="s">
        <v>14</v>
      </c>
      <c r="K116" t="str">
        <v>with</v>
      </c>
      <c r="L116" t="str">
        <v xml:space="preserve">retreat
</v>
      </c>
      <c r="M116" s="4" t="str">
        <f t="shared" si="1"/>
        <v>with</v>
      </c>
      <c r="N116" s="4" cm="1">
        <f t="array" ref="N116">SUM(--(_xlfn.TEXTSPLIT($J$2,, " ") = L116))</f>
        <v>1</v>
      </c>
    </row>
    <row r="117" spans="5:14" x14ac:dyDescent="0.2">
      <c r="E117" s="4" t="s">
        <v>14</v>
      </c>
      <c r="K117" t="str">
        <v>me,</v>
      </c>
      <c r="L117" t="str">
        <v>I'm</v>
      </c>
      <c r="M117" s="4" t="str">
        <f t="shared" si="1"/>
        <v xml:space="preserve">me </v>
      </c>
      <c r="N117" s="4" cm="1">
        <f t="array" ref="N117">SUM(--(_xlfn.TEXTSPLIT($J$2,, " ") = L117))</f>
        <v>1</v>
      </c>
    </row>
    <row r="118" spans="5:14" x14ac:dyDescent="0.2">
      <c r="E118" s="4" t="s">
        <v>14</v>
      </c>
      <c r="K118" t="str">
        <v>I</v>
      </c>
      <c r="L118" t="str">
        <v>wondering</v>
      </c>
      <c r="M118" s="4" t="str">
        <f t="shared" si="1"/>
        <v>I</v>
      </c>
      <c r="N118" s="4" cm="1">
        <f t="array" ref="N118">SUM(--(_xlfn.TEXTSPLIT($J$2,, " ") = L118))</f>
        <v>1</v>
      </c>
    </row>
    <row r="119" spans="5:14" x14ac:dyDescent="0.2">
      <c r="E119" s="4" t="s">
        <v>14</v>
      </c>
      <c r="K119" t="str">
        <v>can</v>
      </c>
      <c r="L119" t="str">
        <v>what</v>
      </c>
      <c r="M119" s="4" t="str">
        <f t="shared" si="1"/>
        <v>can</v>
      </c>
      <c r="N119" s="4" cm="1">
        <f t="array" ref="N119">SUM(--(_xlfn.TEXTSPLIT($J$2,, " ") = L119))</f>
        <v>1</v>
      </c>
    </row>
    <row r="120" spans="5:14" x14ac:dyDescent="0.2">
      <c r="E120" s="4" t="s">
        <v>14</v>
      </c>
      <c r="K120" t="str">
        <v>come</v>
      </c>
      <c r="L120" t="str">
        <v>thought</v>
      </c>
      <c r="M120" s="4" t="str">
        <f t="shared" si="1"/>
        <v>come</v>
      </c>
      <c r="N120" s="4" cm="1">
        <f t="array" ref="N120">SUM(--(_xlfn.TEXTSPLIT($J$2,, " ") = L120))</f>
        <v>2</v>
      </c>
    </row>
    <row r="121" spans="5:14" x14ac:dyDescent="0.2">
      <c r="E121" s="4" t="s">
        <v>14</v>
      </c>
      <c r="K121" t="str">
        <v>to</v>
      </c>
      <c r="L121" t="str">
        <v>would</v>
      </c>
      <c r="M121" s="4" t="str">
        <f t="shared" si="1"/>
        <v>to</v>
      </c>
      <c r="N121" s="4" cm="1">
        <f t="array" ref="N121">SUM(--(_xlfn.TEXTSPLIT($J$2,, " ") = L121))</f>
        <v>2</v>
      </c>
    </row>
    <row r="122" spans="5:14" x14ac:dyDescent="0.2">
      <c r="E122" s="4" t="s">
        <v>14</v>
      </c>
      <c r="K122" t="str">
        <v>you,</v>
      </c>
      <c r="L122" t="str">
        <v>happen,</v>
      </c>
      <c r="M122" s="4" t="str">
        <f t="shared" si="1"/>
        <v xml:space="preserve">you </v>
      </c>
      <c r="N122" s="4" cm="1">
        <f t="array" ref="N122">SUM(--(_xlfn.TEXTSPLIT($J$2,, " ") = L122))</f>
        <v>1</v>
      </c>
    </row>
    <row r="123" spans="5:14" x14ac:dyDescent="0.2">
      <c r="E123" s="4" t="s">
        <v>14</v>
      </c>
      <c r="K123" t="str">
        <v>tell</v>
      </c>
      <c r="L123" t="str">
        <v>who</v>
      </c>
      <c r="M123" s="4" t="str">
        <f t="shared" si="1"/>
        <v>tell</v>
      </c>
      <c r="N123" s="4" cm="1">
        <f t="array" ref="N123">SUM(--(_xlfn.TEXTSPLIT($J$2,, " ") = L123))</f>
        <v>1</v>
      </c>
    </row>
    <row r="124" spans="5:14" x14ac:dyDescent="0.2">
      <c r="E124" s="4" t="s">
        <v>14</v>
      </c>
      <c r="K124" t="str">
        <v>me</v>
      </c>
      <c r="L124" t="str">
        <v xml:space="preserve">be
</v>
      </c>
      <c r="M124" s="4" t="str">
        <f t="shared" si="1"/>
        <v>me</v>
      </c>
      <c r="N124" s="4" cm="1">
        <f t="array" ref="N124">SUM(--(_xlfn.TEXTSPLIT($J$2,, " ") = L124))</f>
        <v>1</v>
      </c>
    </row>
    <row r="125" spans="5:14" x14ac:dyDescent="0.2">
      <c r="E125" s="4" t="s">
        <v>14</v>
      </c>
      <c r="K125" t="str">
        <v xml:space="preserve">when
</v>
      </c>
      <c r="L125" t="str">
        <v>this</v>
      </c>
      <c r="M125" s="4" t="str">
        <f t="shared" si="1"/>
        <v xml:space="preserve">when </v>
      </c>
      <c r="N125" s="4" cm="1">
        <f t="array" ref="N125">SUM(--(_xlfn.TEXTSPLIT($J$2,, " ") = L125))</f>
        <v>7</v>
      </c>
    </row>
    <row r="126" spans="5:14" x14ac:dyDescent="0.2">
      <c r="E126" s="4" t="s">
        <v>14</v>
      </c>
      <c r="K126" t="str">
        <v>Pair</v>
      </c>
      <c r="L126" t="str">
        <v>sideswipe</v>
      </c>
      <c r="M126" s="4" t="str">
        <f t="shared" si="1"/>
        <v>Pair</v>
      </c>
      <c r="N126" s="4" cm="1">
        <f t="array" ref="N126">SUM(--(_xlfn.TEXTSPLIT($J$2,, " ") = L126))</f>
        <v>1</v>
      </c>
    </row>
    <row r="127" spans="5:14" x14ac:dyDescent="0.2">
      <c r="E127" s="4" t="s">
        <v>14</v>
      </c>
      <c r="K127" t="str">
        <v>up</v>
      </c>
      <c r="L127" t="str">
        <v>or</v>
      </c>
      <c r="M127" s="4" t="str">
        <f t="shared" si="1"/>
        <v>up</v>
      </c>
      <c r="N127" s="4" cm="1">
        <f t="array" ref="N127">SUM(--(_xlfn.TEXTSPLIT($J$2,, " ") = L127))</f>
        <v>1</v>
      </c>
    </row>
    <row r="128" spans="5:14" x14ac:dyDescent="0.2">
      <c r="E128" s="4" t="s">
        <v>14</v>
      </c>
      <c r="K128" t="str">
        <v>with</v>
      </c>
      <c r="L128" t="str">
        <v>did</v>
      </c>
      <c r="M128" s="4" t="str">
        <f t="shared" si="1"/>
        <v>with</v>
      </c>
      <c r="N128" s="4" cm="1">
        <f t="array" ref="N128">SUM(--(_xlfn.TEXTSPLIT($J$2,, " ") = L128))</f>
        <v>1</v>
      </c>
    </row>
    <row r="129" spans="5:14" x14ac:dyDescent="0.2">
      <c r="E129" s="4" t="s">
        <v>14</v>
      </c>
      <c r="K129" t="str">
        <v>me,</v>
      </c>
      <c r="L129" t="str">
        <v>picture</v>
      </c>
      <c r="M129" s="4" t="str">
        <f t="shared" si="1"/>
        <v xml:space="preserve">me </v>
      </c>
      <c r="N129" s="4" cm="1">
        <f t="array" ref="N129">SUM(--(_xlfn.TEXTSPLIT($J$2,, " ") = L129))</f>
        <v>1</v>
      </c>
    </row>
    <row r="130" spans="5:14" x14ac:dyDescent="0.2">
      <c r="E130" s="4" t="s">
        <v>14</v>
      </c>
      <c r="K130" t="str">
        <v>I</v>
      </c>
      <c r="L130" t="str">
        <v xml:space="preserve">dream?
</v>
      </c>
      <c r="M130" s="4" t="str">
        <f t="shared" si="1"/>
        <v>I</v>
      </c>
      <c r="N130" s="4" cm="1">
        <f t="array" ref="N130">SUM(--(_xlfn.TEXTSPLIT($J$2,, " ") = L130))</f>
        <v>1</v>
      </c>
    </row>
    <row r="131" spans="5:14" x14ac:dyDescent="0.2">
      <c r="E131" s="4" t="s">
        <v>14</v>
      </c>
      <c r="K131" t="str">
        <v>can</v>
      </c>
      <c r="L131" t="str">
        <v>Buckle</v>
      </c>
      <c r="M131" s="4" t="str">
        <f t="shared" ref="M131:M194" si="2">_xlfn.REGEXREPLACE(K131, "[^A-Za-z ]", " ")</f>
        <v>can</v>
      </c>
      <c r="N131" s="4" cm="1">
        <f t="array" ref="N131">SUM(--(_xlfn.TEXTSPLIT($J$2,, " ") = L131))</f>
        <v>1</v>
      </c>
    </row>
    <row r="132" spans="5:14" x14ac:dyDescent="0.2">
      <c r="E132" s="4" t="s">
        <v>14</v>
      </c>
      <c r="K132" t="str">
        <v>run</v>
      </c>
      <c r="L132" t="str">
        <v>down,</v>
      </c>
      <c r="M132" s="4" t="str">
        <f t="shared" si="2"/>
        <v>run</v>
      </c>
      <c r="N132" s="4" cm="1">
        <f t="array" ref="N132">SUM(--(_xlfn.TEXTSPLIT($J$2,, " ") = L132))</f>
        <v>1</v>
      </c>
    </row>
    <row r="133" spans="5:14" x14ac:dyDescent="0.2">
      <c r="E133" s="4" t="s">
        <v>14</v>
      </c>
      <c r="K133" t="str">
        <v>on</v>
      </c>
      <c r="L133" t="str">
        <v>possibly</v>
      </c>
      <c r="M133" s="4" t="str">
        <f t="shared" si="2"/>
        <v>on</v>
      </c>
      <c r="N133" s="4" cm="1">
        <f t="array" ref="N133">SUM(--(_xlfn.TEXTSPLIT($J$2,, " ") = L133))</f>
        <v>1</v>
      </c>
    </row>
    <row r="134" spans="5:14" x14ac:dyDescent="0.2">
      <c r="E134" s="4" t="s">
        <v>14</v>
      </c>
      <c r="K134" t="str">
        <v>you,</v>
      </c>
      <c r="L134" t="str">
        <v xml:space="preserve">sun
</v>
      </c>
      <c r="M134" s="4" t="str">
        <f t="shared" si="2"/>
        <v xml:space="preserve">you </v>
      </c>
      <c r="N134" s="4" cm="1">
        <f t="array" ref="N134">SUM(--(_xlfn.TEXTSPLIT($J$2,, " ") = L134))</f>
        <v>1</v>
      </c>
    </row>
    <row r="135" spans="5:14" x14ac:dyDescent="0.2">
      <c r="E135" s="4" t="s">
        <v>14</v>
      </c>
      <c r="K135" t="str">
        <v>in</v>
      </c>
      <c r="L135" t="str">
        <v>smile</v>
      </c>
      <c r="M135" s="4" t="str">
        <f t="shared" si="2"/>
        <v>in</v>
      </c>
      <c r="N135" s="4" cm="1">
        <f t="array" ref="N135">SUM(--(_xlfn.TEXTSPLIT($J$2,, " ") = L135))</f>
        <v>2</v>
      </c>
    </row>
    <row r="136" spans="5:14" x14ac:dyDescent="0.2">
      <c r="E136" s="4" t="s">
        <v>14</v>
      </c>
      <c r="K136" t="str">
        <v>the</v>
      </c>
      <c r="L136" t="str">
        <v>wraps</v>
      </c>
      <c r="M136" s="4" t="str">
        <f t="shared" si="2"/>
        <v>the</v>
      </c>
      <c r="N136" s="4" cm="1">
        <f t="array" ref="N136">SUM(--(_xlfn.TEXTSPLIT($J$2,, " ") = L136))</f>
        <v>2</v>
      </c>
    </row>
    <row r="137" spans="5:14" x14ac:dyDescent="0.2">
      <c r="E137" s="4" t="s">
        <v>14</v>
      </c>
      <c r="K137" t="str">
        <v xml:space="preserve">end
</v>
      </c>
      <c r="L137" t="str">
        <v>head,</v>
      </c>
      <c r="M137" s="4" t="str">
        <f t="shared" si="2"/>
        <v xml:space="preserve">end </v>
      </c>
      <c r="N137" s="4" cm="1">
        <f t="array" ref="N137">SUM(--(_xlfn.TEXTSPLIT($J$2,, " ") = L137))</f>
        <v>2</v>
      </c>
    </row>
    <row r="138" spans="5:14" x14ac:dyDescent="0.2">
      <c r="E138" s="4" t="s">
        <v>14</v>
      </c>
      <c r="K138" t="str">
        <v>I</v>
      </c>
      <c r="L138" t="str">
        <v>splitting</v>
      </c>
      <c r="M138" s="4" t="str">
        <f t="shared" si="2"/>
        <v>I</v>
      </c>
      <c r="N138" s="4" cm="1">
        <f t="array" ref="N138">SUM(--(_xlfn.TEXTSPLIT($J$2,, " ") = L138))</f>
        <v>2</v>
      </c>
    </row>
    <row r="139" spans="5:14" x14ac:dyDescent="0.2">
      <c r="E139" s="4" t="s">
        <v>14</v>
      </c>
      <c r="K139" t="str">
        <v>write</v>
      </c>
      <c r="L139" t="str">
        <v xml:space="preserve">in
</v>
      </c>
      <c r="M139" s="4" t="str">
        <f t="shared" si="2"/>
        <v>write</v>
      </c>
      <c r="N139" s="4" cm="1">
        <f t="array" ref="N139">SUM(--(_xlfn.TEXTSPLIT($J$2,, " ") = L139))</f>
        <v>2</v>
      </c>
    </row>
    <row r="140" spans="5:14" x14ac:dyDescent="0.2">
      <c r="E140" s="4" t="s">
        <v>14</v>
      </c>
      <c r="K140" t="str">
        <v>a</v>
      </c>
      <c r="L140" t="str">
        <v>Two,</v>
      </c>
      <c r="M140" s="4" t="str">
        <f t="shared" si="2"/>
        <v>a</v>
      </c>
      <c r="N140" s="4" cm="1">
        <f t="array" ref="N140">SUM(--(_xlfn.TEXTSPLIT($J$2,, " ") = L140))</f>
        <v>6</v>
      </c>
    </row>
    <row r="141" spans="5:14" x14ac:dyDescent="0.2">
      <c r="E141" s="4" t="s">
        <v>14</v>
      </c>
      <c r="K141" t="str">
        <v>promise</v>
      </c>
      <c r="L141" t="str">
        <v xml:space="preserve">two
</v>
      </c>
      <c r="M141" s="4" t="str">
        <f t="shared" si="2"/>
        <v>promise</v>
      </c>
      <c r="N141" s="4" cm="1">
        <f t="array" ref="N141">SUM(--(_xlfn.TEXTSPLIT($J$2,, " ") = L141))</f>
        <v>2</v>
      </c>
    </row>
    <row r="142" spans="5:14" x14ac:dyDescent="0.2">
      <c r="E142" s="4" t="s">
        <v>14</v>
      </c>
      <c r="K142" t="str">
        <v>in</v>
      </c>
      <c r="L142" t="str">
        <v>don't</v>
      </c>
      <c r="M142" s="4" t="str">
        <f t="shared" si="2"/>
        <v>in</v>
      </c>
      <c r="N142" s="4" cm="1">
        <f t="array" ref="N142">SUM(--(_xlfn.TEXTSPLIT($J$2,, " ") = L142))</f>
        <v>2</v>
      </c>
    </row>
    <row r="143" spans="5:14" x14ac:dyDescent="0.2">
      <c r="E143" s="4" t="s">
        <v>14</v>
      </c>
      <c r="K143" t="str">
        <v>pencil,</v>
      </c>
      <c r="L143" t="str">
        <v>have</v>
      </c>
      <c r="M143" s="4" t="str">
        <f t="shared" si="2"/>
        <v xml:space="preserve">pencil </v>
      </c>
      <c r="N143" s="4" cm="1">
        <f t="array" ref="N143">SUM(--(_xlfn.TEXTSPLIT($J$2,, " ") = L143))</f>
        <v>2</v>
      </c>
    </row>
    <row r="144" spans="5:14" x14ac:dyDescent="0.2">
      <c r="E144" s="4" t="s">
        <v>14</v>
      </c>
      <c r="K144" t="str">
        <v>but</v>
      </c>
      <c r="L144" t="str">
        <v>clue</v>
      </c>
      <c r="M144" s="4" t="str">
        <f t="shared" si="2"/>
        <v>but</v>
      </c>
      <c r="N144" s="4" cm="1">
        <f t="array" ref="N144">SUM(--(_xlfn.TEXTSPLIT($J$2,, " ") = L144))</f>
        <v>2</v>
      </c>
    </row>
    <row r="145" spans="5:14" x14ac:dyDescent="0.2">
      <c r="E145" s="4" t="s">
        <v>14</v>
      </c>
      <c r="K145" t="str">
        <v>my</v>
      </c>
      <c r="L145" t="str">
        <v>how</v>
      </c>
      <c r="M145" s="4" t="str">
        <f t="shared" si="2"/>
        <v>my</v>
      </c>
      <c r="N145" s="4" cm="1">
        <f t="array" ref="N145">SUM(--(_xlfn.TEXTSPLIT($J$2,, " ") = L145))</f>
        <v>2</v>
      </c>
    </row>
    <row r="146" spans="5:14" x14ac:dyDescent="0.2">
      <c r="E146" s="4" t="s">
        <v>14</v>
      </c>
      <c r="K146" t="str">
        <v>loyalty's</v>
      </c>
      <c r="L146" t="str">
        <v>keep</v>
      </c>
      <c r="M146" s="4" t="str">
        <f t="shared" si="2"/>
        <v>loyalty s</v>
      </c>
      <c r="N146" s="4" cm="1">
        <f t="array" ref="N146">SUM(--(_xlfn.TEXTSPLIT($J$2,, " ") = L146))</f>
        <v>2</v>
      </c>
    </row>
    <row r="147" spans="5:14" x14ac:dyDescent="0.2">
      <c r="E147" s="4" t="s">
        <v>14</v>
      </c>
      <c r="K147" t="str">
        <v>in</v>
      </c>
      <c r="L147" t="str">
        <v>top</v>
      </c>
      <c r="M147" s="4" t="str">
        <f t="shared" si="2"/>
        <v>in</v>
      </c>
      <c r="N147" s="4" cm="1">
        <f t="array" ref="N147">SUM(--(_xlfn.TEXTSPLIT($J$2,, " ") = L147))</f>
        <v>2</v>
      </c>
    </row>
    <row r="148" spans="5:14" x14ac:dyDescent="0.2">
      <c r="E148" s="4" t="s">
        <v>14</v>
      </c>
      <c r="K148" t="str">
        <v xml:space="preserve">pen
</v>
      </c>
      <c r="L148" t="str">
        <v xml:space="preserve">half
</v>
      </c>
      <c r="M148" s="4" t="str">
        <f t="shared" si="2"/>
        <v xml:space="preserve">pen </v>
      </c>
      <c r="N148" s="4" cm="1">
        <f t="array" ref="N148">SUM(--(_xlfn.TEXTSPLIT($J$2,, " ") = L148))</f>
        <v>2</v>
      </c>
    </row>
    <row r="149" spans="5:14" x14ac:dyDescent="0.2">
      <c r="E149" s="4" t="s">
        <v>14</v>
      </c>
      <c r="K149" t="str">
        <v>Use</v>
      </c>
      <c r="L149" t="str">
        <v>Glued,</v>
      </c>
      <c r="M149" s="4" t="str">
        <f t="shared" si="2"/>
        <v>Use</v>
      </c>
      <c r="N149" s="4" cm="1">
        <f t="array" ref="N149">SUM(--(_xlfn.TEXTSPLIT($J$2,, " ") = L149))</f>
        <v>6</v>
      </c>
    </row>
    <row r="150" spans="5:14" x14ac:dyDescent="0.2">
      <c r="E150" s="4" t="s">
        <v>14</v>
      </c>
      <c r="K150" t="str">
        <v>a</v>
      </c>
      <c r="L150" t="str">
        <v xml:space="preserve">glued
</v>
      </c>
      <c r="M150" s="4" t="str">
        <f t="shared" si="2"/>
        <v>a</v>
      </c>
      <c r="N150" s="4" cm="1">
        <f t="array" ref="N150">SUM(--(_xlfn.TEXTSPLIT($J$2,, " ") = L150))</f>
        <v>1</v>
      </c>
    </row>
    <row r="151" spans="5:14" x14ac:dyDescent="0.2">
      <c r="E151" s="4" t="s">
        <v>14</v>
      </c>
      <c r="K151" t="str">
        <v>mistake</v>
      </c>
      <c r="L151" t="e">
        <v>#VALUE!</v>
      </c>
      <c r="M151" s="4" t="str">
        <f t="shared" si="2"/>
        <v>mistake</v>
      </c>
      <c r="N151" s="4" t="e" cm="1">
        <f t="array" ref="N151">SUM(--(_xlfn.TEXTSPLIT($J$2,, " ") = L151))</f>
        <v>#VALUE!</v>
      </c>
    </row>
    <row r="152" spans="5:14" x14ac:dyDescent="0.2">
      <c r="E152" s="4" t="s">
        <v>14</v>
      </c>
      <c r="K152" t="str">
        <v>as</v>
      </c>
      <c r="L152" t="str">
        <v xml:space="preserve">glued
</v>
      </c>
      <c r="M152" s="4" t="str">
        <f t="shared" si="2"/>
        <v>as</v>
      </c>
      <c r="N152" s="4" cm="1">
        <f t="array" ref="N152">SUM(--(_xlfn.TEXTSPLIT($J$2,, " ") = L152))</f>
        <v>1</v>
      </c>
    </row>
    <row r="153" spans="5:14" x14ac:dyDescent="0.2">
      <c r="E153" s="4" t="s">
        <v>14</v>
      </c>
      <c r="K153" t="str">
        <v>a</v>
      </c>
      <c r="L153" t="str">
        <v>are
I</v>
      </c>
      <c r="M153" s="4" t="str">
        <f t="shared" si="2"/>
        <v>a</v>
      </c>
      <c r="N153" s="4" cm="1">
        <f t="array" ref="N153">SUM(--(_xlfn.TEXTSPLIT($J$2,, " ") = L153))</f>
        <v>1</v>
      </c>
    </row>
    <row r="154" spans="5:14" x14ac:dyDescent="0.2">
      <c r="E154" s="4" t="s">
        <v>14</v>
      </c>
      <c r="K154" t="str">
        <v>crooked</v>
      </c>
      <c r="L154" t="str">
        <v xml:space="preserve">me
</v>
      </c>
      <c r="M154" s="4" t="str">
        <f t="shared" si="2"/>
        <v>crooked</v>
      </c>
      <c r="N154" s="4" cm="1">
        <f t="array" ref="N154">SUM(--(_xlfn.TEXTSPLIT($J$2,, " ") = L154))</f>
        <v>1</v>
      </c>
    </row>
    <row r="155" spans="5:14" x14ac:dyDescent="0.2">
      <c r="E155" s="4" t="s">
        <v>14</v>
      </c>
      <c r="K155" t="str">
        <v>stencil,</v>
      </c>
      <c r="L155" t="str">
        <v>Entertain</v>
      </c>
      <c r="M155" s="4" t="str">
        <f t="shared" si="2"/>
        <v xml:space="preserve">stencil </v>
      </c>
      <c r="N155" s="4" cm="1">
        <f t="array" ref="N155">SUM(--(_xlfn.TEXTSPLIT($J$2,, " ") = L155))</f>
        <v>10</v>
      </c>
    </row>
    <row r="156" spans="5:14" x14ac:dyDescent="0.2">
      <c r="E156" s="4" t="s">
        <v>14</v>
      </c>
      <c r="K156" t="str">
        <v>then</v>
      </c>
      <c r="L156" t="str">
        <v>my,</v>
      </c>
      <c r="M156" s="4" t="str">
        <f t="shared" si="2"/>
        <v>then</v>
      </c>
      <c r="N156" s="4" cm="1">
        <f t="array" ref="N156">SUM(--(_xlfn.TEXTSPLIT($J$2,, " ") = L156))</f>
        <v>4</v>
      </c>
    </row>
    <row r="157" spans="5:14" x14ac:dyDescent="0.2">
      <c r="E157" s="4" t="s">
        <v>14</v>
      </c>
      <c r="K157" t="str">
        <v>we</v>
      </c>
      <c r="L157" t="str">
        <v xml:space="preserve">my
</v>
      </c>
      <c r="M157" s="4" t="str">
        <f t="shared" si="2"/>
        <v>we</v>
      </c>
      <c r="N157" s="4" cm="1">
        <f t="array" ref="N157">SUM(--(_xlfn.TEXTSPLIT($J$2,, " ") = L157))</f>
        <v>3</v>
      </c>
    </row>
    <row r="158" spans="5:14" x14ac:dyDescent="0.2">
      <c r="E158" s="4" t="s">
        <v>14</v>
      </c>
      <c r="K158" t="str">
        <v>trace</v>
      </c>
      <c r="L158" t="str">
        <v xml:space="preserve">faith
</v>
      </c>
      <c r="M158" s="4" t="str">
        <f t="shared" si="2"/>
        <v>trace</v>
      </c>
      <c r="N158" s="4" cm="1">
        <f t="array" ref="N158">SUM(--(_xlfn.TEXTSPLIT($J$2,, " ") = L158))</f>
        <v>3</v>
      </c>
    </row>
    <row r="159" spans="5:14" x14ac:dyDescent="0.2">
      <c r="E159" s="4" t="s">
        <v>14</v>
      </c>
      <c r="K159" t="str">
        <v>it</v>
      </c>
      <c r="L159" t="str">
        <v>last</v>
      </c>
      <c r="M159" s="4" t="str">
        <f t="shared" si="2"/>
        <v>it</v>
      </c>
      <c r="N159" s="4" cm="1">
        <f t="array" ref="N159">SUM(--(_xlfn.TEXTSPLIT($J$2,, " ") = L159))</f>
        <v>4</v>
      </c>
    </row>
    <row r="160" spans="5:14" x14ac:dyDescent="0.2">
      <c r="E160" s="4" t="s">
        <v>14</v>
      </c>
      <c r="K160" t="str">
        <v>back</v>
      </c>
      <c r="L160" t="str">
        <v>time,</v>
      </c>
      <c r="M160" s="4" t="str">
        <f t="shared" si="2"/>
        <v>back</v>
      </c>
      <c r="N160" s="4" cm="1">
        <f t="array" ref="N160">SUM(--(_xlfn.TEXTSPLIT($J$2,, " ") = L160))</f>
        <v>1</v>
      </c>
    </row>
    <row r="161" spans="5:14" x14ac:dyDescent="0.2">
      <c r="E161" s="4" t="s">
        <v>14</v>
      </c>
      <c r="K161" t="str">
        <v xml:space="preserve">again
</v>
      </c>
      <c r="L161" t="str">
        <v xml:space="preserve">time
</v>
      </c>
      <c r="M161" s="4" t="str">
        <f t="shared" si="2"/>
        <v xml:space="preserve">again </v>
      </c>
      <c r="N161" s="4" cm="1">
        <f t="array" ref="N161">SUM(--(_xlfn.TEXTSPLIT($J$2,, " ") = L161))</f>
        <v>1</v>
      </c>
    </row>
    <row r="162" spans="5:14" x14ac:dyDescent="0.2">
      <c r="E162" s="4" t="s">
        <v>14</v>
      </c>
      <c r="K162" t="str">
        <v>From</v>
      </c>
      <c r="L162" t="str">
        <v>time</v>
      </c>
      <c r="M162" s="4" t="str">
        <f t="shared" si="2"/>
        <v>From</v>
      </c>
      <c r="N162" s="4" cm="1">
        <f t="array" ref="N162">SUM(--(_xlfn.TEXTSPLIT($J$2,, " ") = L162))</f>
        <v>2</v>
      </c>
    </row>
    <row r="163" spans="5:14" x14ac:dyDescent="0.2">
      <c r="E163" s="4" t="s">
        <v>14</v>
      </c>
      <c r="K163" t="str">
        <v>the</v>
      </c>
      <c r="L163" t="str">
        <v>that</v>
      </c>
      <c r="M163" s="4" t="str">
        <f t="shared" si="2"/>
        <v>the</v>
      </c>
      <c r="N163" s="4" cm="1">
        <f t="array" ref="N163">SUM(--(_xlfn.TEXTSPLIT($J$2,, " ") = L163))</f>
        <v>2</v>
      </c>
    </row>
    <row r="164" spans="5:14" x14ac:dyDescent="0.2">
      <c r="E164" s="4" t="s">
        <v>14</v>
      </c>
      <c r="K164" t="str">
        <v>mainland</v>
      </c>
      <c r="L164" t="str">
        <v xml:space="preserve">try
</v>
      </c>
      <c r="M164" s="4" t="str">
        <f t="shared" si="2"/>
        <v>mainland</v>
      </c>
      <c r="N164" s="4" cm="1">
        <f t="array" ref="N164">SUM(--(_xlfn.TEXTSPLIT($J$2,, " ") = L164))</f>
        <v>1</v>
      </c>
    </row>
    <row r="165" spans="5:14" x14ac:dyDescent="0.2">
      <c r="E165" s="4" t="s">
        <v>14</v>
      </c>
      <c r="K165" t="str">
        <v>to</v>
      </c>
      <c r="L165" t="str">
        <v>Address</v>
      </c>
      <c r="M165" s="4" t="str">
        <f t="shared" si="2"/>
        <v>to</v>
      </c>
      <c r="N165" s="4" cm="1">
        <f t="array" ref="N165">SUM(--(_xlfn.TEXTSPLIT($J$2,, " ") = L165))</f>
        <v>3</v>
      </c>
    </row>
    <row r="166" spans="5:14" x14ac:dyDescent="0.2">
      <c r="E166" s="4" t="s">
        <v>14</v>
      </c>
      <c r="K166" t="str">
        <v>the</v>
      </c>
      <c r="L166" t="str">
        <v>soul,</v>
      </c>
      <c r="M166" s="4" t="str">
        <f t="shared" si="2"/>
        <v>the</v>
      </c>
      <c r="N166" s="4" cm="1">
        <f t="array" ref="N166">SUM(--(_xlfn.TEXTSPLIT($J$2,, " ") = L166))</f>
        <v>2</v>
      </c>
    </row>
    <row r="167" spans="5:14" x14ac:dyDescent="0.2">
      <c r="E167" s="4" t="s">
        <v>14</v>
      </c>
      <c r="K167" t="str">
        <v>island</v>
      </c>
      <c r="L167" t="str">
        <v xml:space="preserve">soul
</v>
      </c>
      <c r="M167" s="4" t="str">
        <f t="shared" si="2"/>
        <v>island</v>
      </c>
      <c r="N167" s="4" cm="1">
        <f t="array" ref="N167">SUM(--(_xlfn.TEXTSPLIT($J$2,, " ") = L167))</f>
        <v>1</v>
      </c>
    </row>
    <row r="168" spans="5:14" x14ac:dyDescent="0.2">
      <c r="E168" s="4" t="s">
        <v>14</v>
      </c>
      <c r="K168" t="str">
        <v>of</v>
      </c>
      <c r="L168" t="str">
        <v>try</v>
      </c>
      <c r="M168" s="4" t="str">
        <f t="shared" si="2"/>
        <v>of</v>
      </c>
      <c r="N168" s="4" cm="1">
        <f t="array" ref="N168">SUM(--(_xlfn.TEXTSPLIT($J$2,, " ") = L168))</f>
        <v>1</v>
      </c>
    </row>
    <row r="169" spans="5:14" x14ac:dyDescent="0.2">
      <c r="E169" s="4" t="s">
        <v>14</v>
      </c>
      <c r="K169" t="str">
        <v xml:space="preserve">violence
</v>
      </c>
      <c r="M169" s="4" t="str">
        <f t="shared" si="2"/>
        <v xml:space="preserve">violence </v>
      </c>
      <c r="N169" s="4" cm="1">
        <f t="array" ref="N169">SUM(--(_xlfn.TEXTSPLIT($J$2,, " ") = L169))</f>
        <v>4</v>
      </c>
    </row>
    <row r="170" spans="5:14" x14ac:dyDescent="0.2">
      <c r="E170" s="4" t="s">
        <v>14</v>
      </c>
      <c r="K170" t="str">
        <v>It</v>
      </c>
      <c r="M170" s="4" t="str">
        <f t="shared" si="2"/>
        <v>It</v>
      </c>
      <c r="N170" s="4" cm="1">
        <f t="array" ref="N170">SUM(--(_xlfn.TEXTSPLIT($J$2,, " ") = L170))</f>
        <v>4</v>
      </c>
    </row>
    <row r="171" spans="5:14" x14ac:dyDescent="0.2">
      <c r="E171" s="4" t="s">
        <v>14</v>
      </c>
      <c r="K171" t="str">
        <v>was</v>
      </c>
      <c r="M171" s="4" t="str">
        <f t="shared" si="2"/>
        <v>was</v>
      </c>
      <c r="N171" s="4" cm="1">
        <f t="array" ref="N171">SUM(--(_xlfn.TEXTSPLIT($J$2,, " ") = L171))</f>
        <v>4</v>
      </c>
    </row>
    <row r="172" spans="5:14" x14ac:dyDescent="0.2">
      <c r="E172" s="4" t="s">
        <v>14</v>
      </c>
      <c r="K172" t="str">
        <v>the</v>
      </c>
      <c r="M172" s="4" t="str">
        <f t="shared" si="2"/>
        <v>the</v>
      </c>
      <c r="N172" s="4" cm="1">
        <f t="array" ref="N172">SUM(--(_xlfn.TEXTSPLIT($J$2,, " ") = L172))</f>
        <v>4</v>
      </c>
    </row>
    <row r="173" spans="5:14" x14ac:dyDescent="0.2">
      <c r="E173" s="4" t="s">
        <v>14</v>
      </c>
      <c r="K173" t="str">
        <v>same</v>
      </c>
      <c r="M173" s="4" t="str">
        <f t="shared" si="2"/>
        <v>same</v>
      </c>
      <c r="N173" s="4" cm="1">
        <f t="array" ref="N173">SUM(--(_xlfn.TEXTSPLIT($J$2,, " ") = L173))</f>
        <v>4</v>
      </c>
    </row>
    <row r="174" spans="5:14" x14ac:dyDescent="0.2">
      <c r="E174" s="4" t="s">
        <v>14</v>
      </c>
      <c r="K174" t="str">
        <v>plan</v>
      </c>
      <c r="M174" s="4" t="str">
        <f t="shared" si="2"/>
        <v>plan</v>
      </c>
      <c r="N174" s="4" cm="1">
        <f t="array" ref="N174">SUM(--(_xlfn.TEXTSPLIT($J$2,, " ") = L174))</f>
        <v>4</v>
      </c>
    </row>
    <row r="175" spans="5:14" x14ac:dyDescent="0.2">
      <c r="E175" s="4" t="s">
        <v>14</v>
      </c>
      <c r="K175" t="str">
        <v>for</v>
      </c>
      <c r="M175" s="4" t="str">
        <f t="shared" si="2"/>
        <v>for</v>
      </c>
      <c r="N175" s="4" cm="1">
        <f t="array" ref="N175">SUM(--(_xlfn.TEXTSPLIT($J$2,, " ") = L175))</f>
        <v>4</v>
      </c>
    </row>
    <row r="176" spans="5:14" x14ac:dyDescent="0.2">
      <c r="E176" s="4" t="s">
        <v>14</v>
      </c>
      <c r="K176" t="str">
        <v>a</v>
      </c>
      <c r="M176" s="4" t="str">
        <f t="shared" si="2"/>
        <v>a</v>
      </c>
      <c r="N176" s="4" cm="1">
        <f t="array" ref="N176">SUM(--(_xlfn.TEXTSPLIT($J$2,, " ") = L176))</f>
        <v>4</v>
      </c>
    </row>
    <row r="177" spans="5:14" x14ac:dyDescent="0.2">
      <c r="E177" s="4" t="s">
        <v>14</v>
      </c>
      <c r="K177" t="str">
        <v>while,</v>
      </c>
      <c r="M177" s="4" t="str">
        <f t="shared" si="2"/>
        <v xml:space="preserve">while </v>
      </c>
      <c r="N177" s="4" cm="1">
        <f t="array" ref="N177">SUM(--(_xlfn.TEXTSPLIT($J$2,, " ") = L177))</f>
        <v>4</v>
      </c>
    </row>
    <row r="178" spans="5:14" x14ac:dyDescent="0.2">
      <c r="E178" s="4" t="s">
        <v>14</v>
      </c>
      <c r="K178" t="str">
        <v xml:space="preserve">decided
</v>
      </c>
      <c r="M178" s="4" t="str">
        <f t="shared" si="2"/>
        <v xml:space="preserve">decided </v>
      </c>
      <c r="N178" s="4" cm="1">
        <f t="array" ref="N178">SUM(--(_xlfn.TEXTSPLIT($J$2,, " ") = L178))</f>
        <v>4</v>
      </c>
    </row>
    <row r="179" spans="5:14" x14ac:dyDescent="0.2">
      <c r="E179" s="4" t="s">
        <v>14</v>
      </c>
      <c r="K179" t="str">
        <v>To</v>
      </c>
      <c r="M179" s="4" t="str">
        <f t="shared" si="2"/>
        <v>To</v>
      </c>
      <c r="N179" s="4" cm="1">
        <f t="array" ref="N179">SUM(--(_xlfn.TEXTSPLIT($J$2,, " ") = L179))</f>
        <v>4</v>
      </c>
    </row>
    <row r="180" spans="5:14" x14ac:dyDescent="0.2">
      <c r="E180" s="4" t="s">
        <v>14</v>
      </c>
      <c r="K180" t="str">
        <v>send</v>
      </c>
      <c r="M180" s="4" t="str">
        <f t="shared" si="2"/>
        <v>send</v>
      </c>
      <c r="N180" s="4" cm="1">
        <f t="array" ref="N180">SUM(--(_xlfn.TEXTSPLIT($J$2,, " ") = L180))</f>
        <v>4</v>
      </c>
    </row>
    <row r="181" spans="5:14" x14ac:dyDescent="0.2">
      <c r="E181" s="4" t="s">
        <v>14</v>
      </c>
      <c r="K181" t="str">
        <v>me</v>
      </c>
      <c r="M181" s="4" t="str">
        <f t="shared" si="2"/>
        <v>me</v>
      </c>
      <c r="N181" s="4" cm="1">
        <f t="array" ref="N181">SUM(--(_xlfn.TEXTSPLIT($J$2,, " ") = L181))</f>
        <v>4</v>
      </c>
    </row>
    <row r="182" spans="5:14" x14ac:dyDescent="0.2">
      <c r="E182" s="4" t="s">
        <v>14</v>
      </c>
      <c r="K182" t="str">
        <v>up</v>
      </c>
      <c r="M182" s="4" t="str">
        <f t="shared" si="2"/>
        <v>up</v>
      </c>
      <c r="N182" s="4" cm="1">
        <f t="array" ref="N182">SUM(--(_xlfn.TEXTSPLIT($J$2,, " ") = L182))</f>
        <v>4</v>
      </c>
    </row>
    <row r="183" spans="5:14" x14ac:dyDescent="0.2">
      <c r="E183" s="4" t="s">
        <v>14</v>
      </c>
      <c r="K183" t="str">
        <v>and</v>
      </c>
      <c r="M183" s="4" t="str">
        <f t="shared" si="2"/>
        <v>and</v>
      </c>
      <c r="N183" s="4" cm="1">
        <f t="array" ref="N183">SUM(--(_xlfn.TEXTSPLIT($J$2,, " ") = L183))</f>
        <v>4</v>
      </c>
    </row>
    <row r="184" spans="5:14" x14ac:dyDescent="0.2">
      <c r="E184" s="4" t="s">
        <v>14</v>
      </c>
      <c r="K184" t="str">
        <v>rip</v>
      </c>
      <c r="M184" s="4" t="str">
        <f t="shared" si="2"/>
        <v>rip</v>
      </c>
      <c r="N184" s="4" cm="1">
        <f t="array" ref="N184">SUM(--(_xlfn.TEXTSPLIT($J$2,, " ") = L184))</f>
        <v>4</v>
      </c>
    </row>
    <row r="185" spans="5:14" x14ac:dyDescent="0.2">
      <c r="E185" s="4" t="s">
        <v>14</v>
      </c>
      <c r="K185" t="str">
        <v>you</v>
      </c>
      <c r="M185" s="4" t="str">
        <f t="shared" si="2"/>
        <v>you</v>
      </c>
      <c r="N185" s="4" cm="1">
        <f t="array" ref="N185">SUM(--(_xlfn.TEXTSPLIT($J$2,, " ") = L185))</f>
        <v>4</v>
      </c>
    </row>
    <row r="186" spans="5:14" x14ac:dyDescent="0.2">
      <c r="E186" s="4" t="s">
        <v>14</v>
      </c>
      <c r="K186" t="str">
        <v>outta</v>
      </c>
      <c r="M186" s="4" t="str">
        <f t="shared" si="2"/>
        <v>outta</v>
      </c>
      <c r="N186" s="4" cm="1">
        <f t="array" ref="N186">SUM(--(_xlfn.TEXTSPLIT($J$2,, " ") = L186))</f>
        <v>4</v>
      </c>
    </row>
    <row r="187" spans="5:14" x14ac:dyDescent="0.2">
      <c r="E187" s="4" t="s">
        <v>14</v>
      </c>
      <c r="K187" t="str">
        <v>your</v>
      </c>
      <c r="M187" s="4" t="str">
        <f t="shared" si="2"/>
        <v>your</v>
      </c>
      <c r="N187" s="4" cm="1">
        <f t="array" ref="N187">SUM(--(_xlfn.TEXTSPLIT($J$2,, " ") = L187))</f>
        <v>4</v>
      </c>
    </row>
    <row r="188" spans="5:14" x14ac:dyDescent="0.2">
      <c r="E188" s="4" t="s">
        <v>14</v>
      </c>
      <c r="K188" t="str">
        <v xml:space="preserve">seat
</v>
      </c>
      <c r="M188" s="4" t="str">
        <f t="shared" si="2"/>
        <v xml:space="preserve">seat </v>
      </c>
      <c r="N188" s="4" cm="1">
        <f t="array" ref="N188">SUM(--(_xlfn.TEXTSPLIT($J$2,, " ") = L188))</f>
        <v>4</v>
      </c>
    </row>
    <row r="189" spans="5:14" x14ac:dyDescent="0.2">
      <c r="E189" s="4" t="s">
        <v>14</v>
      </c>
      <c r="K189" t="str">
        <v>You</v>
      </c>
      <c r="M189" s="4" t="str">
        <f t="shared" si="2"/>
        <v>You</v>
      </c>
      <c r="N189" s="4" cm="1">
        <f t="array" ref="N189">SUM(--(_xlfn.TEXTSPLIT($J$2,, " ") = L189))</f>
        <v>4</v>
      </c>
    </row>
    <row r="190" spans="5:14" x14ac:dyDescent="0.2">
      <c r="E190" s="4" t="s">
        <v>14</v>
      </c>
      <c r="K190" t="str">
        <v>see,</v>
      </c>
      <c r="M190" s="4" t="str">
        <f t="shared" si="2"/>
        <v xml:space="preserve">see </v>
      </c>
      <c r="N190" s="4" cm="1">
        <f t="array" ref="N190">SUM(--(_xlfn.TEXTSPLIT($J$2,, " ") = L190))</f>
        <v>4</v>
      </c>
    </row>
    <row r="191" spans="5:14" x14ac:dyDescent="0.2">
      <c r="E191" s="4" t="s">
        <v>14</v>
      </c>
      <c r="K191" t="str">
        <v>in</v>
      </c>
      <c r="M191" s="4" t="str">
        <f t="shared" si="2"/>
        <v>in</v>
      </c>
      <c r="N191" s="4" cm="1">
        <f t="array" ref="N191">SUM(--(_xlfn.TEXTSPLIT($J$2,, " ") = L191))</f>
        <v>4</v>
      </c>
    </row>
    <row r="192" spans="5:14" x14ac:dyDescent="0.2">
      <c r="E192" s="4" t="s">
        <v>14</v>
      </c>
      <c r="K192" t="str">
        <v>a</v>
      </c>
      <c r="M192" s="4" t="str">
        <f t="shared" si="2"/>
        <v>a</v>
      </c>
      <c r="N192" s="4" cm="1">
        <f t="array" ref="N192">SUM(--(_xlfn.TEXTSPLIT($J$2,, " ") = L192))</f>
        <v>4</v>
      </c>
    </row>
    <row r="193" spans="5:14" x14ac:dyDescent="0.2">
      <c r="E193" s="4" t="s">
        <v>14</v>
      </c>
      <c r="K193" t="str">
        <v>city</v>
      </c>
      <c r="M193" s="4" t="str">
        <f t="shared" si="2"/>
        <v>city</v>
      </c>
      <c r="N193" s="4" cm="1">
        <f t="array" ref="N193">SUM(--(_xlfn.TEXTSPLIT($J$2,, " ") = L193))</f>
        <v>4</v>
      </c>
    </row>
    <row r="194" spans="5:14" x14ac:dyDescent="0.2">
      <c r="E194" s="4" t="s">
        <v>14</v>
      </c>
      <c r="K194" t="str">
        <v>with</v>
      </c>
      <c r="M194" s="4" t="str">
        <f t="shared" si="2"/>
        <v>with</v>
      </c>
      <c r="N194" s="4" cm="1">
        <f t="array" ref="N194">SUM(--(_xlfn.TEXTSPLIT($J$2,, " ") = L194))</f>
        <v>4</v>
      </c>
    </row>
    <row r="195" spans="5:14" x14ac:dyDescent="0.2">
      <c r="E195" s="4" t="s">
        <v>14</v>
      </c>
      <c r="K195" t="str">
        <v>no</v>
      </c>
      <c r="M195" s="4" t="str">
        <f t="shared" ref="M195:M258" si="3">_xlfn.REGEXREPLACE(K195, "[^A-Za-z ]", " ")</f>
        <v>no</v>
      </c>
      <c r="N195" s="4" cm="1">
        <f t="array" ref="N195">SUM(--(_xlfn.TEXTSPLIT($J$2,, " ") = L195))</f>
        <v>4</v>
      </c>
    </row>
    <row r="196" spans="5:14" x14ac:dyDescent="0.2">
      <c r="E196" s="4" t="s">
        <v>14</v>
      </c>
      <c r="K196" t="str">
        <v>entrance,</v>
      </c>
      <c r="M196" s="4" t="str">
        <f t="shared" si="3"/>
        <v xml:space="preserve">entrance </v>
      </c>
      <c r="N196" s="4" cm="1">
        <f t="array" ref="N196">SUM(--(_xlfn.TEXTSPLIT($J$2,, " ") = L196))</f>
        <v>4</v>
      </c>
    </row>
    <row r="197" spans="5:14" x14ac:dyDescent="0.2">
      <c r="E197" s="4" t="s">
        <v>14</v>
      </c>
      <c r="K197" t="str">
        <v>there</v>
      </c>
      <c r="M197" s="4" t="str">
        <f t="shared" si="3"/>
        <v>there</v>
      </c>
      <c r="N197" s="4" cm="1">
        <f t="array" ref="N197">SUM(--(_xlfn.TEXTSPLIT($J$2,, " ") = L197))</f>
        <v>4</v>
      </c>
    </row>
    <row r="198" spans="5:14" x14ac:dyDescent="0.2">
      <c r="E198" s="4" t="s">
        <v>14</v>
      </c>
      <c r="K198" t="str">
        <v>is</v>
      </c>
      <c r="M198" s="4" t="str">
        <f t="shared" si="3"/>
        <v>is</v>
      </c>
      <c r="N198" s="4" cm="1">
        <f t="array" ref="N198">SUM(--(_xlfn.TEXTSPLIT($J$2,, " ") = L198))</f>
        <v>4</v>
      </c>
    </row>
    <row r="199" spans="5:14" x14ac:dyDescent="0.2">
      <c r="E199" s="4" t="s">
        <v>14</v>
      </c>
      <c r="K199" t="str">
        <v>not</v>
      </c>
      <c r="M199" s="4" t="str">
        <f t="shared" si="3"/>
        <v>not</v>
      </c>
      <c r="N199" s="4" cm="1">
        <f t="array" ref="N199">SUM(--(_xlfn.TEXTSPLIT($J$2,, " ") = L199))</f>
        <v>4</v>
      </c>
    </row>
    <row r="200" spans="5:14" x14ac:dyDescent="0.2">
      <c r="E200" s="4" t="s">
        <v>14</v>
      </c>
      <c r="K200" t="str">
        <v>a</v>
      </c>
      <c r="M200" s="4" t="str">
        <f t="shared" si="3"/>
        <v>a</v>
      </c>
      <c r="N200" s="4" cm="1">
        <f t="array" ref="N200">SUM(--(_xlfn.TEXTSPLIT($J$2,, " ") = L200))</f>
        <v>4</v>
      </c>
    </row>
    <row r="201" spans="5:14" x14ac:dyDescent="0.2">
      <c r="E201" s="4" t="s">
        <v>14</v>
      </c>
      <c r="K201" t="str">
        <v xml:space="preserve">retreat
</v>
      </c>
      <c r="M201" s="4" t="str">
        <f t="shared" si="3"/>
        <v xml:space="preserve">retreat </v>
      </c>
      <c r="N201" s="4" cm="1">
        <f t="array" ref="N201">SUM(--(_xlfn.TEXTSPLIT($J$2,, " ") = L201))</f>
        <v>4</v>
      </c>
    </row>
    <row r="202" spans="5:14" x14ac:dyDescent="0.2">
      <c r="E202" s="4" t="s">
        <v>14</v>
      </c>
      <c r="K202" t="str">
        <v>I'm</v>
      </c>
      <c r="M202" s="4" t="str">
        <f t="shared" si="3"/>
        <v>I m</v>
      </c>
      <c r="N202" s="4" cm="1">
        <f t="array" ref="N202">SUM(--(_xlfn.TEXTSPLIT($J$2,, " ") = L202))</f>
        <v>4</v>
      </c>
    </row>
    <row r="203" spans="5:14" x14ac:dyDescent="0.2">
      <c r="E203" s="4" t="s">
        <v>14</v>
      </c>
      <c r="K203" t="str">
        <v>wondering</v>
      </c>
      <c r="M203" s="4" t="str">
        <f t="shared" si="3"/>
        <v>wondering</v>
      </c>
      <c r="N203" s="4" cm="1">
        <f t="array" ref="N203">SUM(--(_xlfn.TEXTSPLIT($J$2,, " ") = L203))</f>
        <v>4</v>
      </c>
    </row>
    <row r="204" spans="5:14" x14ac:dyDescent="0.2">
      <c r="E204" s="4" t="s">
        <v>14</v>
      </c>
      <c r="K204" t="str">
        <v>what</v>
      </c>
      <c r="M204" s="4" t="str">
        <f t="shared" si="3"/>
        <v>what</v>
      </c>
      <c r="N204" s="4" cm="1">
        <f t="array" ref="N204">SUM(--(_xlfn.TEXTSPLIT($J$2,, " ") = L204))</f>
        <v>4</v>
      </c>
    </row>
    <row r="205" spans="5:14" x14ac:dyDescent="0.2">
      <c r="E205" s="4" t="s">
        <v>14</v>
      </c>
      <c r="K205" t="str">
        <v>you</v>
      </c>
      <c r="M205" s="4" t="str">
        <f t="shared" si="3"/>
        <v>you</v>
      </c>
      <c r="N205" s="4" cm="1">
        <f t="array" ref="N205">SUM(--(_xlfn.TEXTSPLIT($J$2,, " ") = L205))</f>
        <v>4</v>
      </c>
    </row>
    <row r="206" spans="5:14" x14ac:dyDescent="0.2">
      <c r="E206" s="4" t="s">
        <v>14</v>
      </c>
      <c r="K206" t="str">
        <v>thought</v>
      </c>
      <c r="M206" s="4" t="str">
        <f t="shared" si="3"/>
        <v>thought</v>
      </c>
      <c r="N206" s="4" cm="1">
        <f t="array" ref="N206">SUM(--(_xlfn.TEXTSPLIT($J$2,, " ") = L206))</f>
        <v>4</v>
      </c>
    </row>
    <row r="207" spans="5:14" x14ac:dyDescent="0.2">
      <c r="E207" s="4" t="s">
        <v>14</v>
      </c>
      <c r="K207" t="str">
        <v>would</v>
      </c>
      <c r="M207" s="4" t="str">
        <f t="shared" si="3"/>
        <v>would</v>
      </c>
      <c r="N207" s="4" cm="1">
        <f t="array" ref="N207">SUM(--(_xlfn.TEXTSPLIT($J$2,, " ") = L207))</f>
        <v>4</v>
      </c>
    </row>
    <row r="208" spans="5:14" x14ac:dyDescent="0.2">
      <c r="E208" s="4" t="s">
        <v>14</v>
      </c>
      <c r="K208" t="str">
        <v>happen,</v>
      </c>
      <c r="M208" s="4" t="str">
        <f t="shared" si="3"/>
        <v xml:space="preserve">happen </v>
      </c>
      <c r="N208" s="4" cm="1">
        <f t="array" ref="N208">SUM(--(_xlfn.TEXTSPLIT($J$2,, " ") = L208))</f>
        <v>4</v>
      </c>
    </row>
    <row r="209" spans="5:14" x14ac:dyDescent="0.2">
      <c r="E209" s="4" t="s">
        <v>14</v>
      </c>
      <c r="K209" t="str">
        <v>who</v>
      </c>
      <c r="M209" s="4" t="str">
        <f t="shared" si="3"/>
        <v>who</v>
      </c>
      <c r="N209" s="4" cm="1">
        <f t="array" ref="N209">SUM(--(_xlfn.TEXTSPLIT($J$2,, " ") = L209))</f>
        <v>4</v>
      </c>
    </row>
    <row r="210" spans="5:14" x14ac:dyDescent="0.2">
      <c r="E210" s="4" t="s">
        <v>14</v>
      </c>
      <c r="K210" t="str">
        <v>you</v>
      </c>
      <c r="M210" s="4" t="str">
        <f t="shared" si="3"/>
        <v>you</v>
      </c>
      <c r="N210" s="4" cm="1">
        <f t="array" ref="N210">SUM(--(_xlfn.TEXTSPLIT($J$2,, " ") = L210))</f>
        <v>4</v>
      </c>
    </row>
    <row r="211" spans="5:14" x14ac:dyDescent="0.2">
      <c r="E211" s="4" t="s">
        <v>14</v>
      </c>
      <c r="K211" t="str">
        <v>thought</v>
      </c>
      <c r="M211" s="4" t="str">
        <f t="shared" si="3"/>
        <v>thought</v>
      </c>
      <c r="N211" s="4" cm="1">
        <f t="array" ref="N211">SUM(--(_xlfn.TEXTSPLIT($J$2,, " ") = L211))</f>
        <v>4</v>
      </c>
    </row>
    <row r="212" spans="5:14" x14ac:dyDescent="0.2">
      <c r="E212" s="4" t="s">
        <v>14</v>
      </c>
      <c r="K212" t="str">
        <v>I</v>
      </c>
      <c r="M212" s="4" t="str">
        <f t="shared" si="3"/>
        <v>I</v>
      </c>
      <c r="N212" s="4" cm="1">
        <f t="array" ref="N212">SUM(--(_xlfn.TEXTSPLIT($J$2,, " ") = L212))</f>
        <v>4</v>
      </c>
    </row>
    <row r="213" spans="5:14" x14ac:dyDescent="0.2">
      <c r="E213" s="4" t="s">
        <v>14</v>
      </c>
      <c r="K213" t="str">
        <v>would</v>
      </c>
      <c r="M213" s="4" t="str">
        <f t="shared" si="3"/>
        <v>would</v>
      </c>
      <c r="N213" s="4" cm="1">
        <f t="array" ref="N213">SUM(--(_xlfn.TEXTSPLIT($J$2,, " ") = L213))</f>
        <v>4</v>
      </c>
    </row>
    <row r="214" spans="5:14" x14ac:dyDescent="0.2">
      <c r="E214" s="4" t="s">
        <v>14</v>
      </c>
      <c r="K214" t="str">
        <v xml:space="preserve">be
</v>
      </c>
      <c r="M214" s="4" t="str">
        <f t="shared" si="3"/>
        <v xml:space="preserve">be </v>
      </c>
      <c r="N214" s="4" cm="1">
        <f t="array" ref="N214">SUM(--(_xlfn.TEXTSPLIT($J$2,, " ") = L214))</f>
        <v>4</v>
      </c>
    </row>
    <row r="215" spans="5:14" x14ac:dyDescent="0.2">
      <c r="E215" s="4" t="s">
        <v>14</v>
      </c>
      <c r="K215" t="str">
        <v>Was</v>
      </c>
      <c r="M215" s="4" t="str">
        <f t="shared" si="3"/>
        <v>Was</v>
      </c>
      <c r="N215" s="4" cm="1">
        <f t="array" ref="N215">SUM(--(_xlfn.TEXTSPLIT($J$2,, " ") = L215))</f>
        <v>4</v>
      </c>
    </row>
    <row r="216" spans="5:14" x14ac:dyDescent="0.2">
      <c r="E216" s="4" t="s">
        <v>14</v>
      </c>
      <c r="K216" t="str">
        <v>this</v>
      </c>
      <c r="M216" s="4" t="str">
        <f t="shared" si="3"/>
        <v>this</v>
      </c>
      <c r="N216" s="4" cm="1">
        <f t="array" ref="N216">SUM(--(_xlfn.TEXTSPLIT($J$2,, " ") = L216))</f>
        <v>4</v>
      </c>
    </row>
    <row r="217" spans="5:14" x14ac:dyDescent="0.2">
      <c r="E217" s="4" t="s">
        <v>14</v>
      </c>
      <c r="K217" t="str">
        <v>a</v>
      </c>
      <c r="M217" s="4" t="str">
        <f t="shared" si="3"/>
        <v>a</v>
      </c>
      <c r="N217" s="4" cm="1">
        <f t="array" ref="N217">SUM(--(_xlfn.TEXTSPLIT($J$2,, " ") = L217))</f>
        <v>4</v>
      </c>
    </row>
    <row r="218" spans="5:14" x14ac:dyDescent="0.2">
      <c r="E218" s="4" t="s">
        <v>14</v>
      </c>
      <c r="K218" t="str">
        <v>sideswipe</v>
      </c>
      <c r="M218" s="4" t="str">
        <f t="shared" si="3"/>
        <v>sideswipe</v>
      </c>
      <c r="N218" s="4" cm="1">
        <f t="array" ref="N218">SUM(--(_xlfn.TEXTSPLIT($J$2,, " ") = L218))</f>
        <v>4</v>
      </c>
    </row>
    <row r="219" spans="5:14" x14ac:dyDescent="0.2">
      <c r="E219" s="4" t="s">
        <v>14</v>
      </c>
      <c r="K219" t="str">
        <v>or</v>
      </c>
      <c r="M219" s="4" t="str">
        <f t="shared" si="3"/>
        <v>or</v>
      </c>
      <c r="N219" s="4" cm="1">
        <f t="array" ref="N219">SUM(--(_xlfn.TEXTSPLIT($J$2,, " ") = L219))</f>
        <v>4</v>
      </c>
    </row>
    <row r="220" spans="5:14" x14ac:dyDescent="0.2">
      <c r="E220" s="4" t="s">
        <v>14</v>
      </c>
      <c r="K220" t="str">
        <v>did</v>
      </c>
      <c r="M220" s="4" t="str">
        <f t="shared" si="3"/>
        <v>did</v>
      </c>
      <c r="N220" s="4" cm="1">
        <f t="array" ref="N220">SUM(--(_xlfn.TEXTSPLIT($J$2,, " ") = L220))</f>
        <v>4</v>
      </c>
    </row>
    <row r="221" spans="5:14" x14ac:dyDescent="0.2">
      <c r="E221" s="4" t="s">
        <v>14</v>
      </c>
      <c r="K221" t="str">
        <v>you</v>
      </c>
      <c r="M221" s="4" t="str">
        <f t="shared" si="3"/>
        <v>you</v>
      </c>
      <c r="N221" s="4" cm="1">
        <f t="array" ref="N221">SUM(--(_xlfn.TEXTSPLIT($J$2,, " ") = L221))</f>
        <v>4</v>
      </c>
    </row>
    <row r="222" spans="5:14" x14ac:dyDescent="0.2">
      <c r="E222" s="4" t="s">
        <v>14</v>
      </c>
      <c r="K222" t="str">
        <v>picture</v>
      </c>
      <c r="M222" s="4" t="str">
        <f t="shared" si="3"/>
        <v>picture</v>
      </c>
      <c r="N222" s="4" cm="1">
        <f t="array" ref="N222">SUM(--(_xlfn.TEXTSPLIT($J$2,, " ") = L222))</f>
        <v>4</v>
      </c>
    </row>
    <row r="223" spans="5:14" x14ac:dyDescent="0.2">
      <c r="E223" s="4" t="s">
        <v>14</v>
      </c>
      <c r="K223" t="str">
        <v>this</v>
      </c>
      <c r="M223" s="4" t="str">
        <f t="shared" si="3"/>
        <v>this</v>
      </c>
      <c r="N223" s="4" cm="1">
        <f t="array" ref="N223">SUM(--(_xlfn.TEXTSPLIT($J$2,, " ") = L223))</f>
        <v>4</v>
      </c>
    </row>
    <row r="224" spans="5:14" x14ac:dyDescent="0.2">
      <c r="E224" s="4" t="s">
        <v>14</v>
      </c>
      <c r="K224" t="str">
        <v>in</v>
      </c>
      <c r="M224" s="4" t="str">
        <f t="shared" si="3"/>
        <v>in</v>
      </c>
      <c r="N224" s="4" cm="1">
        <f t="array" ref="N224">SUM(--(_xlfn.TEXTSPLIT($J$2,, " ") = L224))</f>
        <v>4</v>
      </c>
    </row>
    <row r="225" spans="5:14" x14ac:dyDescent="0.2">
      <c r="E225" s="4" t="s">
        <v>14</v>
      </c>
      <c r="K225" t="str">
        <v>a</v>
      </c>
      <c r="M225" s="4" t="str">
        <f t="shared" si="3"/>
        <v>a</v>
      </c>
      <c r="N225" s="4" cm="1">
        <f t="array" ref="N225">SUM(--(_xlfn.TEXTSPLIT($J$2,, " ") = L225))</f>
        <v>4</v>
      </c>
    </row>
    <row r="226" spans="5:14" x14ac:dyDescent="0.2">
      <c r="E226" s="4" t="s">
        <v>14</v>
      </c>
      <c r="K226" t="str">
        <v xml:space="preserve">dream?
</v>
      </c>
      <c r="M226" s="4" t="str">
        <f t="shared" si="3"/>
        <v xml:space="preserve">dream  </v>
      </c>
      <c r="N226" s="4" cm="1">
        <f t="array" ref="N226">SUM(--(_xlfn.TEXTSPLIT($J$2,, " ") = L226))</f>
        <v>4</v>
      </c>
    </row>
    <row r="227" spans="5:14" x14ac:dyDescent="0.2">
      <c r="E227" s="4" t="s">
        <v>14</v>
      </c>
      <c r="K227" t="str">
        <v>Buckle</v>
      </c>
      <c r="M227" s="4" t="str">
        <f t="shared" si="3"/>
        <v>Buckle</v>
      </c>
      <c r="N227" s="4" cm="1">
        <f t="array" ref="N227">SUM(--(_xlfn.TEXTSPLIT($J$2,, " ") = L227))</f>
        <v>4</v>
      </c>
    </row>
    <row r="228" spans="5:14" x14ac:dyDescent="0.2">
      <c r="E228" s="4" t="s">
        <v>14</v>
      </c>
      <c r="K228" t="str">
        <v>down,</v>
      </c>
      <c r="M228" s="4" t="str">
        <f t="shared" si="3"/>
        <v xml:space="preserve">down </v>
      </c>
      <c r="N228" s="4" cm="1">
        <f t="array" ref="N228">SUM(--(_xlfn.TEXTSPLIT($J$2,, " ") = L228))</f>
        <v>4</v>
      </c>
    </row>
    <row r="229" spans="5:14" x14ac:dyDescent="0.2">
      <c r="E229" s="4" t="s">
        <v>14</v>
      </c>
      <c r="K229" t="str">
        <v>this</v>
      </c>
      <c r="M229" s="4" t="str">
        <f t="shared" si="3"/>
        <v>this</v>
      </c>
      <c r="N229" s="4" cm="1">
        <f t="array" ref="N229">SUM(--(_xlfn.TEXTSPLIT($J$2,, " ") = L229))</f>
        <v>4</v>
      </c>
    </row>
    <row r="230" spans="5:14" x14ac:dyDescent="0.2">
      <c r="E230" s="4" t="s">
        <v>14</v>
      </c>
      <c r="K230" t="str">
        <v>is</v>
      </c>
      <c r="M230" s="4" t="str">
        <f t="shared" si="3"/>
        <v>is</v>
      </c>
      <c r="N230" s="4" cm="1">
        <f t="array" ref="N230">SUM(--(_xlfn.TEXTSPLIT($J$2,, " ") = L230))</f>
        <v>4</v>
      </c>
    </row>
    <row r="231" spans="5:14" x14ac:dyDescent="0.2">
      <c r="E231" s="4" t="s">
        <v>14</v>
      </c>
      <c r="K231" t="str">
        <v>possibly</v>
      </c>
      <c r="M231" s="4" t="str">
        <f t="shared" si="3"/>
        <v>possibly</v>
      </c>
      <c r="N231" s="4" cm="1">
        <f t="array" ref="N231">SUM(--(_xlfn.TEXTSPLIT($J$2,, " ") = L231))</f>
        <v>4</v>
      </c>
    </row>
    <row r="232" spans="5:14" x14ac:dyDescent="0.2">
      <c r="E232" s="4" t="s">
        <v>14</v>
      </c>
      <c r="K232" t="str">
        <v>the</v>
      </c>
      <c r="M232" s="4" t="str">
        <f t="shared" si="3"/>
        <v>the</v>
      </c>
      <c r="N232" s="4" cm="1">
        <f t="array" ref="N232">SUM(--(_xlfn.TEXTSPLIT($J$2,, " ") = L232))</f>
        <v>4</v>
      </c>
    </row>
    <row r="233" spans="5:14" x14ac:dyDescent="0.2">
      <c r="E233" s="4" t="s">
        <v>14</v>
      </c>
      <c r="K233" t="str">
        <v>furthest</v>
      </c>
      <c r="M233" s="4" t="str">
        <f t="shared" si="3"/>
        <v>furthest</v>
      </c>
      <c r="N233" s="4" cm="1">
        <f t="array" ref="N233">SUM(--(_xlfn.TEXTSPLIT($J$2,, " ") = L233))</f>
        <v>4</v>
      </c>
    </row>
    <row r="234" spans="5:14" x14ac:dyDescent="0.2">
      <c r="E234" s="4" t="s">
        <v>14</v>
      </c>
      <c r="K234" t="str">
        <v>we've</v>
      </c>
      <c r="M234" s="4" t="str">
        <f t="shared" si="3"/>
        <v>we ve</v>
      </c>
      <c r="N234" s="4" cm="1">
        <f t="array" ref="N234">SUM(--(_xlfn.TEXTSPLIT($J$2,, " ") = L234))</f>
        <v>4</v>
      </c>
    </row>
    <row r="235" spans="5:14" x14ac:dyDescent="0.2">
      <c r="E235" s="4" t="s">
        <v>14</v>
      </c>
      <c r="K235" t="str">
        <v xml:space="preserve">reached
</v>
      </c>
      <c r="M235" s="4" t="str">
        <f t="shared" si="3"/>
        <v xml:space="preserve">reached </v>
      </c>
      <c r="N235" s="4" cm="1">
        <f t="array" ref="N235">SUM(--(_xlfn.TEXTSPLIT($J$2,, " ") = L235))</f>
        <v>4</v>
      </c>
    </row>
    <row r="236" spans="5:14" x14ac:dyDescent="0.2">
      <c r="E236" s="4" t="s">
        <v>14</v>
      </c>
      <c r="K236" t="str">
        <v>Now</v>
      </c>
      <c r="M236" s="4" t="str">
        <f t="shared" si="3"/>
        <v>Now</v>
      </c>
      <c r="N236" s="4" cm="1">
        <f t="array" ref="N236">SUM(--(_xlfn.TEXTSPLIT($J$2,, " ") = L236))</f>
        <v>4</v>
      </c>
    </row>
    <row r="237" spans="5:14" x14ac:dyDescent="0.2">
      <c r="E237" s="4" t="s">
        <v>14</v>
      </c>
      <c r="K237" t="str">
        <v>move</v>
      </c>
      <c r="M237" s="4" t="str">
        <f t="shared" si="3"/>
        <v>move</v>
      </c>
      <c r="N237" s="4" cm="1">
        <f t="array" ref="N237">SUM(--(_xlfn.TEXTSPLIT($J$2,, " ") = L237))</f>
        <v>4</v>
      </c>
    </row>
    <row r="238" spans="5:14" x14ac:dyDescent="0.2">
      <c r="E238" s="4" t="s">
        <v>14</v>
      </c>
      <c r="K238" t="str">
        <v>it</v>
      </c>
      <c r="M238" s="4" t="str">
        <f t="shared" si="3"/>
        <v>it</v>
      </c>
      <c r="N238" s="4" cm="1">
        <f t="array" ref="N238">SUM(--(_xlfn.TEXTSPLIT($J$2,, " ") = L238))</f>
        <v>4</v>
      </c>
    </row>
    <row r="239" spans="5:14" x14ac:dyDescent="0.2">
      <c r="E239" s="4" t="s">
        <v>14</v>
      </c>
      <c r="K239" t="str">
        <v>up,</v>
      </c>
      <c r="M239" s="4" t="str">
        <f t="shared" si="3"/>
        <v xml:space="preserve">up </v>
      </c>
      <c r="N239" s="4" cm="1">
        <f t="array" ref="N239">SUM(--(_xlfn.TEXTSPLIT($J$2,, " ") = L239))</f>
        <v>4</v>
      </c>
    </row>
    <row r="240" spans="5:14" x14ac:dyDescent="0.2">
      <c r="E240" s="4" t="s">
        <v>14</v>
      </c>
      <c r="K240" t="str">
        <v>move</v>
      </c>
      <c r="M240" s="4" t="str">
        <f t="shared" si="3"/>
        <v>move</v>
      </c>
      <c r="N240" s="4" cm="1">
        <f t="array" ref="N240">SUM(--(_xlfn.TEXTSPLIT($J$2,, " ") = L240))</f>
        <v>4</v>
      </c>
    </row>
    <row r="241" spans="5:14" x14ac:dyDescent="0.2">
      <c r="E241" s="4" t="s">
        <v>14</v>
      </c>
      <c r="K241" t="str">
        <v>it</v>
      </c>
      <c r="M241" s="4" t="str">
        <f t="shared" si="3"/>
        <v>it</v>
      </c>
      <c r="N241" s="4" cm="1">
        <f t="array" ref="N241">SUM(--(_xlfn.TEXTSPLIT($J$2,, " ") = L241))</f>
        <v>4</v>
      </c>
    </row>
    <row r="242" spans="5:14" x14ac:dyDescent="0.2">
      <c r="E242" s="4" t="s">
        <v>14</v>
      </c>
      <c r="K242" t="str">
        <v>up,</v>
      </c>
      <c r="M242" s="4" t="str">
        <f t="shared" si="3"/>
        <v xml:space="preserve">up </v>
      </c>
      <c r="N242" s="4" cm="1">
        <f t="array" ref="N242">SUM(--(_xlfn.TEXTSPLIT($J$2,, " ") = L242))</f>
        <v>4</v>
      </c>
    </row>
    <row r="243" spans="5:14" x14ac:dyDescent="0.2">
      <c r="E243" s="4" t="s">
        <v>14</v>
      </c>
      <c r="K243" t="str">
        <v>it's</v>
      </c>
      <c r="M243" s="4" t="str">
        <f t="shared" si="3"/>
        <v>it s</v>
      </c>
      <c r="N243" s="4" cm="1">
        <f t="array" ref="N243">SUM(--(_xlfn.TEXTSPLIT($J$2,, " ") = L243))</f>
        <v>4</v>
      </c>
    </row>
    <row r="244" spans="5:14" x14ac:dyDescent="0.2">
      <c r="E244" s="4" t="s">
        <v>14</v>
      </c>
      <c r="K244" t="str">
        <v>a</v>
      </c>
      <c r="M244" s="4" t="str">
        <f t="shared" si="3"/>
        <v>a</v>
      </c>
      <c r="N244" s="4" cm="1">
        <f t="array" ref="N244">SUM(--(_xlfn.TEXTSPLIT($J$2,, " ") = L244))</f>
        <v>4</v>
      </c>
    </row>
    <row r="245" spans="5:14" x14ac:dyDescent="0.2">
      <c r="E245" s="4" t="s">
        <v>14</v>
      </c>
      <c r="K245" t="str">
        <v xml:space="preserve">breach
</v>
      </c>
      <c r="M245" s="4" t="str">
        <f t="shared" si="3"/>
        <v xml:space="preserve">breach  </v>
      </c>
      <c r="N245" s="4" cm="1">
        <f t="array" ref="N245">SUM(--(_xlfn.TEXTSPLIT($J$2,, " ") = L245))</f>
        <v>4</v>
      </c>
    </row>
    <row r="246" spans="5:14" x14ac:dyDescent="0.2">
      <c r="E246" s="4" t="s">
        <v>14</v>
      </c>
      <c r="K246" t="str">
        <v>I</v>
      </c>
      <c r="M246" s="4" t="str">
        <f t="shared" si="3"/>
        <v>I</v>
      </c>
      <c r="N246" s="4" cm="1">
        <f t="array" ref="N246">SUM(--(_xlfn.TEXTSPLIT($J$2,, " ") = L246))</f>
        <v>4</v>
      </c>
    </row>
    <row r="247" spans="5:14" x14ac:dyDescent="0.2">
      <c r="E247" s="4" t="s">
        <v>14</v>
      </c>
      <c r="K247" t="str">
        <v>wonder</v>
      </c>
      <c r="M247" s="4" t="str">
        <f t="shared" si="3"/>
        <v>wonder</v>
      </c>
      <c r="N247" s="4" cm="1">
        <f t="array" ref="N247">SUM(--(_xlfn.TEXTSPLIT($J$2,, " ") = L247))</f>
        <v>4</v>
      </c>
    </row>
    <row r="248" spans="5:14" x14ac:dyDescent="0.2">
      <c r="E248" s="4" t="s">
        <v>14</v>
      </c>
      <c r="K248" t="str">
        <v>where</v>
      </c>
      <c r="M248" s="4" t="str">
        <f t="shared" si="3"/>
        <v>where</v>
      </c>
      <c r="N248" s="4" cm="1">
        <f t="array" ref="N248">SUM(--(_xlfn.TEXTSPLIT($J$2,, " ") = L248))</f>
        <v>4</v>
      </c>
    </row>
    <row r="249" spans="5:14" x14ac:dyDescent="0.2">
      <c r="E249" s="4" t="s">
        <v>14</v>
      </c>
      <c r="K249" t="str">
        <v>you</v>
      </c>
      <c r="M249" s="4" t="str">
        <f t="shared" si="3"/>
        <v>you</v>
      </c>
      <c r="N249" s="4" cm="1">
        <f t="array" ref="N249">SUM(--(_xlfn.TEXTSPLIT($J$2,, " ") = L249))</f>
        <v>4</v>
      </c>
    </row>
    <row r="250" spans="5:14" x14ac:dyDescent="0.2">
      <c r="E250" s="4" t="s">
        <v>14</v>
      </c>
      <c r="K250" t="str">
        <v xml:space="preserve">are
</v>
      </c>
      <c r="M250" s="4" t="str">
        <f t="shared" si="3"/>
        <v xml:space="preserve">are </v>
      </c>
      <c r="N250" s="4" cm="1">
        <f t="array" ref="N250">SUM(--(_xlfn.TEXTSPLIT($J$2,, " ") = L250))</f>
        <v>4</v>
      </c>
    </row>
    <row r="251" spans="5:14" x14ac:dyDescent="0.2">
      <c r="E251" s="4" t="s">
        <v>14</v>
      </c>
      <c r="K251" t="str">
        <v>I</v>
      </c>
      <c r="M251" s="4" t="str">
        <f t="shared" si="3"/>
        <v>I</v>
      </c>
      <c r="N251" s="4" cm="1">
        <f t="array" ref="N251">SUM(--(_xlfn.TEXTSPLIT($J$2,, " ") = L251))</f>
        <v>4</v>
      </c>
    </row>
    <row r="252" spans="5:14" x14ac:dyDescent="0.2">
      <c r="E252" s="4" t="s">
        <v>14</v>
      </c>
      <c r="K252" t="str">
        <v>wanted</v>
      </c>
      <c r="M252" s="4" t="str">
        <f t="shared" si="3"/>
        <v>wanted</v>
      </c>
      <c r="N252" s="4" cm="1">
        <f t="array" ref="N252">SUM(--(_xlfn.TEXTSPLIT($J$2,, " ") = L252))</f>
        <v>4</v>
      </c>
    </row>
    <row r="253" spans="5:14" x14ac:dyDescent="0.2">
      <c r="E253" s="4" t="s">
        <v>14</v>
      </c>
      <c r="K253" t="str">
        <v>you</v>
      </c>
      <c r="M253" s="4" t="str">
        <f t="shared" si="3"/>
        <v>you</v>
      </c>
      <c r="N253" s="4" cm="1">
        <f t="array" ref="N253">SUM(--(_xlfn.TEXTSPLIT($J$2,, " ") = L253))</f>
        <v>4</v>
      </c>
    </row>
    <row r="254" spans="5:14" x14ac:dyDescent="0.2">
      <c r="E254" s="4" t="s">
        <v>14</v>
      </c>
      <c r="K254" t="str">
        <v>to</v>
      </c>
      <c r="M254" s="4" t="str">
        <f t="shared" si="3"/>
        <v>to</v>
      </c>
      <c r="N254" s="4" cm="1">
        <f t="array" ref="N254">SUM(--(_xlfn.TEXTSPLIT($J$2,, " ") = L254))</f>
        <v>4</v>
      </c>
    </row>
    <row r="255" spans="5:14" x14ac:dyDescent="0.2">
      <c r="E255" s="4" t="s">
        <v>14</v>
      </c>
      <c r="K255" t="str">
        <v>show</v>
      </c>
      <c r="M255" s="4" t="str">
        <f t="shared" si="3"/>
        <v>show</v>
      </c>
      <c r="N255" s="4" cm="1">
        <f t="array" ref="N255">SUM(--(_xlfn.TEXTSPLIT($J$2,, " ") = L255))</f>
        <v>4</v>
      </c>
    </row>
    <row r="256" spans="5:14" x14ac:dyDescent="0.2">
      <c r="E256" s="4" t="s">
        <v>14</v>
      </c>
      <c r="K256" t="str">
        <v xml:space="preserve">me
</v>
      </c>
      <c r="M256" s="4" t="str">
        <f t="shared" si="3"/>
        <v xml:space="preserve">me </v>
      </c>
      <c r="N256" s="4" cm="1">
        <f t="array" ref="N256">SUM(--(_xlfn.TEXTSPLIT($J$2,, " ") = L256))</f>
        <v>4</v>
      </c>
    </row>
    <row r="257" spans="5:14" x14ac:dyDescent="0.2">
      <c r="E257" s="4" t="s">
        <v>14</v>
      </c>
      <c r="K257" t="str">
        <v>The</v>
      </c>
      <c r="M257" s="4" t="str">
        <f t="shared" si="3"/>
        <v>The</v>
      </c>
      <c r="N257" s="4" cm="1">
        <f t="array" ref="N257">SUM(--(_xlfn.TEXTSPLIT($J$2,, " ") = L257))</f>
        <v>4</v>
      </c>
    </row>
    <row r="258" spans="5:14" x14ac:dyDescent="0.2">
      <c r="E258" s="4" t="s">
        <v>14</v>
      </c>
      <c r="K258" t="str">
        <v>way</v>
      </c>
      <c r="M258" s="4" t="str">
        <f t="shared" si="3"/>
        <v>way</v>
      </c>
      <c r="N258" s="4" cm="1">
        <f t="array" ref="N258">SUM(--(_xlfn.TEXTSPLIT($J$2,, " ") = L258))</f>
        <v>4</v>
      </c>
    </row>
    <row r="259" spans="5:14" x14ac:dyDescent="0.2">
      <c r="E259" s="4" t="s">
        <v>14</v>
      </c>
      <c r="K259" t="str">
        <v>around</v>
      </c>
      <c r="M259" s="4" t="str">
        <f t="shared" ref="M259:M322" si="4">_xlfn.REGEXREPLACE(K259, "[^A-Za-z ]", " ")</f>
        <v>around</v>
      </c>
      <c r="N259" s="4" cm="1">
        <f t="array" ref="N259">SUM(--(_xlfn.TEXTSPLIT($J$2,, " ") = L259))</f>
        <v>4</v>
      </c>
    </row>
    <row r="260" spans="5:14" x14ac:dyDescent="0.2">
      <c r="E260" s="4" t="s">
        <v>14</v>
      </c>
      <c r="K260" t="str">
        <v>the</v>
      </c>
      <c r="M260" s="4" t="str">
        <f t="shared" si="4"/>
        <v>the</v>
      </c>
      <c r="N260" s="4" cm="1">
        <f t="array" ref="N260">SUM(--(_xlfn.TEXTSPLIT($J$2,, " ") = L260))</f>
        <v>4</v>
      </c>
    </row>
    <row r="261" spans="5:14" x14ac:dyDescent="0.2">
      <c r="E261" s="4" t="s">
        <v>14</v>
      </c>
      <c r="K261" t="str">
        <v>city</v>
      </c>
      <c r="M261" s="4" t="str">
        <f t="shared" si="4"/>
        <v>city</v>
      </c>
      <c r="N261" s="4" cm="1">
        <f t="array" ref="N261">SUM(--(_xlfn.TEXTSPLIT($J$2,, " ") = L261))</f>
        <v>4</v>
      </c>
    </row>
    <row r="262" spans="5:14" x14ac:dyDescent="0.2">
      <c r="E262" s="4" t="s">
        <v>14</v>
      </c>
      <c r="K262" t="str">
        <v xml:space="preserve">walls
</v>
      </c>
      <c r="M262" s="4" t="str">
        <f t="shared" si="4"/>
        <v xml:space="preserve">walls </v>
      </c>
      <c r="N262" s="4" cm="1">
        <f t="array" ref="N262">SUM(--(_xlfn.TEXTSPLIT($J$2,, " ") = L262))</f>
        <v>4</v>
      </c>
    </row>
    <row r="263" spans="5:14" x14ac:dyDescent="0.2">
      <c r="E263" s="4" t="s">
        <v>14</v>
      </c>
      <c r="K263" t="str">
        <v>The</v>
      </c>
      <c r="M263" s="4" t="str">
        <f t="shared" si="4"/>
        <v>The</v>
      </c>
      <c r="N263" s="4" cm="1">
        <f t="array" ref="N263">SUM(--(_xlfn.TEXTSPLIT($J$2,, " ") = L263))</f>
        <v>4</v>
      </c>
    </row>
    <row r="264" spans="5:14" x14ac:dyDescent="0.2">
      <c r="E264" s="4" t="s">
        <v>14</v>
      </c>
      <c r="K264" t="str">
        <v>way</v>
      </c>
      <c r="M264" s="4" t="str">
        <f t="shared" si="4"/>
        <v>way</v>
      </c>
      <c r="N264" s="4" cm="1">
        <f t="array" ref="N264">SUM(--(_xlfn.TEXTSPLIT($J$2,, " ") = L264))</f>
        <v>4</v>
      </c>
    </row>
    <row r="265" spans="5:14" x14ac:dyDescent="0.2">
      <c r="E265" s="4" t="s">
        <v>14</v>
      </c>
      <c r="K265" t="str">
        <v>on</v>
      </c>
      <c r="M265" s="4" t="str">
        <f t="shared" si="4"/>
        <v>on</v>
      </c>
      <c r="N265" s="4" cm="1">
        <f t="array" ref="N265">SUM(--(_xlfn.TEXTSPLIT($J$2,, " ") = L265))</f>
        <v>4</v>
      </c>
    </row>
    <row r="266" spans="5:14" x14ac:dyDescent="0.2">
      <c r="E266" s="4" t="s">
        <v>14</v>
      </c>
      <c r="K266" t="str">
        <v xml:space="preserve">through
</v>
      </c>
      <c r="M266" s="4" t="str">
        <f t="shared" si="4"/>
        <v xml:space="preserve">through </v>
      </c>
      <c r="N266" s="4" cm="1">
        <f t="array" ref="N266">SUM(--(_xlfn.TEXTSPLIT($J$2,, " ") = L266))</f>
        <v>4</v>
      </c>
    </row>
    <row r="267" spans="5:14" x14ac:dyDescent="0.2">
      <c r="E267" s="4" t="s">
        <v>14</v>
      </c>
      <c r="K267" t="str">
        <v>I</v>
      </c>
      <c r="M267" s="4" t="str">
        <f t="shared" si="4"/>
        <v>I</v>
      </c>
      <c r="N267" s="4" cm="1">
        <f t="array" ref="N267">SUM(--(_xlfn.TEXTSPLIT($J$2,, " ") = L267))</f>
        <v>4</v>
      </c>
    </row>
    <row r="268" spans="5:14" x14ac:dyDescent="0.2">
      <c r="E268" s="4" t="s">
        <v>14</v>
      </c>
      <c r="K268" t="str">
        <v>wonder</v>
      </c>
      <c r="M268" s="4" t="str">
        <f t="shared" si="4"/>
        <v>wonder</v>
      </c>
      <c r="N268" s="4" cm="1">
        <f t="array" ref="N268">SUM(--(_xlfn.TEXTSPLIT($J$2,, " ") = L268))</f>
        <v>4</v>
      </c>
    </row>
    <row r="269" spans="5:14" x14ac:dyDescent="0.2">
      <c r="E269" s="4" t="s">
        <v>14</v>
      </c>
      <c r="K269" t="str">
        <v>where</v>
      </c>
      <c r="M269" s="4" t="str">
        <f t="shared" si="4"/>
        <v>where</v>
      </c>
      <c r="N269" s="4" cm="1">
        <f t="array" ref="N269">SUM(--(_xlfn.TEXTSPLIT($J$2,, " ") = L269))</f>
        <v>4</v>
      </c>
    </row>
    <row r="270" spans="5:14" x14ac:dyDescent="0.2">
      <c r="E270" s="4" t="s">
        <v>14</v>
      </c>
      <c r="K270" t="str">
        <v>you</v>
      </c>
      <c r="M270" s="4" t="str">
        <f t="shared" si="4"/>
        <v>you</v>
      </c>
      <c r="N270" s="4" cm="1">
        <f t="array" ref="N270">SUM(--(_xlfn.TEXTSPLIT($J$2,, " ") = L270))</f>
        <v>4</v>
      </c>
    </row>
    <row r="271" spans="5:14" x14ac:dyDescent="0.2">
      <c r="E271" s="4" t="s">
        <v>14</v>
      </c>
      <c r="K271" t="str">
        <v xml:space="preserve">are
</v>
      </c>
      <c r="M271" s="4" t="str">
        <f t="shared" si="4"/>
        <v xml:space="preserve">are </v>
      </c>
      <c r="N271" s="4" cm="1">
        <f t="array" ref="N271">SUM(--(_xlfn.TEXTSPLIT($J$2,, " ") = L271))</f>
        <v>4</v>
      </c>
    </row>
    <row r="272" spans="5:14" x14ac:dyDescent="0.2">
      <c r="E272" s="4" t="s">
        <v>14</v>
      </c>
      <c r="K272" t="str">
        <v>I</v>
      </c>
      <c r="M272" s="4" t="str">
        <f t="shared" si="4"/>
        <v>I</v>
      </c>
      <c r="N272" s="4" cm="1">
        <f t="array" ref="N272">SUM(--(_xlfn.TEXTSPLIT($J$2,, " ") = L272))</f>
        <v>4</v>
      </c>
    </row>
    <row r="273" spans="5:14" x14ac:dyDescent="0.2">
      <c r="E273" s="4" t="s">
        <v>14</v>
      </c>
      <c r="K273" t="str">
        <v>wanted</v>
      </c>
      <c r="M273" s="4" t="str">
        <f t="shared" si="4"/>
        <v>wanted</v>
      </c>
      <c r="N273" s="4" cm="1">
        <f t="array" ref="N273">SUM(--(_xlfn.TEXTSPLIT($J$2,, " ") = L273))</f>
        <v>4</v>
      </c>
    </row>
    <row r="274" spans="5:14" x14ac:dyDescent="0.2">
      <c r="E274" s="4" t="s">
        <v>14</v>
      </c>
      <c r="K274" t="str">
        <v>you</v>
      </c>
      <c r="M274" s="4" t="str">
        <f t="shared" si="4"/>
        <v>you</v>
      </c>
      <c r="N274" s="4" cm="1">
        <f t="array" ref="N274">SUM(--(_xlfn.TEXTSPLIT($J$2,, " ") = L274))</f>
        <v>4</v>
      </c>
    </row>
    <row r="275" spans="5:14" x14ac:dyDescent="0.2">
      <c r="E275" s="4" t="s">
        <v>14</v>
      </c>
      <c r="K275" t="str">
        <v>to</v>
      </c>
      <c r="M275" s="4" t="str">
        <f t="shared" si="4"/>
        <v>to</v>
      </c>
      <c r="N275" s="4" cm="1">
        <f t="array" ref="N275">SUM(--(_xlfn.TEXTSPLIT($J$2,, " ") = L275))</f>
        <v>4</v>
      </c>
    </row>
    <row r="276" spans="5:14" x14ac:dyDescent="0.2">
      <c r="E276" s="4" t="s">
        <v>14</v>
      </c>
      <c r="K276" t="str">
        <v>show</v>
      </c>
      <c r="M276" s="4" t="str">
        <f t="shared" si="4"/>
        <v>show</v>
      </c>
      <c r="N276" s="4" cm="1">
        <f t="array" ref="N276">SUM(--(_xlfn.TEXTSPLIT($J$2,, " ") = L276))</f>
        <v>4</v>
      </c>
    </row>
    <row r="277" spans="5:14" x14ac:dyDescent="0.2">
      <c r="E277" s="4" t="s">
        <v>14</v>
      </c>
      <c r="K277" t="str">
        <v xml:space="preserve">me
</v>
      </c>
      <c r="M277" s="4" t="str">
        <f t="shared" si="4"/>
        <v xml:space="preserve">me </v>
      </c>
      <c r="N277" s="4" cm="1">
        <f t="array" ref="N277">SUM(--(_xlfn.TEXTSPLIT($J$2,, " ") = L277))</f>
        <v>4</v>
      </c>
    </row>
    <row r="278" spans="5:14" x14ac:dyDescent="0.2">
      <c r="E278" s="4" t="s">
        <v>14</v>
      </c>
      <c r="K278" t="str">
        <v>But</v>
      </c>
      <c r="M278" s="4" t="str">
        <f t="shared" si="4"/>
        <v>But</v>
      </c>
      <c r="N278" s="4" cm="1">
        <f t="array" ref="N278">SUM(--(_xlfn.TEXTSPLIT($J$2,, " ") = L278))</f>
        <v>4</v>
      </c>
    </row>
    <row r="279" spans="5:14" x14ac:dyDescent="0.2">
      <c r="E279" s="4" t="s">
        <v>14</v>
      </c>
      <c r="K279" t="str">
        <v>now</v>
      </c>
      <c r="M279" s="4" t="str">
        <f t="shared" si="4"/>
        <v>now</v>
      </c>
      <c r="N279" s="4" cm="1">
        <f t="array" ref="N279">SUM(--(_xlfn.TEXTSPLIT($J$2,, " ") = L279))</f>
        <v>4</v>
      </c>
    </row>
    <row r="280" spans="5:14" x14ac:dyDescent="0.2">
      <c r="E280" s="4" t="s">
        <v>14</v>
      </c>
      <c r="K280" t="str">
        <v>the</v>
      </c>
      <c r="M280" s="4" t="str">
        <f t="shared" si="4"/>
        <v>the</v>
      </c>
      <c r="N280" s="4" cm="1">
        <f t="array" ref="N280">SUM(--(_xlfn.TEXTSPLIT($J$2,, " ") = L280))</f>
        <v>4</v>
      </c>
    </row>
    <row r="281" spans="5:14" x14ac:dyDescent="0.2">
      <c r="E281" s="4" t="s">
        <v>14</v>
      </c>
      <c r="K281" t="str">
        <v>night</v>
      </c>
      <c r="M281" s="4" t="str">
        <f t="shared" si="4"/>
        <v>night</v>
      </c>
      <c r="N281" s="4" cm="1">
        <f t="array" ref="N281">SUM(--(_xlfn.TEXTSPLIT($J$2,, " ") = L281))</f>
        <v>4</v>
      </c>
    </row>
    <row r="282" spans="5:14" x14ac:dyDescent="0.2">
      <c r="E282" s="4" t="s">
        <v>14</v>
      </c>
      <c r="K282" t="str">
        <v>has</v>
      </c>
      <c r="M282" s="4" t="str">
        <f t="shared" si="4"/>
        <v>has</v>
      </c>
      <c r="N282" s="4" cm="1">
        <f t="array" ref="N282">SUM(--(_xlfn.TEXTSPLIT($J$2,, " ") = L282))</f>
        <v>4</v>
      </c>
    </row>
    <row r="283" spans="5:14" x14ac:dyDescent="0.2">
      <c r="E283" s="4" t="s">
        <v>14</v>
      </c>
      <c r="K283" t="str">
        <v xml:space="preserve">fallen
</v>
      </c>
      <c r="M283" s="4" t="str">
        <f t="shared" si="4"/>
        <v xml:space="preserve">fallen </v>
      </c>
      <c r="N283" s="4" cm="1">
        <f t="array" ref="N283">SUM(--(_xlfn.TEXTSPLIT($J$2,, " ") = L283))</f>
        <v>4</v>
      </c>
    </row>
    <row r="284" spans="5:14" x14ac:dyDescent="0.2">
      <c r="E284" s="4" t="s">
        <v>14</v>
      </c>
      <c r="K284" t="str">
        <v>Abandoned</v>
      </c>
      <c r="M284" s="4" t="str">
        <f t="shared" si="4"/>
        <v>Abandoned</v>
      </c>
      <c r="N284" s="4" cm="1">
        <f t="array" ref="N284">SUM(--(_xlfn.TEXTSPLIT($J$2,, " ") = L284))</f>
        <v>4</v>
      </c>
    </row>
    <row r="285" spans="5:14" x14ac:dyDescent="0.2">
      <c r="E285" s="4" t="s">
        <v>14</v>
      </c>
      <c r="K285" t="str">
        <v>by</v>
      </c>
      <c r="M285" s="4" t="str">
        <f t="shared" si="4"/>
        <v>by</v>
      </c>
      <c r="N285" s="4" cm="1">
        <f t="array" ref="N285">SUM(--(_xlfn.TEXTSPLIT($J$2,, " ") = L285))</f>
        <v>4</v>
      </c>
    </row>
    <row r="286" spans="5:14" x14ac:dyDescent="0.2">
      <c r="E286" s="4" t="s">
        <v>14</v>
      </c>
      <c r="K286" t="str">
        <v>the</v>
      </c>
      <c r="M286" s="4" t="str">
        <f t="shared" si="4"/>
        <v>the</v>
      </c>
      <c r="N286" s="4" cm="1">
        <f t="array" ref="N286">SUM(--(_xlfn.TEXTSPLIT($J$2,, " ") = L286))</f>
        <v>4</v>
      </c>
    </row>
    <row r="287" spans="5:14" x14ac:dyDescent="0.2">
      <c r="E287" s="4" t="s">
        <v>14</v>
      </c>
      <c r="K287" t="str">
        <v xml:space="preserve">sun
</v>
      </c>
      <c r="M287" s="4" t="str">
        <f t="shared" si="4"/>
        <v xml:space="preserve">sun </v>
      </c>
      <c r="N287" s="4" cm="1">
        <f t="array" ref="N287">SUM(--(_xlfn.TEXTSPLIT($J$2,, " ") = L287))</f>
        <v>4</v>
      </c>
    </row>
    <row r="288" spans="5:14" x14ac:dyDescent="0.2">
      <c r="E288" s="4" t="s">
        <v>14</v>
      </c>
      <c r="K288" t="str">
        <v>Abandoned</v>
      </c>
      <c r="M288" s="4" t="str">
        <f t="shared" si="4"/>
        <v>Abandoned</v>
      </c>
      <c r="N288" s="4" cm="1">
        <f t="array" ref="N288">SUM(--(_xlfn.TEXTSPLIT($J$2,, " ") = L288))</f>
        <v>4</v>
      </c>
    </row>
    <row r="289" spans="5:14" x14ac:dyDescent="0.2">
      <c r="E289" s="4" t="s">
        <v>14</v>
      </c>
      <c r="K289" t="str">
        <v>by</v>
      </c>
      <c r="M289" s="4" t="str">
        <f t="shared" si="4"/>
        <v>by</v>
      </c>
      <c r="N289" s="4" cm="1">
        <f t="array" ref="N289">SUM(--(_xlfn.TEXTSPLIT($J$2,, " ") = L289))</f>
        <v>4</v>
      </c>
    </row>
    <row r="290" spans="5:14" x14ac:dyDescent="0.2">
      <c r="E290" s="4" t="s">
        <v>14</v>
      </c>
      <c r="K290" t="str">
        <v>the</v>
      </c>
      <c r="M290" s="4" t="str">
        <f t="shared" si="4"/>
        <v>the</v>
      </c>
      <c r="N290" s="4" cm="1">
        <f t="array" ref="N290">SUM(--(_xlfn.TEXTSPLIT($J$2,, " ") = L290))</f>
        <v>4</v>
      </c>
    </row>
    <row r="291" spans="5:14" x14ac:dyDescent="0.2">
      <c r="E291" s="4" t="s">
        <v>14</v>
      </c>
      <c r="K291" t="str">
        <v xml:space="preserve">sun
</v>
      </c>
      <c r="M291" s="4" t="str">
        <f t="shared" si="4"/>
        <v xml:space="preserve">sun  </v>
      </c>
      <c r="N291" s="4" cm="1">
        <f t="array" ref="N291">SUM(--(_xlfn.TEXTSPLIT($J$2,, " ") = L291))</f>
        <v>4</v>
      </c>
    </row>
    <row r="292" spans="5:14" x14ac:dyDescent="0.2">
      <c r="E292" s="4" t="s">
        <v>14</v>
      </c>
      <c r="K292" t="str">
        <v>My</v>
      </c>
      <c r="M292" s="4" t="str">
        <f t="shared" si="4"/>
        <v>My</v>
      </c>
      <c r="N292" s="4" cm="1">
        <f t="array" ref="N292">SUM(--(_xlfn.TEXTSPLIT($J$2,, " ") = L292))</f>
        <v>4</v>
      </c>
    </row>
    <row r="293" spans="5:14" x14ac:dyDescent="0.2">
      <c r="E293" s="4" t="s">
        <v>14</v>
      </c>
      <c r="K293" t="str">
        <v>smile</v>
      </c>
      <c r="M293" s="4" t="str">
        <f t="shared" si="4"/>
        <v>smile</v>
      </c>
      <c r="N293" s="4" cm="1">
        <f t="array" ref="N293">SUM(--(_xlfn.TEXTSPLIT($J$2,, " ") = L293))</f>
        <v>4</v>
      </c>
    </row>
    <row r="294" spans="5:14" x14ac:dyDescent="0.2">
      <c r="E294" s="4" t="s">
        <v>14</v>
      </c>
      <c r="K294" t="str">
        <v>wraps</v>
      </c>
      <c r="M294" s="4" t="str">
        <f t="shared" si="4"/>
        <v>wraps</v>
      </c>
      <c r="N294" s="4" cm="1">
        <f t="array" ref="N294">SUM(--(_xlfn.TEXTSPLIT($J$2,, " ") = L294))</f>
        <v>4</v>
      </c>
    </row>
    <row r="295" spans="5:14" x14ac:dyDescent="0.2">
      <c r="E295" s="4" t="s">
        <v>14</v>
      </c>
      <c r="K295" t="str">
        <v>around</v>
      </c>
      <c r="M295" s="4" t="str">
        <f t="shared" si="4"/>
        <v>around</v>
      </c>
      <c r="N295" s="4" cm="1">
        <f t="array" ref="N295">SUM(--(_xlfn.TEXTSPLIT($J$2,, " ") = L295))</f>
        <v>4</v>
      </c>
    </row>
    <row r="296" spans="5:14" x14ac:dyDescent="0.2">
      <c r="E296" s="4" t="s">
        <v>14</v>
      </c>
      <c r="K296" t="str">
        <v>my</v>
      </c>
      <c r="M296" s="4" t="str">
        <f t="shared" si="4"/>
        <v>my</v>
      </c>
      <c r="N296" s="4" cm="1">
        <f t="array" ref="N296">SUM(--(_xlfn.TEXTSPLIT($J$2,, " ") = L296))</f>
        <v>4</v>
      </c>
    </row>
    <row r="297" spans="5:14" x14ac:dyDescent="0.2">
      <c r="E297" s="4" t="s">
        <v>14</v>
      </c>
      <c r="K297" t="str">
        <v>head,</v>
      </c>
      <c r="M297" s="4" t="str">
        <f t="shared" si="4"/>
        <v xml:space="preserve">head </v>
      </c>
      <c r="N297" s="4" cm="1">
        <f t="array" ref="N297">SUM(--(_xlfn.TEXTSPLIT($J$2,, " ") = L297))</f>
        <v>4</v>
      </c>
    </row>
    <row r="298" spans="5:14" x14ac:dyDescent="0.2">
      <c r="E298" s="4" t="s">
        <v>14</v>
      </c>
      <c r="K298" t="str">
        <v>splitting</v>
      </c>
      <c r="M298" s="4" t="str">
        <f t="shared" si="4"/>
        <v>splitting</v>
      </c>
      <c r="N298" s="4" cm="1">
        <f t="array" ref="N298">SUM(--(_xlfn.TEXTSPLIT($J$2,, " ") = L298))</f>
        <v>4</v>
      </c>
    </row>
    <row r="299" spans="5:14" x14ac:dyDescent="0.2">
      <c r="E299" s="4" t="s">
        <v>14</v>
      </c>
      <c r="K299" t="str">
        <v>it</v>
      </c>
      <c r="M299" s="4" t="str">
        <f t="shared" si="4"/>
        <v>it</v>
      </c>
      <c r="N299" s="4" cm="1">
        <f t="array" ref="N299">SUM(--(_xlfn.TEXTSPLIT($J$2,, " ") = L299))</f>
        <v>4</v>
      </c>
    </row>
    <row r="300" spans="5:14" x14ac:dyDescent="0.2">
      <c r="E300" s="4" t="s">
        <v>14</v>
      </c>
      <c r="K300" t="str">
        <v xml:space="preserve">in
</v>
      </c>
      <c r="M300" s="4" t="str">
        <f t="shared" si="4"/>
        <v xml:space="preserve">in </v>
      </c>
      <c r="N300" s="4" cm="1">
        <f t="array" ref="N300">SUM(--(_xlfn.TEXTSPLIT($J$2,, " ") = L300))</f>
        <v>4</v>
      </c>
    </row>
    <row r="301" spans="5:14" x14ac:dyDescent="0.2">
      <c r="E301" s="4" t="s">
        <v>14</v>
      </c>
      <c r="K301" t="str">
        <v>Two,</v>
      </c>
      <c r="M301" s="4" t="str">
        <f t="shared" si="4"/>
        <v xml:space="preserve">Two </v>
      </c>
      <c r="N301" s="4" cm="1">
        <f t="array" ref="N301">SUM(--(_xlfn.TEXTSPLIT($J$2,, " ") = L301))</f>
        <v>4</v>
      </c>
    </row>
    <row r="302" spans="5:14" x14ac:dyDescent="0.2">
      <c r="E302" s="4" t="s">
        <v>14</v>
      </c>
      <c r="K302" t="str">
        <v>two,</v>
      </c>
      <c r="M302" s="4" t="str">
        <f t="shared" si="4"/>
        <v xml:space="preserve">two </v>
      </c>
      <c r="N302" s="4" cm="1">
        <f t="array" ref="N302">SUM(--(_xlfn.TEXTSPLIT($J$2,, " ") = L302))</f>
        <v>4</v>
      </c>
    </row>
    <row r="303" spans="5:14" x14ac:dyDescent="0.2">
      <c r="E303" s="4" t="s">
        <v>14</v>
      </c>
      <c r="K303" t="str">
        <v>two,</v>
      </c>
      <c r="M303" s="4" t="str">
        <f t="shared" si="4"/>
        <v xml:space="preserve">two </v>
      </c>
      <c r="N303" s="4" cm="1">
        <f t="array" ref="N303">SUM(--(_xlfn.TEXTSPLIT($J$2,, " ") = L303))</f>
        <v>4</v>
      </c>
    </row>
    <row r="304" spans="5:14" x14ac:dyDescent="0.2">
      <c r="E304" s="4" t="s">
        <v>14</v>
      </c>
      <c r="K304" t="str">
        <v xml:space="preserve">two
</v>
      </c>
      <c r="M304" s="4" t="str">
        <f t="shared" si="4"/>
        <v xml:space="preserve">two </v>
      </c>
      <c r="N304" s="4" cm="1">
        <f t="array" ref="N304">SUM(--(_xlfn.TEXTSPLIT($J$2,, " ") = L304))</f>
        <v>4</v>
      </c>
    </row>
    <row r="305" spans="5:14" x14ac:dyDescent="0.2">
      <c r="E305" s="4" t="s">
        <v>14</v>
      </c>
      <c r="K305" t="str">
        <v>I</v>
      </c>
      <c r="M305" s="4" t="str">
        <f t="shared" si="4"/>
        <v>I</v>
      </c>
      <c r="N305" s="4" cm="1">
        <f t="array" ref="N305">SUM(--(_xlfn.TEXTSPLIT($J$2,, " ") = L305))</f>
        <v>4</v>
      </c>
    </row>
    <row r="306" spans="5:14" x14ac:dyDescent="0.2">
      <c r="E306" s="4" t="s">
        <v>14</v>
      </c>
      <c r="K306" t="str">
        <v>don't</v>
      </c>
      <c r="M306" s="4" t="str">
        <f t="shared" si="4"/>
        <v>don t</v>
      </c>
      <c r="N306" s="4" cm="1">
        <f t="array" ref="N306">SUM(--(_xlfn.TEXTSPLIT($J$2,, " ") = L306))</f>
        <v>4</v>
      </c>
    </row>
    <row r="307" spans="5:14" x14ac:dyDescent="0.2">
      <c r="E307" s="4" t="s">
        <v>14</v>
      </c>
      <c r="K307" t="str">
        <v>have</v>
      </c>
      <c r="M307" s="4" t="str">
        <f t="shared" si="4"/>
        <v>have</v>
      </c>
      <c r="N307" s="4" cm="1">
        <f t="array" ref="N307">SUM(--(_xlfn.TEXTSPLIT($J$2,, " ") = L307))</f>
        <v>4</v>
      </c>
    </row>
    <row r="308" spans="5:14" x14ac:dyDescent="0.2">
      <c r="E308" s="4" t="s">
        <v>14</v>
      </c>
      <c r="K308" t="str">
        <v>a</v>
      </c>
      <c r="M308" s="4" t="str">
        <f t="shared" si="4"/>
        <v>a</v>
      </c>
      <c r="N308" s="4" cm="1">
        <f t="array" ref="N308">SUM(--(_xlfn.TEXTSPLIT($J$2,, " ") = L308))</f>
        <v>4</v>
      </c>
    </row>
    <row r="309" spans="5:14" x14ac:dyDescent="0.2">
      <c r="E309" s="4" t="s">
        <v>14</v>
      </c>
      <c r="K309" t="str">
        <v>clue</v>
      </c>
      <c r="M309" s="4" t="str">
        <f t="shared" si="4"/>
        <v>clue</v>
      </c>
      <c r="N309" s="4" cm="1">
        <f t="array" ref="N309">SUM(--(_xlfn.TEXTSPLIT($J$2,, " ") = L309))</f>
        <v>4</v>
      </c>
    </row>
    <row r="310" spans="5:14" x14ac:dyDescent="0.2">
      <c r="E310" s="4" t="s">
        <v>14</v>
      </c>
      <c r="K310" t="str">
        <v>how</v>
      </c>
      <c r="M310" s="4" t="str">
        <f t="shared" si="4"/>
        <v>how</v>
      </c>
      <c r="N310" s="4" cm="1">
        <f t="array" ref="N310">SUM(--(_xlfn.TEXTSPLIT($J$2,, " ") = L310))</f>
        <v>4</v>
      </c>
    </row>
    <row r="311" spans="5:14" x14ac:dyDescent="0.2">
      <c r="E311" s="4" t="s">
        <v>14</v>
      </c>
      <c r="K311" t="str">
        <v>I</v>
      </c>
      <c r="M311" s="4" t="str">
        <f t="shared" si="4"/>
        <v>I</v>
      </c>
      <c r="N311" s="4" cm="1">
        <f t="array" ref="N311">SUM(--(_xlfn.TEXTSPLIT($J$2,, " ") = L311))</f>
        <v>4</v>
      </c>
    </row>
    <row r="312" spans="5:14" x14ac:dyDescent="0.2">
      <c r="E312" s="4" t="s">
        <v>14</v>
      </c>
      <c r="K312" t="str">
        <v>can</v>
      </c>
      <c r="M312" s="4" t="str">
        <f t="shared" si="4"/>
        <v>can</v>
      </c>
      <c r="N312" s="4" cm="1">
        <f t="array" ref="N312">SUM(--(_xlfn.TEXTSPLIT($J$2,, " ") = L312))</f>
        <v>4</v>
      </c>
    </row>
    <row r="313" spans="5:14" x14ac:dyDescent="0.2">
      <c r="E313" s="4" t="s">
        <v>14</v>
      </c>
      <c r="K313" t="str">
        <v>keep</v>
      </c>
      <c r="M313" s="4" t="str">
        <f t="shared" si="4"/>
        <v>keep</v>
      </c>
      <c r="N313" s="4" cm="1">
        <f t="array" ref="N313">SUM(--(_xlfn.TEXTSPLIT($J$2,, " ") = L313))</f>
        <v>4</v>
      </c>
    </row>
    <row r="314" spans="5:14" x14ac:dyDescent="0.2">
      <c r="E314" s="4" t="s">
        <v>14</v>
      </c>
      <c r="K314" t="str">
        <v>the</v>
      </c>
      <c r="M314" s="4" t="str">
        <f t="shared" si="4"/>
        <v>the</v>
      </c>
      <c r="N314" s="4" cm="1">
        <f t="array" ref="N314">SUM(--(_xlfn.TEXTSPLIT($J$2,, " ") = L314))</f>
        <v>4</v>
      </c>
    </row>
    <row r="315" spans="5:14" x14ac:dyDescent="0.2">
      <c r="E315" s="4" t="s">
        <v>14</v>
      </c>
      <c r="K315" t="str">
        <v>top</v>
      </c>
      <c r="M315" s="4" t="str">
        <f t="shared" si="4"/>
        <v>top</v>
      </c>
      <c r="N315" s="4" cm="1">
        <f t="array" ref="N315">SUM(--(_xlfn.TEXTSPLIT($J$2,, " ") = L315))</f>
        <v>4</v>
      </c>
    </row>
    <row r="316" spans="5:14" x14ac:dyDescent="0.2">
      <c r="E316" s="4" t="s">
        <v>14</v>
      </c>
      <c r="K316" t="str">
        <v xml:space="preserve">half
</v>
      </c>
      <c r="M316" s="4" t="str">
        <f t="shared" si="4"/>
        <v xml:space="preserve">half </v>
      </c>
      <c r="N316" s="4" cm="1">
        <f t="array" ref="N316">SUM(--(_xlfn.TEXTSPLIT($J$2,, " ") = L316))</f>
        <v>4</v>
      </c>
    </row>
    <row r="317" spans="5:14" x14ac:dyDescent="0.2">
      <c r="E317" s="4" t="s">
        <v>14</v>
      </c>
      <c r="K317" t="str">
        <v>Glued,</v>
      </c>
      <c r="M317" s="4" t="str">
        <f t="shared" si="4"/>
        <v xml:space="preserve">Glued </v>
      </c>
      <c r="N317" s="4" cm="1">
        <f t="array" ref="N317">SUM(--(_xlfn.TEXTSPLIT($J$2,, " ") = L317))</f>
        <v>4</v>
      </c>
    </row>
    <row r="318" spans="5:14" x14ac:dyDescent="0.2">
      <c r="E318" s="4" t="s">
        <v>14</v>
      </c>
      <c r="K318" t="str">
        <v>glued,</v>
      </c>
      <c r="M318" s="4" t="str">
        <f t="shared" si="4"/>
        <v xml:space="preserve">glued </v>
      </c>
      <c r="N318" s="4" cm="1">
        <f t="array" ref="N318">SUM(--(_xlfn.TEXTSPLIT($J$2,, " ") = L318))</f>
        <v>4</v>
      </c>
    </row>
    <row r="319" spans="5:14" x14ac:dyDescent="0.2">
      <c r="E319" s="4" t="s">
        <v>14</v>
      </c>
      <c r="K319" t="str">
        <v>glued,</v>
      </c>
      <c r="M319" s="4" t="str">
        <f t="shared" si="4"/>
        <v xml:space="preserve">glued </v>
      </c>
      <c r="N319" s="4" cm="1">
        <f t="array" ref="N319">SUM(--(_xlfn.TEXTSPLIT($J$2,, " ") = L319))</f>
        <v>4</v>
      </c>
    </row>
    <row r="320" spans="5:14" x14ac:dyDescent="0.2">
      <c r="E320" s="4" t="s">
        <v>14</v>
      </c>
      <c r="K320" t="str">
        <v xml:space="preserve">glued
</v>
      </c>
      <c r="M320" s="4" t="str">
        <f t="shared" si="4"/>
        <v xml:space="preserve">glued </v>
      </c>
      <c r="N320" s="4" cm="1">
        <f t="array" ref="N320">SUM(--(_xlfn.TEXTSPLIT($J$2,, " ") = L320))</f>
        <v>4</v>
      </c>
    </row>
    <row r="321" spans="5:14" x14ac:dyDescent="0.2">
      <c r="E321" s="4" t="s">
        <v>14</v>
      </c>
      <c r="K321" t="str">
        <v/>
      </c>
      <c r="M321" s="4" t="str">
        <f t="shared" si="4"/>
        <v/>
      </c>
      <c r="N321" s="4" cm="1">
        <f t="array" ref="N321">SUM(--(_xlfn.TEXTSPLIT($J$2,, " ") = L321))</f>
        <v>4</v>
      </c>
    </row>
    <row r="322" spans="5:14" x14ac:dyDescent="0.2">
      <c r="E322" s="4" t="s">
        <v>14</v>
      </c>
      <c r="K322" t="str">
        <v>My</v>
      </c>
      <c r="M322" s="4" t="str">
        <f t="shared" si="4"/>
        <v>My</v>
      </c>
      <c r="N322" s="4" cm="1">
        <f t="array" ref="N322">SUM(--(_xlfn.TEXTSPLIT($J$2,, " ") = L322))</f>
        <v>4</v>
      </c>
    </row>
    <row r="323" spans="5:14" x14ac:dyDescent="0.2">
      <c r="E323" s="4" t="s">
        <v>14</v>
      </c>
      <c r="K323" t="str">
        <v>smile</v>
      </c>
      <c r="M323" s="4" t="str">
        <f t="shared" ref="M323:M386" si="5">_xlfn.REGEXREPLACE(K323, "[^A-Za-z ]", " ")</f>
        <v>smile</v>
      </c>
      <c r="N323" s="4" cm="1">
        <f t="array" ref="N323">SUM(--(_xlfn.TEXTSPLIT($J$2,, " ") = L323))</f>
        <v>4</v>
      </c>
    </row>
    <row r="324" spans="5:14" x14ac:dyDescent="0.2">
      <c r="E324" s="4" t="s">
        <v>14</v>
      </c>
      <c r="K324" t="str">
        <v>wraps</v>
      </c>
      <c r="M324" s="4" t="str">
        <f t="shared" si="5"/>
        <v>wraps</v>
      </c>
      <c r="N324" s="4" cm="1">
        <f t="array" ref="N324">SUM(--(_xlfn.TEXTSPLIT($J$2,, " ") = L324))</f>
        <v>4</v>
      </c>
    </row>
    <row r="325" spans="5:14" x14ac:dyDescent="0.2">
      <c r="E325" s="4" t="s">
        <v>14</v>
      </c>
      <c r="K325" t="str">
        <v>around</v>
      </c>
      <c r="M325" s="4" t="str">
        <f t="shared" si="5"/>
        <v>around</v>
      </c>
      <c r="N325" s="4" cm="1">
        <f t="array" ref="N325">SUM(--(_xlfn.TEXTSPLIT($J$2,, " ") = L325))</f>
        <v>4</v>
      </c>
    </row>
    <row r="326" spans="5:14" x14ac:dyDescent="0.2">
      <c r="E326" s="4" t="s">
        <v>14</v>
      </c>
      <c r="K326" t="str">
        <v>my</v>
      </c>
      <c r="M326" s="4" t="str">
        <f t="shared" si="5"/>
        <v>my</v>
      </c>
      <c r="N326" s="4" cm="1">
        <f t="array" ref="N326">SUM(--(_xlfn.TEXTSPLIT($J$2,, " ") = L326))</f>
        <v>4</v>
      </c>
    </row>
    <row r="327" spans="5:14" x14ac:dyDescent="0.2">
      <c r="E327" s="4" t="s">
        <v>14</v>
      </c>
      <c r="K327" t="str">
        <v>head,</v>
      </c>
      <c r="M327" s="4" t="str">
        <f t="shared" si="5"/>
        <v xml:space="preserve">head </v>
      </c>
      <c r="N327" s="4" cm="1">
        <f t="array" ref="N327">SUM(--(_xlfn.TEXTSPLIT($J$2,, " ") = L327))</f>
        <v>4</v>
      </c>
    </row>
    <row r="328" spans="5:14" x14ac:dyDescent="0.2">
      <c r="E328" s="4" t="s">
        <v>14</v>
      </c>
      <c r="K328" t="str">
        <v>splitting</v>
      </c>
      <c r="M328" s="4" t="str">
        <f t="shared" si="5"/>
        <v>splitting</v>
      </c>
      <c r="N328" s="4" cm="1">
        <f t="array" ref="N328">SUM(--(_xlfn.TEXTSPLIT($J$2,, " ") = L328))</f>
        <v>4</v>
      </c>
    </row>
    <row r="329" spans="5:14" x14ac:dyDescent="0.2">
      <c r="E329" s="4" t="s">
        <v>14</v>
      </c>
      <c r="K329" t="str">
        <v>it</v>
      </c>
      <c r="M329" s="4" t="str">
        <f t="shared" si="5"/>
        <v>it</v>
      </c>
      <c r="N329" s="4" cm="1">
        <f t="array" ref="N329">SUM(--(_xlfn.TEXTSPLIT($J$2,, " ") = L329))</f>
        <v>4</v>
      </c>
    </row>
    <row r="330" spans="5:14" x14ac:dyDescent="0.2">
      <c r="E330" s="4" t="s">
        <v>14</v>
      </c>
      <c r="K330" t="str">
        <v xml:space="preserve">in
</v>
      </c>
      <c r="M330" s="4" t="str">
        <f t="shared" si="5"/>
        <v xml:space="preserve">in </v>
      </c>
      <c r="N330" s="4" cm="1">
        <f t="array" ref="N330">SUM(--(_xlfn.TEXTSPLIT($J$2,, " ") = L330))</f>
        <v>4</v>
      </c>
    </row>
    <row r="331" spans="5:14" x14ac:dyDescent="0.2">
      <c r="E331" s="4" t="s">
        <v>14</v>
      </c>
      <c r="K331" t="str">
        <v>Two,</v>
      </c>
      <c r="M331" s="4" t="str">
        <f t="shared" si="5"/>
        <v xml:space="preserve">Two </v>
      </c>
      <c r="N331" s="4" cm="1">
        <f t="array" ref="N331">SUM(--(_xlfn.TEXTSPLIT($J$2,, " ") = L331))</f>
        <v>4</v>
      </c>
    </row>
    <row r="332" spans="5:14" x14ac:dyDescent="0.2">
      <c r="E332" s="4" t="s">
        <v>14</v>
      </c>
      <c r="K332" t="str">
        <v>two,</v>
      </c>
      <c r="M332" s="4" t="str">
        <f t="shared" si="5"/>
        <v xml:space="preserve">two </v>
      </c>
      <c r="N332" s="4" cm="1">
        <f t="array" ref="N332">SUM(--(_xlfn.TEXTSPLIT($J$2,, " ") = L332))</f>
        <v>4</v>
      </c>
    </row>
    <row r="333" spans="5:14" x14ac:dyDescent="0.2">
      <c r="E333" s="4" t="s">
        <v>14</v>
      </c>
      <c r="K333" t="str">
        <v>two,</v>
      </c>
      <c r="M333" s="4" t="str">
        <f t="shared" si="5"/>
        <v xml:space="preserve">two </v>
      </c>
      <c r="N333" s="4" cm="1">
        <f t="array" ref="N333">SUM(--(_xlfn.TEXTSPLIT($J$2,, " ") = L333))</f>
        <v>4</v>
      </c>
    </row>
    <row r="334" spans="5:14" x14ac:dyDescent="0.2">
      <c r="E334" s="4" t="s">
        <v>14</v>
      </c>
      <c r="K334" t="str">
        <v xml:space="preserve">two
</v>
      </c>
      <c r="M334" s="4" t="str">
        <f t="shared" si="5"/>
        <v xml:space="preserve">two </v>
      </c>
      <c r="N334" s="4" cm="1">
        <f t="array" ref="N334">SUM(--(_xlfn.TEXTSPLIT($J$2,, " ") = L334))</f>
        <v>4</v>
      </c>
    </row>
    <row r="335" spans="5:14" x14ac:dyDescent="0.2">
      <c r="E335" s="4" t="s">
        <v>14</v>
      </c>
      <c r="K335" t="str">
        <v/>
      </c>
      <c r="M335" s="4" t="str">
        <f t="shared" si="5"/>
        <v/>
      </c>
      <c r="N335" s="4" cm="1">
        <f t="array" ref="N335">SUM(--(_xlfn.TEXTSPLIT($J$2,, " ") = L335))</f>
        <v>4</v>
      </c>
    </row>
    <row r="336" spans="5:14" x14ac:dyDescent="0.2">
      <c r="E336" s="4" t="s">
        <v>14</v>
      </c>
      <c r="K336" t="str">
        <v>I</v>
      </c>
      <c r="M336" s="4" t="str">
        <f t="shared" si="5"/>
        <v>I</v>
      </c>
      <c r="N336" s="4" cm="1">
        <f t="array" ref="N336">SUM(--(_xlfn.TEXTSPLIT($J$2,, " ") = L336))</f>
        <v>4</v>
      </c>
    </row>
    <row r="337" spans="5:14" x14ac:dyDescent="0.2">
      <c r="E337" s="4" t="s">
        <v>14</v>
      </c>
      <c r="K337" t="str">
        <v>don't</v>
      </c>
      <c r="M337" s="4" t="str">
        <f t="shared" si="5"/>
        <v>don t</v>
      </c>
      <c r="N337" s="4" cm="1">
        <f t="array" ref="N337">SUM(--(_xlfn.TEXTSPLIT($J$2,, " ") = L337))</f>
        <v>4</v>
      </c>
    </row>
    <row r="338" spans="5:14" x14ac:dyDescent="0.2">
      <c r="E338" s="4" t="s">
        <v>14</v>
      </c>
      <c r="K338" t="str">
        <v>have</v>
      </c>
      <c r="M338" s="4" t="str">
        <f t="shared" si="5"/>
        <v>have</v>
      </c>
      <c r="N338" s="4" cm="1">
        <f t="array" ref="N338">SUM(--(_xlfn.TEXTSPLIT($J$2,, " ") = L338))</f>
        <v>4</v>
      </c>
    </row>
    <row r="339" spans="5:14" x14ac:dyDescent="0.2">
      <c r="E339" s="4" t="s">
        <v>14</v>
      </c>
      <c r="K339" t="str">
        <v>a</v>
      </c>
      <c r="M339" s="4" t="str">
        <f t="shared" si="5"/>
        <v>a</v>
      </c>
      <c r="N339" s="4" cm="1">
        <f t="array" ref="N339">SUM(--(_xlfn.TEXTSPLIT($J$2,, " ") = L339))</f>
        <v>4</v>
      </c>
    </row>
    <row r="340" spans="5:14" x14ac:dyDescent="0.2">
      <c r="E340" s="4" t="s">
        <v>14</v>
      </c>
      <c r="K340" t="str">
        <v>clue</v>
      </c>
      <c r="M340" s="4" t="str">
        <f t="shared" si="5"/>
        <v>clue</v>
      </c>
      <c r="N340" s="4" cm="1">
        <f t="array" ref="N340">SUM(--(_xlfn.TEXTSPLIT($J$2,, " ") = L340))</f>
        <v>4</v>
      </c>
    </row>
    <row r="341" spans="5:14" x14ac:dyDescent="0.2">
      <c r="E341" s="4" t="s">
        <v>14</v>
      </c>
      <c r="K341" t="str">
        <v>how</v>
      </c>
      <c r="M341" s="4" t="str">
        <f t="shared" si="5"/>
        <v>how</v>
      </c>
      <c r="N341" s="4" cm="1">
        <f t="array" ref="N341">SUM(--(_xlfn.TEXTSPLIT($J$2,, " ") = L341))</f>
        <v>4</v>
      </c>
    </row>
    <row r="342" spans="5:14" x14ac:dyDescent="0.2">
      <c r="E342" s="4" t="s">
        <v>14</v>
      </c>
      <c r="K342" t="str">
        <v>I</v>
      </c>
      <c r="M342" s="4" t="str">
        <f t="shared" si="5"/>
        <v>I</v>
      </c>
      <c r="N342" s="4" cm="1">
        <f t="array" ref="N342">SUM(--(_xlfn.TEXTSPLIT($J$2,, " ") = L342))</f>
        <v>4</v>
      </c>
    </row>
    <row r="343" spans="5:14" x14ac:dyDescent="0.2">
      <c r="E343" s="4" t="s">
        <v>14</v>
      </c>
      <c r="K343" t="str">
        <v>can</v>
      </c>
      <c r="M343" s="4" t="str">
        <f t="shared" si="5"/>
        <v>can</v>
      </c>
      <c r="N343" s="4" cm="1">
        <f t="array" ref="N343">SUM(--(_xlfn.TEXTSPLIT($J$2,, " ") = L343))</f>
        <v>4</v>
      </c>
    </row>
    <row r="344" spans="5:14" x14ac:dyDescent="0.2">
      <c r="E344" s="4" t="s">
        <v>14</v>
      </c>
      <c r="K344" t="str">
        <v>keep</v>
      </c>
      <c r="M344" s="4" t="str">
        <f t="shared" si="5"/>
        <v>keep</v>
      </c>
      <c r="N344" s="4" cm="1">
        <f t="array" ref="N344">SUM(--(_xlfn.TEXTSPLIT($J$2,, " ") = L344))</f>
        <v>4</v>
      </c>
    </row>
    <row r="345" spans="5:14" x14ac:dyDescent="0.2">
      <c r="E345" s="4" t="s">
        <v>14</v>
      </c>
      <c r="K345" t="str">
        <v>the</v>
      </c>
      <c r="M345" s="4" t="str">
        <f t="shared" si="5"/>
        <v>the</v>
      </c>
      <c r="N345" s="4" cm="1">
        <f t="array" ref="N345">SUM(--(_xlfn.TEXTSPLIT($J$2,, " ") = L345))</f>
        <v>4</v>
      </c>
    </row>
    <row r="346" spans="5:14" x14ac:dyDescent="0.2">
      <c r="E346" s="4" t="s">
        <v>14</v>
      </c>
      <c r="K346" t="str">
        <v>top</v>
      </c>
      <c r="M346" s="4" t="str">
        <f t="shared" si="5"/>
        <v>top</v>
      </c>
      <c r="N346" s="4" cm="1">
        <f t="array" ref="N346">SUM(--(_xlfn.TEXTSPLIT($J$2,, " ") = L346))</f>
        <v>4</v>
      </c>
    </row>
    <row r="347" spans="5:14" x14ac:dyDescent="0.2">
      <c r="E347" s="4" t="s">
        <v>14</v>
      </c>
      <c r="K347" t="str">
        <v xml:space="preserve">half
</v>
      </c>
      <c r="M347" s="4" t="str">
        <f t="shared" si="5"/>
        <v xml:space="preserve">half </v>
      </c>
      <c r="N347" s="4" cm="1">
        <f t="array" ref="N347">SUM(--(_xlfn.TEXTSPLIT($J$2,, " ") = L347))</f>
        <v>4</v>
      </c>
    </row>
    <row r="348" spans="5:14" x14ac:dyDescent="0.2">
      <c r="E348" s="4" t="s">
        <v>14</v>
      </c>
      <c r="K348" t="str">
        <v>Glued,</v>
      </c>
      <c r="M348" s="4" t="str">
        <f t="shared" si="5"/>
        <v xml:space="preserve">Glued </v>
      </c>
      <c r="N348" s="4" cm="1">
        <f t="array" ref="N348">SUM(--(_xlfn.TEXTSPLIT($J$2,, " ") = L348))</f>
        <v>4</v>
      </c>
    </row>
    <row r="349" spans="5:14" x14ac:dyDescent="0.2">
      <c r="E349" s="4" t="s">
        <v>14</v>
      </c>
      <c r="K349" t="str">
        <v>glued,</v>
      </c>
      <c r="M349" s="4" t="str">
        <f t="shared" si="5"/>
        <v xml:space="preserve">glued </v>
      </c>
      <c r="N349" s="4" cm="1">
        <f t="array" ref="N349">SUM(--(_xlfn.TEXTSPLIT($J$2,, " ") = L349))</f>
        <v>4</v>
      </c>
    </row>
    <row r="350" spans="5:14" x14ac:dyDescent="0.2">
      <c r="E350" s="4" t="s">
        <v>14</v>
      </c>
      <c r="K350" t="str">
        <v>glued,</v>
      </c>
      <c r="M350" s="4" t="str">
        <f t="shared" si="5"/>
        <v xml:space="preserve">glued </v>
      </c>
      <c r="N350" s="4" cm="1">
        <f t="array" ref="N350">SUM(--(_xlfn.TEXTSPLIT($J$2,, " ") = L350))</f>
        <v>4</v>
      </c>
    </row>
    <row r="351" spans="5:14" x14ac:dyDescent="0.2">
      <c r="E351" s="4" t="s">
        <v>14</v>
      </c>
      <c r="K351" t="str">
        <v xml:space="preserve">glued
</v>
      </c>
      <c r="M351" s="4" t="str">
        <f t="shared" si="5"/>
        <v xml:space="preserve">glued  </v>
      </c>
      <c r="N351" s="4" cm="1">
        <f t="array" ref="N351">SUM(--(_xlfn.TEXTSPLIT($J$2,, " ") = L351))</f>
        <v>4</v>
      </c>
    </row>
    <row r="352" spans="5:14" x14ac:dyDescent="0.2">
      <c r="E352" s="4" t="s">
        <v>14</v>
      </c>
      <c r="K352" t="str">
        <v/>
      </c>
      <c r="M352" s="4" t="str">
        <f t="shared" si="5"/>
        <v/>
      </c>
      <c r="N352" s="4" cm="1">
        <f t="array" ref="N352">SUM(--(_xlfn.TEXTSPLIT($J$2,, " ") = L352))</f>
        <v>4</v>
      </c>
    </row>
    <row r="353" spans="5:14" x14ac:dyDescent="0.2">
      <c r="E353" s="4" t="s">
        <v>14</v>
      </c>
      <c r="K353" t="str">
        <v>I</v>
      </c>
      <c r="M353" s="4" t="str">
        <f t="shared" si="5"/>
        <v>I</v>
      </c>
      <c r="N353" s="4" cm="1">
        <f t="array" ref="N353">SUM(--(_xlfn.TEXTSPLIT($J$2,, " ") = L353))</f>
        <v>4</v>
      </c>
    </row>
    <row r="354" spans="5:14" x14ac:dyDescent="0.2">
      <c r="E354" s="4" t="s">
        <v>14</v>
      </c>
      <c r="K354" t="str">
        <v>wonder</v>
      </c>
      <c r="M354" s="4" t="str">
        <f t="shared" si="5"/>
        <v>wonder</v>
      </c>
      <c r="N354" s="4" cm="1">
        <f t="array" ref="N354">SUM(--(_xlfn.TEXTSPLIT($J$2,, " ") = L354))</f>
        <v>4</v>
      </c>
    </row>
    <row r="355" spans="5:14" x14ac:dyDescent="0.2">
      <c r="E355" s="4" t="s">
        <v>14</v>
      </c>
      <c r="K355" t="str">
        <v>where</v>
      </c>
      <c r="M355" s="4" t="str">
        <f t="shared" si="5"/>
        <v>where</v>
      </c>
      <c r="N355" s="4" cm="1">
        <f t="array" ref="N355">SUM(--(_xlfn.TEXTSPLIT($J$2,, " ") = L355))</f>
        <v>4</v>
      </c>
    </row>
    <row r="356" spans="5:14" x14ac:dyDescent="0.2">
      <c r="E356" s="4" t="s">
        <v>14</v>
      </c>
      <c r="K356" t="str">
        <v>you</v>
      </c>
      <c r="M356" s="4" t="str">
        <f t="shared" si="5"/>
        <v>you</v>
      </c>
      <c r="N356" s="4" cm="1">
        <f t="array" ref="N356">SUM(--(_xlfn.TEXTSPLIT($J$2,, " ") = L356))</f>
        <v>4</v>
      </c>
    </row>
    <row r="357" spans="5:14" x14ac:dyDescent="0.2">
      <c r="E357" s="4" t="s">
        <v>14</v>
      </c>
      <c r="K357" t="str">
        <v>are
I</v>
      </c>
      <c r="M357" s="4" t="str">
        <f t="shared" si="5"/>
        <v>are I</v>
      </c>
      <c r="N357" s="4" cm="1">
        <f t="array" ref="N357">SUM(--(_xlfn.TEXTSPLIT($J$2,, " ") = L357))</f>
        <v>4</v>
      </c>
    </row>
    <row r="358" spans="5:14" x14ac:dyDescent="0.2">
      <c r="E358" s="4" t="s">
        <v>14</v>
      </c>
      <c r="K358" t="str">
        <v>wanted</v>
      </c>
      <c r="M358" s="4" t="str">
        <f t="shared" si="5"/>
        <v>wanted</v>
      </c>
      <c r="N358" s="4" cm="1">
        <f t="array" ref="N358">SUM(--(_xlfn.TEXTSPLIT($J$2,, " ") = L358))</f>
        <v>4</v>
      </c>
    </row>
    <row r="359" spans="5:14" x14ac:dyDescent="0.2">
      <c r="E359" s="4" t="s">
        <v>14</v>
      </c>
      <c r="K359" t="str">
        <v>you</v>
      </c>
      <c r="M359" s="4" t="str">
        <f t="shared" si="5"/>
        <v>you</v>
      </c>
      <c r="N359" s="4" cm="1">
        <f t="array" ref="N359">SUM(--(_xlfn.TEXTSPLIT($J$2,, " ") = L359))</f>
        <v>4</v>
      </c>
    </row>
    <row r="360" spans="5:14" x14ac:dyDescent="0.2">
      <c r="E360" s="4" t="s">
        <v>14</v>
      </c>
      <c r="K360" t="str">
        <v>to</v>
      </c>
      <c r="M360" s="4" t="str">
        <f t="shared" si="5"/>
        <v>to</v>
      </c>
      <c r="N360" s="4" cm="1">
        <f t="array" ref="N360">SUM(--(_xlfn.TEXTSPLIT($J$2,, " ") = L360))</f>
        <v>4</v>
      </c>
    </row>
    <row r="361" spans="5:14" x14ac:dyDescent="0.2">
      <c r="E361" s="4" t="s">
        <v>14</v>
      </c>
      <c r="K361" t="str">
        <v>show</v>
      </c>
      <c r="M361" s="4" t="str">
        <f t="shared" si="5"/>
        <v>show</v>
      </c>
      <c r="N361" s="4" cm="1">
        <f t="array" ref="N361">SUM(--(_xlfn.TEXTSPLIT($J$2,, " ") = L361))</f>
        <v>4</v>
      </c>
    </row>
    <row r="362" spans="5:14" x14ac:dyDescent="0.2">
      <c r="E362" s="4" t="s">
        <v>14</v>
      </c>
      <c r="K362" t="str">
        <v xml:space="preserve">me
</v>
      </c>
      <c r="M362" s="4" t="str">
        <f t="shared" si="5"/>
        <v xml:space="preserve">me  </v>
      </c>
      <c r="N362" s="4" cm="1">
        <f t="array" ref="N362">SUM(--(_xlfn.TEXTSPLIT($J$2,, " ") = L362))</f>
        <v>4</v>
      </c>
    </row>
    <row r="363" spans="5:14" x14ac:dyDescent="0.2">
      <c r="E363" s="4" t="s">
        <v>14</v>
      </c>
      <c r="K363" t="str">
        <v>Entertain</v>
      </c>
      <c r="M363" s="4" t="str">
        <f t="shared" si="5"/>
        <v>Entertain</v>
      </c>
      <c r="N363" s="4" cm="1">
        <f t="array" ref="N363">SUM(--(_xlfn.TEXTSPLIT($J$2,, " ") = L363))</f>
        <v>4</v>
      </c>
    </row>
    <row r="364" spans="5:14" x14ac:dyDescent="0.2">
      <c r="E364" s="4" t="s">
        <v>14</v>
      </c>
      <c r="K364" t="str">
        <v>my,</v>
      </c>
      <c r="M364" s="4" t="str">
        <f t="shared" si="5"/>
        <v xml:space="preserve">my </v>
      </c>
      <c r="N364" s="4" cm="1">
        <f t="array" ref="N364">SUM(--(_xlfn.TEXTSPLIT($J$2,, " ") = L364))</f>
        <v>4</v>
      </c>
    </row>
    <row r="365" spans="5:14" x14ac:dyDescent="0.2">
      <c r="E365" s="4" t="s">
        <v>14</v>
      </c>
      <c r="K365" t="str">
        <v>entertain</v>
      </c>
      <c r="M365" s="4" t="str">
        <f t="shared" si="5"/>
        <v>entertain</v>
      </c>
      <c r="N365" s="4" cm="1">
        <f t="array" ref="N365">SUM(--(_xlfn.TEXTSPLIT($J$2,, " ") = L365))</f>
        <v>4</v>
      </c>
    </row>
    <row r="366" spans="5:14" x14ac:dyDescent="0.2">
      <c r="E366" s="4" t="s">
        <v>14</v>
      </c>
      <c r="K366" t="str">
        <v xml:space="preserve">my
</v>
      </c>
      <c r="M366" s="4" t="str">
        <f t="shared" si="5"/>
        <v xml:space="preserve">my </v>
      </c>
      <c r="N366" s="4" cm="1">
        <f t="array" ref="N366">SUM(--(_xlfn.TEXTSPLIT($J$2,, " ") = L366))</f>
        <v>4</v>
      </c>
    </row>
    <row r="367" spans="5:14" x14ac:dyDescent="0.2">
      <c r="E367" s="4" t="s">
        <v>14</v>
      </c>
      <c r="K367" t="str">
        <v>Entertain</v>
      </c>
      <c r="M367" s="4" t="str">
        <f t="shared" si="5"/>
        <v>Entertain</v>
      </c>
      <c r="N367" s="4" cm="1">
        <f t="array" ref="N367">SUM(--(_xlfn.TEXTSPLIT($J$2,, " ") = L367))</f>
        <v>4</v>
      </c>
    </row>
    <row r="368" spans="5:14" x14ac:dyDescent="0.2">
      <c r="E368" s="4" t="s">
        <v>14</v>
      </c>
      <c r="K368" t="str">
        <v>my,</v>
      </c>
      <c r="M368" s="4" t="str">
        <f t="shared" si="5"/>
        <v xml:space="preserve">my </v>
      </c>
      <c r="N368" s="4" cm="1">
        <f t="array" ref="N368">SUM(--(_xlfn.TEXTSPLIT($J$2,, " ") = L368))</f>
        <v>4</v>
      </c>
    </row>
    <row r="369" spans="5:14" x14ac:dyDescent="0.2">
      <c r="E369" s="4" t="s">
        <v>14</v>
      </c>
      <c r="K369" t="str">
        <v>entertain</v>
      </c>
      <c r="M369" s="4" t="str">
        <f t="shared" si="5"/>
        <v>entertain</v>
      </c>
      <c r="N369" s="4" cm="1">
        <f t="array" ref="N369">SUM(--(_xlfn.TEXTSPLIT($J$2,, " ") = L369))</f>
        <v>4</v>
      </c>
    </row>
    <row r="370" spans="5:14" x14ac:dyDescent="0.2">
      <c r="E370" s="4" t="s">
        <v>14</v>
      </c>
      <c r="K370" t="str">
        <v xml:space="preserve">my
</v>
      </c>
      <c r="M370" s="4" t="str">
        <f t="shared" si="5"/>
        <v xml:space="preserve">my </v>
      </c>
      <c r="N370" s="4" cm="1">
        <f t="array" ref="N370">SUM(--(_xlfn.TEXTSPLIT($J$2,, " ") = L370))</f>
        <v>4</v>
      </c>
    </row>
    <row r="371" spans="5:14" x14ac:dyDescent="0.2">
      <c r="E371" s="4" t="s">
        <v>14</v>
      </c>
      <c r="K371" t="str">
        <v>Entertain</v>
      </c>
      <c r="M371" s="4" t="str">
        <f t="shared" si="5"/>
        <v>Entertain</v>
      </c>
      <c r="N371" s="4" cm="1">
        <f t="array" ref="N371">SUM(--(_xlfn.TEXTSPLIT($J$2,, " ") = L371))</f>
        <v>4</v>
      </c>
    </row>
    <row r="372" spans="5:14" x14ac:dyDescent="0.2">
      <c r="E372" s="4" t="s">
        <v>14</v>
      </c>
      <c r="K372" t="str">
        <v>my,</v>
      </c>
      <c r="M372" s="4" t="str">
        <f t="shared" si="5"/>
        <v xml:space="preserve">my </v>
      </c>
      <c r="N372" s="4" cm="1">
        <f t="array" ref="N372">SUM(--(_xlfn.TEXTSPLIT($J$2,, " ") = L372))</f>
        <v>4</v>
      </c>
    </row>
    <row r="373" spans="5:14" x14ac:dyDescent="0.2">
      <c r="E373" s="4" t="s">
        <v>14</v>
      </c>
      <c r="K373" t="str">
        <v>entertain</v>
      </c>
      <c r="M373" s="4" t="str">
        <f t="shared" si="5"/>
        <v>entertain</v>
      </c>
      <c r="N373" s="4" cm="1">
        <f t="array" ref="N373">SUM(--(_xlfn.TEXTSPLIT($J$2,, " ") = L373))</f>
        <v>4</v>
      </c>
    </row>
    <row r="374" spans="5:14" x14ac:dyDescent="0.2">
      <c r="E374" s="4" t="s">
        <v>14</v>
      </c>
      <c r="K374" t="str">
        <v xml:space="preserve">my
</v>
      </c>
      <c r="M374" s="4" t="str">
        <f t="shared" si="5"/>
        <v xml:space="preserve">my </v>
      </c>
      <c r="N374" s="4" cm="1">
        <f t="array" ref="N374">SUM(--(_xlfn.TEXTSPLIT($J$2,, " ") = L374))</f>
        <v>4</v>
      </c>
    </row>
    <row r="375" spans="5:14" x14ac:dyDescent="0.2">
      <c r="E375" s="4" t="s">
        <v>14</v>
      </c>
      <c r="K375" t="str">
        <v>Entertain</v>
      </c>
      <c r="M375" s="4" t="str">
        <f t="shared" si="5"/>
        <v>Entertain</v>
      </c>
      <c r="N375" s="4" cm="1">
        <f t="array" ref="N375">SUM(--(_xlfn.TEXTSPLIT($J$2,, " ") = L375))</f>
        <v>4</v>
      </c>
    </row>
    <row r="376" spans="5:14" x14ac:dyDescent="0.2">
      <c r="E376" s="4" t="s">
        <v>14</v>
      </c>
      <c r="K376" t="str">
        <v>my,</v>
      </c>
      <c r="M376" s="4" t="str">
        <f t="shared" si="5"/>
        <v xml:space="preserve">my </v>
      </c>
      <c r="N376" s="4" cm="1">
        <f t="array" ref="N376">SUM(--(_xlfn.TEXTSPLIT($J$2,, " ") = L376))</f>
        <v>4</v>
      </c>
    </row>
    <row r="377" spans="5:14" x14ac:dyDescent="0.2">
      <c r="E377" s="4" t="s">
        <v>14</v>
      </c>
      <c r="K377" t="str">
        <v>entertain</v>
      </c>
      <c r="M377" s="4" t="str">
        <f t="shared" si="5"/>
        <v>entertain</v>
      </c>
      <c r="N377" s="4" cm="1">
        <f t="array" ref="N377">SUM(--(_xlfn.TEXTSPLIT($J$2,, " ") = L377))</f>
        <v>4</v>
      </c>
    </row>
    <row r="378" spans="5:14" x14ac:dyDescent="0.2">
      <c r="E378" s="4" t="s">
        <v>14</v>
      </c>
      <c r="K378" t="str">
        <v>my</v>
      </c>
      <c r="M378" s="4" t="str">
        <f t="shared" si="5"/>
        <v>my</v>
      </c>
      <c r="N378" s="4" cm="1">
        <f t="array" ref="N378">SUM(--(_xlfn.TEXTSPLIT($J$2,, " ") = L378))</f>
        <v>4</v>
      </c>
    </row>
    <row r="379" spans="5:14" x14ac:dyDescent="0.2">
      <c r="E379" s="4" t="s">
        <v>14</v>
      </c>
      <c r="K379" t="str">
        <v xml:space="preserve">faith
</v>
      </c>
      <c r="M379" s="4" t="str">
        <f t="shared" si="5"/>
        <v xml:space="preserve">faith </v>
      </c>
      <c r="N379" s="4" cm="1">
        <f t="array" ref="N379">SUM(--(_xlfn.TEXTSPLIT($J$2,, " ") = L379))</f>
        <v>4</v>
      </c>
    </row>
    <row r="380" spans="5:14" x14ac:dyDescent="0.2">
      <c r="E380" s="4" t="s">
        <v>14</v>
      </c>
      <c r="K380" t="str">
        <v/>
      </c>
      <c r="M380" s="4" t="str">
        <f t="shared" si="5"/>
        <v/>
      </c>
      <c r="N380" s="4" cm="1">
        <f t="array" ref="N380">SUM(--(_xlfn.TEXTSPLIT($J$2,, " ") = L380))</f>
        <v>4</v>
      </c>
    </row>
    <row r="381" spans="5:14" x14ac:dyDescent="0.2">
      <c r="E381" s="4" t="s">
        <v>14</v>
      </c>
      <c r="K381" t="str">
        <v>This</v>
      </c>
      <c r="M381" s="4" t="str">
        <f t="shared" si="5"/>
        <v>This</v>
      </c>
      <c r="N381" s="4" cm="1">
        <f t="array" ref="N381">SUM(--(_xlfn.TEXTSPLIT($J$2,, " ") = L381))</f>
        <v>4</v>
      </c>
    </row>
    <row r="382" spans="5:14" x14ac:dyDescent="0.2">
      <c r="E382" s="4" t="s">
        <v>14</v>
      </c>
      <c r="K382" t="str">
        <v>is</v>
      </c>
      <c r="M382" s="4" t="str">
        <f t="shared" si="5"/>
        <v>is</v>
      </c>
      <c r="N382" s="4" cm="1">
        <f t="array" ref="N382">SUM(--(_xlfn.TEXTSPLIT($J$2,, " ") = L382))</f>
        <v>4</v>
      </c>
    </row>
    <row r="383" spans="5:14" x14ac:dyDescent="0.2">
      <c r="E383" s="4" t="s">
        <v>14</v>
      </c>
      <c r="K383" t="str">
        <v>the</v>
      </c>
      <c r="M383" s="4" t="str">
        <f t="shared" si="5"/>
        <v>the</v>
      </c>
      <c r="N383" s="4" cm="1">
        <f t="array" ref="N383">SUM(--(_xlfn.TEXTSPLIT($J$2,, " ") = L383))</f>
        <v>4</v>
      </c>
    </row>
    <row r="384" spans="5:14" x14ac:dyDescent="0.2">
      <c r="E384" s="4" t="s">
        <v>14</v>
      </c>
      <c r="K384" t="str">
        <v>last</v>
      </c>
      <c r="M384" s="4" t="str">
        <f t="shared" si="5"/>
        <v>last</v>
      </c>
      <c r="N384" s="4" cm="1">
        <f t="array" ref="N384">SUM(--(_xlfn.TEXTSPLIT($J$2,, " ") = L384))</f>
        <v>4</v>
      </c>
    </row>
    <row r="385" spans="5:14" x14ac:dyDescent="0.2">
      <c r="E385" s="4" t="s">
        <v>14</v>
      </c>
      <c r="K385" t="str">
        <v>time,</v>
      </c>
      <c r="M385" s="4" t="str">
        <f t="shared" si="5"/>
        <v xml:space="preserve">time </v>
      </c>
      <c r="N385" s="4" cm="1">
        <f t="array" ref="N385">SUM(--(_xlfn.TEXTSPLIT($J$2,, " ") = L385))</f>
        <v>4</v>
      </c>
    </row>
    <row r="386" spans="5:14" x14ac:dyDescent="0.2">
      <c r="E386" s="4" t="s">
        <v>14</v>
      </c>
      <c r="K386" t="str">
        <v>this</v>
      </c>
      <c r="M386" s="4" t="str">
        <f t="shared" si="5"/>
        <v>this</v>
      </c>
      <c r="N386" s="4" cm="1">
        <f t="array" ref="N386">SUM(--(_xlfn.TEXTSPLIT($J$2,, " ") = L386))</f>
        <v>4</v>
      </c>
    </row>
    <row r="387" spans="5:14" x14ac:dyDescent="0.2">
      <c r="E387" s="4" t="s">
        <v>14</v>
      </c>
      <c r="K387" t="str">
        <v>is</v>
      </c>
      <c r="M387" s="4" t="str">
        <f t="shared" ref="M387:M450" si="6">_xlfn.REGEXREPLACE(K387, "[^A-Za-z ]", " ")</f>
        <v>is</v>
      </c>
      <c r="N387" s="4" cm="1">
        <f t="array" ref="N387">SUM(--(_xlfn.TEXTSPLIT($J$2,, " ") = L387))</f>
        <v>4</v>
      </c>
    </row>
    <row r="388" spans="5:14" x14ac:dyDescent="0.2">
      <c r="E388" s="4" t="s">
        <v>14</v>
      </c>
      <c r="K388" t="str">
        <v>the</v>
      </c>
      <c r="M388" s="4" t="str">
        <f t="shared" si="6"/>
        <v>the</v>
      </c>
      <c r="N388" s="4" cm="1">
        <f t="array" ref="N388">SUM(--(_xlfn.TEXTSPLIT($J$2,, " ") = L388))</f>
        <v>4</v>
      </c>
    </row>
    <row r="389" spans="5:14" x14ac:dyDescent="0.2">
      <c r="E389" s="4" t="s">
        <v>14</v>
      </c>
      <c r="K389" t="str">
        <v>last</v>
      </c>
      <c r="M389" s="4" t="str">
        <f t="shared" si="6"/>
        <v>last</v>
      </c>
      <c r="N389" s="4" cm="1">
        <f t="array" ref="N389">SUM(--(_xlfn.TEXTSPLIT($J$2,, " ") = L389))</f>
        <v>4</v>
      </c>
    </row>
    <row r="390" spans="5:14" x14ac:dyDescent="0.2">
      <c r="E390" s="4" t="s">
        <v>14</v>
      </c>
      <c r="K390" t="str">
        <v xml:space="preserve">time
</v>
      </c>
      <c r="M390" s="4" t="str">
        <f t="shared" si="6"/>
        <v xml:space="preserve">time </v>
      </c>
      <c r="N390" s="4" cm="1">
        <f t="array" ref="N390">SUM(--(_xlfn.TEXTSPLIT($J$2,, " ") = L390))</f>
        <v>4</v>
      </c>
    </row>
    <row r="391" spans="5:14" x14ac:dyDescent="0.2">
      <c r="E391" s="4" t="s">
        <v>14</v>
      </c>
      <c r="K391" t="str">
        <v>Entertain</v>
      </c>
      <c r="M391" s="4" t="str">
        <f t="shared" si="6"/>
        <v>Entertain</v>
      </c>
      <c r="N391" s="4" cm="1">
        <f t="array" ref="N391">SUM(--(_xlfn.TEXTSPLIT($J$2,, " ") = L391))</f>
        <v>4</v>
      </c>
    </row>
    <row r="392" spans="5:14" x14ac:dyDescent="0.2">
      <c r="E392" s="4" t="s">
        <v>14</v>
      </c>
      <c r="K392" t="str">
        <v>my</v>
      </c>
      <c r="M392" s="4" t="str">
        <f t="shared" si="6"/>
        <v>my</v>
      </c>
      <c r="N392" s="4" cm="1">
        <f t="array" ref="N392">SUM(--(_xlfn.TEXTSPLIT($J$2,, " ") = L392))</f>
        <v>4</v>
      </c>
    </row>
    <row r="393" spans="5:14" x14ac:dyDescent="0.2">
      <c r="E393" s="4" t="s">
        <v>14</v>
      </c>
      <c r="K393" t="str">
        <v xml:space="preserve">faith
</v>
      </c>
      <c r="M393" s="4" t="str">
        <f t="shared" si="6"/>
        <v xml:space="preserve">faith </v>
      </c>
      <c r="N393" s="4" cm="1">
        <f t="array" ref="N393">SUM(--(_xlfn.TEXTSPLIT($J$2,, " ") = L393))</f>
        <v>4</v>
      </c>
    </row>
    <row r="394" spans="5:14" x14ac:dyDescent="0.2">
      <c r="E394" s="4" t="s">
        <v>14</v>
      </c>
      <c r="K394" t="str">
        <v>This</v>
      </c>
      <c r="M394" s="4" t="str">
        <f t="shared" si="6"/>
        <v>This</v>
      </c>
      <c r="N394" s="4" cm="1">
        <f t="array" ref="N394">SUM(--(_xlfn.TEXTSPLIT($J$2,, " ") = L394))</f>
        <v>4</v>
      </c>
    </row>
    <row r="395" spans="5:14" x14ac:dyDescent="0.2">
      <c r="E395" s="4" t="s">
        <v>14</v>
      </c>
      <c r="K395" t="str">
        <v>is</v>
      </c>
      <c r="M395" s="4" t="str">
        <f t="shared" si="6"/>
        <v>is</v>
      </c>
      <c r="N395" s="4" cm="1">
        <f t="array" ref="N395">SUM(--(_xlfn.TEXTSPLIT($J$2,, " ") = L395))</f>
        <v>4</v>
      </c>
    </row>
    <row r="396" spans="5:14" x14ac:dyDescent="0.2">
      <c r="E396" s="4" t="s">
        <v>14</v>
      </c>
      <c r="K396" t="str">
        <v>the</v>
      </c>
      <c r="M396" s="4" t="str">
        <f t="shared" si="6"/>
        <v>the</v>
      </c>
      <c r="N396" s="4" cm="1">
        <f t="array" ref="N396">SUM(--(_xlfn.TEXTSPLIT($J$2,, " ") = L396))</f>
        <v>4</v>
      </c>
    </row>
    <row r="397" spans="5:14" x14ac:dyDescent="0.2">
      <c r="E397" s="4" t="s">
        <v>14</v>
      </c>
      <c r="K397" t="str">
        <v>last</v>
      </c>
      <c r="M397" s="4" t="str">
        <f t="shared" si="6"/>
        <v>last</v>
      </c>
      <c r="N397" s="4" cm="1">
        <f t="array" ref="N397">SUM(--(_xlfn.TEXTSPLIT($J$2,, " ") = L397))</f>
        <v>4</v>
      </c>
    </row>
    <row r="398" spans="5:14" x14ac:dyDescent="0.2">
      <c r="E398" s="4" t="s">
        <v>14</v>
      </c>
      <c r="K398" t="str">
        <v>time</v>
      </c>
      <c r="M398" s="4" t="str">
        <f t="shared" si="6"/>
        <v>time</v>
      </c>
      <c r="N398" s="4" cm="1">
        <f t="array" ref="N398">SUM(--(_xlfn.TEXTSPLIT($J$2,, " ") = L398))</f>
        <v>4</v>
      </c>
    </row>
    <row r="399" spans="5:14" x14ac:dyDescent="0.2">
      <c r="E399" s="4" t="s">
        <v>14</v>
      </c>
      <c r="K399" t="str">
        <v>that</v>
      </c>
      <c r="M399" s="4" t="str">
        <f t="shared" si="6"/>
        <v>that</v>
      </c>
      <c r="N399" s="4" cm="1">
        <f t="array" ref="N399">SUM(--(_xlfn.TEXTSPLIT($J$2,, " ") = L399))</f>
        <v>4</v>
      </c>
    </row>
    <row r="400" spans="5:14" x14ac:dyDescent="0.2">
      <c r="E400" s="4" t="s">
        <v>14</v>
      </c>
      <c r="K400" t="str">
        <v>I</v>
      </c>
      <c r="M400" s="4" t="str">
        <f t="shared" si="6"/>
        <v>I</v>
      </c>
      <c r="N400" s="4" cm="1">
        <f t="array" ref="N400">SUM(--(_xlfn.TEXTSPLIT($J$2,, " ") = L400))</f>
        <v>4</v>
      </c>
    </row>
    <row r="401" spans="5:14" x14ac:dyDescent="0.2">
      <c r="E401" s="4" t="s">
        <v>14</v>
      </c>
      <c r="K401" t="str">
        <v xml:space="preserve">try
</v>
      </c>
      <c r="M401" s="4" t="str">
        <f t="shared" si="6"/>
        <v xml:space="preserve">try </v>
      </c>
      <c r="N401" s="4" cm="1">
        <f t="array" ref="N401">SUM(--(_xlfn.TEXTSPLIT($J$2,, " ") = L401))</f>
        <v>4</v>
      </c>
    </row>
    <row r="402" spans="5:14" x14ac:dyDescent="0.2">
      <c r="E402" s="4" t="s">
        <v>14</v>
      </c>
      <c r="K402" t="str">
        <v>Address</v>
      </c>
      <c r="M402" s="4" t="str">
        <f t="shared" si="6"/>
        <v>Address</v>
      </c>
      <c r="N402" s="4" cm="1">
        <f t="array" ref="N402">SUM(--(_xlfn.TEXTSPLIT($J$2,, " ") = L402))</f>
        <v>4</v>
      </c>
    </row>
    <row r="403" spans="5:14" x14ac:dyDescent="0.2">
      <c r="E403" s="4" t="s">
        <v>14</v>
      </c>
      <c r="K403" t="str">
        <v>my</v>
      </c>
      <c r="M403" s="4" t="str">
        <f t="shared" si="6"/>
        <v>my</v>
      </c>
      <c r="N403" s="4" cm="1">
        <f t="array" ref="N403">SUM(--(_xlfn.TEXTSPLIT($J$2,, " ") = L403))</f>
        <v>4</v>
      </c>
    </row>
    <row r="404" spans="5:14" x14ac:dyDescent="0.2">
      <c r="E404" s="4" t="s">
        <v>14</v>
      </c>
      <c r="K404" t="str">
        <v>soul,</v>
      </c>
      <c r="M404" s="4" t="str">
        <f t="shared" si="6"/>
        <v xml:space="preserve">soul </v>
      </c>
      <c r="N404" s="4" cm="1">
        <f t="array" ref="N404">SUM(--(_xlfn.TEXTSPLIT($J$2,, " ") = L404))</f>
        <v>4</v>
      </c>
    </row>
    <row r="405" spans="5:14" x14ac:dyDescent="0.2">
      <c r="E405" s="4" t="s">
        <v>14</v>
      </c>
      <c r="K405" t="str">
        <v>address</v>
      </c>
      <c r="M405" s="4" t="str">
        <f t="shared" si="6"/>
        <v>address</v>
      </c>
      <c r="N405" s="4" cm="1">
        <f t="array" ref="N405">SUM(--(_xlfn.TEXTSPLIT($J$2,, " ") = L405))</f>
        <v>4</v>
      </c>
    </row>
    <row r="406" spans="5:14" x14ac:dyDescent="0.2">
      <c r="E406" s="4" t="s">
        <v>14</v>
      </c>
      <c r="K406" t="str">
        <v>my</v>
      </c>
      <c r="M406" s="4" t="str">
        <f t="shared" si="6"/>
        <v>my</v>
      </c>
      <c r="N406" s="4" cm="1">
        <f t="array" ref="N406">SUM(--(_xlfn.TEXTSPLIT($J$2,, " ") = L406))</f>
        <v>4</v>
      </c>
    </row>
    <row r="407" spans="5:14" x14ac:dyDescent="0.2">
      <c r="E407" s="4" t="s">
        <v>14</v>
      </c>
      <c r="K407" t="str">
        <v>soul,</v>
      </c>
      <c r="M407" s="4" t="str">
        <f t="shared" si="6"/>
        <v xml:space="preserve">soul </v>
      </c>
      <c r="N407" s="4" cm="1">
        <f t="array" ref="N407">SUM(--(_xlfn.TEXTSPLIT($J$2,, " ") = L407))</f>
        <v>4</v>
      </c>
    </row>
    <row r="408" spans="5:14" x14ac:dyDescent="0.2">
      <c r="E408" s="4" t="s">
        <v>14</v>
      </c>
      <c r="K408" t="str">
        <v>address</v>
      </c>
      <c r="M408" s="4" t="str">
        <f t="shared" si="6"/>
        <v>address</v>
      </c>
      <c r="N408" s="4" cm="1">
        <f t="array" ref="N408">SUM(--(_xlfn.TEXTSPLIT($J$2,, " ") = L408))</f>
        <v>4</v>
      </c>
    </row>
    <row r="409" spans="5:14" x14ac:dyDescent="0.2">
      <c r="E409" s="4" t="s">
        <v>14</v>
      </c>
      <c r="K409" t="str">
        <v>my</v>
      </c>
      <c r="M409" s="4" t="str">
        <f t="shared" si="6"/>
        <v>my</v>
      </c>
      <c r="N409" s="4" cm="1">
        <f t="array" ref="N409">SUM(--(_xlfn.TEXTSPLIT($J$2,, " ") = L409))</f>
        <v>4</v>
      </c>
    </row>
    <row r="410" spans="5:14" x14ac:dyDescent="0.2">
      <c r="E410" s="4" t="s">
        <v>14</v>
      </c>
      <c r="K410" t="str">
        <v xml:space="preserve">soul
</v>
      </c>
      <c r="M410" s="4" t="str">
        <f t="shared" si="6"/>
        <v xml:space="preserve">soul </v>
      </c>
      <c r="N410" s="4" cm="1">
        <f t="array" ref="N410">SUM(--(_xlfn.TEXTSPLIT($J$2,, " ") = L410))</f>
        <v>4</v>
      </c>
    </row>
    <row r="411" spans="5:14" x14ac:dyDescent="0.2">
      <c r="E411" s="4" t="s">
        <v>14</v>
      </c>
      <c r="K411" t="str">
        <v>Entertain</v>
      </c>
      <c r="M411" s="4" t="str">
        <f t="shared" si="6"/>
        <v>Entertain</v>
      </c>
      <c r="N411" s="4" cm="1">
        <f t="array" ref="N411">SUM(--(_xlfn.TEXTSPLIT($J$2,, " ") = L411))</f>
        <v>4</v>
      </c>
    </row>
    <row r="412" spans="5:14" x14ac:dyDescent="0.2">
      <c r="E412" s="4" t="s">
        <v>14</v>
      </c>
      <c r="K412" t="str">
        <v>my</v>
      </c>
      <c r="M412" s="4" t="str">
        <f t="shared" si="6"/>
        <v>my</v>
      </c>
      <c r="N412" s="4" cm="1">
        <f t="array" ref="N412">SUM(--(_xlfn.TEXTSPLIT($J$2,, " ") = L412))</f>
        <v>4</v>
      </c>
    </row>
    <row r="413" spans="5:14" x14ac:dyDescent="0.2">
      <c r="E413" s="4" t="s">
        <v>14</v>
      </c>
      <c r="K413" t="str">
        <v xml:space="preserve">faith
</v>
      </c>
      <c r="M413" s="4" t="str">
        <f t="shared" si="6"/>
        <v xml:space="preserve">faith </v>
      </c>
      <c r="N413" s="4" cm="1">
        <f t="array" ref="N413">SUM(--(_xlfn.TEXTSPLIT($J$2,, " ") = L413))</f>
        <v>4</v>
      </c>
    </row>
    <row r="414" spans="5:14" x14ac:dyDescent="0.2">
      <c r="E414" s="4" t="s">
        <v>14</v>
      </c>
      <c r="K414" t="str">
        <v>This</v>
      </c>
      <c r="M414" s="4" t="str">
        <f t="shared" si="6"/>
        <v>This</v>
      </c>
      <c r="N414" s="4" cm="1">
        <f t="array" ref="N414">SUM(--(_xlfn.TEXTSPLIT($J$2,, " ") = L414))</f>
        <v>4</v>
      </c>
    </row>
    <row r="415" spans="5:14" x14ac:dyDescent="0.2">
      <c r="E415" s="4" t="s">
        <v>14</v>
      </c>
      <c r="K415" t="str">
        <v>is</v>
      </c>
      <c r="M415" s="4" t="str">
        <f t="shared" si="6"/>
        <v>is</v>
      </c>
      <c r="N415" s="4" cm="1">
        <f t="array" ref="N415">SUM(--(_xlfn.TEXTSPLIT($J$2,, " ") = L415))</f>
        <v>4</v>
      </c>
    </row>
    <row r="416" spans="5:14" x14ac:dyDescent="0.2">
      <c r="E416" s="4" t="s">
        <v>14</v>
      </c>
      <c r="K416" t="str">
        <v>the</v>
      </c>
      <c r="M416" s="4" t="str">
        <f t="shared" si="6"/>
        <v>the</v>
      </c>
      <c r="N416" s="4" cm="1">
        <f t="array" ref="N416">SUM(--(_xlfn.TEXTSPLIT($J$2,, " ") = L416))</f>
        <v>4</v>
      </c>
    </row>
    <row r="417" spans="1:24" x14ac:dyDescent="0.2">
      <c r="E417" s="4" t="s">
        <v>14</v>
      </c>
      <c r="K417" t="str">
        <v>last</v>
      </c>
      <c r="M417" s="4" t="str">
        <f t="shared" si="6"/>
        <v>last</v>
      </c>
      <c r="N417" s="4" cm="1">
        <f t="array" ref="N417">SUM(--(_xlfn.TEXTSPLIT($J$2,, " ") = L417))</f>
        <v>4</v>
      </c>
    </row>
    <row r="418" spans="1:24" x14ac:dyDescent="0.2">
      <c r="E418" s="4" t="s">
        <v>14</v>
      </c>
      <c r="K418" t="str">
        <v>time</v>
      </c>
      <c r="M418" s="4" t="str">
        <f t="shared" si="6"/>
        <v>time</v>
      </c>
      <c r="N418" s="4" cm="1">
        <f t="array" ref="N418">SUM(--(_xlfn.TEXTSPLIT($J$2,, " ") = L418))</f>
        <v>4</v>
      </c>
    </row>
    <row r="419" spans="1:24" x14ac:dyDescent="0.2">
      <c r="E419" s="4" t="s">
        <v>14</v>
      </c>
      <c r="K419" t="str">
        <v>that</v>
      </c>
      <c r="M419" s="4" t="str">
        <f t="shared" si="6"/>
        <v>that</v>
      </c>
      <c r="N419" s="4" cm="1">
        <f t="array" ref="N419">SUM(--(_xlfn.TEXTSPLIT($J$2,, " ") = L419))</f>
        <v>4</v>
      </c>
    </row>
    <row r="420" spans="1:24" x14ac:dyDescent="0.2">
      <c r="E420" s="4" t="s">
        <v>14</v>
      </c>
      <c r="K420" t="str">
        <v>I</v>
      </c>
      <c r="M420" s="4" t="str">
        <f t="shared" si="6"/>
        <v>I</v>
      </c>
      <c r="N420" s="4" cm="1">
        <f t="array" ref="N420">SUM(--(_xlfn.TEXTSPLIT($J$2,, " ") = L420))</f>
        <v>4</v>
      </c>
    </row>
    <row r="421" spans="1:24" x14ac:dyDescent="0.2">
      <c r="E421" s="4" t="s">
        <v>14</v>
      </c>
      <c r="K421" t="str">
        <v>try</v>
      </c>
      <c r="M421" s="4" t="str">
        <f t="shared" si="6"/>
        <v>try</v>
      </c>
      <c r="N421" s="4" cm="1">
        <f t="array" ref="N421">SUM(--(_xlfn.TEXTSPLIT($J$2,, " ") = L421))</f>
        <v>4</v>
      </c>
    </row>
    <row r="422" spans="1:24" x14ac:dyDescent="0.2">
      <c r="A422" s="1"/>
      <c r="B422" s="1" t="s">
        <v>0</v>
      </c>
      <c r="C422" s="2" t="s">
        <v>1</v>
      </c>
      <c r="D422" s="3" t="s">
        <v>2</v>
      </c>
      <c r="E422" s="1" t="s">
        <v>3</v>
      </c>
      <c r="F422" s="1" t="s">
        <v>4</v>
      </c>
      <c r="G422" s="1" t="s">
        <v>5</v>
      </c>
      <c r="H422" s="1" t="s">
        <v>6</v>
      </c>
      <c r="I422" s="1" t="s">
        <v>7</v>
      </c>
      <c r="J422" s="2" t="s">
        <v>8</v>
      </c>
      <c r="K422" s="2" t="s">
        <v>9</v>
      </c>
      <c r="L422" s="2" t="s">
        <v>10</v>
      </c>
      <c r="M422" s="4" t="str">
        <f t="shared" si="6"/>
        <v>TEXTSPLIT</v>
      </c>
      <c r="N422" s="2" t="s">
        <v>11</v>
      </c>
      <c r="O422" s="11"/>
      <c r="Q422" s="11"/>
      <c r="R422" s="11"/>
      <c r="S422" s="11"/>
    </row>
    <row r="423" spans="1:24" s="4" customFormat="1" x14ac:dyDescent="0.2">
      <c r="A423" s="4">
        <v>2</v>
      </c>
      <c r="B423" s="5">
        <v>45912</v>
      </c>
      <c r="C423" s="6">
        <v>0.14027777777777778</v>
      </c>
      <c r="D423" s="7">
        <v>202</v>
      </c>
      <c r="E423" s="4" t="s">
        <v>17</v>
      </c>
      <c r="F423" s="4">
        <v>2</v>
      </c>
      <c r="G423" s="8" t="s">
        <v>15</v>
      </c>
      <c r="H423" s="9" t="s">
        <v>18</v>
      </c>
      <c r="I423" s="4">
        <v>1</v>
      </c>
      <c r="J423" s="4" t="str">
        <f>_xlfn.TEXTJOIN(" ", TRUE, H423:H436)</f>
        <v>Raw fear
 Raw fear
 Raw fear moves me, sounds of empty Uzis
 Life is just forever nipping heels, never slowing down
 Raw fear moves me, sounds of empty Uzis
 Life is just forever gripping feels, never slowing down
 You know what scares me? Nah, it's stupid
 You've met my fears, they're all regulars
 Wait, who's the new kid?
 You know what kills me? Not getting stronger
 And now I can't seem to sit still any longer
 Raw fear moves me, sounds of empty Uzis
 Life is just forever nipping heels, never slowing down
 Raw fear moves me, sounds of empty Uzis
 Life is just forever gripping feels, never slowing down
 (I can't seem to sit still any longer)
 Raw fear moves me, sounds of empty Uzis
 Life is just forever gripping feels, never slowing down
 (Never slowing down)
 (Never slowing down)
 (Never, never slowing down)
 (Never slowing down)
 (Never, never slowing down)
 (Never slowing down)
 (Never, never slowing down)
 Learning all that really matters is a slow and painful lesson (Never slowing down, never slowing down)
 It is not pass or fail, but a poisonous progression (Never slowing down, never slowing down)
 Try to micro-dose to immunity but you'll never, ever get it (Never slowing down, never slowing down)
 And I go, ah, ah, ah (Never slowing down)
 What's the matter? isn't helping (Never slowing down)
 You go, ooh, ooh, ooh (Never slowing down)
 I wish her parents would stop yelling (Never slowing down)
 I could build a tower with the times I was pretending (Never slowing down)
 Try to micro-dose to immunity but I'll never see the ending (Never slowing down)
 And I go, ah, ah, ah (Never slowing down)
  What's the matter? isn't helping (Never slowing down)
 You go, ooh, ooh, ooh (Never slowing down)
 I wish her parents would stop yelling
 You know what scares me? (Ah, ah, ah)
 Nah, it's stupid
 And you go, ooh, ooh, ooh
 Wait, who's the new kid? (Never slowing down)
 And you go, ah, ah, ah
 Not getting stronger
 And now I can't seem to sit still any longer
 Raw fear moves me, sounds of empty Uzis (Ah, ah, ah)
 Life is just forever nipping heels, never slowing down
 Raw fear moves me, sounds of empty Uzis (Ah, ah, ah)
 Life is just forever gripping feels, never slowing down
 Raw fear moves me, sounds of empty Uzis (Ah, ah, ah)
 Life is just forever nipping heels, never slowing down
 Raw fear moves me, sounds of empty Uzis (Ah, ah, ah)
 Life is just forever gripping feels, never slowing down</v>
      </c>
      <c r="K423" s="4" t="str" cm="1">
        <f t="array" ref="K423:K851">_xlfn.TEXTSPLIT(J423, ," ")</f>
        <v>Raw</v>
      </c>
      <c r="L423" s="4" t="str" cm="1">
        <f t="array" ref="L423:L541">_xlfn.UNIQUE(_xlfn.TEXTSPLIT(J423, , " "))</f>
        <v>Raw</v>
      </c>
      <c r="M423" s="4" t="str">
        <f t="shared" si="6"/>
        <v>Raw</v>
      </c>
      <c r="N423" s="4" cm="1">
        <f t="array" ref="N423">SUM(--(_xlfn.TEXTSPLIT($J$423,, " ") = L423))</f>
        <v>11</v>
      </c>
      <c r="O423"/>
      <c r="P423"/>
      <c r="Q423"/>
      <c r="R423"/>
      <c r="S423"/>
      <c r="T423"/>
      <c r="U423"/>
      <c r="V423"/>
      <c r="W423"/>
      <c r="X423"/>
    </row>
    <row r="424" spans="1:24" x14ac:dyDescent="0.2">
      <c r="E424" s="4" t="s">
        <v>17</v>
      </c>
      <c r="K424" t="str">
        <v xml:space="preserve">fear
</v>
      </c>
      <c r="L424" t="str">
        <v xml:space="preserve">fear
</v>
      </c>
      <c r="M424" s="4" t="str">
        <f t="shared" si="6"/>
        <v xml:space="preserve">fear </v>
      </c>
      <c r="N424" s="4" cm="1">
        <f t="array" ref="N424">SUM(--(_xlfn.TEXTSPLIT($J$423,, " ") = L424))</f>
        <v>1</v>
      </c>
    </row>
    <row r="425" spans="1:24" x14ac:dyDescent="0.2">
      <c r="E425" s="4" t="s">
        <v>17</v>
      </c>
      <c r="K425" t="str">
        <v>Raw</v>
      </c>
      <c r="L425" t="str">
        <v xml:space="preserve">fear
</v>
      </c>
      <c r="M425" s="4" t="str">
        <f t="shared" si="6"/>
        <v>Raw</v>
      </c>
      <c r="N425" s="4" cm="1">
        <f t="array" ref="N425">SUM(--(_xlfn.TEXTSPLIT($J$423,, " ") = L425))</f>
        <v>1</v>
      </c>
    </row>
    <row r="426" spans="1:24" x14ac:dyDescent="0.2">
      <c r="E426" s="4" t="s">
        <v>17</v>
      </c>
      <c r="K426" t="str">
        <v xml:space="preserve">fear
</v>
      </c>
      <c r="L426" t="str">
        <v>fear</v>
      </c>
      <c r="M426" s="4" t="str">
        <f t="shared" si="6"/>
        <v xml:space="preserve">fear  </v>
      </c>
      <c r="N426" s="4" cm="1">
        <f t="array" ref="N426">SUM(--(_xlfn.TEXTSPLIT($J$423,, " ") = L426))</f>
        <v>9</v>
      </c>
    </row>
    <row r="427" spans="1:24" x14ac:dyDescent="0.2">
      <c r="E427" s="4" t="s">
        <v>17</v>
      </c>
      <c r="K427" t="str">
        <v>Raw</v>
      </c>
      <c r="L427" t="str">
        <v>moves</v>
      </c>
      <c r="M427" s="4" t="str">
        <f t="shared" si="6"/>
        <v>Raw</v>
      </c>
      <c r="N427" s="4" cm="1">
        <f t="array" ref="N427">SUM(--(_xlfn.TEXTSPLIT($J$423,, " ") = L427))</f>
        <v>9</v>
      </c>
    </row>
    <row r="428" spans="1:24" x14ac:dyDescent="0.2">
      <c r="E428" s="4" t="s">
        <v>17</v>
      </c>
      <c r="K428" t="str">
        <v>fear</v>
      </c>
      <c r="L428" t="str">
        <v>me,</v>
      </c>
      <c r="M428" s="4" t="str">
        <f t="shared" si="6"/>
        <v>fear</v>
      </c>
      <c r="N428" s="4" cm="1">
        <f t="array" ref="N428">SUM(--(_xlfn.TEXTSPLIT($J$423,, " ") = L428))</f>
        <v>9</v>
      </c>
    </row>
    <row r="429" spans="1:24" x14ac:dyDescent="0.2">
      <c r="E429" s="4" t="s">
        <v>17</v>
      </c>
      <c r="K429" t="str">
        <v>moves</v>
      </c>
      <c r="L429" t="str">
        <v>sounds</v>
      </c>
      <c r="M429" s="4" t="str">
        <f t="shared" si="6"/>
        <v>moves</v>
      </c>
      <c r="N429" s="4" cm="1">
        <f t="array" ref="N429">SUM(--(_xlfn.TEXTSPLIT($J$423,, " ") = L429))</f>
        <v>9</v>
      </c>
    </row>
    <row r="430" spans="1:24" x14ac:dyDescent="0.2">
      <c r="E430" s="4" t="s">
        <v>17</v>
      </c>
      <c r="K430" t="str">
        <v>me,</v>
      </c>
      <c r="L430" t="str">
        <v>of</v>
      </c>
      <c r="M430" s="4" t="str">
        <f t="shared" si="6"/>
        <v xml:space="preserve">me </v>
      </c>
      <c r="N430" s="4" cm="1">
        <f t="array" ref="N430">SUM(--(_xlfn.TEXTSPLIT($J$423,, " ") = L430))</f>
        <v>9</v>
      </c>
    </row>
    <row r="431" spans="1:24" x14ac:dyDescent="0.2">
      <c r="E431" s="4" t="s">
        <v>17</v>
      </c>
      <c r="K431" t="str">
        <v>sounds</v>
      </c>
      <c r="L431" t="str">
        <v>empty</v>
      </c>
      <c r="M431" s="4" t="str">
        <f t="shared" si="6"/>
        <v>sounds</v>
      </c>
      <c r="N431" s="4" cm="1">
        <f t="array" ref="N431">SUM(--(_xlfn.TEXTSPLIT($J$423,, " ") = L431))</f>
        <v>9</v>
      </c>
    </row>
    <row r="432" spans="1:24" x14ac:dyDescent="0.2">
      <c r="E432" s="4" t="s">
        <v>17</v>
      </c>
      <c r="K432" t="str">
        <v>of</v>
      </c>
      <c r="L432" t="str">
        <v xml:space="preserve">Uzis
</v>
      </c>
      <c r="M432" s="4" t="str">
        <f t="shared" si="6"/>
        <v>of</v>
      </c>
      <c r="N432" s="4" cm="1">
        <f t="array" ref="N432">SUM(--(_xlfn.TEXTSPLIT($J$423,, " ") = L432))</f>
        <v>5</v>
      </c>
    </row>
    <row r="433" spans="5:14" x14ac:dyDescent="0.2">
      <c r="E433" s="4" t="s">
        <v>17</v>
      </c>
      <c r="K433" t="str">
        <v>empty</v>
      </c>
      <c r="L433" t="str">
        <v>Life</v>
      </c>
      <c r="M433" s="4" t="str">
        <f t="shared" si="6"/>
        <v>empty</v>
      </c>
      <c r="N433" s="4" cm="1">
        <f t="array" ref="N433">SUM(--(_xlfn.TEXTSPLIT($J$423,, " ") = L433))</f>
        <v>9</v>
      </c>
    </row>
    <row r="434" spans="5:14" x14ac:dyDescent="0.2">
      <c r="E434" s="4" t="s">
        <v>17</v>
      </c>
      <c r="K434" t="str">
        <v xml:space="preserve">Uzis
</v>
      </c>
      <c r="L434" t="str">
        <v>is</v>
      </c>
      <c r="M434" s="4" t="str">
        <f t="shared" si="6"/>
        <v xml:space="preserve">Uzis </v>
      </c>
      <c r="N434" s="4" cm="1">
        <f t="array" ref="N434">SUM(--(_xlfn.TEXTSPLIT($J$423,, " ") = L434))</f>
        <v>11</v>
      </c>
    </row>
    <row r="435" spans="5:14" x14ac:dyDescent="0.2">
      <c r="E435" s="4" t="s">
        <v>17</v>
      </c>
      <c r="K435" t="str">
        <v>Life</v>
      </c>
      <c r="L435" t="str">
        <v>just</v>
      </c>
      <c r="M435" s="4" t="str">
        <f t="shared" si="6"/>
        <v>Life</v>
      </c>
      <c r="N435" s="4" cm="1">
        <f t="array" ref="N435">SUM(--(_xlfn.TEXTSPLIT($J$423,, " ") = L435))</f>
        <v>9</v>
      </c>
    </row>
    <row r="436" spans="5:14" x14ac:dyDescent="0.2">
      <c r="E436" s="4" t="s">
        <v>17</v>
      </c>
      <c r="K436" t="str">
        <v>is</v>
      </c>
      <c r="L436" t="str">
        <v>forever</v>
      </c>
      <c r="M436" s="4" t="str">
        <f t="shared" si="6"/>
        <v>is</v>
      </c>
      <c r="N436" s="4" cm="1">
        <f t="array" ref="N436">SUM(--(_xlfn.TEXTSPLIT($J$423,, " ") = L436))</f>
        <v>9</v>
      </c>
    </row>
    <row r="437" spans="5:14" x14ac:dyDescent="0.2">
      <c r="E437" s="4" t="s">
        <v>17</v>
      </c>
      <c r="K437" t="str">
        <v>just</v>
      </c>
      <c r="L437" t="str">
        <v>nipping</v>
      </c>
      <c r="M437" s="4" t="str">
        <f t="shared" si="6"/>
        <v>just</v>
      </c>
      <c r="N437" s="4" cm="1">
        <f t="array" ref="N437">SUM(--(_xlfn.TEXTSPLIT($J$423,, " ") = L437))</f>
        <v>4</v>
      </c>
    </row>
    <row r="438" spans="5:14" x14ac:dyDescent="0.2">
      <c r="E438" s="4" t="s">
        <v>17</v>
      </c>
      <c r="K438" t="str">
        <v>forever</v>
      </c>
      <c r="L438" t="str">
        <v>heels,</v>
      </c>
      <c r="M438" s="4" t="str">
        <f t="shared" si="6"/>
        <v>forever</v>
      </c>
      <c r="N438" s="4" cm="1">
        <f t="array" ref="N438">SUM(--(_xlfn.TEXTSPLIT($J$423,, " ") = L438))</f>
        <v>4</v>
      </c>
    </row>
    <row r="439" spans="5:14" x14ac:dyDescent="0.2">
      <c r="E439" s="4" t="s">
        <v>17</v>
      </c>
      <c r="K439" t="str">
        <v>nipping</v>
      </c>
      <c r="L439" t="str">
        <v>never</v>
      </c>
      <c r="M439" s="4" t="str">
        <f t="shared" si="6"/>
        <v>nipping</v>
      </c>
      <c r="N439" s="4" cm="1">
        <f t="array" ref="N439">SUM(--(_xlfn.TEXTSPLIT($J$423,, " ") = L439))</f>
        <v>16</v>
      </c>
    </row>
    <row r="440" spans="5:14" x14ac:dyDescent="0.2">
      <c r="E440" s="4" t="s">
        <v>17</v>
      </c>
      <c r="K440" t="str">
        <v>heels,</v>
      </c>
      <c r="L440" t="str">
        <v>slowing</v>
      </c>
      <c r="M440" s="4" t="str">
        <f t="shared" si="6"/>
        <v xml:space="preserve">heels </v>
      </c>
      <c r="N440" s="4" cm="1">
        <f t="array" ref="N440">SUM(--(_xlfn.TEXTSPLIT($J$423,, " ") = L440))</f>
        <v>32</v>
      </c>
    </row>
    <row r="441" spans="5:14" x14ac:dyDescent="0.2">
      <c r="E441" s="4" t="s">
        <v>17</v>
      </c>
      <c r="K441" t="str">
        <v>never</v>
      </c>
      <c r="L441" t="str">
        <v xml:space="preserve">down
</v>
      </c>
      <c r="M441" s="4" t="str">
        <f t="shared" si="6"/>
        <v>never</v>
      </c>
      <c r="N441" s="4" cm="1">
        <f t="array" ref="N441">SUM(--(_xlfn.TEXTSPLIT($J$423,, " ") = L441))</f>
        <v>6</v>
      </c>
    </row>
    <row r="442" spans="5:14" x14ac:dyDescent="0.2">
      <c r="E442" s="4" t="s">
        <v>17</v>
      </c>
      <c r="K442" t="str">
        <v>slowing</v>
      </c>
      <c r="L442" t="str">
        <v>gripping</v>
      </c>
      <c r="M442" s="4" t="str">
        <f t="shared" si="6"/>
        <v>slowing</v>
      </c>
      <c r="N442" s="4" cm="1">
        <f t="array" ref="N442">SUM(--(_xlfn.TEXTSPLIT($J$423,, " ") = L442))</f>
        <v>5</v>
      </c>
    </row>
    <row r="443" spans="5:14" x14ac:dyDescent="0.2">
      <c r="E443" s="4" t="s">
        <v>17</v>
      </c>
      <c r="K443" t="str">
        <v xml:space="preserve">down
</v>
      </c>
      <c r="L443" t="str">
        <v>feels,</v>
      </c>
      <c r="M443" s="4" t="str">
        <f t="shared" si="6"/>
        <v xml:space="preserve">down </v>
      </c>
      <c r="N443" s="4" cm="1">
        <f t="array" ref="N443">SUM(--(_xlfn.TEXTSPLIT($J$423,, " ") = L443))</f>
        <v>5</v>
      </c>
    </row>
    <row r="444" spans="5:14" x14ac:dyDescent="0.2">
      <c r="E444" s="4" t="s">
        <v>17</v>
      </c>
      <c r="K444" t="str">
        <v>Raw</v>
      </c>
      <c r="L444" t="str">
        <v xml:space="preserve">down
</v>
      </c>
      <c r="M444" s="4" t="str">
        <f t="shared" si="6"/>
        <v>Raw</v>
      </c>
      <c r="N444" s="4" cm="1">
        <f t="array" ref="N444">SUM(--(_xlfn.TEXTSPLIT($J$423,, " ") = L444))</f>
        <v>2</v>
      </c>
    </row>
    <row r="445" spans="5:14" x14ac:dyDescent="0.2">
      <c r="E445" s="4" t="s">
        <v>17</v>
      </c>
      <c r="K445" t="str">
        <v>fear</v>
      </c>
      <c r="L445" t="str">
        <v>You</v>
      </c>
      <c r="M445" s="4" t="str">
        <f t="shared" si="6"/>
        <v>fear</v>
      </c>
      <c r="N445" s="4" cm="1">
        <f t="array" ref="N445">SUM(--(_xlfn.TEXTSPLIT($J$423,, " ") = L445))</f>
        <v>7</v>
      </c>
    </row>
    <row r="446" spans="5:14" x14ac:dyDescent="0.2">
      <c r="E446" s="4" t="s">
        <v>17</v>
      </c>
      <c r="K446" t="str">
        <v>moves</v>
      </c>
      <c r="L446" t="str">
        <v>know</v>
      </c>
      <c r="M446" s="4" t="str">
        <f t="shared" si="6"/>
        <v>moves</v>
      </c>
      <c r="N446" s="4" cm="1">
        <f t="array" ref="N446">SUM(--(_xlfn.TEXTSPLIT($J$423,, " ") = L446))</f>
        <v>3</v>
      </c>
    </row>
    <row r="447" spans="5:14" x14ac:dyDescent="0.2">
      <c r="E447" s="4" t="s">
        <v>17</v>
      </c>
      <c r="K447" t="str">
        <v>me,</v>
      </c>
      <c r="L447" t="str">
        <v>what</v>
      </c>
      <c r="M447" s="4" t="str">
        <f t="shared" si="6"/>
        <v xml:space="preserve">me </v>
      </c>
      <c r="N447" s="4" cm="1">
        <f t="array" ref="N447">SUM(--(_xlfn.TEXTSPLIT($J$423,, " ") = L447))</f>
        <v>3</v>
      </c>
    </row>
    <row r="448" spans="5:14" x14ac:dyDescent="0.2">
      <c r="E448" s="4" t="s">
        <v>17</v>
      </c>
      <c r="K448" t="str">
        <v>sounds</v>
      </c>
      <c r="L448" t="str">
        <v>scares</v>
      </c>
      <c r="M448" s="4" t="str">
        <f t="shared" si="6"/>
        <v>sounds</v>
      </c>
      <c r="N448" s="4" cm="1">
        <f t="array" ref="N448">SUM(--(_xlfn.TEXTSPLIT($J$423,, " ") = L448))</f>
        <v>2</v>
      </c>
    </row>
    <row r="449" spans="5:14" x14ac:dyDescent="0.2">
      <c r="E449" s="4" t="s">
        <v>17</v>
      </c>
      <c r="K449" t="str">
        <v>of</v>
      </c>
      <c r="L449" t="str">
        <v>me?</v>
      </c>
      <c r="M449" s="4" t="str">
        <f t="shared" si="6"/>
        <v>of</v>
      </c>
      <c r="N449" s="4" cm="1">
        <f t="array" ref="N449">SUM(--(_xlfn.TEXTSPLIT($J$423,, " ") = L449))</f>
        <v>3</v>
      </c>
    </row>
    <row r="450" spans="5:14" x14ac:dyDescent="0.2">
      <c r="E450" s="4" t="s">
        <v>17</v>
      </c>
      <c r="K450" t="str">
        <v>empty</v>
      </c>
      <c r="L450" t="str">
        <v>Nah,</v>
      </c>
      <c r="M450" s="4" t="str">
        <f t="shared" si="6"/>
        <v>empty</v>
      </c>
      <c r="N450" s="4" cm="1">
        <f t="array" ref="N450">SUM(--(_xlfn.TEXTSPLIT($J$423,, " ") = L450))</f>
        <v>2</v>
      </c>
    </row>
    <row r="451" spans="5:14" x14ac:dyDescent="0.2">
      <c r="E451" s="4" t="s">
        <v>17</v>
      </c>
      <c r="K451" t="str">
        <v xml:space="preserve">Uzis
</v>
      </c>
      <c r="L451" t="str">
        <v>it's</v>
      </c>
      <c r="M451" s="4" t="str">
        <f t="shared" ref="M451:M514" si="7">_xlfn.REGEXREPLACE(K451, "[^A-Za-z ]", " ")</f>
        <v xml:space="preserve">Uzis </v>
      </c>
      <c r="N451" s="4" cm="1">
        <f t="array" ref="N451">SUM(--(_xlfn.TEXTSPLIT($J$423,, " ") = L451))</f>
        <v>2</v>
      </c>
    </row>
    <row r="452" spans="5:14" x14ac:dyDescent="0.2">
      <c r="E452" s="4" t="s">
        <v>17</v>
      </c>
      <c r="K452" t="str">
        <v>Life</v>
      </c>
      <c r="L452" t="str">
        <v xml:space="preserve">stupid
</v>
      </c>
      <c r="M452" s="4" t="str">
        <f t="shared" si="7"/>
        <v>Life</v>
      </c>
      <c r="N452" s="4" cm="1">
        <f t="array" ref="N452">SUM(--(_xlfn.TEXTSPLIT($J$423,, " ") = L452))</f>
        <v>2</v>
      </c>
    </row>
    <row r="453" spans="5:14" x14ac:dyDescent="0.2">
      <c r="E453" s="4" t="s">
        <v>17</v>
      </c>
      <c r="K453" t="str">
        <v>is</v>
      </c>
      <c r="L453" t="str">
        <v>You've</v>
      </c>
      <c r="M453" s="4" t="str">
        <f t="shared" si="7"/>
        <v>is</v>
      </c>
      <c r="N453" s="4" cm="1">
        <f t="array" ref="N453">SUM(--(_xlfn.TEXTSPLIT($J$423,, " ") = L453))</f>
        <v>1</v>
      </c>
    </row>
    <row r="454" spans="5:14" x14ac:dyDescent="0.2">
      <c r="E454" s="4" t="s">
        <v>17</v>
      </c>
      <c r="K454" t="str">
        <v>just</v>
      </c>
      <c r="L454" t="str">
        <v>met</v>
      </c>
      <c r="M454" s="4" t="str">
        <f t="shared" si="7"/>
        <v>just</v>
      </c>
      <c r="N454" s="4" cm="1">
        <f t="array" ref="N454">SUM(--(_xlfn.TEXTSPLIT($J$423,, " ") = L454))</f>
        <v>1</v>
      </c>
    </row>
    <row r="455" spans="5:14" x14ac:dyDescent="0.2">
      <c r="E455" s="4" t="s">
        <v>17</v>
      </c>
      <c r="K455" t="str">
        <v>forever</v>
      </c>
      <c r="L455" t="str">
        <v>my</v>
      </c>
      <c r="M455" s="4" t="str">
        <f t="shared" si="7"/>
        <v>forever</v>
      </c>
      <c r="N455" s="4" cm="1">
        <f t="array" ref="N455">SUM(--(_xlfn.TEXTSPLIT($J$423,, " ") = L455))</f>
        <v>1</v>
      </c>
    </row>
    <row r="456" spans="5:14" x14ac:dyDescent="0.2">
      <c r="E456" s="4" t="s">
        <v>17</v>
      </c>
      <c r="K456" t="str">
        <v>gripping</v>
      </c>
      <c r="L456" t="str">
        <v>fears,</v>
      </c>
      <c r="M456" s="4" t="str">
        <f t="shared" si="7"/>
        <v>gripping</v>
      </c>
      <c r="N456" s="4" cm="1">
        <f t="array" ref="N456">SUM(--(_xlfn.TEXTSPLIT($J$423,, " ") = L456))</f>
        <v>1</v>
      </c>
    </row>
    <row r="457" spans="5:14" x14ac:dyDescent="0.2">
      <c r="E457" s="4" t="s">
        <v>17</v>
      </c>
      <c r="K457" t="str">
        <v>feels,</v>
      </c>
      <c r="L457" t="str">
        <v>they're</v>
      </c>
      <c r="M457" s="4" t="str">
        <f t="shared" si="7"/>
        <v xml:space="preserve">feels </v>
      </c>
      <c r="N457" s="4" cm="1">
        <f t="array" ref="N457">SUM(--(_xlfn.TEXTSPLIT($J$423,, " ") = L457))</f>
        <v>1</v>
      </c>
    </row>
    <row r="458" spans="5:14" x14ac:dyDescent="0.2">
      <c r="E458" s="4" t="s">
        <v>17</v>
      </c>
      <c r="K458" t="str">
        <v>never</v>
      </c>
      <c r="L458" t="str">
        <v>all</v>
      </c>
      <c r="M458" s="4" t="str">
        <f t="shared" si="7"/>
        <v>never</v>
      </c>
      <c r="N458" s="4" cm="1">
        <f t="array" ref="N458">SUM(--(_xlfn.TEXTSPLIT($J$423,, " ") = L458))</f>
        <v>2</v>
      </c>
    </row>
    <row r="459" spans="5:14" x14ac:dyDescent="0.2">
      <c r="E459" s="4" t="s">
        <v>17</v>
      </c>
      <c r="K459" t="str">
        <v>slowing</v>
      </c>
      <c r="L459" t="str">
        <v xml:space="preserve">regulars
</v>
      </c>
      <c r="M459" s="4" t="str">
        <f t="shared" si="7"/>
        <v>slowing</v>
      </c>
      <c r="N459" s="4" cm="1">
        <f t="array" ref="N459">SUM(--(_xlfn.TEXTSPLIT($J$423,, " ") = L459))</f>
        <v>1</v>
      </c>
    </row>
    <row r="460" spans="5:14" x14ac:dyDescent="0.2">
      <c r="E460" s="4" t="s">
        <v>17</v>
      </c>
      <c r="K460" t="str">
        <v xml:space="preserve">down
</v>
      </c>
      <c r="L460" t="str">
        <v>Wait,</v>
      </c>
      <c r="M460" s="4" t="str">
        <f t="shared" si="7"/>
        <v xml:space="preserve">down  </v>
      </c>
      <c r="N460" s="4" cm="1">
        <f t="array" ref="N460">SUM(--(_xlfn.TEXTSPLIT($J$423,, " ") = L460))</f>
        <v>2</v>
      </c>
    </row>
    <row r="461" spans="5:14" x14ac:dyDescent="0.2">
      <c r="E461" s="4" t="s">
        <v>17</v>
      </c>
      <c r="K461" t="str">
        <v>You</v>
      </c>
      <c r="L461" t="str">
        <v>who's</v>
      </c>
      <c r="M461" s="4" t="str">
        <f t="shared" si="7"/>
        <v>You</v>
      </c>
      <c r="N461" s="4" cm="1">
        <f t="array" ref="N461">SUM(--(_xlfn.TEXTSPLIT($J$423,, " ") = L461))</f>
        <v>2</v>
      </c>
    </row>
    <row r="462" spans="5:14" x14ac:dyDescent="0.2">
      <c r="E462" s="4" t="s">
        <v>17</v>
      </c>
      <c r="K462" t="str">
        <v>know</v>
      </c>
      <c r="L462" t="str">
        <v>the</v>
      </c>
      <c r="M462" s="4" t="str">
        <f t="shared" si="7"/>
        <v>know</v>
      </c>
      <c r="N462" s="4" cm="1">
        <f t="array" ref="N462">SUM(--(_xlfn.TEXTSPLIT($J$423,, " ") = L462))</f>
        <v>6</v>
      </c>
    </row>
    <row r="463" spans="5:14" x14ac:dyDescent="0.2">
      <c r="E463" s="4" t="s">
        <v>17</v>
      </c>
      <c r="K463" t="str">
        <v>what</v>
      </c>
      <c r="L463" t="str">
        <v>new</v>
      </c>
      <c r="M463" s="4" t="str">
        <f t="shared" si="7"/>
        <v>what</v>
      </c>
      <c r="N463" s="4" cm="1">
        <f t="array" ref="N463">SUM(--(_xlfn.TEXTSPLIT($J$423,, " ") = L463))</f>
        <v>2</v>
      </c>
    </row>
    <row r="464" spans="5:14" x14ac:dyDescent="0.2">
      <c r="E464" s="4" t="s">
        <v>17</v>
      </c>
      <c r="K464" t="str">
        <v>scares</v>
      </c>
      <c r="L464" t="str">
        <v xml:space="preserve">kid?
</v>
      </c>
      <c r="M464" s="4" t="str">
        <f t="shared" si="7"/>
        <v>scares</v>
      </c>
      <c r="N464" s="4" cm="1">
        <f t="array" ref="N464">SUM(--(_xlfn.TEXTSPLIT($J$423,, " ") = L464))</f>
        <v>1</v>
      </c>
    </row>
    <row r="465" spans="5:14" x14ac:dyDescent="0.2">
      <c r="E465" s="4" t="s">
        <v>17</v>
      </c>
      <c r="K465" t="str">
        <v>me?</v>
      </c>
      <c r="L465" t="str">
        <v>kills</v>
      </c>
      <c r="M465" s="4" t="str">
        <f t="shared" si="7"/>
        <v xml:space="preserve">me </v>
      </c>
      <c r="N465" s="4" cm="1">
        <f t="array" ref="N465">SUM(--(_xlfn.TEXTSPLIT($J$423,, " ") = L465))</f>
        <v>1</v>
      </c>
    </row>
    <row r="466" spans="5:14" x14ac:dyDescent="0.2">
      <c r="E466" s="4" t="s">
        <v>17</v>
      </c>
      <c r="K466" t="str">
        <v>Nah,</v>
      </c>
      <c r="L466" t="str">
        <v>Not</v>
      </c>
      <c r="M466" s="4" t="str">
        <f t="shared" si="7"/>
        <v xml:space="preserve">Nah </v>
      </c>
      <c r="N466" s="4" cm="1">
        <f t="array" ref="N466">SUM(--(_xlfn.TEXTSPLIT($J$423,, " ") = L466))</f>
        <v>3</v>
      </c>
    </row>
    <row r="467" spans="5:14" x14ac:dyDescent="0.2">
      <c r="E467" s="4" t="s">
        <v>17</v>
      </c>
      <c r="K467" t="str">
        <v>it's</v>
      </c>
      <c r="L467" t="str">
        <v>getting</v>
      </c>
      <c r="M467" s="4" t="str">
        <f t="shared" si="7"/>
        <v>it s</v>
      </c>
      <c r="N467" s="4" cm="1">
        <f t="array" ref="N467">SUM(--(_xlfn.TEXTSPLIT($J$423,, " ") = L467))</f>
        <v>2</v>
      </c>
    </row>
    <row r="468" spans="5:14" x14ac:dyDescent="0.2">
      <c r="E468" s="4" t="s">
        <v>17</v>
      </c>
      <c r="K468" t="str">
        <v xml:space="preserve">stupid
</v>
      </c>
      <c r="L468" t="str">
        <v xml:space="preserve">stronger
</v>
      </c>
      <c r="M468" s="4" t="str">
        <f t="shared" si="7"/>
        <v xml:space="preserve">stupid </v>
      </c>
      <c r="N468" s="4" cm="1">
        <f t="array" ref="N468">SUM(--(_xlfn.TEXTSPLIT($J$423,, " ") = L468))</f>
        <v>2</v>
      </c>
    </row>
    <row r="469" spans="5:14" x14ac:dyDescent="0.2">
      <c r="E469" s="4" t="s">
        <v>17</v>
      </c>
      <c r="K469" t="str">
        <v>You've</v>
      </c>
      <c r="L469" t="str">
        <v>And</v>
      </c>
      <c r="M469" s="4" t="str">
        <f t="shared" si="7"/>
        <v>You ve</v>
      </c>
      <c r="N469" s="4" cm="1">
        <f t="array" ref="N469">SUM(--(_xlfn.TEXTSPLIT($J$423,, " ") = L469))</f>
        <v>7</v>
      </c>
    </row>
    <row r="470" spans="5:14" x14ac:dyDescent="0.2">
      <c r="E470" s="4" t="s">
        <v>17</v>
      </c>
      <c r="K470" t="str">
        <v>met</v>
      </c>
      <c r="L470" t="str">
        <v>now</v>
      </c>
      <c r="M470" s="4" t="str">
        <f t="shared" si="7"/>
        <v>met</v>
      </c>
      <c r="N470" s="4" cm="1">
        <f t="array" ref="N470">SUM(--(_xlfn.TEXTSPLIT($J$423,, " ") = L470))</f>
        <v>2</v>
      </c>
    </row>
    <row r="471" spans="5:14" x14ac:dyDescent="0.2">
      <c r="E471" s="4" t="s">
        <v>17</v>
      </c>
      <c r="K471" t="str">
        <v>my</v>
      </c>
      <c r="L471" t="str">
        <v>I</v>
      </c>
      <c r="M471" s="4" t="str">
        <f t="shared" si="7"/>
        <v>my</v>
      </c>
      <c r="N471" s="4" cm="1">
        <f t="array" ref="N471">SUM(--(_xlfn.TEXTSPLIT($J$423,, " ") = L471))</f>
        <v>8</v>
      </c>
    </row>
    <row r="472" spans="5:14" x14ac:dyDescent="0.2">
      <c r="E472" s="4" t="s">
        <v>17</v>
      </c>
      <c r="K472" t="str">
        <v>fears,</v>
      </c>
      <c r="L472" t="str">
        <v>can't</v>
      </c>
      <c r="M472" s="4" t="str">
        <f t="shared" si="7"/>
        <v xml:space="preserve">fears </v>
      </c>
      <c r="N472" s="4" cm="1">
        <f t="array" ref="N472">SUM(--(_xlfn.TEXTSPLIT($J$423,, " ") = L472))</f>
        <v>3</v>
      </c>
    </row>
    <row r="473" spans="5:14" x14ac:dyDescent="0.2">
      <c r="E473" s="4" t="s">
        <v>17</v>
      </c>
      <c r="K473" t="str">
        <v>they're</v>
      </c>
      <c r="L473" t="str">
        <v>seem</v>
      </c>
      <c r="M473" s="4" t="str">
        <f t="shared" si="7"/>
        <v>they re</v>
      </c>
      <c r="N473" s="4" cm="1">
        <f t="array" ref="N473">SUM(--(_xlfn.TEXTSPLIT($J$423,, " ") = L473))</f>
        <v>3</v>
      </c>
    </row>
    <row r="474" spans="5:14" x14ac:dyDescent="0.2">
      <c r="E474" s="4" t="s">
        <v>17</v>
      </c>
      <c r="K474" t="str">
        <v>all</v>
      </c>
      <c r="L474" t="str">
        <v>to</v>
      </c>
      <c r="M474" s="4" t="str">
        <f t="shared" si="7"/>
        <v>all</v>
      </c>
      <c r="N474" s="4" cm="1">
        <f t="array" ref="N474">SUM(--(_xlfn.TEXTSPLIT($J$423,, " ") = L474))</f>
        <v>7</v>
      </c>
    </row>
    <row r="475" spans="5:14" x14ac:dyDescent="0.2">
      <c r="E475" s="4" t="s">
        <v>17</v>
      </c>
      <c r="K475" t="str">
        <v xml:space="preserve">regulars
</v>
      </c>
      <c r="L475" t="str">
        <v>sit</v>
      </c>
      <c r="M475" s="4" t="str">
        <f t="shared" si="7"/>
        <v xml:space="preserve">regulars </v>
      </c>
      <c r="N475" s="4" cm="1">
        <f t="array" ref="N475">SUM(--(_xlfn.TEXTSPLIT($J$423,, " ") = L475))</f>
        <v>3</v>
      </c>
    </row>
    <row r="476" spans="5:14" x14ac:dyDescent="0.2">
      <c r="E476" s="4" t="s">
        <v>17</v>
      </c>
      <c r="K476" t="str">
        <v>Wait,</v>
      </c>
      <c r="L476" t="str">
        <v>still</v>
      </c>
      <c r="M476" s="4" t="str">
        <f t="shared" si="7"/>
        <v xml:space="preserve">Wait </v>
      </c>
      <c r="N476" s="4" cm="1">
        <f t="array" ref="N476">SUM(--(_xlfn.TEXTSPLIT($J$423,, " ") = L476))</f>
        <v>3</v>
      </c>
    </row>
    <row r="477" spans="5:14" x14ac:dyDescent="0.2">
      <c r="E477" s="4" t="s">
        <v>17</v>
      </c>
      <c r="K477" t="str">
        <v>who's</v>
      </c>
      <c r="L477" t="str">
        <v>any</v>
      </c>
      <c r="M477" s="4" t="str">
        <f t="shared" si="7"/>
        <v>who s</v>
      </c>
      <c r="N477" s="4" cm="1">
        <f t="array" ref="N477">SUM(--(_xlfn.TEXTSPLIT($J$423,, " ") = L477))</f>
        <v>3</v>
      </c>
    </row>
    <row r="478" spans="5:14" x14ac:dyDescent="0.2">
      <c r="E478" s="4" t="s">
        <v>17</v>
      </c>
      <c r="K478" t="str">
        <v>the</v>
      </c>
      <c r="L478" t="str">
        <v xml:space="preserve">longer
</v>
      </c>
      <c r="M478" s="4" t="str">
        <f t="shared" si="7"/>
        <v>the</v>
      </c>
      <c r="N478" s="4" cm="1">
        <f t="array" ref="N478">SUM(--(_xlfn.TEXTSPLIT($J$423,, " ") = L478))</f>
        <v>2</v>
      </c>
    </row>
    <row r="479" spans="5:14" x14ac:dyDescent="0.2">
      <c r="E479" s="4" t="s">
        <v>17</v>
      </c>
      <c r="K479" t="str">
        <v>new</v>
      </c>
      <c r="L479" t="str">
        <v>(I</v>
      </c>
      <c r="M479" s="4" t="str">
        <f t="shared" si="7"/>
        <v>new</v>
      </c>
      <c r="N479" s="4" cm="1">
        <f t="array" ref="N479">SUM(--(_xlfn.TEXTSPLIT($J$423,, " ") = L479))</f>
        <v>1</v>
      </c>
    </row>
    <row r="480" spans="5:14" x14ac:dyDescent="0.2">
      <c r="E480" s="4" t="s">
        <v>17</v>
      </c>
      <c r="K480" t="str">
        <v xml:space="preserve">kid?
</v>
      </c>
      <c r="L480" t="str">
        <v xml:space="preserve">longer)
</v>
      </c>
      <c r="M480" s="4" t="str">
        <f t="shared" si="7"/>
        <v xml:space="preserve">kid  </v>
      </c>
      <c r="N480" s="4" cm="1">
        <f t="array" ref="N480">SUM(--(_xlfn.TEXTSPLIT($J$423,, " ") = L480))</f>
        <v>1</v>
      </c>
    </row>
    <row r="481" spans="5:14" x14ac:dyDescent="0.2">
      <c r="E481" s="4" t="s">
        <v>17</v>
      </c>
      <c r="K481" t="str">
        <v>You</v>
      </c>
      <c r="L481" t="str">
        <v>(Never</v>
      </c>
      <c r="M481" s="4" t="str">
        <f t="shared" si="7"/>
        <v>You</v>
      </c>
      <c r="N481" s="4" cm="1">
        <f t="array" ref="N481">SUM(--(_xlfn.TEXTSPLIT($J$423,, " ") = L481))</f>
        <v>17</v>
      </c>
    </row>
    <row r="482" spans="5:14" x14ac:dyDescent="0.2">
      <c r="E482" s="4" t="s">
        <v>17</v>
      </c>
      <c r="K482" t="str">
        <v>know</v>
      </c>
      <c r="L482" t="str">
        <v xml:space="preserve">down)
</v>
      </c>
      <c r="M482" s="4" t="str">
        <f t="shared" si="7"/>
        <v>know</v>
      </c>
      <c r="N482" s="4" cm="1">
        <f t="array" ref="N482">SUM(--(_xlfn.TEXTSPLIT($J$423,, " ") = L482))</f>
        <v>19</v>
      </c>
    </row>
    <row r="483" spans="5:14" x14ac:dyDescent="0.2">
      <c r="E483" s="4" t="s">
        <v>17</v>
      </c>
      <c r="K483" t="str">
        <v>what</v>
      </c>
      <c r="L483" t="str">
        <v>(Never,</v>
      </c>
      <c r="M483" s="4" t="str">
        <f t="shared" si="7"/>
        <v>what</v>
      </c>
      <c r="N483" s="4" cm="1">
        <f t="array" ref="N483">SUM(--(_xlfn.TEXTSPLIT($J$423,, " ") = L483))</f>
        <v>3</v>
      </c>
    </row>
    <row r="484" spans="5:14" x14ac:dyDescent="0.2">
      <c r="E484" s="4" t="s">
        <v>17</v>
      </c>
      <c r="K484" t="str">
        <v>kills</v>
      </c>
      <c r="L484" t="str">
        <v xml:space="preserve">down)
</v>
      </c>
      <c r="M484" s="4" t="str">
        <f t="shared" si="7"/>
        <v>kills</v>
      </c>
      <c r="N484" s="4" cm="1">
        <f t="array" ref="N484">SUM(--(_xlfn.TEXTSPLIT($J$423,, " ") = L484))</f>
        <v>1</v>
      </c>
    </row>
    <row r="485" spans="5:14" x14ac:dyDescent="0.2">
      <c r="E485" s="4" t="s">
        <v>17</v>
      </c>
      <c r="K485" t="str">
        <v>me?</v>
      </c>
      <c r="L485" t="str">
        <v>Learning</v>
      </c>
      <c r="M485" s="4" t="str">
        <f t="shared" si="7"/>
        <v xml:space="preserve">me </v>
      </c>
      <c r="N485" s="4" cm="1">
        <f t="array" ref="N485">SUM(--(_xlfn.TEXTSPLIT($J$423,, " ") = L485))</f>
        <v>1</v>
      </c>
    </row>
    <row r="486" spans="5:14" x14ac:dyDescent="0.2">
      <c r="E486" s="4" t="s">
        <v>17</v>
      </c>
      <c r="K486" t="str">
        <v>Not</v>
      </c>
      <c r="L486" t="str">
        <v>that</v>
      </c>
      <c r="M486" s="4" t="str">
        <f t="shared" si="7"/>
        <v>Not</v>
      </c>
      <c r="N486" s="4" cm="1">
        <f t="array" ref="N486">SUM(--(_xlfn.TEXTSPLIT($J$423,, " ") = L486))</f>
        <v>1</v>
      </c>
    </row>
    <row r="487" spans="5:14" x14ac:dyDescent="0.2">
      <c r="E487" s="4" t="s">
        <v>17</v>
      </c>
      <c r="K487" t="str">
        <v>getting</v>
      </c>
      <c r="L487" t="str">
        <v>really</v>
      </c>
      <c r="M487" s="4" t="str">
        <f t="shared" si="7"/>
        <v>getting</v>
      </c>
      <c r="N487" s="4" cm="1">
        <f t="array" ref="N487">SUM(--(_xlfn.TEXTSPLIT($J$423,, " ") = L487))</f>
        <v>1</v>
      </c>
    </row>
    <row r="488" spans="5:14" x14ac:dyDescent="0.2">
      <c r="E488" s="4" t="s">
        <v>17</v>
      </c>
      <c r="K488" t="str">
        <v xml:space="preserve">stronger
</v>
      </c>
      <c r="L488" t="str">
        <v>matters</v>
      </c>
      <c r="M488" s="4" t="str">
        <f t="shared" si="7"/>
        <v xml:space="preserve">stronger </v>
      </c>
      <c r="N488" s="4" cm="1">
        <f t="array" ref="N488">SUM(--(_xlfn.TEXTSPLIT($J$423,, " ") = L488))</f>
        <v>1</v>
      </c>
    </row>
    <row r="489" spans="5:14" x14ac:dyDescent="0.2">
      <c r="E489" s="4" t="s">
        <v>17</v>
      </c>
      <c r="K489" t="str">
        <v>And</v>
      </c>
      <c r="L489" t="str">
        <v>a</v>
      </c>
      <c r="M489" s="4" t="str">
        <f t="shared" si="7"/>
        <v>And</v>
      </c>
      <c r="N489" s="4" cm="1">
        <f t="array" ref="N489">SUM(--(_xlfn.TEXTSPLIT($J$423,, " ") = L489))</f>
        <v>3</v>
      </c>
    </row>
    <row r="490" spans="5:14" x14ac:dyDescent="0.2">
      <c r="E490" s="4" t="s">
        <v>17</v>
      </c>
      <c r="K490" t="str">
        <v>now</v>
      </c>
      <c r="L490" t="str">
        <v>slow</v>
      </c>
      <c r="M490" s="4" t="str">
        <f t="shared" si="7"/>
        <v>now</v>
      </c>
      <c r="N490" s="4" cm="1">
        <f t="array" ref="N490">SUM(--(_xlfn.TEXTSPLIT($J$423,, " ") = L490))</f>
        <v>1</v>
      </c>
    </row>
    <row r="491" spans="5:14" x14ac:dyDescent="0.2">
      <c r="E491" s="4" t="s">
        <v>17</v>
      </c>
      <c r="K491" t="str">
        <v>I</v>
      </c>
      <c r="L491" t="str">
        <v>painful</v>
      </c>
      <c r="M491" s="4" t="str">
        <f t="shared" si="7"/>
        <v>I</v>
      </c>
      <c r="N491" s="4" cm="1">
        <f t="array" ref="N491">SUM(--(_xlfn.TEXTSPLIT($J$423,, " ") = L491))</f>
        <v>1</v>
      </c>
    </row>
    <row r="492" spans="5:14" x14ac:dyDescent="0.2">
      <c r="E492" s="4" t="s">
        <v>17</v>
      </c>
      <c r="K492" t="str">
        <v>can't</v>
      </c>
      <c r="L492" t="str">
        <v>lesson</v>
      </c>
      <c r="M492" s="4" t="str">
        <f t="shared" si="7"/>
        <v>can t</v>
      </c>
      <c r="N492" s="4" cm="1">
        <f t="array" ref="N492">SUM(--(_xlfn.TEXTSPLIT($J$423,, " ") = L492))</f>
        <v>1</v>
      </c>
    </row>
    <row r="493" spans="5:14" x14ac:dyDescent="0.2">
      <c r="E493" s="4" t="s">
        <v>17</v>
      </c>
      <c r="K493" t="str">
        <v>seem</v>
      </c>
      <c r="L493" t="str">
        <v>down,</v>
      </c>
      <c r="M493" s="4" t="str">
        <f t="shared" si="7"/>
        <v>seem</v>
      </c>
      <c r="N493" s="4" cm="1">
        <f t="array" ref="N493">SUM(--(_xlfn.TEXTSPLIT($J$423,, " ") = L493))</f>
        <v>3</v>
      </c>
    </row>
    <row r="494" spans="5:14" x14ac:dyDescent="0.2">
      <c r="E494" s="4" t="s">
        <v>17</v>
      </c>
      <c r="K494" t="str">
        <v>to</v>
      </c>
      <c r="L494" t="str">
        <v>It</v>
      </c>
      <c r="M494" s="4" t="str">
        <f t="shared" si="7"/>
        <v>to</v>
      </c>
      <c r="N494" s="4" cm="1">
        <f t="array" ref="N494">SUM(--(_xlfn.TEXTSPLIT($J$423,, " ") = L494))</f>
        <v>2</v>
      </c>
    </row>
    <row r="495" spans="5:14" x14ac:dyDescent="0.2">
      <c r="E495" s="4" t="s">
        <v>17</v>
      </c>
      <c r="K495" t="str">
        <v>sit</v>
      </c>
      <c r="L495" t="str">
        <v>pass</v>
      </c>
      <c r="M495" s="4" t="str">
        <f t="shared" si="7"/>
        <v>sit</v>
      </c>
      <c r="N495" s="4" cm="1">
        <f t="array" ref="N495">SUM(--(_xlfn.TEXTSPLIT($J$423,, " ") = L495))</f>
        <v>1</v>
      </c>
    </row>
    <row r="496" spans="5:14" x14ac:dyDescent="0.2">
      <c r="E496" s="4" t="s">
        <v>17</v>
      </c>
      <c r="K496" t="str">
        <v>still</v>
      </c>
      <c r="L496" t="str">
        <v>or</v>
      </c>
      <c r="M496" s="4" t="str">
        <f t="shared" si="7"/>
        <v>still</v>
      </c>
      <c r="N496" s="4" cm="1">
        <f t="array" ref="N496">SUM(--(_xlfn.TEXTSPLIT($J$423,, " ") = L496))</f>
        <v>1</v>
      </c>
    </row>
    <row r="497" spans="5:14" x14ac:dyDescent="0.2">
      <c r="E497" s="4" t="s">
        <v>17</v>
      </c>
      <c r="K497" t="str">
        <v>any</v>
      </c>
      <c r="L497" t="str">
        <v>fail,</v>
      </c>
      <c r="M497" s="4" t="str">
        <f t="shared" si="7"/>
        <v>any</v>
      </c>
      <c r="N497" s="4" cm="1">
        <f t="array" ref="N497">SUM(--(_xlfn.TEXTSPLIT($J$423,, " ") = L497))</f>
        <v>1</v>
      </c>
    </row>
    <row r="498" spans="5:14" x14ac:dyDescent="0.2">
      <c r="E498" s="4" t="s">
        <v>17</v>
      </c>
      <c r="K498" t="str">
        <v xml:space="preserve">longer
</v>
      </c>
      <c r="L498" t="str">
        <v>but</v>
      </c>
      <c r="M498" s="4" t="str">
        <f t="shared" si="7"/>
        <v xml:space="preserve">longer  </v>
      </c>
      <c r="N498" s="4" cm="1">
        <f t="array" ref="N498">SUM(--(_xlfn.TEXTSPLIT($J$423,, " ") = L498))</f>
        <v>3</v>
      </c>
    </row>
    <row r="499" spans="5:14" x14ac:dyDescent="0.2">
      <c r="E499" s="4" t="s">
        <v>17</v>
      </c>
      <c r="K499" t="str">
        <v>Raw</v>
      </c>
      <c r="L499" t="str">
        <v>poisonous</v>
      </c>
      <c r="M499" s="4" t="str">
        <f t="shared" si="7"/>
        <v>Raw</v>
      </c>
      <c r="N499" s="4" cm="1">
        <f t="array" ref="N499">SUM(--(_xlfn.TEXTSPLIT($J$423,, " ") = L499))</f>
        <v>1</v>
      </c>
    </row>
    <row r="500" spans="5:14" x14ac:dyDescent="0.2">
      <c r="E500" s="4" t="s">
        <v>17</v>
      </c>
      <c r="K500" t="str">
        <v>fear</v>
      </c>
      <c r="L500" t="str">
        <v>progression</v>
      </c>
      <c r="M500" s="4" t="str">
        <f t="shared" si="7"/>
        <v>fear</v>
      </c>
      <c r="N500" s="4" cm="1">
        <f t="array" ref="N500">SUM(--(_xlfn.TEXTSPLIT($J$423,, " ") = L500))</f>
        <v>1</v>
      </c>
    </row>
    <row r="501" spans="5:14" x14ac:dyDescent="0.2">
      <c r="E501" s="4" t="s">
        <v>17</v>
      </c>
      <c r="K501" t="str">
        <v>moves</v>
      </c>
      <c r="L501" t="str">
        <v>Try</v>
      </c>
      <c r="M501" s="4" t="str">
        <f t="shared" si="7"/>
        <v>moves</v>
      </c>
      <c r="N501" s="4" cm="1">
        <f t="array" ref="N501">SUM(--(_xlfn.TEXTSPLIT($J$423,, " ") = L501))</f>
        <v>2</v>
      </c>
    </row>
    <row r="502" spans="5:14" x14ac:dyDescent="0.2">
      <c r="E502" s="4" t="s">
        <v>17</v>
      </c>
      <c r="K502" t="str">
        <v>me,</v>
      </c>
      <c r="L502" t="str">
        <v>micro-dose</v>
      </c>
      <c r="M502" s="4" t="str">
        <f t="shared" si="7"/>
        <v xml:space="preserve">me </v>
      </c>
      <c r="N502" s="4" cm="1">
        <f t="array" ref="N502">SUM(--(_xlfn.TEXTSPLIT($J$423,, " ") = L502))</f>
        <v>2</v>
      </c>
    </row>
    <row r="503" spans="5:14" x14ac:dyDescent="0.2">
      <c r="E503" s="4" t="s">
        <v>17</v>
      </c>
      <c r="K503" t="str">
        <v>sounds</v>
      </c>
      <c r="L503" t="str">
        <v>immunity</v>
      </c>
      <c r="M503" s="4" t="str">
        <f t="shared" si="7"/>
        <v>sounds</v>
      </c>
      <c r="N503" s="4" cm="1">
        <f t="array" ref="N503">SUM(--(_xlfn.TEXTSPLIT($J$423,, " ") = L503))</f>
        <v>2</v>
      </c>
    </row>
    <row r="504" spans="5:14" x14ac:dyDescent="0.2">
      <c r="E504" s="4" t="s">
        <v>17</v>
      </c>
      <c r="K504" t="str">
        <v>of</v>
      </c>
      <c r="L504" t="str">
        <v>you'll</v>
      </c>
      <c r="M504" s="4" t="str">
        <f t="shared" si="7"/>
        <v>of</v>
      </c>
      <c r="N504" s="4" cm="1">
        <f t="array" ref="N504">SUM(--(_xlfn.TEXTSPLIT($J$423,, " ") = L504))</f>
        <v>1</v>
      </c>
    </row>
    <row r="505" spans="5:14" x14ac:dyDescent="0.2">
      <c r="E505" s="4" t="s">
        <v>17</v>
      </c>
      <c r="K505" t="str">
        <v>empty</v>
      </c>
      <c r="L505" t="str">
        <v>never,</v>
      </c>
      <c r="M505" s="4" t="str">
        <f t="shared" si="7"/>
        <v>empty</v>
      </c>
      <c r="N505" s="4" cm="1">
        <f t="array" ref="N505">SUM(--(_xlfn.TEXTSPLIT($J$423,, " ") = L505))</f>
        <v>1</v>
      </c>
    </row>
    <row r="506" spans="5:14" x14ac:dyDescent="0.2">
      <c r="E506" s="4" t="s">
        <v>17</v>
      </c>
      <c r="K506" t="str">
        <v xml:space="preserve">Uzis
</v>
      </c>
      <c r="L506" t="str">
        <v>ever</v>
      </c>
      <c r="M506" s="4" t="str">
        <f t="shared" si="7"/>
        <v xml:space="preserve">Uzis </v>
      </c>
      <c r="N506" s="4" cm="1">
        <f t="array" ref="N506">SUM(--(_xlfn.TEXTSPLIT($J$423,, " ") = L506))</f>
        <v>1</v>
      </c>
    </row>
    <row r="507" spans="5:14" x14ac:dyDescent="0.2">
      <c r="E507" s="4" t="s">
        <v>17</v>
      </c>
      <c r="K507" t="str">
        <v>Life</v>
      </c>
      <c r="L507" t="str">
        <v>get</v>
      </c>
      <c r="M507" s="4" t="str">
        <f t="shared" si="7"/>
        <v>Life</v>
      </c>
      <c r="N507" s="4" cm="1">
        <f t="array" ref="N507">SUM(--(_xlfn.TEXTSPLIT($J$423,, " ") = L507))</f>
        <v>1</v>
      </c>
    </row>
    <row r="508" spans="5:14" x14ac:dyDescent="0.2">
      <c r="E508" s="4" t="s">
        <v>17</v>
      </c>
      <c r="K508" t="str">
        <v>is</v>
      </c>
      <c r="L508" t="str">
        <v>go,</v>
      </c>
      <c r="M508" s="4" t="str">
        <f t="shared" si="7"/>
        <v>is</v>
      </c>
      <c r="N508" s="4" cm="1">
        <f t="array" ref="N508">SUM(--(_xlfn.TEXTSPLIT($J$423,, " ") = L508))</f>
        <v>6</v>
      </c>
    </row>
    <row r="509" spans="5:14" x14ac:dyDescent="0.2">
      <c r="E509" s="4" t="s">
        <v>17</v>
      </c>
      <c r="K509" t="str">
        <v>just</v>
      </c>
      <c r="L509" t="str">
        <v>ah,</v>
      </c>
      <c r="M509" s="4" t="str">
        <f t="shared" si="7"/>
        <v>just</v>
      </c>
      <c r="N509" s="4" cm="1">
        <f t="array" ref="N509">SUM(--(_xlfn.TEXTSPLIT($J$423,, " ") = L509))</f>
        <v>11</v>
      </c>
    </row>
    <row r="510" spans="5:14" x14ac:dyDescent="0.2">
      <c r="E510" s="4" t="s">
        <v>17</v>
      </c>
      <c r="K510" t="str">
        <v>forever</v>
      </c>
      <c r="L510" t="str">
        <v>ah</v>
      </c>
      <c r="M510" s="4" t="str">
        <f t="shared" si="7"/>
        <v>forever</v>
      </c>
      <c r="N510" s="4" cm="1">
        <f t="array" ref="N510">SUM(--(_xlfn.TEXTSPLIT($J$423,, " ") = L510))</f>
        <v>2</v>
      </c>
    </row>
    <row r="511" spans="5:14" x14ac:dyDescent="0.2">
      <c r="E511" s="4" t="s">
        <v>17</v>
      </c>
      <c r="K511" t="str">
        <v>nipping</v>
      </c>
      <c r="L511" t="str">
        <v>What's</v>
      </c>
      <c r="M511" s="4" t="str">
        <f t="shared" si="7"/>
        <v>nipping</v>
      </c>
      <c r="N511" s="4" cm="1">
        <f t="array" ref="N511">SUM(--(_xlfn.TEXTSPLIT($J$423,, " ") = L511))</f>
        <v>2</v>
      </c>
    </row>
    <row r="512" spans="5:14" x14ac:dyDescent="0.2">
      <c r="E512" s="4" t="s">
        <v>17</v>
      </c>
      <c r="K512" t="str">
        <v>heels,</v>
      </c>
      <c r="L512" t="str">
        <v>matter?</v>
      </c>
      <c r="M512" s="4" t="str">
        <f t="shared" si="7"/>
        <v xml:space="preserve">heels </v>
      </c>
      <c r="N512" s="4" cm="1">
        <f t="array" ref="N512">SUM(--(_xlfn.TEXTSPLIT($J$423,, " ") = L512))</f>
        <v>2</v>
      </c>
    </row>
    <row r="513" spans="5:14" x14ac:dyDescent="0.2">
      <c r="E513" s="4" t="s">
        <v>17</v>
      </c>
      <c r="K513" t="str">
        <v>never</v>
      </c>
      <c r="L513" t="str">
        <v>isn't</v>
      </c>
      <c r="M513" s="4" t="str">
        <f t="shared" si="7"/>
        <v>never</v>
      </c>
      <c r="N513" s="4" cm="1">
        <f t="array" ref="N513">SUM(--(_xlfn.TEXTSPLIT($J$423,, " ") = L513))</f>
        <v>2</v>
      </c>
    </row>
    <row r="514" spans="5:14" x14ac:dyDescent="0.2">
      <c r="E514" s="4" t="s">
        <v>17</v>
      </c>
      <c r="K514" t="str">
        <v>slowing</v>
      </c>
      <c r="L514" t="str">
        <v>helping</v>
      </c>
      <c r="M514" s="4" t="str">
        <f t="shared" si="7"/>
        <v>slowing</v>
      </c>
      <c r="N514" s="4" cm="1">
        <f t="array" ref="N514">SUM(--(_xlfn.TEXTSPLIT($J$423,, " ") = L514))</f>
        <v>2</v>
      </c>
    </row>
    <row r="515" spans="5:14" x14ac:dyDescent="0.2">
      <c r="E515" s="4" t="s">
        <v>17</v>
      </c>
      <c r="K515" t="str">
        <v xml:space="preserve">down
</v>
      </c>
      <c r="L515" t="str">
        <v>ooh,</v>
      </c>
      <c r="M515" s="4" t="str">
        <f t="shared" ref="M515:M578" si="8">_xlfn.REGEXREPLACE(K515, "[^A-Za-z ]", " ")</f>
        <v xml:space="preserve">down </v>
      </c>
      <c r="N515" s="4" cm="1">
        <f t="array" ref="N515">SUM(--(_xlfn.TEXTSPLIT($J$423,, " ") = L515))</f>
        <v>6</v>
      </c>
    </row>
    <row r="516" spans="5:14" x14ac:dyDescent="0.2">
      <c r="E516" s="4" t="s">
        <v>17</v>
      </c>
      <c r="K516" t="str">
        <v>Raw</v>
      </c>
      <c r="L516" t="str">
        <v>ooh</v>
      </c>
      <c r="M516" s="4" t="str">
        <f t="shared" si="8"/>
        <v>Raw</v>
      </c>
      <c r="N516" s="4" cm="1">
        <f t="array" ref="N516">SUM(--(_xlfn.TEXTSPLIT($J$423,, " ") = L516))</f>
        <v>2</v>
      </c>
    </row>
    <row r="517" spans="5:14" x14ac:dyDescent="0.2">
      <c r="E517" s="4" t="s">
        <v>17</v>
      </c>
      <c r="K517" t="str">
        <v>fear</v>
      </c>
      <c r="L517" t="str">
        <v>wish</v>
      </c>
      <c r="M517" s="4" t="str">
        <f t="shared" si="8"/>
        <v>fear</v>
      </c>
      <c r="N517" s="4" cm="1">
        <f t="array" ref="N517">SUM(--(_xlfn.TEXTSPLIT($J$423,, " ") = L517))</f>
        <v>2</v>
      </c>
    </row>
    <row r="518" spans="5:14" x14ac:dyDescent="0.2">
      <c r="E518" s="4" t="s">
        <v>17</v>
      </c>
      <c r="K518" t="str">
        <v>moves</v>
      </c>
      <c r="L518" t="str">
        <v>her</v>
      </c>
      <c r="M518" s="4" t="str">
        <f t="shared" si="8"/>
        <v>moves</v>
      </c>
      <c r="N518" s="4" cm="1">
        <f t="array" ref="N518">SUM(--(_xlfn.TEXTSPLIT($J$423,, " ") = L518))</f>
        <v>2</v>
      </c>
    </row>
    <row r="519" spans="5:14" x14ac:dyDescent="0.2">
      <c r="E519" s="4" t="s">
        <v>17</v>
      </c>
      <c r="K519" t="str">
        <v>me,</v>
      </c>
      <c r="L519" t="str">
        <v>parents</v>
      </c>
      <c r="M519" s="4" t="str">
        <f t="shared" si="8"/>
        <v xml:space="preserve">me </v>
      </c>
      <c r="N519" s="4" cm="1">
        <f t="array" ref="N519">SUM(--(_xlfn.TEXTSPLIT($J$423,, " ") = L519))</f>
        <v>2</v>
      </c>
    </row>
    <row r="520" spans="5:14" x14ac:dyDescent="0.2">
      <c r="E520" s="4" t="s">
        <v>17</v>
      </c>
      <c r="K520" t="str">
        <v>sounds</v>
      </c>
      <c r="L520" t="str">
        <v>would</v>
      </c>
      <c r="M520" s="4" t="str">
        <f t="shared" si="8"/>
        <v>sounds</v>
      </c>
      <c r="N520" s="4" cm="1">
        <f t="array" ref="N520">SUM(--(_xlfn.TEXTSPLIT($J$423,, " ") = L520))</f>
        <v>2</v>
      </c>
    </row>
    <row r="521" spans="5:14" x14ac:dyDescent="0.2">
      <c r="E521" s="4" t="s">
        <v>17</v>
      </c>
      <c r="K521" t="str">
        <v>of</v>
      </c>
      <c r="L521" t="str">
        <v>stop</v>
      </c>
      <c r="M521" s="4" t="str">
        <f t="shared" si="8"/>
        <v>of</v>
      </c>
      <c r="N521" s="4" cm="1">
        <f t="array" ref="N521">SUM(--(_xlfn.TEXTSPLIT($J$423,, " ") = L521))</f>
        <v>2</v>
      </c>
    </row>
    <row r="522" spans="5:14" x14ac:dyDescent="0.2">
      <c r="E522" s="4" t="s">
        <v>17</v>
      </c>
      <c r="K522" t="str">
        <v>empty</v>
      </c>
      <c r="L522" t="str">
        <v>yelling</v>
      </c>
      <c r="M522" s="4" t="str">
        <f t="shared" si="8"/>
        <v>empty</v>
      </c>
      <c r="N522" s="4" cm="1">
        <f t="array" ref="N522">SUM(--(_xlfn.TEXTSPLIT($J$423,, " ") = L522))</f>
        <v>1</v>
      </c>
    </row>
    <row r="523" spans="5:14" x14ac:dyDescent="0.2">
      <c r="E523" s="4" t="s">
        <v>17</v>
      </c>
      <c r="K523" t="str">
        <v xml:space="preserve">Uzis
</v>
      </c>
      <c r="L523" t="str">
        <v>could</v>
      </c>
      <c r="M523" s="4" t="str">
        <f t="shared" si="8"/>
        <v xml:space="preserve">Uzis </v>
      </c>
      <c r="N523" s="4" cm="1">
        <f t="array" ref="N523">SUM(--(_xlfn.TEXTSPLIT($J$423,, " ") = L523))</f>
        <v>1</v>
      </c>
    </row>
    <row r="524" spans="5:14" x14ac:dyDescent="0.2">
      <c r="E524" s="4" t="s">
        <v>17</v>
      </c>
      <c r="K524" t="str">
        <v>Life</v>
      </c>
      <c r="L524" t="str">
        <v>build</v>
      </c>
      <c r="M524" s="4" t="str">
        <f t="shared" si="8"/>
        <v>Life</v>
      </c>
      <c r="N524" s="4" cm="1">
        <f t="array" ref="N524">SUM(--(_xlfn.TEXTSPLIT($J$423,, " ") = L524))</f>
        <v>1</v>
      </c>
    </row>
    <row r="525" spans="5:14" x14ac:dyDescent="0.2">
      <c r="E525" s="4" t="s">
        <v>17</v>
      </c>
      <c r="K525" t="str">
        <v>is</v>
      </c>
      <c r="L525" t="str">
        <v>tower</v>
      </c>
      <c r="M525" s="4" t="str">
        <f t="shared" si="8"/>
        <v>is</v>
      </c>
      <c r="N525" s="4" cm="1">
        <f t="array" ref="N525">SUM(--(_xlfn.TEXTSPLIT($J$423,, " ") = L525))</f>
        <v>1</v>
      </c>
    </row>
    <row r="526" spans="5:14" x14ac:dyDescent="0.2">
      <c r="E526" s="4" t="s">
        <v>17</v>
      </c>
      <c r="K526" t="str">
        <v>just</v>
      </c>
      <c r="L526" t="str">
        <v>with</v>
      </c>
      <c r="M526" s="4" t="str">
        <f t="shared" si="8"/>
        <v>just</v>
      </c>
      <c r="N526" s="4" cm="1">
        <f t="array" ref="N526">SUM(--(_xlfn.TEXTSPLIT($J$423,, " ") = L526))</f>
        <v>1</v>
      </c>
    </row>
    <row r="527" spans="5:14" x14ac:dyDescent="0.2">
      <c r="E527" s="4" t="s">
        <v>17</v>
      </c>
      <c r="K527" t="str">
        <v>forever</v>
      </c>
      <c r="L527" t="str">
        <v>times</v>
      </c>
      <c r="M527" s="4" t="str">
        <f t="shared" si="8"/>
        <v>forever</v>
      </c>
      <c r="N527" s="4" cm="1">
        <f t="array" ref="N527">SUM(--(_xlfn.TEXTSPLIT($J$423,, " ") = L527))</f>
        <v>1</v>
      </c>
    </row>
    <row r="528" spans="5:14" x14ac:dyDescent="0.2">
      <c r="E528" s="4" t="s">
        <v>17</v>
      </c>
      <c r="K528" t="str">
        <v>gripping</v>
      </c>
      <c r="L528" t="str">
        <v>was</v>
      </c>
      <c r="M528" s="4" t="str">
        <f t="shared" si="8"/>
        <v>gripping</v>
      </c>
      <c r="N528" s="4" cm="1">
        <f t="array" ref="N528">SUM(--(_xlfn.TEXTSPLIT($J$423,, " ") = L528))</f>
        <v>1</v>
      </c>
    </row>
    <row r="529" spans="5:14" x14ac:dyDescent="0.2">
      <c r="E529" s="4" t="s">
        <v>17</v>
      </c>
      <c r="K529" t="str">
        <v>feels,</v>
      </c>
      <c r="L529" t="str">
        <v>pretending</v>
      </c>
      <c r="M529" s="4" t="str">
        <f t="shared" si="8"/>
        <v xml:space="preserve">feels </v>
      </c>
      <c r="N529" s="4" cm="1">
        <f t="array" ref="N529">SUM(--(_xlfn.TEXTSPLIT($J$423,, " ") = L529))</f>
        <v>1</v>
      </c>
    </row>
    <row r="530" spans="5:14" x14ac:dyDescent="0.2">
      <c r="E530" s="4" t="s">
        <v>17</v>
      </c>
      <c r="K530" t="str">
        <v>never</v>
      </c>
      <c r="L530" t="str">
        <v>I'll</v>
      </c>
      <c r="M530" s="4" t="str">
        <f t="shared" si="8"/>
        <v>never</v>
      </c>
      <c r="N530" s="4" cm="1">
        <f t="array" ref="N530">SUM(--(_xlfn.TEXTSPLIT($J$423,, " ") = L530))</f>
        <v>1</v>
      </c>
    </row>
    <row r="531" spans="5:14" x14ac:dyDescent="0.2">
      <c r="E531" s="4" t="s">
        <v>17</v>
      </c>
      <c r="K531" t="str">
        <v>slowing</v>
      </c>
      <c r="L531" t="str">
        <v>see</v>
      </c>
      <c r="M531" s="4" t="str">
        <f t="shared" si="8"/>
        <v>slowing</v>
      </c>
      <c r="N531" s="4" cm="1">
        <f t="array" ref="N531">SUM(--(_xlfn.TEXTSPLIT($J$423,, " ") = L531))</f>
        <v>1</v>
      </c>
    </row>
    <row r="532" spans="5:14" x14ac:dyDescent="0.2">
      <c r="E532" s="4" t="s">
        <v>17</v>
      </c>
      <c r="K532" t="str">
        <v xml:space="preserve">down
</v>
      </c>
      <c r="L532" t="str">
        <v>ending</v>
      </c>
      <c r="M532" s="4" t="str">
        <f t="shared" si="8"/>
        <v xml:space="preserve">down </v>
      </c>
      <c r="N532" s="4" cm="1">
        <f t="array" ref="N532">SUM(--(_xlfn.TEXTSPLIT($J$423,, " ") = L532))</f>
        <v>1</v>
      </c>
    </row>
    <row r="533" spans="5:14" x14ac:dyDescent="0.2">
      <c r="E533" s="4" t="s">
        <v>17</v>
      </c>
      <c r="K533" t="str">
        <v>(I</v>
      </c>
      <c r="L533" t="str">
        <v/>
      </c>
      <c r="M533" s="4" t="str">
        <f t="shared" si="8"/>
        <v xml:space="preserve"> I</v>
      </c>
      <c r="N533" s="4" cm="1">
        <f t="array" ref="N533">SUM(--(_xlfn.TEXTSPLIT($J$423,, " ") = L533))</f>
        <v>1</v>
      </c>
    </row>
    <row r="534" spans="5:14" x14ac:dyDescent="0.2">
      <c r="E534" s="4" t="s">
        <v>17</v>
      </c>
      <c r="K534" t="str">
        <v>can't</v>
      </c>
      <c r="L534" t="str">
        <v xml:space="preserve">yelling
</v>
      </c>
      <c r="M534" s="4" t="str">
        <f t="shared" si="8"/>
        <v>can t</v>
      </c>
      <c r="N534" s="4" cm="1">
        <f t="array" ref="N534">SUM(--(_xlfn.TEXTSPLIT($J$423,, " ") = L534))</f>
        <v>1</v>
      </c>
    </row>
    <row r="535" spans="5:14" x14ac:dyDescent="0.2">
      <c r="E535" s="4" t="s">
        <v>17</v>
      </c>
      <c r="K535" t="str">
        <v>seem</v>
      </c>
      <c r="L535" t="str">
        <v>(Ah,</v>
      </c>
      <c r="M535" s="4" t="str">
        <f t="shared" si="8"/>
        <v>seem</v>
      </c>
      <c r="N535" s="4" cm="1">
        <f t="array" ref="N535">SUM(--(_xlfn.TEXTSPLIT($J$423,, " ") = L535))</f>
        <v>5</v>
      </c>
    </row>
    <row r="536" spans="5:14" x14ac:dyDescent="0.2">
      <c r="E536" s="4" t="s">
        <v>17</v>
      </c>
      <c r="K536" t="str">
        <v>to</v>
      </c>
      <c r="L536" t="str">
        <v xml:space="preserve">ah)
</v>
      </c>
      <c r="M536" s="4" t="str">
        <f t="shared" si="8"/>
        <v>to</v>
      </c>
      <c r="N536" s="4" cm="1">
        <f t="array" ref="N536">SUM(--(_xlfn.TEXTSPLIT($J$423,, " ") = L536))</f>
        <v>5</v>
      </c>
    </row>
    <row r="537" spans="5:14" x14ac:dyDescent="0.2">
      <c r="E537" s="4" t="s">
        <v>17</v>
      </c>
      <c r="K537" t="str">
        <v>sit</v>
      </c>
      <c r="L537" t="str">
        <v xml:space="preserve">ooh
</v>
      </c>
      <c r="M537" s="4" t="str">
        <f t="shared" si="8"/>
        <v>sit</v>
      </c>
      <c r="N537" s="4" cm="1">
        <f t="array" ref="N537">SUM(--(_xlfn.TEXTSPLIT($J$423,, " ") = L537))</f>
        <v>1</v>
      </c>
    </row>
    <row r="538" spans="5:14" x14ac:dyDescent="0.2">
      <c r="E538" s="4" t="s">
        <v>17</v>
      </c>
      <c r="K538" t="str">
        <v>still</v>
      </c>
      <c r="L538" t="str">
        <v>kid?</v>
      </c>
      <c r="M538" s="4" t="str">
        <f t="shared" si="8"/>
        <v>still</v>
      </c>
      <c r="N538" s="4" cm="1">
        <f t="array" ref="N538">SUM(--(_xlfn.TEXTSPLIT($J$423,, " ") = L538))</f>
        <v>1</v>
      </c>
    </row>
    <row r="539" spans="5:14" x14ac:dyDescent="0.2">
      <c r="E539" s="4" t="s">
        <v>17</v>
      </c>
      <c r="K539" t="str">
        <v>any</v>
      </c>
      <c r="L539" t="str">
        <v xml:space="preserve">ah
</v>
      </c>
      <c r="M539" s="4" t="str">
        <f t="shared" si="8"/>
        <v>any</v>
      </c>
      <c r="N539" s="4" cm="1">
        <f t="array" ref="N539">SUM(--(_xlfn.TEXTSPLIT($J$423,, " ") = L539))</f>
        <v>1</v>
      </c>
    </row>
    <row r="540" spans="5:14" x14ac:dyDescent="0.2">
      <c r="E540" s="4" t="s">
        <v>17</v>
      </c>
      <c r="K540" t="str">
        <v xml:space="preserve">longer)
</v>
      </c>
      <c r="L540" t="str">
        <v>Uzis</v>
      </c>
      <c r="M540" s="4" t="str">
        <f t="shared" si="8"/>
        <v xml:space="preserve">longer  </v>
      </c>
      <c r="N540" s="4" cm="1">
        <f t="array" ref="N540">SUM(--(_xlfn.TEXTSPLIT($J$423,, " ") = L540))</f>
        <v>4</v>
      </c>
    </row>
    <row r="541" spans="5:14" x14ac:dyDescent="0.2">
      <c r="E541" s="4" t="s">
        <v>17</v>
      </c>
      <c r="K541" t="str">
        <v>Raw</v>
      </c>
      <c r="L541" t="str">
        <v>down</v>
      </c>
      <c r="M541" s="4" t="str">
        <f t="shared" si="8"/>
        <v>Raw</v>
      </c>
      <c r="N541" s="4" cm="1">
        <f t="array" ref="N541">SUM(--(_xlfn.TEXTSPLIT($J$423,, " ") = L541))</f>
        <v>1</v>
      </c>
    </row>
    <row r="542" spans="5:14" x14ac:dyDescent="0.2">
      <c r="E542" s="4" t="s">
        <v>17</v>
      </c>
      <c r="K542" t="str">
        <v>fear</v>
      </c>
      <c r="M542" s="4" t="str">
        <f t="shared" si="8"/>
        <v>fear</v>
      </c>
      <c r="N542" s="4" cm="1">
        <f t="array" ref="N542">SUM(--(_xlfn.TEXTSPLIT($J$423,, " ") = L542))</f>
        <v>1</v>
      </c>
    </row>
    <row r="543" spans="5:14" x14ac:dyDescent="0.2">
      <c r="E543" s="4" t="s">
        <v>17</v>
      </c>
      <c r="K543" t="str">
        <v>moves</v>
      </c>
      <c r="M543" s="4" t="str">
        <f t="shared" si="8"/>
        <v>moves</v>
      </c>
      <c r="N543" s="4" cm="1">
        <f t="array" ref="N543">SUM(--(_xlfn.TEXTSPLIT($J$423,, " ") = L543))</f>
        <v>1</v>
      </c>
    </row>
    <row r="544" spans="5:14" x14ac:dyDescent="0.2">
      <c r="E544" s="4" t="s">
        <v>17</v>
      </c>
      <c r="K544" t="str">
        <v>me,</v>
      </c>
      <c r="M544" s="4" t="str">
        <f t="shared" si="8"/>
        <v xml:space="preserve">me </v>
      </c>
      <c r="N544" s="4" cm="1">
        <f t="array" ref="N544">SUM(--(_xlfn.TEXTSPLIT($J$423,, " ") = L544))</f>
        <v>1</v>
      </c>
    </row>
    <row r="545" spans="5:14" x14ac:dyDescent="0.2">
      <c r="E545" s="4" t="s">
        <v>17</v>
      </c>
      <c r="K545" t="str">
        <v>sounds</v>
      </c>
      <c r="M545" s="4" t="str">
        <f t="shared" si="8"/>
        <v>sounds</v>
      </c>
      <c r="N545" s="4" cm="1">
        <f t="array" ref="N545">SUM(--(_xlfn.TEXTSPLIT($J$423,, " ") = L545))</f>
        <v>1</v>
      </c>
    </row>
    <row r="546" spans="5:14" x14ac:dyDescent="0.2">
      <c r="E546" s="4" t="s">
        <v>17</v>
      </c>
      <c r="K546" t="str">
        <v>of</v>
      </c>
      <c r="M546" s="4" t="str">
        <f t="shared" si="8"/>
        <v>of</v>
      </c>
      <c r="N546" s="4" cm="1">
        <f t="array" ref="N546">SUM(--(_xlfn.TEXTSPLIT($J$423,, " ") = L546))</f>
        <v>1</v>
      </c>
    </row>
    <row r="547" spans="5:14" x14ac:dyDescent="0.2">
      <c r="E547" s="4" t="s">
        <v>17</v>
      </c>
      <c r="K547" t="str">
        <v>empty</v>
      </c>
      <c r="M547" s="4" t="str">
        <f t="shared" si="8"/>
        <v>empty</v>
      </c>
      <c r="N547" s="4" cm="1">
        <f t="array" ref="N547">SUM(--(_xlfn.TEXTSPLIT($J$423,, " ") = L547))</f>
        <v>1</v>
      </c>
    </row>
    <row r="548" spans="5:14" x14ac:dyDescent="0.2">
      <c r="E548" s="4" t="s">
        <v>17</v>
      </c>
      <c r="K548" t="str">
        <v xml:space="preserve">Uzis
</v>
      </c>
      <c r="M548" s="4" t="str">
        <f t="shared" si="8"/>
        <v xml:space="preserve">Uzis </v>
      </c>
      <c r="N548" s="4" cm="1">
        <f t="array" ref="N548">SUM(--(_xlfn.TEXTSPLIT($J$423,, " ") = L548))</f>
        <v>1</v>
      </c>
    </row>
    <row r="549" spans="5:14" x14ac:dyDescent="0.2">
      <c r="E549" s="4" t="s">
        <v>17</v>
      </c>
      <c r="K549" t="str">
        <v>Life</v>
      </c>
      <c r="M549" s="4" t="str">
        <f t="shared" si="8"/>
        <v>Life</v>
      </c>
      <c r="N549" s="4" cm="1">
        <f t="array" ref="N549">SUM(--(_xlfn.TEXTSPLIT($J$423,, " ") = L549))</f>
        <v>1</v>
      </c>
    </row>
    <row r="550" spans="5:14" x14ac:dyDescent="0.2">
      <c r="E550" s="4" t="s">
        <v>17</v>
      </c>
      <c r="K550" t="str">
        <v>is</v>
      </c>
      <c r="M550" s="4" t="str">
        <f t="shared" si="8"/>
        <v>is</v>
      </c>
      <c r="N550" s="4" cm="1">
        <f t="array" ref="N550">SUM(--(_xlfn.TEXTSPLIT($J$423,, " ") = L550))</f>
        <v>1</v>
      </c>
    </row>
    <row r="551" spans="5:14" x14ac:dyDescent="0.2">
      <c r="E551" s="4" t="s">
        <v>17</v>
      </c>
      <c r="K551" t="str">
        <v>just</v>
      </c>
      <c r="M551" s="4" t="str">
        <f t="shared" si="8"/>
        <v>just</v>
      </c>
      <c r="N551" s="4" cm="1">
        <f t="array" ref="N551">SUM(--(_xlfn.TEXTSPLIT($J$423,, " ") = L551))</f>
        <v>1</v>
      </c>
    </row>
    <row r="552" spans="5:14" x14ac:dyDescent="0.2">
      <c r="E552" s="4" t="s">
        <v>17</v>
      </c>
      <c r="K552" t="str">
        <v>forever</v>
      </c>
      <c r="M552" s="4" t="str">
        <f t="shared" si="8"/>
        <v>forever</v>
      </c>
      <c r="N552" s="4" cm="1">
        <f t="array" ref="N552">SUM(--(_xlfn.TEXTSPLIT($J$423,, " ") = L552))</f>
        <v>1</v>
      </c>
    </row>
    <row r="553" spans="5:14" x14ac:dyDescent="0.2">
      <c r="E553" s="4" t="s">
        <v>17</v>
      </c>
      <c r="K553" t="str">
        <v>gripping</v>
      </c>
      <c r="M553" s="4" t="str">
        <f t="shared" si="8"/>
        <v>gripping</v>
      </c>
      <c r="N553" s="4" cm="1">
        <f t="array" ref="N553">SUM(--(_xlfn.TEXTSPLIT($J$423,, " ") = L553))</f>
        <v>1</v>
      </c>
    </row>
    <row r="554" spans="5:14" x14ac:dyDescent="0.2">
      <c r="E554" s="4" t="s">
        <v>17</v>
      </c>
      <c r="K554" t="str">
        <v>feels,</v>
      </c>
      <c r="M554" s="4" t="str">
        <f t="shared" si="8"/>
        <v xml:space="preserve">feels </v>
      </c>
      <c r="N554" s="4" cm="1">
        <f t="array" ref="N554">SUM(--(_xlfn.TEXTSPLIT($J$423,, " ") = L554))</f>
        <v>1</v>
      </c>
    </row>
    <row r="555" spans="5:14" x14ac:dyDescent="0.2">
      <c r="E555" s="4" t="s">
        <v>17</v>
      </c>
      <c r="K555" t="str">
        <v>never</v>
      </c>
      <c r="M555" s="4" t="str">
        <f t="shared" si="8"/>
        <v>never</v>
      </c>
      <c r="N555" s="4" cm="1">
        <f t="array" ref="N555">SUM(--(_xlfn.TEXTSPLIT($J$423,, " ") = L555))</f>
        <v>1</v>
      </c>
    </row>
    <row r="556" spans="5:14" x14ac:dyDescent="0.2">
      <c r="E556" s="4" t="s">
        <v>17</v>
      </c>
      <c r="K556" t="str">
        <v>slowing</v>
      </c>
      <c r="M556" s="4" t="str">
        <f t="shared" si="8"/>
        <v>slowing</v>
      </c>
      <c r="N556" s="4" cm="1">
        <f t="array" ref="N556">SUM(--(_xlfn.TEXTSPLIT($J$423,, " ") = L556))</f>
        <v>1</v>
      </c>
    </row>
    <row r="557" spans="5:14" x14ac:dyDescent="0.2">
      <c r="E557" s="4" t="s">
        <v>17</v>
      </c>
      <c r="K557" t="str">
        <v xml:space="preserve">down
</v>
      </c>
      <c r="M557" s="4" t="str">
        <f t="shared" si="8"/>
        <v xml:space="preserve">down  </v>
      </c>
      <c r="N557" s="4" cm="1">
        <f t="array" ref="N557">SUM(--(_xlfn.TEXTSPLIT($J$423,, " ") = L557))</f>
        <v>1</v>
      </c>
    </row>
    <row r="558" spans="5:14" x14ac:dyDescent="0.2">
      <c r="E558" s="4" t="s">
        <v>17</v>
      </c>
      <c r="K558" t="str">
        <v>(Never</v>
      </c>
      <c r="M558" s="4" t="str">
        <f t="shared" si="8"/>
        <v xml:space="preserve"> Never</v>
      </c>
      <c r="N558" s="4" cm="1">
        <f t="array" ref="N558">SUM(--(_xlfn.TEXTSPLIT($J$423,, " ") = L558))</f>
        <v>1</v>
      </c>
    </row>
    <row r="559" spans="5:14" x14ac:dyDescent="0.2">
      <c r="E559" s="4" t="s">
        <v>17</v>
      </c>
      <c r="K559" t="str">
        <v>slowing</v>
      </c>
      <c r="M559" s="4" t="str">
        <f t="shared" si="8"/>
        <v>slowing</v>
      </c>
      <c r="N559" s="4" cm="1">
        <f t="array" ref="N559">SUM(--(_xlfn.TEXTSPLIT($J$423,, " ") = L559))</f>
        <v>1</v>
      </c>
    </row>
    <row r="560" spans="5:14" x14ac:dyDescent="0.2">
      <c r="E560" s="4" t="s">
        <v>17</v>
      </c>
      <c r="K560" t="str">
        <v xml:space="preserve">down)
</v>
      </c>
      <c r="M560" s="4" t="str">
        <f t="shared" si="8"/>
        <v xml:space="preserve">down  </v>
      </c>
      <c r="N560" s="4" cm="1">
        <f t="array" ref="N560">SUM(--(_xlfn.TEXTSPLIT($J$423,, " ") = L560))</f>
        <v>1</v>
      </c>
    </row>
    <row r="561" spans="5:14" x14ac:dyDescent="0.2">
      <c r="E561" s="4" t="s">
        <v>17</v>
      </c>
      <c r="K561" t="str">
        <v>(Never</v>
      </c>
      <c r="M561" s="4" t="str">
        <f t="shared" si="8"/>
        <v xml:space="preserve"> Never</v>
      </c>
      <c r="N561" s="4" cm="1">
        <f t="array" ref="N561">SUM(--(_xlfn.TEXTSPLIT($J$423,, " ") = L561))</f>
        <v>1</v>
      </c>
    </row>
    <row r="562" spans="5:14" x14ac:dyDescent="0.2">
      <c r="E562" s="4" t="s">
        <v>17</v>
      </c>
      <c r="K562" t="str">
        <v>slowing</v>
      </c>
      <c r="M562" s="4" t="str">
        <f t="shared" si="8"/>
        <v>slowing</v>
      </c>
      <c r="N562" s="4" cm="1">
        <f t="array" ref="N562">SUM(--(_xlfn.TEXTSPLIT($J$423,, " ") = L562))</f>
        <v>1</v>
      </c>
    </row>
    <row r="563" spans="5:14" x14ac:dyDescent="0.2">
      <c r="E563" s="4" t="s">
        <v>17</v>
      </c>
      <c r="K563" t="str">
        <v xml:space="preserve">down)
</v>
      </c>
      <c r="M563" s="4" t="str">
        <f t="shared" si="8"/>
        <v xml:space="preserve">down  </v>
      </c>
      <c r="N563" s="4" cm="1">
        <f t="array" ref="N563">SUM(--(_xlfn.TEXTSPLIT($J$423,, " ") = L563))</f>
        <v>1</v>
      </c>
    </row>
    <row r="564" spans="5:14" x14ac:dyDescent="0.2">
      <c r="E564" s="4" t="s">
        <v>17</v>
      </c>
      <c r="K564" t="str">
        <v>(Never,</v>
      </c>
      <c r="M564" s="4" t="str">
        <f t="shared" si="8"/>
        <v xml:space="preserve"> Never </v>
      </c>
      <c r="N564" s="4" cm="1">
        <f t="array" ref="N564">SUM(--(_xlfn.TEXTSPLIT($J$423,, " ") = L564))</f>
        <v>1</v>
      </c>
    </row>
    <row r="565" spans="5:14" x14ac:dyDescent="0.2">
      <c r="E565" s="4" t="s">
        <v>17</v>
      </c>
      <c r="K565" t="str">
        <v>never</v>
      </c>
      <c r="M565" s="4" t="str">
        <f t="shared" si="8"/>
        <v>never</v>
      </c>
      <c r="N565" s="4" cm="1">
        <f t="array" ref="N565">SUM(--(_xlfn.TEXTSPLIT($J$423,, " ") = L565))</f>
        <v>1</v>
      </c>
    </row>
    <row r="566" spans="5:14" x14ac:dyDescent="0.2">
      <c r="E566" s="4" t="s">
        <v>17</v>
      </c>
      <c r="K566" t="str">
        <v>slowing</v>
      </c>
      <c r="M566" s="4" t="str">
        <f t="shared" si="8"/>
        <v>slowing</v>
      </c>
      <c r="N566" s="4" cm="1">
        <f t="array" ref="N566">SUM(--(_xlfn.TEXTSPLIT($J$423,, " ") = L566))</f>
        <v>1</v>
      </c>
    </row>
    <row r="567" spans="5:14" x14ac:dyDescent="0.2">
      <c r="E567" s="4" t="s">
        <v>17</v>
      </c>
      <c r="K567" t="str">
        <v xml:space="preserve">down)
</v>
      </c>
      <c r="M567" s="4" t="str">
        <f t="shared" si="8"/>
        <v xml:space="preserve">down  </v>
      </c>
      <c r="N567" s="4" cm="1">
        <f t="array" ref="N567">SUM(--(_xlfn.TEXTSPLIT($J$423,, " ") = L567))</f>
        <v>1</v>
      </c>
    </row>
    <row r="568" spans="5:14" x14ac:dyDescent="0.2">
      <c r="E568" s="4" t="s">
        <v>17</v>
      </c>
      <c r="K568" t="str">
        <v>(Never</v>
      </c>
      <c r="M568" s="4" t="str">
        <f t="shared" si="8"/>
        <v xml:space="preserve"> Never</v>
      </c>
      <c r="N568" s="4" cm="1">
        <f t="array" ref="N568">SUM(--(_xlfn.TEXTSPLIT($J$423,, " ") = L568))</f>
        <v>1</v>
      </c>
    </row>
    <row r="569" spans="5:14" x14ac:dyDescent="0.2">
      <c r="E569" s="4" t="s">
        <v>17</v>
      </c>
      <c r="K569" t="str">
        <v>slowing</v>
      </c>
      <c r="M569" s="4" t="str">
        <f t="shared" si="8"/>
        <v>slowing</v>
      </c>
      <c r="N569" s="4" cm="1">
        <f t="array" ref="N569">SUM(--(_xlfn.TEXTSPLIT($J$423,, " ") = L569))</f>
        <v>1</v>
      </c>
    </row>
    <row r="570" spans="5:14" x14ac:dyDescent="0.2">
      <c r="E570" s="4" t="s">
        <v>17</v>
      </c>
      <c r="K570" t="str">
        <v xml:space="preserve">down)
</v>
      </c>
      <c r="M570" s="4" t="str">
        <f t="shared" si="8"/>
        <v xml:space="preserve">down  </v>
      </c>
      <c r="N570" s="4" cm="1">
        <f t="array" ref="N570">SUM(--(_xlfn.TEXTSPLIT($J$423,, " ") = L570))</f>
        <v>1</v>
      </c>
    </row>
    <row r="571" spans="5:14" x14ac:dyDescent="0.2">
      <c r="E571" s="4" t="s">
        <v>17</v>
      </c>
      <c r="K571" t="str">
        <v>(Never,</v>
      </c>
      <c r="M571" s="4" t="str">
        <f t="shared" si="8"/>
        <v xml:space="preserve"> Never </v>
      </c>
      <c r="N571" s="4" cm="1">
        <f t="array" ref="N571">SUM(--(_xlfn.TEXTSPLIT($J$423,, " ") = L571))</f>
        <v>1</v>
      </c>
    </row>
    <row r="572" spans="5:14" x14ac:dyDescent="0.2">
      <c r="E572" s="4" t="s">
        <v>17</v>
      </c>
      <c r="K572" t="str">
        <v>never</v>
      </c>
      <c r="M572" s="4" t="str">
        <f t="shared" si="8"/>
        <v>never</v>
      </c>
      <c r="N572" s="4" cm="1">
        <f t="array" ref="N572">SUM(--(_xlfn.TEXTSPLIT($J$423,, " ") = L572))</f>
        <v>1</v>
      </c>
    </row>
    <row r="573" spans="5:14" x14ac:dyDescent="0.2">
      <c r="E573" s="4" t="s">
        <v>17</v>
      </c>
      <c r="K573" t="str">
        <v>slowing</v>
      </c>
      <c r="M573" s="4" t="str">
        <f t="shared" si="8"/>
        <v>slowing</v>
      </c>
      <c r="N573" s="4" cm="1">
        <f t="array" ref="N573">SUM(--(_xlfn.TEXTSPLIT($J$423,, " ") = L573))</f>
        <v>1</v>
      </c>
    </row>
    <row r="574" spans="5:14" x14ac:dyDescent="0.2">
      <c r="E574" s="4" t="s">
        <v>17</v>
      </c>
      <c r="K574" t="str">
        <v xml:space="preserve">down)
</v>
      </c>
      <c r="M574" s="4" t="str">
        <f t="shared" si="8"/>
        <v xml:space="preserve">down  </v>
      </c>
      <c r="N574" s="4" cm="1">
        <f t="array" ref="N574">SUM(--(_xlfn.TEXTSPLIT($J$423,, " ") = L574))</f>
        <v>1</v>
      </c>
    </row>
    <row r="575" spans="5:14" x14ac:dyDescent="0.2">
      <c r="E575" s="4" t="s">
        <v>17</v>
      </c>
      <c r="K575" t="str">
        <v>(Never</v>
      </c>
      <c r="M575" s="4" t="str">
        <f t="shared" si="8"/>
        <v xml:space="preserve"> Never</v>
      </c>
      <c r="N575" s="4" cm="1">
        <f t="array" ref="N575">SUM(--(_xlfn.TEXTSPLIT($J$423,, " ") = L575))</f>
        <v>1</v>
      </c>
    </row>
    <row r="576" spans="5:14" x14ac:dyDescent="0.2">
      <c r="E576" s="4" t="s">
        <v>17</v>
      </c>
      <c r="K576" t="str">
        <v>slowing</v>
      </c>
      <c r="M576" s="4" t="str">
        <f t="shared" si="8"/>
        <v>slowing</v>
      </c>
      <c r="N576" s="4" cm="1">
        <f t="array" ref="N576">SUM(--(_xlfn.TEXTSPLIT($J$423,, " ") = L576))</f>
        <v>1</v>
      </c>
    </row>
    <row r="577" spans="5:14" x14ac:dyDescent="0.2">
      <c r="E577" s="4" t="s">
        <v>17</v>
      </c>
      <c r="K577" t="str">
        <v xml:space="preserve">down)
</v>
      </c>
      <c r="M577" s="4" t="str">
        <f t="shared" si="8"/>
        <v xml:space="preserve">down  </v>
      </c>
      <c r="N577" s="4" cm="1">
        <f t="array" ref="N577">SUM(--(_xlfn.TEXTSPLIT($J$423,, " ") = L577))</f>
        <v>1</v>
      </c>
    </row>
    <row r="578" spans="5:14" x14ac:dyDescent="0.2">
      <c r="E578" s="4" t="s">
        <v>17</v>
      </c>
      <c r="K578" t="str">
        <v>(Never,</v>
      </c>
      <c r="M578" s="4" t="str">
        <f t="shared" si="8"/>
        <v xml:space="preserve"> Never </v>
      </c>
      <c r="N578" s="4" cm="1">
        <f t="array" ref="N578">SUM(--(_xlfn.TEXTSPLIT($J$423,, " ") = L578))</f>
        <v>1</v>
      </c>
    </row>
    <row r="579" spans="5:14" x14ac:dyDescent="0.2">
      <c r="E579" s="4" t="s">
        <v>17</v>
      </c>
      <c r="K579" t="str">
        <v>never</v>
      </c>
      <c r="M579" s="4" t="str">
        <f t="shared" ref="M579:M642" si="9">_xlfn.REGEXREPLACE(K579, "[^A-Za-z ]", " ")</f>
        <v>never</v>
      </c>
      <c r="N579" s="4" cm="1">
        <f t="array" ref="N579">SUM(--(_xlfn.TEXTSPLIT($J$423,, " ") = L579))</f>
        <v>1</v>
      </c>
    </row>
    <row r="580" spans="5:14" x14ac:dyDescent="0.2">
      <c r="E580" s="4" t="s">
        <v>17</v>
      </c>
      <c r="K580" t="str">
        <v>slowing</v>
      </c>
      <c r="M580" s="4" t="str">
        <f t="shared" si="9"/>
        <v>slowing</v>
      </c>
      <c r="N580" s="4" cm="1">
        <f t="array" ref="N580">SUM(--(_xlfn.TEXTSPLIT($J$423,, " ") = L580))</f>
        <v>1</v>
      </c>
    </row>
    <row r="581" spans="5:14" x14ac:dyDescent="0.2">
      <c r="E581" s="4" t="s">
        <v>17</v>
      </c>
      <c r="K581" t="str">
        <v xml:space="preserve">down)
</v>
      </c>
      <c r="M581" s="4" t="str">
        <f t="shared" si="9"/>
        <v xml:space="preserve">down   </v>
      </c>
      <c r="N581" s="4" cm="1">
        <f t="array" ref="N581">SUM(--(_xlfn.TEXTSPLIT($J$423,, " ") = L581))</f>
        <v>1</v>
      </c>
    </row>
    <row r="582" spans="5:14" x14ac:dyDescent="0.2">
      <c r="E582" s="4" t="s">
        <v>17</v>
      </c>
      <c r="K582" t="str">
        <v>Learning</v>
      </c>
      <c r="M582" s="4" t="str">
        <f t="shared" si="9"/>
        <v>Learning</v>
      </c>
      <c r="N582" s="4" cm="1">
        <f t="array" ref="N582">SUM(--(_xlfn.TEXTSPLIT($J$423,, " ") = L582))</f>
        <v>1</v>
      </c>
    </row>
    <row r="583" spans="5:14" x14ac:dyDescent="0.2">
      <c r="E583" s="4" t="s">
        <v>17</v>
      </c>
      <c r="K583" t="str">
        <v>all</v>
      </c>
      <c r="M583" s="4" t="str">
        <f t="shared" si="9"/>
        <v>all</v>
      </c>
      <c r="N583" s="4" cm="1">
        <f t="array" ref="N583">SUM(--(_xlfn.TEXTSPLIT($J$423,, " ") = L583))</f>
        <v>1</v>
      </c>
    </row>
    <row r="584" spans="5:14" x14ac:dyDescent="0.2">
      <c r="E584" s="4" t="s">
        <v>17</v>
      </c>
      <c r="K584" t="str">
        <v>that</v>
      </c>
      <c r="M584" s="4" t="str">
        <f t="shared" si="9"/>
        <v>that</v>
      </c>
      <c r="N584" s="4" cm="1">
        <f t="array" ref="N584">SUM(--(_xlfn.TEXTSPLIT($J$423,, " ") = L584))</f>
        <v>1</v>
      </c>
    </row>
    <row r="585" spans="5:14" x14ac:dyDescent="0.2">
      <c r="E585" s="4" t="s">
        <v>17</v>
      </c>
      <c r="K585" t="str">
        <v>really</v>
      </c>
      <c r="M585" s="4" t="str">
        <f t="shared" si="9"/>
        <v>really</v>
      </c>
      <c r="N585" s="4" cm="1">
        <f t="array" ref="N585">SUM(--(_xlfn.TEXTSPLIT($J$423,, " ") = L585))</f>
        <v>1</v>
      </c>
    </row>
    <row r="586" spans="5:14" x14ac:dyDescent="0.2">
      <c r="E586" s="4" t="s">
        <v>17</v>
      </c>
      <c r="K586" t="str">
        <v>matters</v>
      </c>
      <c r="M586" s="4" t="str">
        <f t="shared" si="9"/>
        <v>matters</v>
      </c>
      <c r="N586" s="4" cm="1">
        <f t="array" ref="N586">SUM(--(_xlfn.TEXTSPLIT($J$423,, " ") = L586))</f>
        <v>1</v>
      </c>
    </row>
    <row r="587" spans="5:14" x14ac:dyDescent="0.2">
      <c r="E587" s="4" t="s">
        <v>17</v>
      </c>
      <c r="K587" t="str">
        <v>is</v>
      </c>
      <c r="M587" s="4" t="str">
        <f t="shared" si="9"/>
        <v>is</v>
      </c>
      <c r="N587" s="4" cm="1">
        <f t="array" ref="N587">SUM(--(_xlfn.TEXTSPLIT($J$423,, " ") = L587))</f>
        <v>1</v>
      </c>
    </row>
    <row r="588" spans="5:14" x14ac:dyDescent="0.2">
      <c r="E588" s="4" t="s">
        <v>17</v>
      </c>
      <c r="K588" t="str">
        <v>a</v>
      </c>
      <c r="M588" s="4" t="str">
        <f t="shared" si="9"/>
        <v>a</v>
      </c>
      <c r="N588" s="4" cm="1">
        <f t="array" ref="N588">SUM(--(_xlfn.TEXTSPLIT($J$423,, " ") = L588))</f>
        <v>1</v>
      </c>
    </row>
    <row r="589" spans="5:14" x14ac:dyDescent="0.2">
      <c r="E589" s="4" t="s">
        <v>17</v>
      </c>
      <c r="K589" t="str">
        <v>slow</v>
      </c>
      <c r="M589" s="4" t="str">
        <f t="shared" si="9"/>
        <v>slow</v>
      </c>
      <c r="N589" s="4" cm="1">
        <f t="array" ref="N589">SUM(--(_xlfn.TEXTSPLIT($J$423,, " ") = L589))</f>
        <v>1</v>
      </c>
    </row>
    <row r="590" spans="5:14" x14ac:dyDescent="0.2">
      <c r="E590" s="4" t="s">
        <v>17</v>
      </c>
      <c r="K590" t="str">
        <v>and</v>
      </c>
      <c r="M590" s="4" t="str">
        <f t="shared" si="9"/>
        <v>and</v>
      </c>
      <c r="N590" s="4" cm="1">
        <f t="array" ref="N590">SUM(--(_xlfn.TEXTSPLIT($J$423,, " ") = L590))</f>
        <v>1</v>
      </c>
    </row>
    <row r="591" spans="5:14" x14ac:dyDescent="0.2">
      <c r="E591" s="4" t="s">
        <v>17</v>
      </c>
      <c r="K591" t="str">
        <v>painful</v>
      </c>
      <c r="M591" s="4" t="str">
        <f t="shared" si="9"/>
        <v>painful</v>
      </c>
      <c r="N591" s="4" cm="1">
        <f t="array" ref="N591">SUM(--(_xlfn.TEXTSPLIT($J$423,, " ") = L591))</f>
        <v>1</v>
      </c>
    </row>
    <row r="592" spans="5:14" x14ac:dyDescent="0.2">
      <c r="E592" s="4" t="s">
        <v>17</v>
      </c>
      <c r="K592" t="str">
        <v>lesson</v>
      </c>
      <c r="M592" s="4" t="str">
        <f t="shared" si="9"/>
        <v>lesson</v>
      </c>
      <c r="N592" s="4" cm="1">
        <f t="array" ref="N592">SUM(--(_xlfn.TEXTSPLIT($J$423,, " ") = L592))</f>
        <v>1</v>
      </c>
    </row>
    <row r="593" spans="5:14" x14ac:dyDescent="0.2">
      <c r="E593" s="4" t="s">
        <v>17</v>
      </c>
      <c r="K593" t="str">
        <v>(Never</v>
      </c>
      <c r="M593" s="4" t="str">
        <f t="shared" si="9"/>
        <v xml:space="preserve"> Never</v>
      </c>
      <c r="N593" s="4" cm="1">
        <f t="array" ref="N593">SUM(--(_xlfn.TEXTSPLIT($J$423,, " ") = L593))</f>
        <v>1</v>
      </c>
    </row>
    <row r="594" spans="5:14" x14ac:dyDescent="0.2">
      <c r="E594" s="4" t="s">
        <v>17</v>
      </c>
      <c r="K594" t="str">
        <v>slowing</v>
      </c>
      <c r="M594" s="4" t="str">
        <f t="shared" si="9"/>
        <v>slowing</v>
      </c>
      <c r="N594" s="4" cm="1">
        <f t="array" ref="N594">SUM(--(_xlfn.TEXTSPLIT($J$423,, " ") = L594))</f>
        <v>1</v>
      </c>
    </row>
    <row r="595" spans="5:14" x14ac:dyDescent="0.2">
      <c r="E595" s="4" t="s">
        <v>17</v>
      </c>
      <c r="K595" t="str">
        <v>down,</v>
      </c>
      <c r="M595" s="4" t="str">
        <f t="shared" si="9"/>
        <v xml:space="preserve">down </v>
      </c>
      <c r="N595" s="4" cm="1">
        <f t="array" ref="N595">SUM(--(_xlfn.TEXTSPLIT($J$423,, " ") = L595))</f>
        <v>1</v>
      </c>
    </row>
    <row r="596" spans="5:14" x14ac:dyDescent="0.2">
      <c r="E596" s="4" t="s">
        <v>17</v>
      </c>
      <c r="K596" t="str">
        <v>never</v>
      </c>
      <c r="M596" s="4" t="str">
        <f t="shared" si="9"/>
        <v>never</v>
      </c>
      <c r="N596" s="4" cm="1">
        <f t="array" ref="N596">SUM(--(_xlfn.TEXTSPLIT($J$423,, " ") = L596))</f>
        <v>1</v>
      </c>
    </row>
    <row r="597" spans="5:14" x14ac:dyDescent="0.2">
      <c r="E597" s="4" t="s">
        <v>17</v>
      </c>
      <c r="K597" t="str">
        <v>slowing</v>
      </c>
      <c r="M597" s="4" t="str">
        <f t="shared" si="9"/>
        <v>slowing</v>
      </c>
      <c r="N597" s="4" cm="1">
        <f t="array" ref="N597">SUM(--(_xlfn.TEXTSPLIT($J$423,, " ") = L597))</f>
        <v>1</v>
      </c>
    </row>
    <row r="598" spans="5:14" x14ac:dyDescent="0.2">
      <c r="E598" s="4" t="s">
        <v>17</v>
      </c>
      <c r="K598" t="str">
        <v xml:space="preserve">down)
</v>
      </c>
      <c r="M598" s="4" t="str">
        <f t="shared" si="9"/>
        <v xml:space="preserve">down  </v>
      </c>
      <c r="N598" s="4" cm="1">
        <f t="array" ref="N598">SUM(--(_xlfn.TEXTSPLIT($J$423,, " ") = L598))</f>
        <v>1</v>
      </c>
    </row>
    <row r="599" spans="5:14" x14ac:dyDescent="0.2">
      <c r="E599" s="4" t="s">
        <v>17</v>
      </c>
      <c r="K599" t="str">
        <v>It</v>
      </c>
      <c r="M599" s="4" t="str">
        <f t="shared" si="9"/>
        <v>It</v>
      </c>
      <c r="N599" s="4" cm="1">
        <f t="array" ref="N599">SUM(--(_xlfn.TEXTSPLIT($J$423,, " ") = L599))</f>
        <v>1</v>
      </c>
    </row>
    <row r="600" spans="5:14" x14ac:dyDescent="0.2">
      <c r="E600" s="4" t="s">
        <v>17</v>
      </c>
      <c r="K600" t="str">
        <v>is</v>
      </c>
      <c r="M600" s="4" t="str">
        <f t="shared" si="9"/>
        <v>is</v>
      </c>
      <c r="N600" s="4" cm="1">
        <f t="array" ref="N600">SUM(--(_xlfn.TEXTSPLIT($J$423,, " ") = L600))</f>
        <v>1</v>
      </c>
    </row>
    <row r="601" spans="5:14" x14ac:dyDescent="0.2">
      <c r="E601" s="4" t="s">
        <v>17</v>
      </c>
      <c r="K601" t="str">
        <v>not</v>
      </c>
      <c r="M601" s="4" t="str">
        <f t="shared" si="9"/>
        <v>not</v>
      </c>
      <c r="N601" s="4" cm="1">
        <f t="array" ref="N601">SUM(--(_xlfn.TEXTSPLIT($J$423,, " ") = L601))</f>
        <v>1</v>
      </c>
    </row>
    <row r="602" spans="5:14" x14ac:dyDescent="0.2">
      <c r="E602" s="4" t="s">
        <v>17</v>
      </c>
      <c r="K602" t="str">
        <v>pass</v>
      </c>
      <c r="M602" s="4" t="str">
        <f t="shared" si="9"/>
        <v>pass</v>
      </c>
      <c r="N602" s="4" cm="1">
        <f t="array" ref="N602">SUM(--(_xlfn.TEXTSPLIT($J$423,, " ") = L602))</f>
        <v>1</v>
      </c>
    </row>
    <row r="603" spans="5:14" x14ac:dyDescent="0.2">
      <c r="E603" s="4" t="s">
        <v>17</v>
      </c>
      <c r="K603" t="str">
        <v>or</v>
      </c>
      <c r="M603" s="4" t="str">
        <f t="shared" si="9"/>
        <v>or</v>
      </c>
      <c r="N603" s="4" cm="1">
        <f t="array" ref="N603">SUM(--(_xlfn.TEXTSPLIT($J$423,, " ") = L603))</f>
        <v>1</v>
      </c>
    </row>
    <row r="604" spans="5:14" x14ac:dyDescent="0.2">
      <c r="E604" s="4" t="s">
        <v>17</v>
      </c>
      <c r="K604" t="str">
        <v>fail,</v>
      </c>
      <c r="M604" s="4" t="str">
        <f t="shared" si="9"/>
        <v xml:space="preserve">fail </v>
      </c>
      <c r="N604" s="4" cm="1">
        <f t="array" ref="N604">SUM(--(_xlfn.TEXTSPLIT($J$423,, " ") = L604))</f>
        <v>1</v>
      </c>
    </row>
    <row r="605" spans="5:14" x14ac:dyDescent="0.2">
      <c r="E605" s="4" t="s">
        <v>17</v>
      </c>
      <c r="K605" t="str">
        <v>but</v>
      </c>
      <c r="M605" s="4" t="str">
        <f t="shared" si="9"/>
        <v>but</v>
      </c>
      <c r="N605" s="4" cm="1">
        <f t="array" ref="N605">SUM(--(_xlfn.TEXTSPLIT($J$423,, " ") = L605))</f>
        <v>1</v>
      </c>
    </row>
    <row r="606" spans="5:14" x14ac:dyDescent="0.2">
      <c r="E606" s="4" t="s">
        <v>17</v>
      </c>
      <c r="K606" t="str">
        <v>a</v>
      </c>
      <c r="M606" s="4" t="str">
        <f t="shared" si="9"/>
        <v>a</v>
      </c>
      <c r="N606" s="4" cm="1">
        <f t="array" ref="N606">SUM(--(_xlfn.TEXTSPLIT($J$423,, " ") = L606))</f>
        <v>1</v>
      </c>
    </row>
    <row r="607" spans="5:14" x14ac:dyDescent="0.2">
      <c r="E607" s="4" t="s">
        <v>17</v>
      </c>
      <c r="K607" t="str">
        <v>poisonous</v>
      </c>
      <c r="M607" s="4" t="str">
        <f t="shared" si="9"/>
        <v>poisonous</v>
      </c>
      <c r="N607" s="4" cm="1">
        <f t="array" ref="N607">SUM(--(_xlfn.TEXTSPLIT($J$423,, " ") = L607))</f>
        <v>1</v>
      </c>
    </row>
    <row r="608" spans="5:14" x14ac:dyDescent="0.2">
      <c r="E608" s="4" t="s">
        <v>17</v>
      </c>
      <c r="K608" t="str">
        <v>progression</v>
      </c>
      <c r="M608" s="4" t="str">
        <f t="shared" si="9"/>
        <v>progression</v>
      </c>
      <c r="N608" s="4" cm="1">
        <f t="array" ref="N608">SUM(--(_xlfn.TEXTSPLIT($J$423,, " ") = L608))</f>
        <v>1</v>
      </c>
    </row>
    <row r="609" spans="5:14" x14ac:dyDescent="0.2">
      <c r="E609" s="4" t="s">
        <v>17</v>
      </c>
      <c r="K609" t="str">
        <v>(Never</v>
      </c>
      <c r="M609" s="4" t="str">
        <f t="shared" si="9"/>
        <v xml:space="preserve"> Never</v>
      </c>
      <c r="N609" s="4" cm="1">
        <f t="array" ref="N609">SUM(--(_xlfn.TEXTSPLIT($J$423,, " ") = L609))</f>
        <v>1</v>
      </c>
    </row>
    <row r="610" spans="5:14" x14ac:dyDescent="0.2">
      <c r="E610" s="4" t="s">
        <v>17</v>
      </c>
      <c r="K610" t="str">
        <v>slowing</v>
      </c>
      <c r="M610" s="4" t="str">
        <f t="shared" si="9"/>
        <v>slowing</v>
      </c>
      <c r="N610" s="4" cm="1">
        <f t="array" ref="N610">SUM(--(_xlfn.TEXTSPLIT($J$423,, " ") = L610))</f>
        <v>1</v>
      </c>
    </row>
    <row r="611" spans="5:14" x14ac:dyDescent="0.2">
      <c r="E611" s="4" t="s">
        <v>17</v>
      </c>
      <c r="K611" t="str">
        <v>down,</v>
      </c>
      <c r="M611" s="4" t="str">
        <f t="shared" si="9"/>
        <v xml:space="preserve">down </v>
      </c>
      <c r="N611" s="4" cm="1">
        <f t="array" ref="N611">SUM(--(_xlfn.TEXTSPLIT($J$423,, " ") = L611))</f>
        <v>1</v>
      </c>
    </row>
    <row r="612" spans="5:14" x14ac:dyDescent="0.2">
      <c r="E612" s="4" t="s">
        <v>17</v>
      </c>
      <c r="K612" t="str">
        <v>never</v>
      </c>
      <c r="M612" s="4" t="str">
        <f t="shared" si="9"/>
        <v>never</v>
      </c>
      <c r="N612" s="4" cm="1">
        <f t="array" ref="N612">SUM(--(_xlfn.TEXTSPLIT($J$423,, " ") = L612))</f>
        <v>1</v>
      </c>
    </row>
    <row r="613" spans="5:14" x14ac:dyDescent="0.2">
      <c r="E613" s="4" t="s">
        <v>17</v>
      </c>
      <c r="K613" t="str">
        <v>slowing</v>
      </c>
      <c r="M613" s="4" t="str">
        <f t="shared" si="9"/>
        <v>slowing</v>
      </c>
      <c r="N613" s="4" cm="1">
        <f t="array" ref="N613">SUM(--(_xlfn.TEXTSPLIT($J$423,, " ") = L613))</f>
        <v>1</v>
      </c>
    </row>
    <row r="614" spans="5:14" x14ac:dyDescent="0.2">
      <c r="E614" s="4" t="s">
        <v>17</v>
      </c>
      <c r="K614" t="str">
        <v xml:space="preserve">down)
</v>
      </c>
      <c r="M614" s="4" t="str">
        <f t="shared" si="9"/>
        <v xml:space="preserve">down  </v>
      </c>
      <c r="N614" s="4" cm="1">
        <f t="array" ref="N614">SUM(--(_xlfn.TEXTSPLIT($J$423,, " ") = L614))</f>
        <v>1</v>
      </c>
    </row>
    <row r="615" spans="5:14" x14ac:dyDescent="0.2">
      <c r="E615" s="4" t="s">
        <v>17</v>
      </c>
      <c r="K615" t="str">
        <v>Try</v>
      </c>
      <c r="M615" s="4" t="str">
        <f t="shared" si="9"/>
        <v>Try</v>
      </c>
      <c r="N615" s="4" cm="1">
        <f t="array" ref="N615">SUM(--(_xlfn.TEXTSPLIT($J$423,, " ") = L615))</f>
        <v>1</v>
      </c>
    </row>
    <row r="616" spans="5:14" x14ac:dyDescent="0.2">
      <c r="E616" s="4" t="s">
        <v>17</v>
      </c>
      <c r="K616" t="str">
        <v>to</v>
      </c>
      <c r="M616" s="4" t="str">
        <f t="shared" si="9"/>
        <v>to</v>
      </c>
      <c r="N616" s="4" cm="1">
        <f t="array" ref="N616">SUM(--(_xlfn.TEXTSPLIT($J$423,, " ") = L616))</f>
        <v>1</v>
      </c>
    </row>
    <row r="617" spans="5:14" x14ac:dyDescent="0.2">
      <c r="E617" s="4" t="s">
        <v>17</v>
      </c>
      <c r="K617" t="str">
        <v>micro-dose</v>
      </c>
      <c r="M617" s="4" t="str">
        <f t="shared" si="9"/>
        <v>micro dose</v>
      </c>
      <c r="N617" s="4" cm="1">
        <f t="array" ref="N617">SUM(--(_xlfn.TEXTSPLIT($J$423,, " ") = L617))</f>
        <v>1</v>
      </c>
    </row>
    <row r="618" spans="5:14" x14ac:dyDescent="0.2">
      <c r="E618" s="4" t="s">
        <v>17</v>
      </c>
      <c r="K618" t="str">
        <v>to</v>
      </c>
      <c r="M618" s="4" t="str">
        <f t="shared" si="9"/>
        <v>to</v>
      </c>
      <c r="N618" s="4" cm="1">
        <f t="array" ref="N618">SUM(--(_xlfn.TEXTSPLIT($J$423,, " ") = L618))</f>
        <v>1</v>
      </c>
    </row>
    <row r="619" spans="5:14" x14ac:dyDescent="0.2">
      <c r="E619" s="4" t="s">
        <v>17</v>
      </c>
      <c r="K619" t="str">
        <v>immunity</v>
      </c>
      <c r="M619" s="4" t="str">
        <f t="shared" si="9"/>
        <v>immunity</v>
      </c>
      <c r="N619" s="4" cm="1">
        <f t="array" ref="N619">SUM(--(_xlfn.TEXTSPLIT($J$423,, " ") = L619))</f>
        <v>1</v>
      </c>
    </row>
    <row r="620" spans="5:14" x14ac:dyDescent="0.2">
      <c r="E620" s="4" t="s">
        <v>17</v>
      </c>
      <c r="K620" t="str">
        <v>but</v>
      </c>
      <c r="M620" s="4" t="str">
        <f t="shared" si="9"/>
        <v>but</v>
      </c>
      <c r="N620" s="4" cm="1">
        <f t="array" ref="N620">SUM(--(_xlfn.TEXTSPLIT($J$423,, " ") = L620))</f>
        <v>1</v>
      </c>
    </row>
    <row r="621" spans="5:14" x14ac:dyDescent="0.2">
      <c r="E621" s="4" t="s">
        <v>17</v>
      </c>
      <c r="K621" t="str">
        <v>you'll</v>
      </c>
      <c r="M621" s="4" t="str">
        <f t="shared" si="9"/>
        <v>you ll</v>
      </c>
      <c r="N621" s="4" cm="1">
        <f t="array" ref="N621">SUM(--(_xlfn.TEXTSPLIT($J$423,, " ") = L621))</f>
        <v>1</v>
      </c>
    </row>
    <row r="622" spans="5:14" x14ac:dyDescent="0.2">
      <c r="E622" s="4" t="s">
        <v>17</v>
      </c>
      <c r="K622" t="str">
        <v>never,</v>
      </c>
      <c r="M622" s="4" t="str">
        <f t="shared" si="9"/>
        <v xml:space="preserve">never </v>
      </c>
      <c r="N622" s="4" cm="1">
        <f t="array" ref="N622">SUM(--(_xlfn.TEXTSPLIT($J$423,, " ") = L622))</f>
        <v>1</v>
      </c>
    </row>
    <row r="623" spans="5:14" x14ac:dyDescent="0.2">
      <c r="E623" s="4" t="s">
        <v>17</v>
      </c>
      <c r="K623" t="str">
        <v>ever</v>
      </c>
      <c r="M623" s="4" t="str">
        <f t="shared" si="9"/>
        <v>ever</v>
      </c>
      <c r="N623" s="4" cm="1">
        <f t="array" ref="N623">SUM(--(_xlfn.TEXTSPLIT($J$423,, " ") = L623))</f>
        <v>1</v>
      </c>
    </row>
    <row r="624" spans="5:14" x14ac:dyDescent="0.2">
      <c r="E624" s="4" t="s">
        <v>17</v>
      </c>
      <c r="K624" t="str">
        <v>get</v>
      </c>
      <c r="M624" s="4" t="str">
        <f t="shared" si="9"/>
        <v>get</v>
      </c>
      <c r="N624" s="4" cm="1">
        <f t="array" ref="N624">SUM(--(_xlfn.TEXTSPLIT($J$423,, " ") = L624))</f>
        <v>1</v>
      </c>
    </row>
    <row r="625" spans="5:14" x14ac:dyDescent="0.2">
      <c r="E625" s="4" t="s">
        <v>17</v>
      </c>
      <c r="K625" t="str">
        <v>it</v>
      </c>
      <c r="M625" s="4" t="str">
        <f t="shared" si="9"/>
        <v>it</v>
      </c>
      <c r="N625" s="4" cm="1">
        <f t="array" ref="N625">SUM(--(_xlfn.TEXTSPLIT($J$423,, " ") = L625))</f>
        <v>1</v>
      </c>
    </row>
    <row r="626" spans="5:14" x14ac:dyDescent="0.2">
      <c r="E626" s="4" t="s">
        <v>17</v>
      </c>
      <c r="K626" t="str">
        <v>(Never</v>
      </c>
      <c r="M626" s="4" t="str">
        <f t="shared" si="9"/>
        <v xml:space="preserve"> Never</v>
      </c>
      <c r="N626" s="4" cm="1">
        <f t="array" ref="N626">SUM(--(_xlfn.TEXTSPLIT($J$423,, " ") = L626))</f>
        <v>1</v>
      </c>
    </row>
    <row r="627" spans="5:14" x14ac:dyDescent="0.2">
      <c r="E627" s="4" t="s">
        <v>17</v>
      </c>
      <c r="K627" t="str">
        <v>slowing</v>
      </c>
      <c r="M627" s="4" t="str">
        <f t="shared" si="9"/>
        <v>slowing</v>
      </c>
      <c r="N627" s="4" cm="1">
        <f t="array" ref="N627">SUM(--(_xlfn.TEXTSPLIT($J$423,, " ") = L627))</f>
        <v>1</v>
      </c>
    </row>
    <row r="628" spans="5:14" x14ac:dyDescent="0.2">
      <c r="E628" s="4" t="s">
        <v>17</v>
      </c>
      <c r="K628" t="str">
        <v>down,</v>
      </c>
      <c r="M628" s="4" t="str">
        <f t="shared" si="9"/>
        <v xml:space="preserve">down </v>
      </c>
      <c r="N628" s="4" cm="1">
        <f t="array" ref="N628">SUM(--(_xlfn.TEXTSPLIT($J$423,, " ") = L628))</f>
        <v>1</v>
      </c>
    </row>
    <row r="629" spans="5:14" x14ac:dyDescent="0.2">
      <c r="E629" s="4" t="s">
        <v>17</v>
      </c>
      <c r="K629" t="str">
        <v>never</v>
      </c>
      <c r="M629" s="4" t="str">
        <f t="shared" si="9"/>
        <v>never</v>
      </c>
      <c r="N629" s="4" cm="1">
        <f t="array" ref="N629">SUM(--(_xlfn.TEXTSPLIT($J$423,, " ") = L629))</f>
        <v>1</v>
      </c>
    </row>
    <row r="630" spans="5:14" x14ac:dyDescent="0.2">
      <c r="E630" s="4" t="s">
        <v>17</v>
      </c>
      <c r="K630" t="str">
        <v>slowing</v>
      </c>
      <c r="M630" s="4" t="str">
        <f t="shared" si="9"/>
        <v>slowing</v>
      </c>
      <c r="N630" s="4" cm="1">
        <f t="array" ref="N630">SUM(--(_xlfn.TEXTSPLIT($J$423,, " ") = L630))</f>
        <v>1</v>
      </c>
    </row>
    <row r="631" spans="5:14" x14ac:dyDescent="0.2">
      <c r="E631" s="4" t="s">
        <v>17</v>
      </c>
      <c r="K631" t="str">
        <v xml:space="preserve">down)
</v>
      </c>
      <c r="M631" s="4" t="str">
        <f t="shared" si="9"/>
        <v xml:space="preserve">down  </v>
      </c>
      <c r="N631" s="4" cm="1">
        <f t="array" ref="N631">SUM(--(_xlfn.TEXTSPLIT($J$423,, " ") = L631))</f>
        <v>1</v>
      </c>
    </row>
    <row r="632" spans="5:14" x14ac:dyDescent="0.2">
      <c r="E632" s="4" t="s">
        <v>17</v>
      </c>
      <c r="K632" t="str">
        <v>And</v>
      </c>
      <c r="M632" s="4" t="str">
        <f t="shared" si="9"/>
        <v>And</v>
      </c>
      <c r="N632" s="4" cm="1">
        <f t="array" ref="N632">SUM(--(_xlfn.TEXTSPLIT($J$423,, " ") = L632))</f>
        <v>1</v>
      </c>
    </row>
    <row r="633" spans="5:14" x14ac:dyDescent="0.2">
      <c r="E633" s="4" t="s">
        <v>17</v>
      </c>
      <c r="K633" t="str">
        <v>I</v>
      </c>
      <c r="M633" s="4" t="str">
        <f t="shared" si="9"/>
        <v>I</v>
      </c>
      <c r="N633" s="4" cm="1">
        <f t="array" ref="N633">SUM(--(_xlfn.TEXTSPLIT($J$423,, " ") = L633))</f>
        <v>1</v>
      </c>
    </row>
    <row r="634" spans="5:14" x14ac:dyDescent="0.2">
      <c r="E634" s="4" t="s">
        <v>17</v>
      </c>
      <c r="K634" t="str">
        <v>go,</v>
      </c>
      <c r="M634" s="4" t="str">
        <f t="shared" si="9"/>
        <v xml:space="preserve">go </v>
      </c>
      <c r="N634" s="4" cm="1">
        <f t="array" ref="N634">SUM(--(_xlfn.TEXTSPLIT($J$423,, " ") = L634))</f>
        <v>1</v>
      </c>
    </row>
    <row r="635" spans="5:14" x14ac:dyDescent="0.2">
      <c r="E635" s="4" t="s">
        <v>17</v>
      </c>
      <c r="K635" t="str">
        <v>ah,</v>
      </c>
      <c r="M635" s="4" t="str">
        <f t="shared" si="9"/>
        <v xml:space="preserve">ah </v>
      </c>
      <c r="N635" s="4" cm="1">
        <f t="array" ref="N635">SUM(--(_xlfn.TEXTSPLIT($J$423,, " ") = L635))</f>
        <v>1</v>
      </c>
    </row>
    <row r="636" spans="5:14" x14ac:dyDescent="0.2">
      <c r="E636" s="4" t="s">
        <v>17</v>
      </c>
      <c r="K636" t="str">
        <v>ah,</v>
      </c>
      <c r="M636" s="4" t="str">
        <f t="shared" si="9"/>
        <v xml:space="preserve">ah </v>
      </c>
      <c r="N636" s="4" cm="1">
        <f t="array" ref="N636">SUM(--(_xlfn.TEXTSPLIT($J$423,, " ") = L636))</f>
        <v>1</v>
      </c>
    </row>
    <row r="637" spans="5:14" x14ac:dyDescent="0.2">
      <c r="E637" s="4" t="s">
        <v>17</v>
      </c>
      <c r="K637" t="str">
        <v>ah</v>
      </c>
      <c r="M637" s="4" t="str">
        <f t="shared" si="9"/>
        <v>ah</v>
      </c>
      <c r="N637" s="4" cm="1">
        <f t="array" ref="N637">SUM(--(_xlfn.TEXTSPLIT($J$423,, " ") = L637))</f>
        <v>1</v>
      </c>
    </row>
    <row r="638" spans="5:14" x14ac:dyDescent="0.2">
      <c r="E638" s="4" t="s">
        <v>17</v>
      </c>
      <c r="K638" t="str">
        <v>(Never</v>
      </c>
      <c r="M638" s="4" t="str">
        <f t="shared" si="9"/>
        <v xml:space="preserve"> Never</v>
      </c>
      <c r="N638" s="4" cm="1">
        <f t="array" ref="N638">SUM(--(_xlfn.TEXTSPLIT($J$423,, " ") = L638))</f>
        <v>1</v>
      </c>
    </row>
    <row r="639" spans="5:14" x14ac:dyDescent="0.2">
      <c r="E639" s="4" t="s">
        <v>17</v>
      </c>
      <c r="K639" t="str">
        <v>slowing</v>
      </c>
      <c r="M639" s="4" t="str">
        <f t="shared" si="9"/>
        <v>slowing</v>
      </c>
      <c r="N639" s="4" cm="1">
        <f t="array" ref="N639">SUM(--(_xlfn.TEXTSPLIT($J$423,, " ") = L639))</f>
        <v>1</v>
      </c>
    </row>
    <row r="640" spans="5:14" x14ac:dyDescent="0.2">
      <c r="E640" s="4" t="s">
        <v>17</v>
      </c>
      <c r="K640" t="str">
        <v xml:space="preserve">down)
</v>
      </c>
      <c r="M640" s="4" t="str">
        <f t="shared" si="9"/>
        <v xml:space="preserve">down  </v>
      </c>
      <c r="N640" s="4" cm="1">
        <f t="array" ref="N640">SUM(--(_xlfn.TEXTSPLIT($J$423,, " ") = L640))</f>
        <v>1</v>
      </c>
    </row>
    <row r="641" spans="5:14" x14ac:dyDescent="0.2">
      <c r="E641" s="4" t="s">
        <v>17</v>
      </c>
      <c r="K641" t="str">
        <v>What's</v>
      </c>
      <c r="M641" s="4" t="str">
        <f t="shared" si="9"/>
        <v>What s</v>
      </c>
      <c r="N641" s="4" cm="1">
        <f t="array" ref="N641">SUM(--(_xlfn.TEXTSPLIT($J$423,, " ") = L641))</f>
        <v>1</v>
      </c>
    </row>
    <row r="642" spans="5:14" x14ac:dyDescent="0.2">
      <c r="E642" s="4" t="s">
        <v>17</v>
      </c>
      <c r="K642" t="str">
        <v>the</v>
      </c>
      <c r="M642" s="4" t="str">
        <f t="shared" si="9"/>
        <v>the</v>
      </c>
      <c r="N642" s="4" cm="1">
        <f t="array" ref="N642">SUM(--(_xlfn.TEXTSPLIT($J$423,, " ") = L642))</f>
        <v>1</v>
      </c>
    </row>
    <row r="643" spans="5:14" x14ac:dyDescent="0.2">
      <c r="E643" s="4" t="s">
        <v>17</v>
      </c>
      <c r="K643" t="str">
        <v>matter?</v>
      </c>
      <c r="M643" s="4" t="str">
        <f t="shared" ref="M643:M706" si="10">_xlfn.REGEXREPLACE(K643, "[^A-Za-z ]", " ")</f>
        <v xml:space="preserve">matter </v>
      </c>
      <c r="N643" s="4" cm="1">
        <f t="array" ref="N643">SUM(--(_xlfn.TEXTSPLIT($J$423,, " ") = L643))</f>
        <v>1</v>
      </c>
    </row>
    <row r="644" spans="5:14" x14ac:dyDescent="0.2">
      <c r="E644" s="4" t="s">
        <v>17</v>
      </c>
      <c r="K644" t="str">
        <v>isn't</v>
      </c>
      <c r="M644" s="4" t="str">
        <f t="shared" si="10"/>
        <v>isn t</v>
      </c>
      <c r="N644" s="4" cm="1">
        <f t="array" ref="N644">SUM(--(_xlfn.TEXTSPLIT($J$423,, " ") = L644))</f>
        <v>1</v>
      </c>
    </row>
    <row r="645" spans="5:14" x14ac:dyDescent="0.2">
      <c r="E645" s="4" t="s">
        <v>17</v>
      </c>
      <c r="K645" t="str">
        <v>helping</v>
      </c>
      <c r="M645" s="4" t="str">
        <f t="shared" si="10"/>
        <v>helping</v>
      </c>
      <c r="N645" s="4" cm="1">
        <f t="array" ref="N645">SUM(--(_xlfn.TEXTSPLIT($J$423,, " ") = L645))</f>
        <v>1</v>
      </c>
    </row>
    <row r="646" spans="5:14" x14ac:dyDescent="0.2">
      <c r="E646" s="4" t="s">
        <v>17</v>
      </c>
      <c r="K646" t="str">
        <v>(Never</v>
      </c>
      <c r="M646" s="4" t="str">
        <f t="shared" si="10"/>
        <v xml:space="preserve"> Never</v>
      </c>
      <c r="N646" s="4" cm="1">
        <f t="array" ref="N646">SUM(--(_xlfn.TEXTSPLIT($J$423,, " ") = L646))</f>
        <v>1</v>
      </c>
    </row>
    <row r="647" spans="5:14" x14ac:dyDescent="0.2">
      <c r="E647" s="4" t="s">
        <v>17</v>
      </c>
      <c r="K647" t="str">
        <v>slowing</v>
      </c>
      <c r="M647" s="4" t="str">
        <f t="shared" si="10"/>
        <v>slowing</v>
      </c>
      <c r="N647" s="4" cm="1">
        <f t="array" ref="N647">SUM(--(_xlfn.TEXTSPLIT($J$423,, " ") = L647))</f>
        <v>1</v>
      </c>
    </row>
    <row r="648" spans="5:14" x14ac:dyDescent="0.2">
      <c r="E648" s="4" t="s">
        <v>17</v>
      </c>
      <c r="K648" t="str">
        <v xml:space="preserve">down)
</v>
      </c>
      <c r="M648" s="4" t="str">
        <f t="shared" si="10"/>
        <v xml:space="preserve">down  </v>
      </c>
      <c r="N648" s="4" cm="1">
        <f t="array" ref="N648">SUM(--(_xlfn.TEXTSPLIT($J$423,, " ") = L648))</f>
        <v>1</v>
      </c>
    </row>
    <row r="649" spans="5:14" x14ac:dyDescent="0.2">
      <c r="E649" s="4" t="s">
        <v>17</v>
      </c>
      <c r="K649" t="str">
        <v>You</v>
      </c>
      <c r="M649" s="4" t="str">
        <f t="shared" si="10"/>
        <v>You</v>
      </c>
      <c r="N649" s="4" cm="1">
        <f t="array" ref="N649">SUM(--(_xlfn.TEXTSPLIT($J$423,, " ") = L649))</f>
        <v>1</v>
      </c>
    </row>
    <row r="650" spans="5:14" x14ac:dyDescent="0.2">
      <c r="E650" s="4" t="s">
        <v>17</v>
      </c>
      <c r="K650" t="str">
        <v>go,</v>
      </c>
      <c r="M650" s="4" t="str">
        <f t="shared" si="10"/>
        <v xml:space="preserve">go </v>
      </c>
      <c r="N650" s="4" cm="1">
        <f t="array" ref="N650">SUM(--(_xlfn.TEXTSPLIT($J$423,, " ") = L650))</f>
        <v>1</v>
      </c>
    </row>
    <row r="651" spans="5:14" x14ac:dyDescent="0.2">
      <c r="E651" s="4" t="s">
        <v>17</v>
      </c>
      <c r="K651" t="str">
        <v>ooh,</v>
      </c>
      <c r="M651" s="4" t="str">
        <f t="shared" si="10"/>
        <v xml:space="preserve">ooh </v>
      </c>
      <c r="N651" s="4" cm="1">
        <f t="array" ref="N651">SUM(--(_xlfn.TEXTSPLIT($J$423,, " ") = L651))</f>
        <v>1</v>
      </c>
    </row>
    <row r="652" spans="5:14" x14ac:dyDescent="0.2">
      <c r="E652" s="4" t="s">
        <v>17</v>
      </c>
      <c r="K652" t="str">
        <v>ooh,</v>
      </c>
      <c r="M652" s="4" t="str">
        <f t="shared" si="10"/>
        <v xml:space="preserve">ooh </v>
      </c>
      <c r="N652" s="4" cm="1">
        <f t="array" ref="N652">SUM(--(_xlfn.TEXTSPLIT($J$423,, " ") = L652))</f>
        <v>1</v>
      </c>
    </row>
    <row r="653" spans="5:14" x14ac:dyDescent="0.2">
      <c r="E653" s="4" t="s">
        <v>17</v>
      </c>
      <c r="K653" t="str">
        <v>ooh</v>
      </c>
      <c r="M653" s="4" t="str">
        <f t="shared" si="10"/>
        <v>ooh</v>
      </c>
      <c r="N653" s="4" cm="1">
        <f t="array" ref="N653">SUM(--(_xlfn.TEXTSPLIT($J$423,, " ") = L653))</f>
        <v>1</v>
      </c>
    </row>
    <row r="654" spans="5:14" x14ac:dyDescent="0.2">
      <c r="E654" s="4" t="s">
        <v>17</v>
      </c>
      <c r="K654" t="str">
        <v>(Never</v>
      </c>
      <c r="M654" s="4" t="str">
        <f t="shared" si="10"/>
        <v xml:space="preserve"> Never</v>
      </c>
      <c r="N654" s="4" cm="1">
        <f t="array" ref="N654">SUM(--(_xlfn.TEXTSPLIT($J$423,, " ") = L654))</f>
        <v>1</v>
      </c>
    </row>
    <row r="655" spans="5:14" x14ac:dyDescent="0.2">
      <c r="E655" s="4" t="s">
        <v>17</v>
      </c>
      <c r="K655" t="str">
        <v>slowing</v>
      </c>
      <c r="M655" s="4" t="str">
        <f t="shared" si="10"/>
        <v>slowing</v>
      </c>
      <c r="N655" s="4" cm="1">
        <f t="array" ref="N655">SUM(--(_xlfn.TEXTSPLIT($J$423,, " ") = L655))</f>
        <v>1</v>
      </c>
    </row>
    <row r="656" spans="5:14" x14ac:dyDescent="0.2">
      <c r="E656" s="4" t="s">
        <v>17</v>
      </c>
      <c r="K656" t="str">
        <v xml:space="preserve">down)
</v>
      </c>
      <c r="M656" s="4" t="str">
        <f t="shared" si="10"/>
        <v xml:space="preserve">down  </v>
      </c>
      <c r="N656" s="4" cm="1">
        <f t="array" ref="N656">SUM(--(_xlfn.TEXTSPLIT($J$423,, " ") = L656))</f>
        <v>1</v>
      </c>
    </row>
    <row r="657" spans="5:14" x14ac:dyDescent="0.2">
      <c r="E657" s="4" t="s">
        <v>17</v>
      </c>
      <c r="K657" t="str">
        <v>I</v>
      </c>
      <c r="M657" s="4" t="str">
        <f t="shared" si="10"/>
        <v>I</v>
      </c>
      <c r="N657" s="4" cm="1">
        <f t="array" ref="N657">SUM(--(_xlfn.TEXTSPLIT($J$423,, " ") = L657))</f>
        <v>1</v>
      </c>
    </row>
    <row r="658" spans="5:14" x14ac:dyDescent="0.2">
      <c r="E658" s="4" t="s">
        <v>17</v>
      </c>
      <c r="K658" t="str">
        <v>wish</v>
      </c>
      <c r="M658" s="4" t="str">
        <f t="shared" si="10"/>
        <v>wish</v>
      </c>
      <c r="N658" s="4" cm="1">
        <f t="array" ref="N658">SUM(--(_xlfn.TEXTSPLIT($J$423,, " ") = L658))</f>
        <v>1</v>
      </c>
    </row>
    <row r="659" spans="5:14" x14ac:dyDescent="0.2">
      <c r="E659" s="4" t="s">
        <v>17</v>
      </c>
      <c r="K659" t="str">
        <v>her</v>
      </c>
      <c r="M659" s="4" t="str">
        <f t="shared" si="10"/>
        <v>her</v>
      </c>
      <c r="N659" s="4" cm="1">
        <f t="array" ref="N659">SUM(--(_xlfn.TEXTSPLIT($J$423,, " ") = L659))</f>
        <v>1</v>
      </c>
    </row>
    <row r="660" spans="5:14" x14ac:dyDescent="0.2">
      <c r="E660" s="4" t="s">
        <v>17</v>
      </c>
      <c r="K660" t="str">
        <v>parents</v>
      </c>
      <c r="M660" s="4" t="str">
        <f t="shared" si="10"/>
        <v>parents</v>
      </c>
      <c r="N660" s="4" cm="1">
        <f t="array" ref="N660">SUM(--(_xlfn.TEXTSPLIT($J$423,, " ") = L660))</f>
        <v>1</v>
      </c>
    </row>
    <row r="661" spans="5:14" x14ac:dyDescent="0.2">
      <c r="E661" s="4" t="s">
        <v>17</v>
      </c>
      <c r="K661" t="str">
        <v>would</v>
      </c>
      <c r="M661" s="4" t="str">
        <f t="shared" si="10"/>
        <v>would</v>
      </c>
      <c r="N661" s="4" cm="1">
        <f t="array" ref="N661">SUM(--(_xlfn.TEXTSPLIT($J$423,, " ") = L661))</f>
        <v>1</v>
      </c>
    </row>
    <row r="662" spans="5:14" x14ac:dyDescent="0.2">
      <c r="E662" s="4" t="s">
        <v>17</v>
      </c>
      <c r="K662" t="str">
        <v>stop</v>
      </c>
      <c r="M662" s="4" t="str">
        <f t="shared" si="10"/>
        <v>stop</v>
      </c>
      <c r="N662" s="4" cm="1">
        <f t="array" ref="N662">SUM(--(_xlfn.TEXTSPLIT($J$423,, " ") = L662))</f>
        <v>1</v>
      </c>
    </row>
    <row r="663" spans="5:14" x14ac:dyDescent="0.2">
      <c r="E663" s="4" t="s">
        <v>17</v>
      </c>
      <c r="K663" t="str">
        <v>yelling</v>
      </c>
      <c r="M663" s="4" t="str">
        <f t="shared" si="10"/>
        <v>yelling</v>
      </c>
      <c r="N663" s="4" cm="1">
        <f t="array" ref="N663">SUM(--(_xlfn.TEXTSPLIT($J$423,, " ") = L663))</f>
        <v>1</v>
      </c>
    </row>
    <row r="664" spans="5:14" x14ac:dyDescent="0.2">
      <c r="E664" s="4" t="s">
        <v>17</v>
      </c>
      <c r="K664" t="str">
        <v>(Never</v>
      </c>
      <c r="M664" s="4" t="str">
        <f t="shared" si="10"/>
        <v xml:space="preserve"> Never</v>
      </c>
      <c r="N664" s="4" cm="1">
        <f t="array" ref="N664">SUM(--(_xlfn.TEXTSPLIT($J$423,, " ") = L664))</f>
        <v>1</v>
      </c>
    </row>
    <row r="665" spans="5:14" x14ac:dyDescent="0.2">
      <c r="E665" s="4" t="s">
        <v>17</v>
      </c>
      <c r="K665" t="str">
        <v>slowing</v>
      </c>
      <c r="M665" s="4" t="str">
        <f t="shared" si="10"/>
        <v>slowing</v>
      </c>
      <c r="N665" s="4" cm="1">
        <f t="array" ref="N665">SUM(--(_xlfn.TEXTSPLIT($J$423,, " ") = L665))</f>
        <v>1</v>
      </c>
    </row>
    <row r="666" spans="5:14" x14ac:dyDescent="0.2">
      <c r="E666" s="4" t="s">
        <v>17</v>
      </c>
      <c r="K666" t="str">
        <v xml:space="preserve">down)
</v>
      </c>
      <c r="M666" s="4" t="str">
        <f t="shared" si="10"/>
        <v xml:space="preserve">down  </v>
      </c>
      <c r="N666" s="4" cm="1">
        <f t="array" ref="N666">SUM(--(_xlfn.TEXTSPLIT($J$423,, " ") = L666))</f>
        <v>1</v>
      </c>
    </row>
    <row r="667" spans="5:14" x14ac:dyDescent="0.2">
      <c r="E667" s="4" t="s">
        <v>17</v>
      </c>
      <c r="K667" t="str">
        <v>I</v>
      </c>
      <c r="M667" s="4" t="str">
        <f t="shared" si="10"/>
        <v>I</v>
      </c>
      <c r="N667" s="4" cm="1">
        <f t="array" ref="N667">SUM(--(_xlfn.TEXTSPLIT($J$423,, " ") = L667))</f>
        <v>1</v>
      </c>
    </row>
    <row r="668" spans="5:14" x14ac:dyDescent="0.2">
      <c r="E668" s="4" t="s">
        <v>17</v>
      </c>
      <c r="K668" t="str">
        <v>could</v>
      </c>
      <c r="M668" s="4" t="str">
        <f t="shared" si="10"/>
        <v>could</v>
      </c>
      <c r="N668" s="4" cm="1">
        <f t="array" ref="N668">SUM(--(_xlfn.TEXTSPLIT($J$423,, " ") = L668))</f>
        <v>1</v>
      </c>
    </row>
    <row r="669" spans="5:14" x14ac:dyDescent="0.2">
      <c r="E669" s="4" t="s">
        <v>17</v>
      </c>
      <c r="K669" t="str">
        <v>build</v>
      </c>
      <c r="M669" s="4" t="str">
        <f t="shared" si="10"/>
        <v>build</v>
      </c>
      <c r="N669" s="4" cm="1">
        <f t="array" ref="N669">SUM(--(_xlfn.TEXTSPLIT($J$423,, " ") = L669))</f>
        <v>1</v>
      </c>
    </row>
    <row r="670" spans="5:14" x14ac:dyDescent="0.2">
      <c r="E670" s="4" t="s">
        <v>17</v>
      </c>
      <c r="K670" t="str">
        <v>a</v>
      </c>
      <c r="M670" s="4" t="str">
        <f t="shared" si="10"/>
        <v>a</v>
      </c>
      <c r="N670" s="4" cm="1">
        <f t="array" ref="N670">SUM(--(_xlfn.TEXTSPLIT($J$423,, " ") = L670))</f>
        <v>1</v>
      </c>
    </row>
    <row r="671" spans="5:14" x14ac:dyDescent="0.2">
      <c r="E671" s="4" t="s">
        <v>17</v>
      </c>
      <c r="K671" t="str">
        <v>tower</v>
      </c>
      <c r="M671" s="4" t="str">
        <f t="shared" si="10"/>
        <v>tower</v>
      </c>
      <c r="N671" s="4" cm="1">
        <f t="array" ref="N671">SUM(--(_xlfn.TEXTSPLIT($J$423,, " ") = L671))</f>
        <v>1</v>
      </c>
    </row>
    <row r="672" spans="5:14" x14ac:dyDescent="0.2">
      <c r="E672" s="4" t="s">
        <v>17</v>
      </c>
      <c r="K672" t="str">
        <v>with</v>
      </c>
      <c r="M672" s="4" t="str">
        <f t="shared" si="10"/>
        <v>with</v>
      </c>
      <c r="N672" s="4" cm="1">
        <f t="array" ref="N672">SUM(--(_xlfn.TEXTSPLIT($J$423,, " ") = L672))</f>
        <v>1</v>
      </c>
    </row>
    <row r="673" spans="5:14" x14ac:dyDescent="0.2">
      <c r="E673" s="4" t="s">
        <v>17</v>
      </c>
      <c r="K673" t="str">
        <v>the</v>
      </c>
      <c r="M673" s="4" t="str">
        <f t="shared" si="10"/>
        <v>the</v>
      </c>
      <c r="N673" s="4" cm="1">
        <f t="array" ref="N673">SUM(--(_xlfn.TEXTSPLIT($J$423,, " ") = L673))</f>
        <v>1</v>
      </c>
    </row>
    <row r="674" spans="5:14" x14ac:dyDescent="0.2">
      <c r="E674" s="4" t="s">
        <v>17</v>
      </c>
      <c r="K674" t="str">
        <v>times</v>
      </c>
      <c r="M674" s="4" t="str">
        <f t="shared" si="10"/>
        <v>times</v>
      </c>
      <c r="N674" s="4" cm="1">
        <f t="array" ref="N674">SUM(--(_xlfn.TEXTSPLIT($J$423,, " ") = L674))</f>
        <v>1</v>
      </c>
    </row>
    <row r="675" spans="5:14" x14ac:dyDescent="0.2">
      <c r="E675" s="4" t="s">
        <v>17</v>
      </c>
      <c r="K675" t="str">
        <v>I</v>
      </c>
      <c r="M675" s="4" t="str">
        <f t="shared" si="10"/>
        <v>I</v>
      </c>
      <c r="N675" s="4" cm="1">
        <f t="array" ref="N675">SUM(--(_xlfn.TEXTSPLIT($J$423,, " ") = L675))</f>
        <v>1</v>
      </c>
    </row>
    <row r="676" spans="5:14" x14ac:dyDescent="0.2">
      <c r="E676" s="4" t="s">
        <v>17</v>
      </c>
      <c r="K676" t="str">
        <v>was</v>
      </c>
      <c r="M676" s="4" t="str">
        <f t="shared" si="10"/>
        <v>was</v>
      </c>
      <c r="N676" s="4" cm="1">
        <f t="array" ref="N676">SUM(--(_xlfn.TEXTSPLIT($J$423,, " ") = L676))</f>
        <v>1</v>
      </c>
    </row>
    <row r="677" spans="5:14" x14ac:dyDescent="0.2">
      <c r="E677" s="4" t="s">
        <v>17</v>
      </c>
      <c r="K677" t="str">
        <v>pretending</v>
      </c>
      <c r="M677" s="4" t="str">
        <f t="shared" si="10"/>
        <v>pretending</v>
      </c>
      <c r="N677" s="4" cm="1">
        <f t="array" ref="N677">SUM(--(_xlfn.TEXTSPLIT($J$423,, " ") = L677))</f>
        <v>1</v>
      </c>
    </row>
    <row r="678" spans="5:14" x14ac:dyDescent="0.2">
      <c r="E678" s="4" t="s">
        <v>17</v>
      </c>
      <c r="K678" t="str">
        <v>(Never</v>
      </c>
      <c r="M678" s="4" t="str">
        <f t="shared" si="10"/>
        <v xml:space="preserve"> Never</v>
      </c>
      <c r="N678" s="4" cm="1">
        <f t="array" ref="N678">SUM(--(_xlfn.TEXTSPLIT($J$423,, " ") = L678))</f>
        <v>1</v>
      </c>
    </row>
    <row r="679" spans="5:14" x14ac:dyDescent="0.2">
      <c r="E679" s="4" t="s">
        <v>17</v>
      </c>
      <c r="K679" t="str">
        <v>slowing</v>
      </c>
      <c r="M679" s="4" t="str">
        <f t="shared" si="10"/>
        <v>slowing</v>
      </c>
      <c r="N679" s="4" cm="1">
        <f t="array" ref="N679">SUM(--(_xlfn.TEXTSPLIT($J$423,, " ") = L679))</f>
        <v>1</v>
      </c>
    </row>
    <row r="680" spans="5:14" x14ac:dyDescent="0.2">
      <c r="E680" s="4" t="s">
        <v>17</v>
      </c>
      <c r="K680" t="str">
        <v xml:space="preserve">down)
</v>
      </c>
      <c r="M680" s="4" t="str">
        <f t="shared" si="10"/>
        <v xml:space="preserve">down  </v>
      </c>
      <c r="N680" s="4" cm="1">
        <f t="array" ref="N680">SUM(--(_xlfn.TEXTSPLIT($J$423,, " ") = L680))</f>
        <v>1</v>
      </c>
    </row>
    <row r="681" spans="5:14" x14ac:dyDescent="0.2">
      <c r="E681" s="4" t="s">
        <v>17</v>
      </c>
      <c r="K681" t="str">
        <v>Try</v>
      </c>
      <c r="M681" s="4" t="str">
        <f t="shared" si="10"/>
        <v>Try</v>
      </c>
      <c r="N681" s="4" cm="1">
        <f t="array" ref="N681">SUM(--(_xlfn.TEXTSPLIT($J$423,, " ") = L681))</f>
        <v>1</v>
      </c>
    </row>
    <row r="682" spans="5:14" x14ac:dyDescent="0.2">
      <c r="E682" s="4" t="s">
        <v>17</v>
      </c>
      <c r="K682" t="str">
        <v>to</v>
      </c>
      <c r="M682" s="4" t="str">
        <f t="shared" si="10"/>
        <v>to</v>
      </c>
      <c r="N682" s="4" cm="1">
        <f t="array" ref="N682">SUM(--(_xlfn.TEXTSPLIT($J$423,, " ") = L682))</f>
        <v>1</v>
      </c>
    </row>
    <row r="683" spans="5:14" x14ac:dyDescent="0.2">
      <c r="E683" s="4" t="s">
        <v>17</v>
      </c>
      <c r="K683" t="str">
        <v>micro-dose</v>
      </c>
      <c r="M683" s="4" t="str">
        <f t="shared" si="10"/>
        <v>micro dose</v>
      </c>
      <c r="N683" s="4" cm="1">
        <f t="array" ref="N683">SUM(--(_xlfn.TEXTSPLIT($J$423,, " ") = L683))</f>
        <v>1</v>
      </c>
    </row>
    <row r="684" spans="5:14" x14ac:dyDescent="0.2">
      <c r="E684" s="4" t="s">
        <v>17</v>
      </c>
      <c r="K684" t="str">
        <v>to</v>
      </c>
      <c r="M684" s="4" t="str">
        <f t="shared" si="10"/>
        <v>to</v>
      </c>
      <c r="N684" s="4" cm="1">
        <f t="array" ref="N684">SUM(--(_xlfn.TEXTSPLIT($J$423,, " ") = L684))</f>
        <v>1</v>
      </c>
    </row>
    <row r="685" spans="5:14" x14ac:dyDescent="0.2">
      <c r="E685" s="4" t="s">
        <v>17</v>
      </c>
      <c r="K685" t="str">
        <v>immunity</v>
      </c>
      <c r="M685" s="4" t="str">
        <f t="shared" si="10"/>
        <v>immunity</v>
      </c>
      <c r="N685" s="4" cm="1">
        <f t="array" ref="N685">SUM(--(_xlfn.TEXTSPLIT($J$423,, " ") = L685))</f>
        <v>1</v>
      </c>
    </row>
    <row r="686" spans="5:14" x14ac:dyDescent="0.2">
      <c r="E686" s="4" t="s">
        <v>17</v>
      </c>
      <c r="K686" t="str">
        <v>but</v>
      </c>
      <c r="M686" s="4" t="str">
        <f t="shared" si="10"/>
        <v>but</v>
      </c>
      <c r="N686" s="4" cm="1">
        <f t="array" ref="N686">SUM(--(_xlfn.TEXTSPLIT($J$423,, " ") = L686))</f>
        <v>1</v>
      </c>
    </row>
    <row r="687" spans="5:14" x14ac:dyDescent="0.2">
      <c r="E687" s="4" t="s">
        <v>17</v>
      </c>
      <c r="K687" t="str">
        <v>I'll</v>
      </c>
      <c r="M687" s="4" t="str">
        <f t="shared" si="10"/>
        <v>I ll</v>
      </c>
      <c r="N687" s="4" cm="1">
        <f t="array" ref="N687">SUM(--(_xlfn.TEXTSPLIT($J$423,, " ") = L687))</f>
        <v>1</v>
      </c>
    </row>
    <row r="688" spans="5:14" x14ac:dyDescent="0.2">
      <c r="E688" s="4" t="s">
        <v>17</v>
      </c>
      <c r="K688" t="str">
        <v>never</v>
      </c>
      <c r="M688" s="4" t="str">
        <f t="shared" si="10"/>
        <v>never</v>
      </c>
      <c r="N688" s="4" cm="1">
        <f t="array" ref="N688">SUM(--(_xlfn.TEXTSPLIT($J$423,, " ") = L688))</f>
        <v>1</v>
      </c>
    </row>
    <row r="689" spans="5:14" x14ac:dyDescent="0.2">
      <c r="E689" s="4" t="s">
        <v>17</v>
      </c>
      <c r="K689" t="str">
        <v>see</v>
      </c>
      <c r="M689" s="4" t="str">
        <f t="shared" si="10"/>
        <v>see</v>
      </c>
      <c r="N689" s="4" cm="1">
        <f t="array" ref="N689">SUM(--(_xlfn.TEXTSPLIT($J$423,, " ") = L689))</f>
        <v>1</v>
      </c>
    </row>
    <row r="690" spans="5:14" x14ac:dyDescent="0.2">
      <c r="E690" s="4" t="s">
        <v>17</v>
      </c>
      <c r="K690" t="str">
        <v>the</v>
      </c>
      <c r="M690" s="4" t="str">
        <f t="shared" si="10"/>
        <v>the</v>
      </c>
      <c r="N690" s="4" cm="1">
        <f t="array" ref="N690">SUM(--(_xlfn.TEXTSPLIT($J$423,, " ") = L690))</f>
        <v>1</v>
      </c>
    </row>
    <row r="691" spans="5:14" x14ac:dyDescent="0.2">
      <c r="E691" s="4" t="s">
        <v>17</v>
      </c>
      <c r="K691" t="str">
        <v>ending</v>
      </c>
      <c r="M691" s="4" t="str">
        <f t="shared" si="10"/>
        <v>ending</v>
      </c>
      <c r="N691" s="4" cm="1">
        <f t="array" ref="N691">SUM(--(_xlfn.TEXTSPLIT($J$423,, " ") = L691))</f>
        <v>1</v>
      </c>
    </row>
    <row r="692" spans="5:14" x14ac:dyDescent="0.2">
      <c r="E692" s="4" t="s">
        <v>17</v>
      </c>
      <c r="K692" t="str">
        <v>(Never</v>
      </c>
      <c r="M692" s="4" t="str">
        <f t="shared" si="10"/>
        <v xml:space="preserve"> Never</v>
      </c>
      <c r="N692" s="4" cm="1">
        <f t="array" ref="N692">SUM(--(_xlfn.TEXTSPLIT($J$423,, " ") = L692))</f>
        <v>1</v>
      </c>
    </row>
    <row r="693" spans="5:14" x14ac:dyDescent="0.2">
      <c r="E693" s="4" t="s">
        <v>17</v>
      </c>
      <c r="K693" t="str">
        <v>slowing</v>
      </c>
      <c r="M693" s="4" t="str">
        <f t="shared" si="10"/>
        <v>slowing</v>
      </c>
      <c r="N693" s="4" cm="1">
        <f t="array" ref="N693">SUM(--(_xlfn.TEXTSPLIT($J$423,, " ") = L693))</f>
        <v>1</v>
      </c>
    </row>
    <row r="694" spans="5:14" x14ac:dyDescent="0.2">
      <c r="E694" s="4" t="s">
        <v>17</v>
      </c>
      <c r="K694" t="str">
        <v xml:space="preserve">down)
</v>
      </c>
      <c r="M694" s="4" t="str">
        <f t="shared" si="10"/>
        <v xml:space="preserve">down  </v>
      </c>
      <c r="N694" s="4" cm="1">
        <f t="array" ref="N694">SUM(--(_xlfn.TEXTSPLIT($J$423,, " ") = L694))</f>
        <v>1</v>
      </c>
    </row>
    <row r="695" spans="5:14" x14ac:dyDescent="0.2">
      <c r="E695" s="4" t="s">
        <v>17</v>
      </c>
      <c r="K695" t="str">
        <v>And</v>
      </c>
      <c r="M695" s="4" t="str">
        <f t="shared" si="10"/>
        <v>And</v>
      </c>
      <c r="N695" s="4" cm="1">
        <f t="array" ref="N695">SUM(--(_xlfn.TEXTSPLIT($J$423,, " ") = L695))</f>
        <v>1</v>
      </c>
    </row>
    <row r="696" spans="5:14" x14ac:dyDescent="0.2">
      <c r="E696" s="4" t="s">
        <v>17</v>
      </c>
      <c r="K696" t="str">
        <v>I</v>
      </c>
      <c r="M696" s="4" t="str">
        <f t="shared" si="10"/>
        <v>I</v>
      </c>
      <c r="N696" s="4" cm="1">
        <f t="array" ref="N696">SUM(--(_xlfn.TEXTSPLIT($J$423,, " ") = L696))</f>
        <v>1</v>
      </c>
    </row>
    <row r="697" spans="5:14" x14ac:dyDescent="0.2">
      <c r="E697" s="4" t="s">
        <v>17</v>
      </c>
      <c r="K697" t="str">
        <v>go,</v>
      </c>
      <c r="M697" s="4" t="str">
        <f t="shared" si="10"/>
        <v xml:space="preserve">go </v>
      </c>
      <c r="N697" s="4" cm="1">
        <f t="array" ref="N697">SUM(--(_xlfn.TEXTSPLIT($J$423,, " ") = L697))</f>
        <v>1</v>
      </c>
    </row>
    <row r="698" spans="5:14" x14ac:dyDescent="0.2">
      <c r="E698" s="4" t="s">
        <v>17</v>
      </c>
      <c r="K698" t="str">
        <v>ah,</v>
      </c>
      <c r="M698" s="4" t="str">
        <f t="shared" si="10"/>
        <v xml:space="preserve">ah </v>
      </c>
      <c r="N698" s="4" cm="1">
        <f t="array" ref="N698">SUM(--(_xlfn.TEXTSPLIT($J$423,, " ") = L698))</f>
        <v>1</v>
      </c>
    </row>
    <row r="699" spans="5:14" x14ac:dyDescent="0.2">
      <c r="E699" s="4" t="s">
        <v>17</v>
      </c>
      <c r="K699" t="str">
        <v>ah,</v>
      </c>
      <c r="M699" s="4" t="str">
        <f t="shared" si="10"/>
        <v xml:space="preserve">ah </v>
      </c>
      <c r="N699" s="4" cm="1">
        <f t="array" ref="N699">SUM(--(_xlfn.TEXTSPLIT($J$423,, " ") = L699))</f>
        <v>1</v>
      </c>
    </row>
    <row r="700" spans="5:14" x14ac:dyDescent="0.2">
      <c r="E700" s="4" t="s">
        <v>17</v>
      </c>
      <c r="K700" t="str">
        <v>ah</v>
      </c>
      <c r="M700" s="4" t="str">
        <f t="shared" si="10"/>
        <v>ah</v>
      </c>
      <c r="N700" s="4" cm="1">
        <f t="array" ref="N700">SUM(--(_xlfn.TEXTSPLIT($J$423,, " ") = L700))</f>
        <v>1</v>
      </c>
    </row>
    <row r="701" spans="5:14" x14ac:dyDescent="0.2">
      <c r="E701" s="4" t="s">
        <v>17</v>
      </c>
      <c r="K701" t="str">
        <v>(Never</v>
      </c>
      <c r="M701" s="4" t="str">
        <f t="shared" si="10"/>
        <v xml:space="preserve"> Never</v>
      </c>
      <c r="N701" s="4" cm="1">
        <f t="array" ref="N701">SUM(--(_xlfn.TEXTSPLIT($J$423,, " ") = L701))</f>
        <v>1</v>
      </c>
    </row>
    <row r="702" spans="5:14" x14ac:dyDescent="0.2">
      <c r="E702" s="4" t="s">
        <v>17</v>
      </c>
      <c r="K702" t="str">
        <v>slowing</v>
      </c>
      <c r="M702" s="4" t="str">
        <f t="shared" si="10"/>
        <v>slowing</v>
      </c>
      <c r="N702" s="4" cm="1">
        <f t="array" ref="N702">SUM(--(_xlfn.TEXTSPLIT($J$423,, " ") = L702))</f>
        <v>1</v>
      </c>
    </row>
    <row r="703" spans="5:14" x14ac:dyDescent="0.2">
      <c r="E703" s="4" t="s">
        <v>17</v>
      </c>
      <c r="K703" t="str">
        <v xml:space="preserve">down)
</v>
      </c>
      <c r="M703" s="4" t="str">
        <f t="shared" si="10"/>
        <v xml:space="preserve">down  </v>
      </c>
      <c r="N703" s="4" cm="1">
        <f t="array" ref="N703">SUM(--(_xlfn.TEXTSPLIT($J$423,, " ") = L703))</f>
        <v>1</v>
      </c>
    </row>
    <row r="704" spans="5:14" x14ac:dyDescent="0.2">
      <c r="E704" s="4" t="s">
        <v>17</v>
      </c>
      <c r="K704" t="str">
        <v/>
      </c>
      <c r="M704" s="4" t="str">
        <f t="shared" si="10"/>
        <v/>
      </c>
      <c r="N704" s="4" cm="1">
        <f t="array" ref="N704">SUM(--(_xlfn.TEXTSPLIT($J$423,, " ") = L704))</f>
        <v>1</v>
      </c>
    </row>
    <row r="705" spans="5:14" x14ac:dyDescent="0.2">
      <c r="E705" s="4" t="s">
        <v>17</v>
      </c>
      <c r="K705" t="str">
        <v>What's</v>
      </c>
      <c r="M705" s="4" t="str">
        <f t="shared" si="10"/>
        <v>What s</v>
      </c>
      <c r="N705" s="4" cm="1">
        <f t="array" ref="N705">SUM(--(_xlfn.TEXTSPLIT($J$423,, " ") = L705))</f>
        <v>1</v>
      </c>
    </row>
    <row r="706" spans="5:14" x14ac:dyDescent="0.2">
      <c r="E706" s="4" t="s">
        <v>17</v>
      </c>
      <c r="K706" t="str">
        <v>the</v>
      </c>
      <c r="M706" s="4" t="str">
        <f t="shared" si="10"/>
        <v>the</v>
      </c>
      <c r="N706" s="4" cm="1">
        <f t="array" ref="N706">SUM(--(_xlfn.TEXTSPLIT($J$423,, " ") = L706))</f>
        <v>1</v>
      </c>
    </row>
    <row r="707" spans="5:14" x14ac:dyDescent="0.2">
      <c r="E707" s="4" t="s">
        <v>17</v>
      </c>
      <c r="K707" t="str">
        <v>matter?</v>
      </c>
      <c r="M707" s="4" t="str">
        <f t="shared" ref="M707:M770" si="11">_xlfn.REGEXREPLACE(K707, "[^A-Za-z ]", " ")</f>
        <v xml:space="preserve">matter </v>
      </c>
      <c r="N707" s="4" cm="1">
        <f t="array" ref="N707">SUM(--(_xlfn.TEXTSPLIT($J$423,, " ") = L707))</f>
        <v>1</v>
      </c>
    </row>
    <row r="708" spans="5:14" x14ac:dyDescent="0.2">
      <c r="E708" s="4" t="s">
        <v>17</v>
      </c>
      <c r="K708" t="str">
        <v>isn't</v>
      </c>
      <c r="M708" s="4" t="str">
        <f t="shared" si="11"/>
        <v>isn t</v>
      </c>
      <c r="N708" s="4" cm="1">
        <f t="array" ref="N708">SUM(--(_xlfn.TEXTSPLIT($J$423,, " ") = L708))</f>
        <v>1</v>
      </c>
    </row>
    <row r="709" spans="5:14" x14ac:dyDescent="0.2">
      <c r="E709" s="4" t="s">
        <v>17</v>
      </c>
      <c r="K709" t="str">
        <v>helping</v>
      </c>
      <c r="M709" s="4" t="str">
        <f t="shared" si="11"/>
        <v>helping</v>
      </c>
      <c r="N709" s="4" cm="1">
        <f t="array" ref="N709">SUM(--(_xlfn.TEXTSPLIT($J$423,, " ") = L709))</f>
        <v>1</v>
      </c>
    </row>
    <row r="710" spans="5:14" x14ac:dyDescent="0.2">
      <c r="E710" s="4" t="s">
        <v>17</v>
      </c>
      <c r="K710" t="str">
        <v>(Never</v>
      </c>
      <c r="M710" s="4" t="str">
        <f t="shared" si="11"/>
        <v xml:space="preserve"> Never</v>
      </c>
      <c r="N710" s="4" cm="1">
        <f t="array" ref="N710">SUM(--(_xlfn.TEXTSPLIT($J$423,, " ") = L710))</f>
        <v>1</v>
      </c>
    </row>
    <row r="711" spans="5:14" x14ac:dyDescent="0.2">
      <c r="E711" s="4" t="s">
        <v>17</v>
      </c>
      <c r="K711" t="str">
        <v>slowing</v>
      </c>
      <c r="M711" s="4" t="str">
        <f t="shared" si="11"/>
        <v>slowing</v>
      </c>
      <c r="N711" s="4" cm="1">
        <f t="array" ref="N711">SUM(--(_xlfn.TEXTSPLIT($J$423,, " ") = L711))</f>
        <v>1</v>
      </c>
    </row>
    <row r="712" spans="5:14" x14ac:dyDescent="0.2">
      <c r="E712" s="4" t="s">
        <v>17</v>
      </c>
      <c r="K712" t="str">
        <v xml:space="preserve">down)
</v>
      </c>
      <c r="M712" s="4" t="str">
        <f t="shared" si="11"/>
        <v xml:space="preserve">down  </v>
      </c>
      <c r="N712" s="4" cm="1">
        <f t="array" ref="N712">SUM(--(_xlfn.TEXTSPLIT($J$423,, " ") = L712))</f>
        <v>1</v>
      </c>
    </row>
    <row r="713" spans="5:14" x14ac:dyDescent="0.2">
      <c r="E713" s="4" t="s">
        <v>17</v>
      </c>
      <c r="K713" t="str">
        <v>You</v>
      </c>
      <c r="M713" s="4" t="str">
        <f t="shared" si="11"/>
        <v>You</v>
      </c>
      <c r="N713" s="4" cm="1">
        <f t="array" ref="N713">SUM(--(_xlfn.TEXTSPLIT($J$423,, " ") = L713))</f>
        <v>1</v>
      </c>
    </row>
    <row r="714" spans="5:14" x14ac:dyDescent="0.2">
      <c r="E714" s="4" t="s">
        <v>17</v>
      </c>
      <c r="K714" t="str">
        <v>go,</v>
      </c>
      <c r="M714" s="4" t="str">
        <f t="shared" si="11"/>
        <v xml:space="preserve">go </v>
      </c>
      <c r="N714" s="4" cm="1">
        <f t="array" ref="N714">SUM(--(_xlfn.TEXTSPLIT($J$423,, " ") = L714))</f>
        <v>1</v>
      </c>
    </row>
    <row r="715" spans="5:14" x14ac:dyDescent="0.2">
      <c r="E715" s="4" t="s">
        <v>17</v>
      </c>
      <c r="K715" t="str">
        <v>ooh,</v>
      </c>
      <c r="M715" s="4" t="str">
        <f t="shared" si="11"/>
        <v xml:space="preserve">ooh </v>
      </c>
      <c r="N715" s="4" cm="1">
        <f t="array" ref="N715">SUM(--(_xlfn.TEXTSPLIT($J$423,, " ") = L715))</f>
        <v>1</v>
      </c>
    </row>
    <row r="716" spans="5:14" x14ac:dyDescent="0.2">
      <c r="E716" s="4" t="s">
        <v>17</v>
      </c>
      <c r="K716" t="str">
        <v>ooh,</v>
      </c>
      <c r="M716" s="4" t="str">
        <f t="shared" si="11"/>
        <v xml:space="preserve">ooh </v>
      </c>
      <c r="N716" s="4" cm="1">
        <f t="array" ref="N716">SUM(--(_xlfn.TEXTSPLIT($J$423,, " ") = L716))</f>
        <v>1</v>
      </c>
    </row>
    <row r="717" spans="5:14" x14ac:dyDescent="0.2">
      <c r="E717" s="4" t="s">
        <v>17</v>
      </c>
      <c r="K717" t="str">
        <v>ooh</v>
      </c>
      <c r="M717" s="4" t="str">
        <f t="shared" si="11"/>
        <v>ooh</v>
      </c>
      <c r="N717" s="4" cm="1">
        <f t="array" ref="N717">SUM(--(_xlfn.TEXTSPLIT($J$423,, " ") = L717))</f>
        <v>1</v>
      </c>
    </row>
    <row r="718" spans="5:14" x14ac:dyDescent="0.2">
      <c r="E718" s="4" t="s">
        <v>17</v>
      </c>
      <c r="K718" t="str">
        <v>(Never</v>
      </c>
      <c r="M718" s="4" t="str">
        <f t="shared" si="11"/>
        <v xml:space="preserve"> Never</v>
      </c>
      <c r="N718" s="4" cm="1">
        <f t="array" ref="N718">SUM(--(_xlfn.TEXTSPLIT($J$423,, " ") = L718))</f>
        <v>1</v>
      </c>
    </row>
    <row r="719" spans="5:14" x14ac:dyDescent="0.2">
      <c r="E719" s="4" t="s">
        <v>17</v>
      </c>
      <c r="K719" t="str">
        <v>slowing</v>
      </c>
      <c r="M719" s="4" t="str">
        <f t="shared" si="11"/>
        <v>slowing</v>
      </c>
      <c r="N719" s="4" cm="1">
        <f t="array" ref="N719">SUM(--(_xlfn.TEXTSPLIT($J$423,, " ") = L719))</f>
        <v>1</v>
      </c>
    </row>
    <row r="720" spans="5:14" x14ac:dyDescent="0.2">
      <c r="E720" s="4" t="s">
        <v>17</v>
      </c>
      <c r="K720" t="str">
        <v xml:space="preserve">down)
</v>
      </c>
      <c r="M720" s="4" t="str">
        <f t="shared" si="11"/>
        <v xml:space="preserve">down  </v>
      </c>
      <c r="N720" s="4" cm="1">
        <f t="array" ref="N720">SUM(--(_xlfn.TEXTSPLIT($J$423,, " ") = L720))</f>
        <v>1</v>
      </c>
    </row>
    <row r="721" spans="5:14" x14ac:dyDescent="0.2">
      <c r="E721" s="4" t="s">
        <v>17</v>
      </c>
      <c r="K721" t="str">
        <v>I</v>
      </c>
      <c r="M721" s="4" t="str">
        <f t="shared" si="11"/>
        <v>I</v>
      </c>
      <c r="N721" s="4" cm="1">
        <f t="array" ref="N721">SUM(--(_xlfn.TEXTSPLIT($J$423,, " ") = L721))</f>
        <v>1</v>
      </c>
    </row>
    <row r="722" spans="5:14" x14ac:dyDescent="0.2">
      <c r="E722" s="4" t="s">
        <v>17</v>
      </c>
      <c r="K722" t="str">
        <v>wish</v>
      </c>
      <c r="M722" s="4" t="str">
        <f t="shared" si="11"/>
        <v>wish</v>
      </c>
      <c r="N722" s="4" cm="1">
        <f t="array" ref="N722">SUM(--(_xlfn.TEXTSPLIT($J$423,, " ") = L722))</f>
        <v>1</v>
      </c>
    </row>
    <row r="723" spans="5:14" x14ac:dyDescent="0.2">
      <c r="E723" s="4" t="s">
        <v>17</v>
      </c>
      <c r="K723" t="str">
        <v>her</v>
      </c>
      <c r="M723" s="4" t="str">
        <f t="shared" si="11"/>
        <v>her</v>
      </c>
      <c r="N723" s="4" cm="1">
        <f t="array" ref="N723">SUM(--(_xlfn.TEXTSPLIT($J$423,, " ") = L723))</f>
        <v>1</v>
      </c>
    </row>
    <row r="724" spans="5:14" x14ac:dyDescent="0.2">
      <c r="E724" s="4" t="s">
        <v>17</v>
      </c>
      <c r="K724" t="str">
        <v>parents</v>
      </c>
      <c r="M724" s="4" t="str">
        <f t="shared" si="11"/>
        <v>parents</v>
      </c>
      <c r="N724" s="4" cm="1">
        <f t="array" ref="N724">SUM(--(_xlfn.TEXTSPLIT($J$423,, " ") = L724))</f>
        <v>1</v>
      </c>
    </row>
    <row r="725" spans="5:14" x14ac:dyDescent="0.2">
      <c r="E725" s="4" t="s">
        <v>17</v>
      </c>
      <c r="K725" t="str">
        <v>would</v>
      </c>
      <c r="M725" s="4" t="str">
        <f t="shared" si="11"/>
        <v>would</v>
      </c>
      <c r="N725" s="4" cm="1">
        <f t="array" ref="N725">SUM(--(_xlfn.TEXTSPLIT($J$423,, " ") = L725))</f>
        <v>1</v>
      </c>
    </row>
    <row r="726" spans="5:14" x14ac:dyDescent="0.2">
      <c r="E726" s="4" t="s">
        <v>17</v>
      </c>
      <c r="K726" t="str">
        <v>stop</v>
      </c>
      <c r="M726" s="4" t="str">
        <f t="shared" si="11"/>
        <v>stop</v>
      </c>
      <c r="N726" s="4" cm="1">
        <f t="array" ref="N726">SUM(--(_xlfn.TEXTSPLIT($J$423,, " ") = L726))</f>
        <v>1</v>
      </c>
    </row>
    <row r="727" spans="5:14" x14ac:dyDescent="0.2">
      <c r="E727" s="4" t="s">
        <v>17</v>
      </c>
      <c r="K727" t="str">
        <v xml:space="preserve">yelling
</v>
      </c>
      <c r="M727" s="4" t="str">
        <f t="shared" si="11"/>
        <v xml:space="preserve">yelling </v>
      </c>
      <c r="N727" s="4" cm="1">
        <f t="array" ref="N727">SUM(--(_xlfn.TEXTSPLIT($J$423,, " ") = L727))</f>
        <v>1</v>
      </c>
    </row>
    <row r="728" spans="5:14" x14ac:dyDescent="0.2">
      <c r="E728" s="4" t="s">
        <v>17</v>
      </c>
      <c r="K728" t="str">
        <v>You</v>
      </c>
      <c r="M728" s="4" t="str">
        <f t="shared" si="11"/>
        <v>You</v>
      </c>
      <c r="N728" s="4" cm="1">
        <f t="array" ref="N728">SUM(--(_xlfn.TEXTSPLIT($J$423,, " ") = L728))</f>
        <v>1</v>
      </c>
    </row>
    <row r="729" spans="5:14" x14ac:dyDescent="0.2">
      <c r="E729" s="4" t="s">
        <v>17</v>
      </c>
      <c r="K729" t="str">
        <v>know</v>
      </c>
      <c r="M729" s="4" t="str">
        <f t="shared" si="11"/>
        <v>know</v>
      </c>
      <c r="N729" s="4" cm="1">
        <f t="array" ref="N729">SUM(--(_xlfn.TEXTSPLIT($J$423,, " ") = L729))</f>
        <v>1</v>
      </c>
    </row>
    <row r="730" spans="5:14" x14ac:dyDescent="0.2">
      <c r="E730" s="4" t="s">
        <v>17</v>
      </c>
      <c r="K730" t="str">
        <v>what</v>
      </c>
      <c r="M730" s="4" t="str">
        <f t="shared" si="11"/>
        <v>what</v>
      </c>
      <c r="N730" s="4" cm="1">
        <f t="array" ref="N730">SUM(--(_xlfn.TEXTSPLIT($J$423,, " ") = L730))</f>
        <v>1</v>
      </c>
    </row>
    <row r="731" spans="5:14" x14ac:dyDescent="0.2">
      <c r="E731" s="4" t="s">
        <v>17</v>
      </c>
      <c r="K731" t="str">
        <v>scares</v>
      </c>
      <c r="M731" s="4" t="str">
        <f t="shared" si="11"/>
        <v>scares</v>
      </c>
      <c r="N731" s="4" cm="1">
        <f t="array" ref="N731">SUM(--(_xlfn.TEXTSPLIT($J$423,, " ") = L731))</f>
        <v>1</v>
      </c>
    </row>
    <row r="732" spans="5:14" x14ac:dyDescent="0.2">
      <c r="E732" s="4" t="s">
        <v>17</v>
      </c>
      <c r="K732" t="str">
        <v>me?</v>
      </c>
      <c r="M732" s="4" t="str">
        <f t="shared" si="11"/>
        <v xml:space="preserve">me </v>
      </c>
      <c r="N732" s="4" cm="1">
        <f t="array" ref="N732">SUM(--(_xlfn.TEXTSPLIT($J$423,, " ") = L732))</f>
        <v>1</v>
      </c>
    </row>
    <row r="733" spans="5:14" x14ac:dyDescent="0.2">
      <c r="E733" s="4" t="s">
        <v>17</v>
      </c>
      <c r="K733" t="str">
        <v>(Ah,</v>
      </c>
      <c r="M733" s="4" t="str">
        <f t="shared" si="11"/>
        <v xml:space="preserve"> Ah </v>
      </c>
      <c r="N733" s="4" cm="1">
        <f t="array" ref="N733">SUM(--(_xlfn.TEXTSPLIT($J$423,, " ") = L733))</f>
        <v>1</v>
      </c>
    </row>
    <row r="734" spans="5:14" x14ac:dyDescent="0.2">
      <c r="E734" s="4" t="s">
        <v>17</v>
      </c>
      <c r="K734" t="str">
        <v>ah,</v>
      </c>
      <c r="M734" s="4" t="str">
        <f t="shared" si="11"/>
        <v xml:space="preserve">ah </v>
      </c>
      <c r="N734" s="4" cm="1">
        <f t="array" ref="N734">SUM(--(_xlfn.TEXTSPLIT($J$423,, " ") = L734))</f>
        <v>1</v>
      </c>
    </row>
    <row r="735" spans="5:14" x14ac:dyDescent="0.2">
      <c r="E735" s="4" t="s">
        <v>17</v>
      </c>
      <c r="K735" t="str">
        <v xml:space="preserve">ah)
</v>
      </c>
      <c r="M735" s="4" t="str">
        <f t="shared" si="11"/>
        <v xml:space="preserve">ah  </v>
      </c>
      <c r="N735" s="4" cm="1">
        <f t="array" ref="N735">SUM(--(_xlfn.TEXTSPLIT($J$423,, " ") = L735))</f>
        <v>1</v>
      </c>
    </row>
    <row r="736" spans="5:14" x14ac:dyDescent="0.2">
      <c r="E736" s="4" t="s">
        <v>17</v>
      </c>
      <c r="K736" t="str">
        <v>Nah,</v>
      </c>
      <c r="M736" s="4" t="str">
        <f t="shared" si="11"/>
        <v xml:space="preserve">Nah </v>
      </c>
      <c r="N736" s="4" cm="1">
        <f t="array" ref="N736">SUM(--(_xlfn.TEXTSPLIT($J$423,, " ") = L736))</f>
        <v>1</v>
      </c>
    </row>
    <row r="737" spans="5:14" x14ac:dyDescent="0.2">
      <c r="E737" s="4" t="s">
        <v>17</v>
      </c>
      <c r="K737" t="str">
        <v>it's</v>
      </c>
      <c r="M737" s="4" t="str">
        <f t="shared" si="11"/>
        <v>it s</v>
      </c>
      <c r="N737" s="4" cm="1">
        <f t="array" ref="N737">SUM(--(_xlfn.TEXTSPLIT($J$423,, " ") = L737))</f>
        <v>1</v>
      </c>
    </row>
    <row r="738" spans="5:14" x14ac:dyDescent="0.2">
      <c r="E738" s="4" t="s">
        <v>17</v>
      </c>
      <c r="K738" t="str">
        <v xml:space="preserve">stupid
</v>
      </c>
      <c r="M738" s="4" t="str">
        <f t="shared" si="11"/>
        <v xml:space="preserve">stupid </v>
      </c>
      <c r="N738" s="4" cm="1">
        <f t="array" ref="N738">SUM(--(_xlfn.TEXTSPLIT($J$423,, " ") = L738))</f>
        <v>1</v>
      </c>
    </row>
    <row r="739" spans="5:14" x14ac:dyDescent="0.2">
      <c r="E739" s="4" t="s">
        <v>17</v>
      </c>
      <c r="K739" t="str">
        <v>And</v>
      </c>
      <c r="M739" s="4" t="str">
        <f t="shared" si="11"/>
        <v>And</v>
      </c>
      <c r="N739" s="4" cm="1">
        <f t="array" ref="N739">SUM(--(_xlfn.TEXTSPLIT($J$423,, " ") = L739))</f>
        <v>1</v>
      </c>
    </row>
    <row r="740" spans="5:14" x14ac:dyDescent="0.2">
      <c r="E740" s="4" t="s">
        <v>17</v>
      </c>
      <c r="K740" t="str">
        <v>you</v>
      </c>
      <c r="M740" s="4" t="str">
        <f t="shared" si="11"/>
        <v>you</v>
      </c>
      <c r="N740" s="4" cm="1">
        <f t="array" ref="N740">SUM(--(_xlfn.TEXTSPLIT($J$423,, " ") = L740))</f>
        <v>1</v>
      </c>
    </row>
    <row r="741" spans="5:14" x14ac:dyDescent="0.2">
      <c r="E741" s="4" t="s">
        <v>17</v>
      </c>
      <c r="K741" t="str">
        <v>go,</v>
      </c>
      <c r="M741" s="4" t="str">
        <f t="shared" si="11"/>
        <v xml:space="preserve">go </v>
      </c>
      <c r="N741" s="4" cm="1">
        <f t="array" ref="N741">SUM(--(_xlfn.TEXTSPLIT($J$423,, " ") = L741))</f>
        <v>1</v>
      </c>
    </row>
    <row r="742" spans="5:14" x14ac:dyDescent="0.2">
      <c r="E742" s="4" t="s">
        <v>17</v>
      </c>
      <c r="K742" t="str">
        <v>ooh,</v>
      </c>
      <c r="M742" s="4" t="str">
        <f t="shared" si="11"/>
        <v xml:space="preserve">ooh </v>
      </c>
      <c r="N742" s="4" cm="1">
        <f t="array" ref="N742">SUM(--(_xlfn.TEXTSPLIT($J$423,, " ") = L742))</f>
        <v>1</v>
      </c>
    </row>
    <row r="743" spans="5:14" x14ac:dyDescent="0.2">
      <c r="E743" s="4" t="s">
        <v>17</v>
      </c>
      <c r="K743" t="str">
        <v>ooh,</v>
      </c>
      <c r="M743" s="4" t="str">
        <f t="shared" si="11"/>
        <v xml:space="preserve">ooh </v>
      </c>
      <c r="N743" s="4" cm="1">
        <f t="array" ref="N743">SUM(--(_xlfn.TEXTSPLIT($J$423,, " ") = L743))</f>
        <v>1</v>
      </c>
    </row>
    <row r="744" spans="5:14" x14ac:dyDescent="0.2">
      <c r="E744" s="4" t="s">
        <v>17</v>
      </c>
      <c r="K744" t="str">
        <v xml:space="preserve">ooh
</v>
      </c>
      <c r="M744" s="4" t="str">
        <f t="shared" si="11"/>
        <v xml:space="preserve">ooh </v>
      </c>
      <c r="N744" s="4" cm="1">
        <f t="array" ref="N744">SUM(--(_xlfn.TEXTSPLIT($J$423,, " ") = L744))</f>
        <v>1</v>
      </c>
    </row>
    <row r="745" spans="5:14" x14ac:dyDescent="0.2">
      <c r="E745" s="4" t="s">
        <v>17</v>
      </c>
      <c r="K745" t="str">
        <v>Wait,</v>
      </c>
      <c r="M745" s="4" t="str">
        <f t="shared" si="11"/>
        <v xml:space="preserve">Wait </v>
      </c>
      <c r="N745" s="4" cm="1">
        <f t="array" ref="N745">SUM(--(_xlfn.TEXTSPLIT($J$423,, " ") = L745))</f>
        <v>1</v>
      </c>
    </row>
    <row r="746" spans="5:14" x14ac:dyDescent="0.2">
      <c r="E746" s="4" t="s">
        <v>17</v>
      </c>
      <c r="K746" t="str">
        <v>who's</v>
      </c>
      <c r="M746" s="4" t="str">
        <f t="shared" si="11"/>
        <v>who s</v>
      </c>
      <c r="N746" s="4" cm="1">
        <f t="array" ref="N746">SUM(--(_xlfn.TEXTSPLIT($J$423,, " ") = L746))</f>
        <v>1</v>
      </c>
    </row>
    <row r="747" spans="5:14" x14ac:dyDescent="0.2">
      <c r="E747" s="4" t="s">
        <v>17</v>
      </c>
      <c r="K747" t="str">
        <v>the</v>
      </c>
      <c r="M747" s="4" t="str">
        <f t="shared" si="11"/>
        <v>the</v>
      </c>
      <c r="N747" s="4" cm="1">
        <f t="array" ref="N747">SUM(--(_xlfn.TEXTSPLIT($J$423,, " ") = L747))</f>
        <v>1</v>
      </c>
    </row>
    <row r="748" spans="5:14" x14ac:dyDescent="0.2">
      <c r="E748" s="4" t="s">
        <v>17</v>
      </c>
      <c r="K748" t="str">
        <v>new</v>
      </c>
      <c r="M748" s="4" t="str">
        <f t="shared" si="11"/>
        <v>new</v>
      </c>
      <c r="N748" s="4" cm="1">
        <f t="array" ref="N748">SUM(--(_xlfn.TEXTSPLIT($J$423,, " ") = L748))</f>
        <v>1</v>
      </c>
    </row>
    <row r="749" spans="5:14" x14ac:dyDescent="0.2">
      <c r="E749" s="4" t="s">
        <v>17</v>
      </c>
      <c r="K749" t="str">
        <v>kid?</v>
      </c>
      <c r="M749" s="4" t="str">
        <f t="shared" si="11"/>
        <v xml:space="preserve">kid </v>
      </c>
      <c r="N749" s="4" cm="1">
        <f t="array" ref="N749">SUM(--(_xlfn.TEXTSPLIT($J$423,, " ") = L749))</f>
        <v>1</v>
      </c>
    </row>
    <row r="750" spans="5:14" x14ac:dyDescent="0.2">
      <c r="E750" s="4" t="s">
        <v>17</v>
      </c>
      <c r="K750" t="str">
        <v>(Never</v>
      </c>
      <c r="M750" s="4" t="str">
        <f t="shared" si="11"/>
        <v xml:space="preserve"> Never</v>
      </c>
      <c r="N750" s="4" cm="1">
        <f t="array" ref="N750">SUM(--(_xlfn.TEXTSPLIT($J$423,, " ") = L750))</f>
        <v>1</v>
      </c>
    </row>
    <row r="751" spans="5:14" x14ac:dyDescent="0.2">
      <c r="E751" s="4" t="s">
        <v>17</v>
      </c>
      <c r="K751" t="str">
        <v>slowing</v>
      </c>
      <c r="M751" s="4" t="str">
        <f t="shared" si="11"/>
        <v>slowing</v>
      </c>
      <c r="N751" s="4" cm="1">
        <f t="array" ref="N751">SUM(--(_xlfn.TEXTSPLIT($J$423,, " ") = L751))</f>
        <v>1</v>
      </c>
    </row>
    <row r="752" spans="5:14" x14ac:dyDescent="0.2">
      <c r="E752" s="4" t="s">
        <v>17</v>
      </c>
      <c r="K752" t="str">
        <v xml:space="preserve">down)
</v>
      </c>
      <c r="M752" s="4" t="str">
        <f t="shared" si="11"/>
        <v xml:space="preserve">down  </v>
      </c>
      <c r="N752" s="4" cm="1">
        <f t="array" ref="N752">SUM(--(_xlfn.TEXTSPLIT($J$423,, " ") = L752))</f>
        <v>1</v>
      </c>
    </row>
    <row r="753" spans="5:14" x14ac:dyDescent="0.2">
      <c r="E753" s="4" t="s">
        <v>17</v>
      </c>
      <c r="K753" t="str">
        <v>And</v>
      </c>
      <c r="M753" s="4" t="str">
        <f t="shared" si="11"/>
        <v>And</v>
      </c>
      <c r="N753" s="4" cm="1">
        <f t="array" ref="N753">SUM(--(_xlfn.TEXTSPLIT($J$423,, " ") = L753))</f>
        <v>1</v>
      </c>
    </row>
    <row r="754" spans="5:14" x14ac:dyDescent="0.2">
      <c r="E754" s="4" t="s">
        <v>17</v>
      </c>
      <c r="K754" t="str">
        <v>you</v>
      </c>
      <c r="M754" s="4" t="str">
        <f t="shared" si="11"/>
        <v>you</v>
      </c>
      <c r="N754" s="4" cm="1">
        <f t="array" ref="N754">SUM(--(_xlfn.TEXTSPLIT($J$423,, " ") = L754))</f>
        <v>1</v>
      </c>
    </row>
    <row r="755" spans="5:14" x14ac:dyDescent="0.2">
      <c r="E755" s="4" t="s">
        <v>17</v>
      </c>
      <c r="K755" t="str">
        <v>go,</v>
      </c>
      <c r="M755" s="4" t="str">
        <f t="shared" si="11"/>
        <v xml:space="preserve">go </v>
      </c>
      <c r="N755" s="4" cm="1">
        <f t="array" ref="N755">SUM(--(_xlfn.TEXTSPLIT($J$423,, " ") = L755))</f>
        <v>1</v>
      </c>
    </row>
    <row r="756" spans="5:14" x14ac:dyDescent="0.2">
      <c r="E756" s="4" t="s">
        <v>17</v>
      </c>
      <c r="K756" t="str">
        <v>ah,</v>
      </c>
      <c r="M756" s="4" t="str">
        <f t="shared" si="11"/>
        <v xml:space="preserve">ah </v>
      </c>
      <c r="N756" s="4" cm="1">
        <f t="array" ref="N756">SUM(--(_xlfn.TEXTSPLIT($J$423,, " ") = L756))</f>
        <v>1</v>
      </c>
    </row>
    <row r="757" spans="5:14" x14ac:dyDescent="0.2">
      <c r="E757" s="4" t="s">
        <v>17</v>
      </c>
      <c r="K757" t="str">
        <v>ah,</v>
      </c>
      <c r="M757" s="4" t="str">
        <f t="shared" si="11"/>
        <v xml:space="preserve">ah </v>
      </c>
      <c r="N757" s="4" cm="1">
        <f t="array" ref="N757">SUM(--(_xlfn.TEXTSPLIT($J$423,, " ") = L757))</f>
        <v>1</v>
      </c>
    </row>
    <row r="758" spans="5:14" x14ac:dyDescent="0.2">
      <c r="E758" s="4" t="s">
        <v>17</v>
      </c>
      <c r="K758" t="str">
        <v xml:space="preserve">ah
</v>
      </c>
      <c r="M758" s="4" t="str">
        <f t="shared" si="11"/>
        <v xml:space="preserve">ah </v>
      </c>
      <c r="N758" s="4" cm="1">
        <f t="array" ref="N758">SUM(--(_xlfn.TEXTSPLIT($J$423,, " ") = L758))</f>
        <v>1</v>
      </c>
    </row>
    <row r="759" spans="5:14" x14ac:dyDescent="0.2">
      <c r="E759" s="4" t="s">
        <v>17</v>
      </c>
      <c r="K759" t="str">
        <v>Not</v>
      </c>
      <c r="M759" s="4" t="str">
        <f t="shared" si="11"/>
        <v>Not</v>
      </c>
      <c r="N759" s="4" cm="1">
        <f t="array" ref="N759">SUM(--(_xlfn.TEXTSPLIT($J$423,, " ") = L759))</f>
        <v>1</v>
      </c>
    </row>
    <row r="760" spans="5:14" x14ac:dyDescent="0.2">
      <c r="E760" s="4" t="s">
        <v>17</v>
      </c>
      <c r="K760" t="str">
        <v>getting</v>
      </c>
      <c r="M760" s="4" t="str">
        <f t="shared" si="11"/>
        <v>getting</v>
      </c>
      <c r="N760" s="4" cm="1">
        <f t="array" ref="N760">SUM(--(_xlfn.TEXTSPLIT($J$423,, " ") = L760))</f>
        <v>1</v>
      </c>
    </row>
    <row r="761" spans="5:14" x14ac:dyDescent="0.2">
      <c r="E761" s="4" t="s">
        <v>17</v>
      </c>
      <c r="K761" t="str">
        <v xml:space="preserve">stronger
</v>
      </c>
      <c r="M761" s="4" t="str">
        <f t="shared" si="11"/>
        <v xml:space="preserve">stronger </v>
      </c>
      <c r="N761" s="4" cm="1">
        <f t="array" ref="N761">SUM(--(_xlfn.TEXTSPLIT($J$423,, " ") = L761))</f>
        <v>1</v>
      </c>
    </row>
    <row r="762" spans="5:14" x14ac:dyDescent="0.2">
      <c r="E762" s="4" t="s">
        <v>17</v>
      </c>
      <c r="K762" t="str">
        <v>And</v>
      </c>
      <c r="M762" s="4" t="str">
        <f t="shared" si="11"/>
        <v>And</v>
      </c>
      <c r="N762" s="4" cm="1">
        <f t="array" ref="N762">SUM(--(_xlfn.TEXTSPLIT($J$423,, " ") = L762))</f>
        <v>1</v>
      </c>
    </row>
    <row r="763" spans="5:14" x14ac:dyDescent="0.2">
      <c r="E763" s="4" t="s">
        <v>17</v>
      </c>
      <c r="K763" t="str">
        <v>now</v>
      </c>
      <c r="M763" s="4" t="str">
        <f t="shared" si="11"/>
        <v>now</v>
      </c>
      <c r="N763" s="4" cm="1">
        <f t="array" ref="N763">SUM(--(_xlfn.TEXTSPLIT($J$423,, " ") = L763))</f>
        <v>1</v>
      </c>
    </row>
    <row r="764" spans="5:14" x14ac:dyDescent="0.2">
      <c r="E764" s="4" t="s">
        <v>17</v>
      </c>
      <c r="K764" t="str">
        <v>I</v>
      </c>
      <c r="M764" s="4" t="str">
        <f t="shared" si="11"/>
        <v>I</v>
      </c>
      <c r="N764" s="4" cm="1">
        <f t="array" ref="N764">SUM(--(_xlfn.TEXTSPLIT($J$423,, " ") = L764))</f>
        <v>1</v>
      </c>
    </row>
    <row r="765" spans="5:14" x14ac:dyDescent="0.2">
      <c r="E765" s="4" t="s">
        <v>17</v>
      </c>
      <c r="K765" t="str">
        <v>can't</v>
      </c>
      <c r="M765" s="4" t="str">
        <f t="shared" si="11"/>
        <v>can t</v>
      </c>
      <c r="N765" s="4" cm="1">
        <f t="array" ref="N765">SUM(--(_xlfn.TEXTSPLIT($J$423,, " ") = L765))</f>
        <v>1</v>
      </c>
    </row>
    <row r="766" spans="5:14" x14ac:dyDescent="0.2">
      <c r="E766" s="4" t="s">
        <v>17</v>
      </c>
      <c r="K766" t="str">
        <v>seem</v>
      </c>
      <c r="M766" s="4" t="str">
        <f t="shared" si="11"/>
        <v>seem</v>
      </c>
      <c r="N766" s="4" cm="1">
        <f t="array" ref="N766">SUM(--(_xlfn.TEXTSPLIT($J$423,, " ") = L766))</f>
        <v>1</v>
      </c>
    </row>
    <row r="767" spans="5:14" x14ac:dyDescent="0.2">
      <c r="E767" s="4" t="s">
        <v>17</v>
      </c>
      <c r="K767" t="str">
        <v>to</v>
      </c>
      <c r="M767" s="4" t="str">
        <f t="shared" si="11"/>
        <v>to</v>
      </c>
      <c r="N767" s="4" cm="1">
        <f t="array" ref="N767">SUM(--(_xlfn.TEXTSPLIT($J$423,, " ") = L767))</f>
        <v>1</v>
      </c>
    </row>
    <row r="768" spans="5:14" x14ac:dyDescent="0.2">
      <c r="E768" s="4" t="s">
        <v>17</v>
      </c>
      <c r="K768" t="str">
        <v>sit</v>
      </c>
      <c r="M768" s="4" t="str">
        <f t="shared" si="11"/>
        <v>sit</v>
      </c>
      <c r="N768" s="4" cm="1">
        <f t="array" ref="N768">SUM(--(_xlfn.TEXTSPLIT($J$423,, " ") = L768))</f>
        <v>1</v>
      </c>
    </row>
    <row r="769" spans="5:14" x14ac:dyDescent="0.2">
      <c r="E769" s="4" t="s">
        <v>17</v>
      </c>
      <c r="K769" t="str">
        <v>still</v>
      </c>
      <c r="M769" s="4" t="str">
        <f t="shared" si="11"/>
        <v>still</v>
      </c>
      <c r="N769" s="4" cm="1">
        <f t="array" ref="N769">SUM(--(_xlfn.TEXTSPLIT($J$423,, " ") = L769))</f>
        <v>1</v>
      </c>
    </row>
    <row r="770" spans="5:14" x14ac:dyDescent="0.2">
      <c r="E770" s="4" t="s">
        <v>17</v>
      </c>
      <c r="K770" t="str">
        <v>any</v>
      </c>
      <c r="M770" s="4" t="str">
        <f t="shared" si="11"/>
        <v>any</v>
      </c>
      <c r="N770" s="4" cm="1">
        <f t="array" ref="N770">SUM(--(_xlfn.TEXTSPLIT($J$423,, " ") = L770))</f>
        <v>1</v>
      </c>
    </row>
    <row r="771" spans="5:14" x14ac:dyDescent="0.2">
      <c r="E771" s="4" t="s">
        <v>17</v>
      </c>
      <c r="K771" t="str">
        <v xml:space="preserve">longer
</v>
      </c>
      <c r="M771" s="4" t="str">
        <f t="shared" ref="M771:M834" si="12">_xlfn.REGEXREPLACE(K771, "[^A-Za-z ]", " ")</f>
        <v xml:space="preserve">longer  </v>
      </c>
      <c r="N771" s="4" cm="1">
        <f t="array" ref="N771">SUM(--(_xlfn.TEXTSPLIT($J$423,, " ") = L771))</f>
        <v>1</v>
      </c>
    </row>
    <row r="772" spans="5:14" x14ac:dyDescent="0.2">
      <c r="E772" s="4" t="s">
        <v>17</v>
      </c>
      <c r="K772" t="str">
        <v>Raw</v>
      </c>
      <c r="M772" s="4" t="str">
        <f t="shared" si="12"/>
        <v>Raw</v>
      </c>
      <c r="N772" s="4" cm="1">
        <f t="array" ref="N772">SUM(--(_xlfn.TEXTSPLIT($J$423,, " ") = L772))</f>
        <v>1</v>
      </c>
    </row>
    <row r="773" spans="5:14" x14ac:dyDescent="0.2">
      <c r="E773" s="4" t="s">
        <v>17</v>
      </c>
      <c r="K773" t="str">
        <v>fear</v>
      </c>
      <c r="M773" s="4" t="str">
        <f t="shared" si="12"/>
        <v>fear</v>
      </c>
      <c r="N773" s="4" cm="1">
        <f t="array" ref="N773">SUM(--(_xlfn.TEXTSPLIT($J$423,, " ") = L773))</f>
        <v>1</v>
      </c>
    </row>
    <row r="774" spans="5:14" x14ac:dyDescent="0.2">
      <c r="E774" s="4" t="s">
        <v>17</v>
      </c>
      <c r="K774" t="str">
        <v>moves</v>
      </c>
      <c r="M774" s="4" t="str">
        <f t="shared" si="12"/>
        <v>moves</v>
      </c>
      <c r="N774" s="4" cm="1">
        <f t="array" ref="N774">SUM(--(_xlfn.TEXTSPLIT($J$423,, " ") = L774))</f>
        <v>1</v>
      </c>
    </row>
    <row r="775" spans="5:14" x14ac:dyDescent="0.2">
      <c r="E775" s="4" t="s">
        <v>17</v>
      </c>
      <c r="K775" t="str">
        <v>me,</v>
      </c>
      <c r="M775" s="4" t="str">
        <f t="shared" si="12"/>
        <v xml:space="preserve">me </v>
      </c>
      <c r="N775" s="4" cm="1">
        <f t="array" ref="N775">SUM(--(_xlfn.TEXTSPLIT($J$423,, " ") = L775))</f>
        <v>1</v>
      </c>
    </row>
    <row r="776" spans="5:14" x14ac:dyDescent="0.2">
      <c r="E776" s="4" t="s">
        <v>17</v>
      </c>
      <c r="K776" t="str">
        <v>sounds</v>
      </c>
      <c r="M776" s="4" t="str">
        <f t="shared" si="12"/>
        <v>sounds</v>
      </c>
      <c r="N776" s="4" cm="1">
        <f t="array" ref="N776">SUM(--(_xlfn.TEXTSPLIT($J$423,, " ") = L776))</f>
        <v>1</v>
      </c>
    </row>
    <row r="777" spans="5:14" x14ac:dyDescent="0.2">
      <c r="E777" s="4" t="s">
        <v>17</v>
      </c>
      <c r="K777" t="str">
        <v>of</v>
      </c>
      <c r="M777" s="4" t="str">
        <f t="shared" si="12"/>
        <v>of</v>
      </c>
      <c r="N777" s="4" cm="1">
        <f t="array" ref="N777">SUM(--(_xlfn.TEXTSPLIT($J$423,, " ") = L777))</f>
        <v>1</v>
      </c>
    </row>
    <row r="778" spans="5:14" x14ac:dyDescent="0.2">
      <c r="E778" s="4" t="s">
        <v>17</v>
      </c>
      <c r="K778" t="str">
        <v>empty</v>
      </c>
      <c r="M778" s="4" t="str">
        <f t="shared" si="12"/>
        <v>empty</v>
      </c>
      <c r="N778" s="4" cm="1">
        <f t="array" ref="N778">SUM(--(_xlfn.TEXTSPLIT($J$423,, " ") = L778))</f>
        <v>1</v>
      </c>
    </row>
    <row r="779" spans="5:14" x14ac:dyDescent="0.2">
      <c r="E779" s="4" t="s">
        <v>17</v>
      </c>
      <c r="K779" t="str">
        <v>Uzis</v>
      </c>
      <c r="M779" s="4" t="str">
        <f t="shared" si="12"/>
        <v>Uzis</v>
      </c>
      <c r="N779" s="4" cm="1">
        <f t="array" ref="N779">SUM(--(_xlfn.TEXTSPLIT($J$423,, " ") = L779))</f>
        <v>1</v>
      </c>
    </row>
    <row r="780" spans="5:14" x14ac:dyDescent="0.2">
      <c r="E780" s="4" t="s">
        <v>17</v>
      </c>
      <c r="K780" t="str">
        <v>(Ah,</v>
      </c>
      <c r="M780" s="4" t="str">
        <f t="shared" si="12"/>
        <v xml:space="preserve"> Ah </v>
      </c>
      <c r="N780" s="4" cm="1">
        <f t="array" ref="N780">SUM(--(_xlfn.TEXTSPLIT($J$423,, " ") = L780))</f>
        <v>1</v>
      </c>
    </row>
    <row r="781" spans="5:14" x14ac:dyDescent="0.2">
      <c r="E781" s="4" t="s">
        <v>17</v>
      </c>
      <c r="K781" t="str">
        <v>ah,</v>
      </c>
      <c r="M781" s="4" t="str">
        <f t="shared" si="12"/>
        <v xml:space="preserve">ah </v>
      </c>
      <c r="N781" s="4" cm="1">
        <f t="array" ref="N781">SUM(--(_xlfn.TEXTSPLIT($J$423,, " ") = L781))</f>
        <v>1</v>
      </c>
    </row>
    <row r="782" spans="5:14" x14ac:dyDescent="0.2">
      <c r="E782" s="4" t="s">
        <v>17</v>
      </c>
      <c r="K782" t="str">
        <v xml:space="preserve">ah)
</v>
      </c>
      <c r="M782" s="4" t="str">
        <f t="shared" si="12"/>
        <v xml:space="preserve">ah  </v>
      </c>
      <c r="N782" s="4" cm="1">
        <f t="array" ref="N782">SUM(--(_xlfn.TEXTSPLIT($J$423,, " ") = L782))</f>
        <v>1</v>
      </c>
    </row>
    <row r="783" spans="5:14" x14ac:dyDescent="0.2">
      <c r="E783" s="4" t="s">
        <v>17</v>
      </c>
      <c r="K783" t="str">
        <v>Life</v>
      </c>
      <c r="M783" s="4" t="str">
        <f t="shared" si="12"/>
        <v>Life</v>
      </c>
      <c r="N783" s="4" cm="1">
        <f t="array" ref="N783">SUM(--(_xlfn.TEXTSPLIT($J$423,, " ") = L783))</f>
        <v>1</v>
      </c>
    </row>
    <row r="784" spans="5:14" x14ac:dyDescent="0.2">
      <c r="E784" s="4" t="s">
        <v>17</v>
      </c>
      <c r="K784" t="str">
        <v>is</v>
      </c>
      <c r="M784" s="4" t="str">
        <f t="shared" si="12"/>
        <v>is</v>
      </c>
      <c r="N784" s="4" cm="1">
        <f t="array" ref="N784">SUM(--(_xlfn.TEXTSPLIT($J$423,, " ") = L784))</f>
        <v>1</v>
      </c>
    </row>
    <row r="785" spans="5:14" x14ac:dyDescent="0.2">
      <c r="E785" s="4" t="s">
        <v>17</v>
      </c>
      <c r="K785" t="str">
        <v>just</v>
      </c>
      <c r="M785" s="4" t="str">
        <f t="shared" si="12"/>
        <v>just</v>
      </c>
      <c r="N785" s="4" cm="1">
        <f t="array" ref="N785">SUM(--(_xlfn.TEXTSPLIT($J$423,, " ") = L785))</f>
        <v>1</v>
      </c>
    </row>
    <row r="786" spans="5:14" x14ac:dyDescent="0.2">
      <c r="E786" s="4" t="s">
        <v>17</v>
      </c>
      <c r="K786" t="str">
        <v>forever</v>
      </c>
      <c r="M786" s="4" t="str">
        <f t="shared" si="12"/>
        <v>forever</v>
      </c>
      <c r="N786" s="4" cm="1">
        <f t="array" ref="N786">SUM(--(_xlfn.TEXTSPLIT($J$423,, " ") = L786))</f>
        <v>1</v>
      </c>
    </row>
    <row r="787" spans="5:14" x14ac:dyDescent="0.2">
      <c r="E787" s="4" t="s">
        <v>17</v>
      </c>
      <c r="K787" t="str">
        <v>nipping</v>
      </c>
      <c r="M787" s="4" t="str">
        <f t="shared" si="12"/>
        <v>nipping</v>
      </c>
      <c r="N787" s="4" cm="1">
        <f t="array" ref="N787">SUM(--(_xlfn.TEXTSPLIT($J$423,, " ") = L787))</f>
        <v>1</v>
      </c>
    </row>
    <row r="788" spans="5:14" x14ac:dyDescent="0.2">
      <c r="E788" s="4" t="s">
        <v>17</v>
      </c>
      <c r="K788" t="str">
        <v>heels,</v>
      </c>
      <c r="M788" s="4" t="str">
        <f t="shared" si="12"/>
        <v xml:space="preserve">heels </v>
      </c>
      <c r="N788" s="4" cm="1">
        <f t="array" ref="N788">SUM(--(_xlfn.TEXTSPLIT($J$423,, " ") = L788))</f>
        <v>1</v>
      </c>
    </row>
    <row r="789" spans="5:14" x14ac:dyDescent="0.2">
      <c r="E789" s="4" t="s">
        <v>17</v>
      </c>
      <c r="K789" t="str">
        <v>never</v>
      </c>
      <c r="M789" s="4" t="str">
        <f t="shared" si="12"/>
        <v>never</v>
      </c>
      <c r="N789" s="4" cm="1">
        <f t="array" ref="N789">SUM(--(_xlfn.TEXTSPLIT($J$423,, " ") = L789))</f>
        <v>1</v>
      </c>
    </row>
    <row r="790" spans="5:14" x14ac:dyDescent="0.2">
      <c r="E790" s="4" t="s">
        <v>17</v>
      </c>
      <c r="K790" t="str">
        <v>slowing</v>
      </c>
      <c r="M790" s="4" t="str">
        <f t="shared" si="12"/>
        <v>slowing</v>
      </c>
      <c r="N790" s="4" cm="1">
        <f t="array" ref="N790">SUM(--(_xlfn.TEXTSPLIT($J$423,, " ") = L790))</f>
        <v>1</v>
      </c>
    </row>
    <row r="791" spans="5:14" x14ac:dyDescent="0.2">
      <c r="E791" s="4" t="s">
        <v>17</v>
      </c>
      <c r="K791" t="str">
        <v xml:space="preserve">down
</v>
      </c>
      <c r="M791" s="4" t="str">
        <f t="shared" si="12"/>
        <v xml:space="preserve">down </v>
      </c>
      <c r="N791" s="4" cm="1">
        <f t="array" ref="N791">SUM(--(_xlfn.TEXTSPLIT($J$423,, " ") = L791))</f>
        <v>1</v>
      </c>
    </row>
    <row r="792" spans="5:14" x14ac:dyDescent="0.2">
      <c r="E792" s="4" t="s">
        <v>17</v>
      </c>
      <c r="K792" t="str">
        <v>Raw</v>
      </c>
      <c r="M792" s="4" t="str">
        <f t="shared" si="12"/>
        <v>Raw</v>
      </c>
      <c r="N792" s="4" cm="1">
        <f t="array" ref="N792">SUM(--(_xlfn.TEXTSPLIT($J$423,, " ") = L792))</f>
        <v>1</v>
      </c>
    </row>
    <row r="793" spans="5:14" x14ac:dyDescent="0.2">
      <c r="E793" s="4" t="s">
        <v>17</v>
      </c>
      <c r="K793" t="str">
        <v>fear</v>
      </c>
      <c r="M793" s="4" t="str">
        <f t="shared" si="12"/>
        <v>fear</v>
      </c>
      <c r="N793" s="4" cm="1">
        <f t="array" ref="N793">SUM(--(_xlfn.TEXTSPLIT($J$423,, " ") = L793))</f>
        <v>1</v>
      </c>
    </row>
    <row r="794" spans="5:14" x14ac:dyDescent="0.2">
      <c r="E794" s="4" t="s">
        <v>17</v>
      </c>
      <c r="K794" t="str">
        <v>moves</v>
      </c>
      <c r="M794" s="4" t="str">
        <f t="shared" si="12"/>
        <v>moves</v>
      </c>
      <c r="N794" s="4" cm="1">
        <f t="array" ref="N794">SUM(--(_xlfn.TEXTSPLIT($J$423,, " ") = L794))</f>
        <v>1</v>
      </c>
    </row>
    <row r="795" spans="5:14" x14ac:dyDescent="0.2">
      <c r="E795" s="4" t="s">
        <v>17</v>
      </c>
      <c r="K795" t="str">
        <v>me,</v>
      </c>
      <c r="M795" s="4" t="str">
        <f t="shared" si="12"/>
        <v xml:space="preserve">me </v>
      </c>
      <c r="N795" s="4" cm="1">
        <f t="array" ref="N795">SUM(--(_xlfn.TEXTSPLIT($J$423,, " ") = L795))</f>
        <v>1</v>
      </c>
    </row>
    <row r="796" spans="5:14" x14ac:dyDescent="0.2">
      <c r="E796" s="4" t="s">
        <v>17</v>
      </c>
      <c r="K796" t="str">
        <v>sounds</v>
      </c>
      <c r="M796" s="4" t="str">
        <f t="shared" si="12"/>
        <v>sounds</v>
      </c>
      <c r="N796" s="4" cm="1">
        <f t="array" ref="N796">SUM(--(_xlfn.TEXTSPLIT($J$423,, " ") = L796))</f>
        <v>1</v>
      </c>
    </row>
    <row r="797" spans="5:14" x14ac:dyDescent="0.2">
      <c r="E797" s="4" t="s">
        <v>17</v>
      </c>
      <c r="K797" t="str">
        <v>of</v>
      </c>
      <c r="M797" s="4" t="str">
        <f t="shared" si="12"/>
        <v>of</v>
      </c>
      <c r="N797" s="4" cm="1">
        <f t="array" ref="N797">SUM(--(_xlfn.TEXTSPLIT($J$423,, " ") = L797))</f>
        <v>1</v>
      </c>
    </row>
    <row r="798" spans="5:14" x14ac:dyDescent="0.2">
      <c r="E798" s="4" t="s">
        <v>17</v>
      </c>
      <c r="K798" t="str">
        <v>empty</v>
      </c>
      <c r="M798" s="4" t="str">
        <f t="shared" si="12"/>
        <v>empty</v>
      </c>
      <c r="N798" s="4" cm="1">
        <f t="array" ref="N798">SUM(--(_xlfn.TEXTSPLIT($J$423,, " ") = L798))</f>
        <v>1</v>
      </c>
    </row>
    <row r="799" spans="5:14" x14ac:dyDescent="0.2">
      <c r="E799" s="4" t="s">
        <v>17</v>
      </c>
      <c r="K799" t="str">
        <v>Uzis</v>
      </c>
      <c r="M799" s="4" t="str">
        <f t="shared" si="12"/>
        <v>Uzis</v>
      </c>
      <c r="N799" s="4" cm="1">
        <f t="array" ref="N799">SUM(--(_xlfn.TEXTSPLIT($J$423,, " ") = L799))</f>
        <v>1</v>
      </c>
    </row>
    <row r="800" spans="5:14" x14ac:dyDescent="0.2">
      <c r="E800" s="4" t="s">
        <v>17</v>
      </c>
      <c r="K800" t="str">
        <v>(Ah,</v>
      </c>
      <c r="M800" s="4" t="str">
        <f t="shared" si="12"/>
        <v xml:space="preserve"> Ah </v>
      </c>
      <c r="N800" s="4" cm="1">
        <f t="array" ref="N800">SUM(--(_xlfn.TEXTSPLIT($J$423,, " ") = L800))</f>
        <v>1</v>
      </c>
    </row>
    <row r="801" spans="5:14" x14ac:dyDescent="0.2">
      <c r="E801" s="4" t="s">
        <v>17</v>
      </c>
      <c r="K801" t="str">
        <v>ah,</v>
      </c>
      <c r="M801" s="4" t="str">
        <f t="shared" si="12"/>
        <v xml:space="preserve">ah </v>
      </c>
      <c r="N801" s="4" cm="1">
        <f t="array" ref="N801">SUM(--(_xlfn.TEXTSPLIT($J$423,, " ") = L801))</f>
        <v>1</v>
      </c>
    </row>
    <row r="802" spans="5:14" x14ac:dyDescent="0.2">
      <c r="E802" s="4" t="s">
        <v>17</v>
      </c>
      <c r="K802" t="str">
        <v xml:space="preserve">ah)
</v>
      </c>
      <c r="M802" s="4" t="str">
        <f t="shared" si="12"/>
        <v xml:space="preserve">ah  </v>
      </c>
      <c r="N802" s="4" cm="1">
        <f t="array" ref="N802">SUM(--(_xlfn.TEXTSPLIT($J$423,, " ") = L802))</f>
        <v>1</v>
      </c>
    </row>
    <row r="803" spans="5:14" x14ac:dyDescent="0.2">
      <c r="E803" s="4" t="s">
        <v>17</v>
      </c>
      <c r="K803" t="str">
        <v>Life</v>
      </c>
      <c r="M803" s="4" t="str">
        <f t="shared" si="12"/>
        <v>Life</v>
      </c>
      <c r="N803" s="4" cm="1">
        <f t="array" ref="N803">SUM(--(_xlfn.TEXTSPLIT($J$423,, " ") = L803))</f>
        <v>1</v>
      </c>
    </row>
    <row r="804" spans="5:14" x14ac:dyDescent="0.2">
      <c r="E804" s="4" t="s">
        <v>17</v>
      </c>
      <c r="K804" t="str">
        <v>is</v>
      </c>
      <c r="M804" s="4" t="str">
        <f t="shared" si="12"/>
        <v>is</v>
      </c>
      <c r="N804" s="4" cm="1">
        <f t="array" ref="N804">SUM(--(_xlfn.TEXTSPLIT($J$423,, " ") = L804))</f>
        <v>1</v>
      </c>
    </row>
    <row r="805" spans="5:14" x14ac:dyDescent="0.2">
      <c r="E805" s="4" t="s">
        <v>17</v>
      </c>
      <c r="K805" t="str">
        <v>just</v>
      </c>
      <c r="M805" s="4" t="str">
        <f t="shared" si="12"/>
        <v>just</v>
      </c>
      <c r="N805" s="4" cm="1">
        <f t="array" ref="N805">SUM(--(_xlfn.TEXTSPLIT($J$423,, " ") = L805))</f>
        <v>1</v>
      </c>
    </row>
    <row r="806" spans="5:14" x14ac:dyDescent="0.2">
      <c r="E806" s="4" t="s">
        <v>17</v>
      </c>
      <c r="K806" t="str">
        <v>forever</v>
      </c>
      <c r="M806" s="4" t="str">
        <f t="shared" si="12"/>
        <v>forever</v>
      </c>
      <c r="N806" s="4" cm="1">
        <f t="array" ref="N806">SUM(--(_xlfn.TEXTSPLIT($J$423,, " ") = L806))</f>
        <v>1</v>
      </c>
    </row>
    <row r="807" spans="5:14" x14ac:dyDescent="0.2">
      <c r="E807" s="4" t="s">
        <v>17</v>
      </c>
      <c r="K807" t="str">
        <v>gripping</v>
      </c>
      <c r="M807" s="4" t="str">
        <f t="shared" si="12"/>
        <v>gripping</v>
      </c>
      <c r="N807" s="4" cm="1">
        <f t="array" ref="N807">SUM(--(_xlfn.TEXTSPLIT($J$423,, " ") = L807))</f>
        <v>1</v>
      </c>
    </row>
    <row r="808" spans="5:14" x14ac:dyDescent="0.2">
      <c r="E808" s="4" t="s">
        <v>17</v>
      </c>
      <c r="K808" t="str">
        <v>feels,</v>
      </c>
      <c r="M808" s="4" t="str">
        <f t="shared" si="12"/>
        <v xml:space="preserve">feels </v>
      </c>
      <c r="N808" s="4" cm="1">
        <f t="array" ref="N808">SUM(--(_xlfn.TEXTSPLIT($J$423,, " ") = L808))</f>
        <v>1</v>
      </c>
    </row>
    <row r="809" spans="5:14" x14ac:dyDescent="0.2">
      <c r="E809" s="4" t="s">
        <v>17</v>
      </c>
      <c r="K809" t="str">
        <v>never</v>
      </c>
      <c r="M809" s="4" t="str">
        <f t="shared" si="12"/>
        <v>never</v>
      </c>
      <c r="N809" s="4" cm="1">
        <f t="array" ref="N809">SUM(--(_xlfn.TEXTSPLIT($J$423,, " ") = L809))</f>
        <v>1</v>
      </c>
    </row>
    <row r="810" spans="5:14" x14ac:dyDescent="0.2">
      <c r="E810" s="4" t="s">
        <v>17</v>
      </c>
      <c r="K810" t="str">
        <v>slowing</v>
      </c>
      <c r="M810" s="4" t="str">
        <f t="shared" si="12"/>
        <v>slowing</v>
      </c>
      <c r="N810" s="4" cm="1">
        <f t="array" ref="N810">SUM(--(_xlfn.TEXTSPLIT($J$423,, " ") = L810))</f>
        <v>1</v>
      </c>
    </row>
    <row r="811" spans="5:14" x14ac:dyDescent="0.2">
      <c r="E811" s="4" t="s">
        <v>17</v>
      </c>
      <c r="K811" t="str">
        <v xml:space="preserve">down
</v>
      </c>
      <c r="M811" s="4" t="str">
        <f t="shared" si="12"/>
        <v xml:space="preserve">down </v>
      </c>
      <c r="N811" s="4" cm="1">
        <f t="array" ref="N811">SUM(--(_xlfn.TEXTSPLIT($J$423,, " ") = L811))</f>
        <v>1</v>
      </c>
    </row>
    <row r="812" spans="5:14" x14ac:dyDescent="0.2">
      <c r="E812" s="4" t="s">
        <v>17</v>
      </c>
      <c r="K812" t="str">
        <v>Raw</v>
      </c>
      <c r="M812" s="4" t="str">
        <f t="shared" si="12"/>
        <v>Raw</v>
      </c>
      <c r="N812" s="4" cm="1">
        <f t="array" ref="N812">SUM(--(_xlfn.TEXTSPLIT($J$423,, " ") = L812))</f>
        <v>1</v>
      </c>
    </row>
    <row r="813" spans="5:14" x14ac:dyDescent="0.2">
      <c r="E813" s="4" t="s">
        <v>17</v>
      </c>
      <c r="K813" t="str">
        <v>fear</v>
      </c>
      <c r="M813" s="4" t="str">
        <f t="shared" si="12"/>
        <v>fear</v>
      </c>
      <c r="N813" s="4" cm="1">
        <f t="array" ref="N813">SUM(--(_xlfn.TEXTSPLIT($J$423,, " ") = L813))</f>
        <v>1</v>
      </c>
    </row>
    <row r="814" spans="5:14" x14ac:dyDescent="0.2">
      <c r="E814" s="4" t="s">
        <v>17</v>
      </c>
      <c r="K814" t="str">
        <v>moves</v>
      </c>
      <c r="M814" s="4" t="str">
        <f t="shared" si="12"/>
        <v>moves</v>
      </c>
      <c r="N814" s="4" cm="1">
        <f t="array" ref="N814">SUM(--(_xlfn.TEXTSPLIT($J$423,, " ") = L814))</f>
        <v>1</v>
      </c>
    </row>
    <row r="815" spans="5:14" x14ac:dyDescent="0.2">
      <c r="E815" s="4" t="s">
        <v>17</v>
      </c>
      <c r="K815" t="str">
        <v>me,</v>
      </c>
      <c r="M815" s="4" t="str">
        <f t="shared" si="12"/>
        <v xml:space="preserve">me </v>
      </c>
      <c r="N815" s="4" cm="1">
        <f t="array" ref="N815">SUM(--(_xlfn.TEXTSPLIT($J$423,, " ") = L815))</f>
        <v>1</v>
      </c>
    </row>
    <row r="816" spans="5:14" x14ac:dyDescent="0.2">
      <c r="E816" s="4" t="s">
        <v>17</v>
      </c>
      <c r="K816" t="str">
        <v>sounds</v>
      </c>
      <c r="M816" s="4" t="str">
        <f t="shared" si="12"/>
        <v>sounds</v>
      </c>
      <c r="N816" s="4" cm="1">
        <f t="array" ref="N816">SUM(--(_xlfn.TEXTSPLIT($J$423,, " ") = L816))</f>
        <v>1</v>
      </c>
    </row>
    <row r="817" spans="5:14" x14ac:dyDescent="0.2">
      <c r="E817" s="4" t="s">
        <v>17</v>
      </c>
      <c r="K817" t="str">
        <v>of</v>
      </c>
      <c r="M817" s="4" t="str">
        <f t="shared" si="12"/>
        <v>of</v>
      </c>
      <c r="N817" s="4" cm="1">
        <f t="array" ref="N817">SUM(--(_xlfn.TEXTSPLIT($J$423,, " ") = L817))</f>
        <v>1</v>
      </c>
    </row>
    <row r="818" spans="5:14" x14ac:dyDescent="0.2">
      <c r="E818" s="4" t="s">
        <v>17</v>
      </c>
      <c r="K818" t="str">
        <v>empty</v>
      </c>
      <c r="M818" s="4" t="str">
        <f t="shared" si="12"/>
        <v>empty</v>
      </c>
      <c r="N818" s="4" cm="1">
        <f t="array" ref="N818">SUM(--(_xlfn.TEXTSPLIT($J$423,, " ") = L818))</f>
        <v>1</v>
      </c>
    </row>
    <row r="819" spans="5:14" x14ac:dyDescent="0.2">
      <c r="E819" s="4" t="s">
        <v>17</v>
      </c>
      <c r="K819" t="str">
        <v>Uzis</v>
      </c>
      <c r="M819" s="4" t="str">
        <f t="shared" si="12"/>
        <v>Uzis</v>
      </c>
      <c r="N819" s="4" cm="1">
        <f t="array" ref="N819">SUM(--(_xlfn.TEXTSPLIT($J$423,, " ") = L819))</f>
        <v>1</v>
      </c>
    </row>
    <row r="820" spans="5:14" x14ac:dyDescent="0.2">
      <c r="E820" s="4" t="s">
        <v>17</v>
      </c>
      <c r="K820" t="str">
        <v>(Ah,</v>
      </c>
      <c r="M820" s="4" t="str">
        <f t="shared" si="12"/>
        <v xml:space="preserve"> Ah </v>
      </c>
      <c r="N820" s="4" cm="1">
        <f t="array" ref="N820">SUM(--(_xlfn.TEXTSPLIT($J$423,, " ") = L820))</f>
        <v>1</v>
      </c>
    </row>
    <row r="821" spans="5:14" x14ac:dyDescent="0.2">
      <c r="E821" s="4" t="s">
        <v>17</v>
      </c>
      <c r="K821" t="str">
        <v>ah,</v>
      </c>
      <c r="M821" s="4" t="str">
        <f t="shared" si="12"/>
        <v xml:space="preserve">ah </v>
      </c>
      <c r="N821" s="4" cm="1">
        <f t="array" ref="N821">SUM(--(_xlfn.TEXTSPLIT($J$423,, " ") = L821))</f>
        <v>1</v>
      </c>
    </row>
    <row r="822" spans="5:14" x14ac:dyDescent="0.2">
      <c r="E822" s="4" t="s">
        <v>17</v>
      </c>
      <c r="K822" t="str">
        <v xml:space="preserve">ah)
</v>
      </c>
      <c r="M822" s="4" t="str">
        <f t="shared" si="12"/>
        <v xml:space="preserve">ah  </v>
      </c>
      <c r="N822" s="4" cm="1">
        <f t="array" ref="N822">SUM(--(_xlfn.TEXTSPLIT($J$423,, " ") = L822))</f>
        <v>1</v>
      </c>
    </row>
    <row r="823" spans="5:14" x14ac:dyDescent="0.2">
      <c r="E823" s="4" t="s">
        <v>17</v>
      </c>
      <c r="K823" t="str">
        <v>Life</v>
      </c>
      <c r="M823" s="4" t="str">
        <f t="shared" si="12"/>
        <v>Life</v>
      </c>
      <c r="N823" s="4" cm="1">
        <f t="array" ref="N823">SUM(--(_xlfn.TEXTSPLIT($J$423,, " ") = L823))</f>
        <v>1</v>
      </c>
    </row>
    <row r="824" spans="5:14" x14ac:dyDescent="0.2">
      <c r="E824" s="4" t="s">
        <v>17</v>
      </c>
      <c r="K824" t="str">
        <v>is</v>
      </c>
      <c r="M824" s="4" t="str">
        <f t="shared" si="12"/>
        <v>is</v>
      </c>
      <c r="N824" s="4" cm="1">
        <f t="array" ref="N824">SUM(--(_xlfn.TEXTSPLIT($J$423,, " ") = L824))</f>
        <v>1</v>
      </c>
    </row>
    <row r="825" spans="5:14" x14ac:dyDescent="0.2">
      <c r="E825" s="4" t="s">
        <v>17</v>
      </c>
      <c r="K825" t="str">
        <v>just</v>
      </c>
      <c r="M825" s="4" t="str">
        <f t="shared" si="12"/>
        <v>just</v>
      </c>
      <c r="N825" s="4" cm="1">
        <f t="array" ref="N825">SUM(--(_xlfn.TEXTSPLIT($J$423,, " ") = L825))</f>
        <v>1</v>
      </c>
    </row>
    <row r="826" spans="5:14" x14ac:dyDescent="0.2">
      <c r="E826" s="4" t="s">
        <v>17</v>
      </c>
      <c r="K826" t="str">
        <v>forever</v>
      </c>
      <c r="M826" s="4" t="str">
        <f t="shared" si="12"/>
        <v>forever</v>
      </c>
      <c r="N826" s="4" cm="1">
        <f t="array" ref="N826">SUM(--(_xlfn.TEXTSPLIT($J$423,, " ") = L826))</f>
        <v>1</v>
      </c>
    </row>
    <row r="827" spans="5:14" x14ac:dyDescent="0.2">
      <c r="E827" s="4" t="s">
        <v>17</v>
      </c>
      <c r="K827" t="str">
        <v>nipping</v>
      </c>
      <c r="M827" s="4" t="str">
        <f t="shared" si="12"/>
        <v>nipping</v>
      </c>
      <c r="N827" s="4" cm="1">
        <f t="array" ref="N827">SUM(--(_xlfn.TEXTSPLIT($J$423,, " ") = L827))</f>
        <v>1</v>
      </c>
    </row>
    <row r="828" spans="5:14" x14ac:dyDescent="0.2">
      <c r="E828" s="4" t="s">
        <v>17</v>
      </c>
      <c r="K828" t="str">
        <v>heels,</v>
      </c>
      <c r="M828" s="4" t="str">
        <f t="shared" si="12"/>
        <v xml:space="preserve">heels </v>
      </c>
      <c r="N828" s="4" cm="1">
        <f t="array" ref="N828">SUM(--(_xlfn.TEXTSPLIT($J$423,, " ") = L828))</f>
        <v>1</v>
      </c>
    </row>
    <row r="829" spans="5:14" x14ac:dyDescent="0.2">
      <c r="E829" s="4" t="s">
        <v>17</v>
      </c>
      <c r="K829" t="str">
        <v>never</v>
      </c>
      <c r="M829" s="4" t="str">
        <f t="shared" si="12"/>
        <v>never</v>
      </c>
      <c r="N829" s="4" cm="1">
        <f t="array" ref="N829">SUM(--(_xlfn.TEXTSPLIT($J$423,, " ") = L829))</f>
        <v>1</v>
      </c>
    </row>
    <row r="830" spans="5:14" x14ac:dyDescent="0.2">
      <c r="E830" s="4" t="s">
        <v>17</v>
      </c>
      <c r="K830" t="str">
        <v>slowing</v>
      </c>
      <c r="M830" s="4" t="str">
        <f t="shared" si="12"/>
        <v>slowing</v>
      </c>
      <c r="N830" s="4" cm="1">
        <f t="array" ref="N830">SUM(--(_xlfn.TEXTSPLIT($J$423,, " ") = L830))</f>
        <v>1</v>
      </c>
    </row>
    <row r="831" spans="5:14" x14ac:dyDescent="0.2">
      <c r="E831" s="4" t="s">
        <v>17</v>
      </c>
      <c r="K831" t="str">
        <v xml:space="preserve">down
</v>
      </c>
      <c r="M831" s="4" t="str">
        <f t="shared" si="12"/>
        <v xml:space="preserve">down </v>
      </c>
      <c r="N831" s="4" cm="1">
        <f t="array" ref="N831">SUM(--(_xlfn.TEXTSPLIT($J$423,, " ") = L831))</f>
        <v>1</v>
      </c>
    </row>
    <row r="832" spans="5:14" x14ac:dyDescent="0.2">
      <c r="E832" s="4" t="s">
        <v>17</v>
      </c>
      <c r="K832" t="str">
        <v>Raw</v>
      </c>
      <c r="M832" s="4" t="str">
        <f t="shared" si="12"/>
        <v>Raw</v>
      </c>
      <c r="N832" s="4" cm="1">
        <f t="array" ref="N832">SUM(--(_xlfn.TEXTSPLIT($J$423,, " ") = L832))</f>
        <v>1</v>
      </c>
    </row>
    <row r="833" spans="5:14" x14ac:dyDescent="0.2">
      <c r="E833" s="4" t="s">
        <v>17</v>
      </c>
      <c r="K833" t="str">
        <v>fear</v>
      </c>
      <c r="M833" s="4" t="str">
        <f t="shared" si="12"/>
        <v>fear</v>
      </c>
      <c r="N833" s="4" cm="1">
        <f t="array" ref="N833">SUM(--(_xlfn.TEXTSPLIT($J$423,, " ") = L833))</f>
        <v>1</v>
      </c>
    </row>
    <row r="834" spans="5:14" x14ac:dyDescent="0.2">
      <c r="E834" s="4" t="s">
        <v>17</v>
      </c>
      <c r="K834" t="str">
        <v>moves</v>
      </c>
      <c r="M834" s="4" t="str">
        <f t="shared" si="12"/>
        <v>moves</v>
      </c>
      <c r="N834" s="4" cm="1">
        <f t="array" ref="N834">SUM(--(_xlfn.TEXTSPLIT($J$423,, " ") = L834))</f>
        <v>1</v>
      </c>
    </row>
    <row r="835" spans="5:14" x14ac:dyDescent="0.2">
      <c r="E835" s="4" t="s">
        <v>17</v>
      </c>
      <c r="K835" t="str">
        <v>me,</v>
      </c>
      <c r="M835" s="4" t="str">
        <f t="shared" ref="M835:M898" si="13">_xlfn.REGEXREPLACE(K835, "[^A-Za-z ]", " ")</f>
        <v xml:space="preserve">me </v>
      </c>
      <c r="N835" s="4" cm="1">
        <f t="array" ref="N835">SUM(--(_xlfn.TEXTSPLIT($J$423,, " ") = L835))</f>
        <v>1</v>
      </c>
    </row>
    <row r="836" spans="5:14" x14ac:dyDescent="0.2">
      <c r="E836" s="4" t="s">
        <v>17</v>
      </c>
      <c r="K836" t="str">
        <v>sounds</v>
      </c>
      <c r="M836" s="4" t="str">
        <f t="shared" si="13"/>
        <v>sounds</v>
      </c>
      <c r="N836" s="4" cm="1">
        <f t="array" ref="N836">SUM(--(_xlfn.TEXTSPLIT($J$423,, " ") = L836))</f>
        <v>1</v>
      </c>
    </row>
    <row r="837" spans="5:14" x14ac:dyDescent="0.2">
      <c r="E837" s="4" t="s">
        <v>17</v>
      </c>
      <c r="K837" t="str">
        <v>of</v>
      </c>
      <c r="M837" s="4" t="str">
        <f t="shared" si="13"/>
        <v>of</v>
      </c>
      <c r="N837" s="4" cm="1">
        <f t="array" ref="N837">SUM(--(_xlfn.TEXTSPLIT($J$423,, " ") = L837))</f>
        <v>1</v>
      </c>
    </row>
    <row r="838" spans="5:14" x14ac:dyDescent="0.2">
      <c r="E838" s="4" t="s">
        <v>17</v>
      </c>
      <c r="K838" t="str">
        <v>empty</v>
      </c>
      <c r="M838" s="4" t="str">
        <f t="shared" si="13"/>
        <v>empty</v>
      </c>
      <c r="N838" s="4" cm="1">
        <f t="array" ref="N838">SUM(--(_xlfn.TEXTSPLIT($J$423,, " ") = L838))</f>
        <v>1</v>
      </c>
    </row>
    <row r="839" spans="5:14" x14ac:dyDescent="0.2">
      <c r="E839" s="4" t="s">
        <v>17</v>
      </c>
      <c r="K839" t="str">
        <v>Uzis</v>
      </c>
      <c r="M839" s="4" t="str">
        <f t="shared" si="13"/>
        <v>Uzis</v>
      </c>
      <c r="N839" s="4" cm="1">
        <f t="array" ref="N839">SUM(--(_xlfn.TEXTSPLIT($J$423,, " ") = L839))</f>
        <v>1</v>
      </c>
    </row>
    <row r="840" spans="5:14" x14ac:dyDescent="0.2">
      <c r="E840" s="4" t="s">
        <v>17</v>
      </c>
      <c r="K840" t="str">
        <v>(Ah,</v>
      </c>
      <c r="M840" s="4" t="str">
        <f t="shared" si="13"/>
        <v xml:space="preserve"> Ah </v>
      </c>
      <c r="N840" s="4" cm="1">
        <f t="array" ref="N840">SUM(--(_xlfn.TEXTSPLIT($J$423,, " ") = L840))</f>
        <v>1</v>
      </c>
    </row>
    <row r="841" spans="5:14" x14ac:dyDescent="0.2">
      <c r="E841" s="4" t="s">
        <v>17</v>
      </c>
      <c r="K841" t="str">
        <v>ah,</v>
      </c>
      <c r="M841" s="4" t="str">
        <f t="shared" si="13"/>
        <v xml:space="preserve">ah </v>
      </c>
      <c r="N841" s="4" cm="1">
        <f t="array" ref="N841">SUM(--(_xlfn.TEXTSPLIT($J$423,, " ") = L841))</f>
        <v>1</v>
      </c>
    </row>
    <row r="842" spans="5:14" x14ac:dyDescent="0.2">
      <c r="E842" s="4" t="s">
        <v>17</v>
      </c>
      <c r="K842" t="str">
        <v xml:space="preserve">ah)
</v>
      </c>
      <c r="M842" s="4" t="str">
        <f t="shared" si="13"/>
        <v xml:space="preserve">ah  </v>
      </c>
      <c r="N842" s="4" cm="1">
        <f t="array" ref="N842">SUM(--(_xlfn.TEXTSPLIT($J$423,, " ") = L842))</f>
        <v>1</v>
      </c>
    </row>
    <row r="843" spans="5:14" x14ac:dyDescent="0.2">
      <c r="E843" s="4" t="s">
        <v>17</v>
      </c>
      <c r="K843" t="str">
        <v>Life</v>
      </c>
      <c r="M843" s="4" t="str">
        <f t="shared" si="13"/>
        <v>Life</v>
      </c>
      <c r="N843" s="4" cm="1">
        <f t="array" ref="N843">SUM(--(_xlfn.TEXTSPLIT($J$423,, " ") = L843))</f>
        <v>1</v>
      </c>
    </row>
    <row r="844" spans="5:14" x14ac:dyDescent="0.2">
      <c r="E844" s="4" t="s">
        <v>17</v>
      </c>
      <c r="K844" t="str">
        <v>is</v>
      </c>
      <c r="M844" s="4" t="str">
        <f t="shared" si="13"/>
        <v>is</v>
      </c>
      <c r="N844" s="4" cm="1">
        <f t="array" ref="N844">SUM(--(_xlfn.TEXTSPLIT($J$423,, " ") = L844))</f>
        <v>1</v>
      </c>
    </row>
    <row r="845" spans="5:14" x14ac:dyDescent="0.2">
      <c r="E845" s="4" t="s">
        <v>17</v>
      </c>
      <c r="K845" t="str">
        <v>just</v>
      </c>
      <c r="M845" s="4" t="str">
        <f t="shared" si="13"/>
        <v>just</v>
      </c>
      <c r="N845" s="4" cm="1">
        <f t="array" ref="N845">SUM(--(_xlfn.TEXTSPLIT($J$423,, " ") = L845))</f>
        <v>1</v>
      </c>
    </row>
    <row r="846" spans="5:14" x14ac:dyDescent="0.2">
      <c r="E846" s="4" t="s">
        <v>17</v>
      </c>
      <c r="K846" t="str">
        <v>forever</v>
      </c>
      <c r="M846" s="4" t="str">
        <f t="shared" si="13"/>
        <v>forever</v>
      </c>
      <c r="N846" s="4" cm="1">
        <f t="array" ref="N846">SUM(--(_xlfn.TEXTSPLIT($J$423,, " ") = L846))</f>
        <v>1</v>
      </c>
    </row>
    <row r="847" spans="5:14" x14ac:dyDescent="0.2">
      <c r="E847" s="4" t="s">
        <v>17</v>
      </c>
      <c r="K847" t="str">
        <v>gripping</v>
      </c>
      <c r="M847" s="4" t="str">
        <f t="shared" si="13"/>
        <v>gripping</v>
      </c>
      <c r="N847" s="4" cm="1">
        <f t="array" ref="N847">SUM(--(_xlfn.TEXTSPLIT($J$423,, " ") = L847))</f>
        <v>1</v>
      </c>
    </row>
    <row r="848" spans="5:14" x14ac:dyDescent="0.2">
      <c r="E848" s="4" t="s">
        <v>17</v>
      </c>
      <c r="K848" t="str">
        <v>feels,</v>
      </c>
      <c r="M848" s="4" t="str">
        <f t="shared" si="13"/>
        <v xml:space="preserve">feels </v>
      </c>
      <c r="N848" s="4" cm="1">
        <f t="array" ref="N848">SUM(--(_xlfn.TEXTSPLIT($J$423,, " ") = L848))</f>
        <v>1</v>
      </c>
    </row>
    <row r="849" spans="1:24" x14ac:dyDescent="0.2">
      <c r="E849" s="4" t="s">
        <v>17</v>
      </c>
      <c r="K849" t="str">
        <v>never</v>
      </c>
      <c r="M849" s="4" t="str">
        <f t="shared" si="13"/>
        <v>never</v>
      </c>
      <c r="N849" s="4" cm="1">
        <f t="array" ref="N849">SUM(--(_xlfn.TEXTSPLIT($J$423,, " ") = L849))</f>
        <v>1</v>
      </c>
    </row>
    <row r="850" spans="1:24" x14ac:dyDescent="0.2">
      <c r="E850" s="4" t="s">
        <v>17</v>
      </c>
      <c r="K850" t="str">
        <v>slowing</v>
      </c>
      <c r="M850" s="4" t="str">
        <f t="shared" si="13"/>
        <v>slowing</v>
      </c>
      <c r="N850" s="4" cm="1">
        <f t="array" ref="N850">SUM(--(_xlfn.TEXTSPLIT($J$423,, " ") = L850))</f>
        <v>1</v>
      </c>
    </row>
    <row r="851" spans="1:24" x14ac:dyDescent="0.2">
      <c r="E851" s="4" t="s">
        <v>17</v>
      </c>
      <c r="K851" t="str">
        <v>down</v>
      </c>
      <c r="M851" s="4" t="str">
        <f t="shared" si="13"/>
        <v>down</v>
      </c>
      <c r="N851" s="4" cm="1">
        <f t="array" ref="N851">SUM(--(_xlfn.TEXTSPLIT($J$423,, " ") = L851))</f>
        <v>1</v>
      </c>
    </row>
    <row r="852" spans="1:24" s="4" customFormat="1" x14ac:dyDescent="0.2">
      <c r="A852" s="4">
        <v>3</v>
      </c>
      <c r="B852" s="5">
        <v>45912</v>
      </c>
      <c r="C852" s="6">
        <v>0.14097222222222222</v>
      </c>
      <c r="D852" s="7">
        <v>203</v>
      </c>
      <c r="E852" s="4" t="s">
        <v>17</v>
      </c>
      <c r="F852" s="4">
        <v>3</v>
      </c>
      <c r="G852" s="8" t="s">
        <v>15</v>
      </c>
      <c r="H852" s="9" t="s">
        <v>19</v>
      </c>
      <c r="I852" s="4">
        <v>1</v>
      </c>
      <c r="J852" s="4" t="str">
        <f>_xlfn.TEXTJOIN(" ", TRUE, H852:H865)</f>
        <v xml:space="preserve"> Puttin' on a drum show
 Ooh-ooh
 Completed checklist for today
 Now they have to let you out of your cage
 Feelin' stuck between a rock and a home
 Two places you do not want to go
 So, so
 He's puttin' on a drum show
 Even now, even now, even now
 He'll take the longer way home
 Even now, even now, even now
 He'll never ever say so
 He drives fast just to feel it, feel it (Feel it)
 He drives slow if his song's not over (Feel it)
 Drown it out, drown it out
 Show
 Ooh-ooh
 He'd rather feel something than nothing at all
 So he swerves all around as his head starts to fall, turns it up
 Stuck between a rock and a home
 Two places he does not want to go
 So, so
 He's puttin' on a drum show
 Even now, even now, even now
 He'll take the longer way home (I've been this way)
 Even now, even now, even now
 He'll never ever say so (I want to change)
 He drives fast just to feel it, feel it (Feel it)
 He drives slow if his song's not over (Feel it)
 Drown it out, drown it out
 I've been this way
 I want to change
 I've been this way
 I want to change
 He's puttin' on a drum show
 Even now, even now, even now
 He'll take the longer way home (I've been this way)
 Even now, well even now, well even now
 He'll never ever say so (I want to change)
 He drives fast just to feel it, feel it (Feel it)
 He drives slow if his song's not over (I've been this way) (Feel it)
 Drown it out, drown it out (I want to change)
 I've been this way (Feel it, feel it)
 I want to change (Feel it, feel it)
  I've been this way (Feel it, feel it)
 I want to</v>
      </c>
      <c r="K852" s="4" t="str" cm="1">
        <f t="array" ref="K852:K1169">_xlfn.TEXTSPLIT(J852, ," ")</f>
        <v/>
      </c>
      <c r="L852" s="4" t="str" cm="1">
        <f t="array" ref="L852:L950">_xlfn.UNIQUE(_xlfn.TEXTSPLIT(J852, , " "))</f>
        <v/>
      </c>
      <c r="M852" s="4" t="str">
        <f t="shared" si="13"/>
        <v/>
      </c>
      <c r="N852" s="4" cm="1">
        <f t="array" ref="N852">SUM(--(_xlfn.TEXTSPLIT($J$852,, " ") = L852))</f>
        <v>2</v>
      </c>
      <c r="O852"/>
      <c r="P852"/>
      <c r="Q852"/>
      <c r="R852"/>
      <c r="S852"/>
      <c r="T852"/>
      <c r="U852"/>
      <c r="V852"/>
      <c r="W852"/>
      <c r="X852"/>
    </row>
    <row r="853" spans="1:24" x14ac:dyDescent="0.2">
      <c r="E853" s="4" t="s">
        <v>17</v>
      </c>
      <c r="K853" t="str">
        <v>Puttin'</v>
      </c>
      <c r="L853" t="str">
        <v>Puttin'</v>
      </c>
      <c r="M853" s="4" t="str">
        <f t="shared" si="13"/>
        <v xml:space="preserve">Puttin </v>
      </c>
      <c r="N853" s="4" cm="1">
        <f t="array" ref="N853">SUM(--(_xlfn.TEXTSPLIT($J$852,, " ") = L853))</f>
        <v>4</v>
      </c>
    </row>
    <row r="854" spans="1:24" x14ac:dyDescent="0.2">
      <c r="E854" s="4" t="s">
        <v>17</v>
      </c>
      <c r="K854" t="str">
        <v>on</v>
      </c>
      <c r="L854" t="str">
        <v>on</v>
      </c>
      <c r="M854" s="4" t="str">
        <f t="shared" si="13"/>
        <v>on</v>
      </c>
      <c r="N854" s="4" cm="1">
        <f t="array" ref="N854">SUM(--(_xlfn.TEXTSPLIT($J$852,, " ") = L854))</f>
        <v>4</v>
      </c>
    </row>
    <row r="855" spans="1:24" x14ac:dyDescent="0.2">
      <c r="E855" s="4" t="s">
        <v>17</v>
      </c>
      <c r="K855" t="str">
        <v>a</v>
      </c>
      <c r="L855" t="str">
        <v>a</v>
      </c>
      <c r="M855" s="4" t="str">
        <f t="shared" si="13"/>
        <v>a</v>
      </c>
      <c r="N855" s="4" cm="1">
        <f t="array" ref="N855">SUM(--(_xlfn.TEXTSPLIT($J$852,, " ") = L855))</f>
        <v>8</v>
      </c>
    </row>
    <row r="856" spans="1:24" x14ac:dyDescent="0.2">
      <c r="E856" s="4" t="s">
        <v>17</v>
      </c>
      <c r="K856" t="str">
        <v>drum</v>
      </c>
      <c r="L856" t="str">
        <v>drum</v>
      </c>
      <c r="M856" s="4" t="str">
        <f t="shared" si="13"/>
        <v>drum</v>
      </c>
      <c r="N856" s="4" cm="1">
        <f t="array" ref="N856">SUM(--(_xlfn.TEXTSPLIT($J$852,, " ") = L856))</f>
        <v>4</v>
      </c>
    </row>
    <row r="857" spans="1:24" x14ac:dyDescent="0.2">
      <c r="E857" s="4" t="s">
        <v>17</v>
      </c>
      <c r="K857" t="str">
        <v xml:space="preserve">show
</v>
      </c>
      <c r="L857" t="str">
        <v xml:space="preserve">show
</v>
      </c>
      <c r="M857" s="4" t="str">
        <f t="shared" si="13"/>
        <v xml:space="preserve">show </v>
      </c>
      <c r="N857" s="4" cm="1">
        <f t="array" ref="N857">SUM(--(_xlfn.TEXTSPLIT($J$852,, " ") = L857))</f>
        <v>2</v>
      </c>
    </row>
    <row r="858" spans="1:24" x14ac:dyDescent="0.2">
      <c r="E858" s="4" t="s">
        <v>17</v>
      </c>
      <c r="K858" t="str">
        <v xml:space="preserve">Ooh-ooh
</v>
      </c>
      <c r="L858" t="str">
        <v xml:space="preserve">Ooh-ooh
</v>
      </c>
      <c r="M858" s="4" t="str">
        <f t="shared" si="13"/>
        <v xml:space="preserve">Ooh ooh  </v>
      </c>
      <c r="N858" s="4" cm="1">
        <f t="array" ref="N858">SUM(--(_xlfn.TEXTSPLIT($J$852,, " ") = L858))</f>
        <v>2</v>
      </c>
    </row>
    <row r="859" spans="1:24" x14ac:dyDescent="0.2">
      <c r="E859" s="4" t="s">
        <v>17</v>
      </c>
      <c r="K859" t="str">
        <v>Completed</v>
      </c>
      <c r="L859" t="str">
        <v>Completed</v>
      </c>
      <c r="M859" s="4" t="str">
        <f t="shared" si="13"/>
        <v>Completed</v>
      </c>
      <c r="N859" s="4" cm="1">
        <f t="array" ref="N859">SUM(--(_xlfn.TEXTSPLIT($J$852,, " ") = L859))</f>
        <v>1</v>
      </c>
    </row>
    <row r="860" spans="1:24" x14ac:dyDescent="0.2">
      <c r="E860" s="4" t="s">
        <v>17</v>
      </c>
      <c r="K860" t="str">
        <v>checklist</v>
      </c>
      <c r="L860" t="str">
        <v>checklist</v>
      </c>
      <c r="M860" s="4" t="str">
        <f t="shared" si="13"/>
        <v>checklist</v>
      </c>
      <c r="N860" s="4" cm="1">
        <f t="array" ref="N860">SUM(--(_xlfn.TEXTSPLIT($J$852,, " ") = L860))</f>
        <v>1</v>
      </c>
    </row>
    <row r="861" spans="1:24" x14ac:dyDescent="0.2">
      <c r="E861" s="4" t="s">
        <v>17</v>
      </c>
      <c r="K861" t="str">
        <v>for</v>
      </c>
      <c r="L861" t="str">
        <v>for</v>
      </c>
      <c r="M861" s="4" t="str">
        <f t="shared" si="13"/>
        <v>for</v>
      </c>
      <c r="N861" s="4" cm="1">
        <f t="array" ref="N861">SUM(--(_xlfn.TEXTSPLIT($J$852,, " ") = L861))</f>
        <v>1</v>
      </c>
    </row>
    <row r="862" spans="1:24" x14ac:dyDescent="0.2">
      <c r="E862" s="4" t="s">
        <v>17</v>
      </c>
      <c r="K862" t="str">
        <v xml:space="preserve">today
</v>
      </c>
      <c r="L862" t="str">
        <v xml:space="preserve">today
</v>
      </c>
      <c r="M862" s="4" t="str">
        <f t="shared" si="13"/>
        <v xml:space="preserve">today </v>
      </c>
      <c r="N862" s="4" cm="1">
        <f t="array" ref="N862">SUM(--(_xlfn.TEXTSPLIT($J$852,, " ") = L862))</f>
        <v>1</v>
      </c>
    </row>
    <row r="863" spans="1:24" x14ac:dyDescent="0.2">
      <c r="E863" s="4" t="s">
        <v>17</v>
      </c>
      <c r="K863" t="str">
        <v>Now</v>
      </c>
      <c r="L863" t="str">
        <v>Now</v>
      </c>
      <c r="M863" s="4" t="str">
        <f t="shared" si="13"/>
        <v>Now</v>
      </c>
      <c r="N863" s="4" cm="1">
        <f t="array" ref="N863">SUM(--(_xlfn.TEXTSPLIT($J$852,, " ") = L863))</f>
        <v>1</v>
      </c>
    </row>
    <row r="864" spans="1:24" x14ac:dyDescent="0.2">
      <c r="E864" s="4" t="s">
        <v>17</v>
      </c>
      <c r="K864" t="str">
        <v>they</v>
      </c>
      <c r="L864" t="str">
        <v>they</v>
      </c>
      <c r="M864" s="4" t="str">
        <f t="shared" si="13"/>
        <v>they</v>
      </c>
      <c r="N864" s="4" cm="1">
        <f t="array" ref="N864">SUM(--(_xlfn.TEXTSPLIT($J$852,, " ") = L864))</f>
        <v>1</v>
      </c>
    </row>
    <row r="865" spans="5:14" x14ac:dyDescent="0.2">
      <c r="E865" s="4" t="s">
        <v>17</v>
      </c>
      <c r="K865" t="str">
        <v>have</v>
      </c>
      <c r="L865" t="str">
        <v>have</v>
      </c>
      <c r="M865" s="4" t="str">
        <f t="shared" si="13"/>
        <v>have</v>
      </c>
      <c r="N865" s="4" cm="1">
        <f t="array" ref="N865">SUM(--(_xlfn.TEXTSPLIT($J$852,, " ") = L865))</f>
        <v>1</v>
      </c>
    </row>
    <row r="866" spans="5:14" x14ac:dyDescent="0.2">
      <c r="E866" s="4" t="s">
        <v>17</v>
      </c>
      <c r="K866" t="str">
        <v>to</v>
      </c>
      <c r="L866" t="str">
        <v>to</v>
      </c>
      <c r="M866" s="4" t="str">
        <f t="shared" si="13"/>
        <v>to</v>
      </c>
      <c r="N866" s="4" cm="1">
        <f t="array" ref="N866">SUM(--(_xlfn.TEXTSPLIT($J$852,, " ") = L866))</f>
        <v>14</v>
      </c>
    </row>
    <row r="867" spans="5:14" x14ac:dyDescent="0.2">
      <c r="E867" s="4" t="s">
        <v>17</v>
      </c>
      <c r="K867" t="str">
        <v>let</v>
      </c>
      <c r="L867" t="str">
        <v>let</v>
      </c>
      <c r="M867" s="4" t="str">
        <f t="shared" si="13"/>
        <v>let</v>
      </c>
      <c r="N867" s="4" cm="1">
        <f t="array" ref="N867">SUM(--(_xlfn.TEXTSPLIT($J$852,, " ") = L867))</f>
        <v>1</v>
      </c>
    </row>
    <row r="868" spans="5:14" x14ac:dyDescent="0.2">
      <c r="E868" s="4" t="s">
        <v>17</v>
      </c>
      <c r="K868" t="str">
        <v>you</v>
      </c>
      <c r="L868" t="str">
        <v>you</v>
      </c>
      <c r="M868" s="4" t="str">
        <f t="shared" si="13"/>
        <v>you</v>
      </c>
      <c r="N868" s="4" cm="1">
        <f t="array" ref="N868">SUM(--(_xlfn.TEXTSPLIT($J$852,, " ") = L868))</f>
        <v>2</v>
      </c>
    </row>
    <row r="869" spans="5:14" x14ac:dyDescent="0.2">
      <c r="E869" s="4" t="s">
        <v>17</v>
      </c>
      <c r="K869" t="str">
        <v>out</v>
      </c>
      <c r="L869" t="str">
        <v>out</v>
      </c>
      <c r="M869" s="4" t="str">
        <f t="shared" si="13"/>
        <v>out</v>
      </c>
      <c r="N869" s="4" cm="1">
        <f t="array" ref="N869">SUM(--(_xlfn.TEXTSPLIT($J$852,, " ") = L869))</f>
        <v>2</v>
      </c>
    </row>
    <row r="870" spans="5:14" x14ac:dyDescent="0.2">
      <c r="E870" s="4" t="s">
        <v>17</v>
      </c>
      <c r="K870" t="str">
        <v>of</v>
      </c>
      <c r="L870" t="str">
        <v>of</v>
      </c>
      <c r="M870" s="4" t="str">
        <f t="shared" si="13"/>
        <v>of</v>
      </c>
      <c r="N870" s="4" cm="1">
        <f t="array" ref="N870">SUM(--(_xlfn.TEXTSPLIT($J$852,, " ") = L870))</f>
        <v>1</v>
      </c>
    </row>
    <row r="871" spans="5:14" x14ac:dyDescent="0.2">
      <c r="E871" s="4" t="s">
        <v>17</v>
      </c>
      <c r="K871" t="str">
        <v>your</v>
      </c>
      <c r="L871" t="str">
        <v>your</v>
      </c>
      <c r="M871" s="4" t="str">
        <f t="shared" si="13"/>
        <v>your</v>
      </c>
      <c r="N871" s="4" cm="1">
        <f t="array" ref="N871">SUM(--(_xlfn.TEXTSPLIT($J$852,, " ") = L871))</f>
        <v>1</v>
      </c>
    </row>
    <row r="872" spans="5:14" x14ac:dyDescent="0.2">
      <c r="E872" s="4" t="s">
        <v>17</v>
      </c>
      <c r="K872" t="str">
        <v xml:space="preserve">cage
</v>
      </c>
      <c r="L872" t="str">
        <v xml:space="preserve">cage
</v>
      </c>
      <c r="M872" s="4" t="str">
        <f t="shared" si="13"/>
        <v xml:space="preserve">cage </v>
      </c>
      <c r="N872" s="4" cm="1">
        <f t="array" ref="N872">SUM(--(_xlfn.TEXTSPLIT($J$852,, " ") = L872))</f>
        <v>1</v>
      </c>
    </row>
    <row r="873" spans="5:14" x14ac:dyDescent="0.2">
      <c r="E873" s="4" t="s">
        <v>17</v>
      </c>
      <c r="K873" t="str">
        <v>Feelin'</v>
      </c>
      <c r="L873" t="str">
        <v>Feelin'</v>
      </c>
      <c r="M873" s="4" t="str">
        <f t="shared" si="13"/>
        <v xml:space="preserve">Feelin </v>
      </c>
      <c r="N873" s="4" cm="1">
        <f t="array" ref="N873">SUM(--(_xlfn.TEXTSPLIT($J$852,, " ") = L873))</f>
        <v>1</v>
      </c>
    </row>
    <row r="874" spans="5:14" x14ac:dyDescent="0.2">
      <c r="E874" s="4" t="s">
        <v>17</v>
      </c>
      <c r="K874" t="str">
        <v>stuck</v>
      </c>
      <c r="L874" t="str">
        <v>stuck</v>
      </c>
      <c r="M874" s="4" t="str">
        <f t="shared" si="13"/>
        <v>stuck</v>
      </c>
      <c r="N874" s="4" cm="1">
        <f t="array" ref="N874">SUM(--(_xlfn.TEXTSPLIT($J$852,, " ") = L874))</f>
        <v>2</v>
      </c>
    </row>
    <row r="875" spans="5:14" x14ac:dyDescent="0.2">
      <c r="E875" s="4" t="s">
        <v>17</v>
      </c>
      <c r="K875" t="str">
        <v>between</v>
      </c>
      <c r="L875" t="str">
        <v>between</v>
      </c>
      <c r="M875" s="4" t="str">
        <f t="shared" si="13"/>
        <v>between</v>
      </c>
      <c r="N875" s="4" cm="1">
        <f t="array" ref="N875">SUM(--(_xlfn.TEXTSPLIT($J$852,, " ") = L875))</f>
        <v>2</v>
      </c>
    </row>
    <row r="876" spans="5:14" x14ac:dyDescent="0.2">
      <c r="E876" s="4" t="s">
        <v>17</v>
      </c>
      <c r="K876" t="str">
        <v>a</v>
      </c>
      <c r="L876" t="str">
        <v>rock</v>
      </c>
      <c r="M876" s="4" t="str">
        <f t="shared" si="13"/>
        <v>a</v>
      </c>
      <c r="N876" s="4" cm="1">
        <f t="array" ref="N876">SUM(--(_xlfn.TEXTSPLIT($J$852,, " ") = L876))</f>
        <v>2</v>
      </c>
    </row>
    <row r="877" spans="5:14" x14ac:dyDescent="0.2">
      <c r="E877" s="4" t="s">
        <v>17</v>
      </c>
      <c r="K877" t="str">
        <v>rock</v>
      </c>
      <c r="L877" t="str">
        <v>and</v>
      </c>
      <c r="M877" s="4" t="str">
        <f t="shared" si="13"/>
        <v>rock</v>
      </c>
      <c r="N877" s="4" cm="1">
        <f t="array" ref="N877">SUM(--(_xlfn.TEXTSPLIT($J$852,, " ") = L877))</f>
        <v>2</v>
      </c>
    </row>
    <row r="878" spans="5:14" x14ac:dyDescent="0.2">
      <c r="E878" s="4" t="s">
        <v>17</v>
      </c>
      <c r="K878" t="str">
        <v>and</v>
      </c>
      <c r="L878" t="str">
        <v xml:space="preserve">home
</v>
      </c>
      <c r="M878" s="4" t="str">
        <f t="shared" si="13"/>
        <v>and</v>
      </c>
      <c r="N878" s="4" cm="1">
        <f t="array" ref="N878">SUM(--(_xlfn.TEXTSPLIT($J$852,, " ") = L878))</f>
        <v>3</v>
      </c>
    </row>
    <row r="879" spans="5:14" x14ac:dyDescent="0.2">
      <c r="E879" s="4" t="s">
        <v>17</v>
      </c>
      <c r="K879" t="str">
        <v>a</v>
      </c>
      <c r="L879" t="str">
        <v>Two</v>
      </c>
      <c r="M879" s="4" t="str">
        <f t="shared" si="13"/>
        <v>a</v>
      </c>
      <c r="N879" s="4" cm="1">
        <f t="array" ref="N879">SUM(--(_xlfn.TEXTSPLIT($J$852,, " ") = L879))</f>
        <v>2</v>
      </c>
    </row>
    <row r="880" spans="5:14" x14ac:dyDescent="0.2">
      <c r="E880" s="4" t="s">
        <v>17</v>
      </c>
      <c r="K880" t="str">
        <v xml:space="preserve">home
</v>
      </c>
      <c r="L880" t="str">
        <v>places</v>
      </c>
      <c r="M880" s="4" t="str">
        <f t="shared" si="13"/>
        <v xml:space="preserve">home </v>
      </c>
      <c r="N880" s="4" cm="1">
        <f t="array" ref="N880">SUM(--(_xlfn.TEXTSPLIT($J$852,, " ") = L880))</f>
        <v>2</v>
      </c>
    </row>
    <row r="881" spans="5:14" x14ac:dyDescent="0.2">
      <c r="E881" s="4" t="s">
        <v>17</v>
      </c>
      <c r="K881" t="str">
        <v>Two</v>
      </c>
      <c r="L881" t="str">
        <v>do</v>
      </c>
      <c r="M881" s="4" t="str">
        <f t="shared" si="13"/>
        <v>Two</v>
      </c>
      <c r="N881" s="4" cm="1">
        <f t="array" ref="N881">SUM(--(_xlfn.TEXTSPLIT($J$852,, " ") = L881))</f>
        <v>1</v>
      </c>
    </row>
    <row r="882" spans="5:14" x14ac:dyDescent="0.2">
      <c r="E882" s="4" t="s">
        <v>17</v>
      </c>
      <c r="K882" t="str">
        <v>places</v>
      </c>
      <c r="L882" t="str">
        <v>not</v>
      </c>
      <c r="M882" s="4" t="str">
        <f t="shared" si="13"/>
        <v>places</v>
      </c>
      <c r="N882" s="4" cm="1">
        <f t="array" ref="N882">SUM(--(_xlfn.TEXTSPLIT($J$852,, " ") = L882))</f>
        <v>5</v>
      </c>
    </row>
    <row r="883" spans="5:14" x14ac:dyDescent="0.2">
      <c r="E883" s="4" t="s">
        <v>17</v>
      </c>
      <c r="K883" t="str">
        <v>you</v>
      </c>
      <c r="L883" t="str">
        <v>want</v>
      </c>
      <c r="M883" s="4" t="str">
        <f t="shared" si="13"/>
        <v>you</v>
      </c>
      <c r="N883" s="4" cm="1">
        <f t="array" ref="N883">SUM(--(_xlfn.TEXTSPLIT($J$852,, " ") = L883))</f>
        <v>9</v>
      </c>
    </row>
    <row r="884" spans="5:14" x14ac:dyDescent="0.2">
      <c r="E884" s="4" t="s">
        <v>17</v>
      </c>
      <c r="K884" t="str">
        <v>do</v>
      </c>
      <c r="L884" t="str">
        <v xml:space="preserve">go
</v>
      </c>
      <c r="M884" s="4" t="str">
        <f t="shared" si="13"/>
        <v>do</v>
      </c>
      <c r="N884" s="4" cm="1">
        <f t="array" ref="N884">SUM(--(_xlfn.TEXTSPLIT($J$852,, " ") = L884))</f>
        <v>2</v>
      </c>
    </row>
    <row r="885" spans="5:14" x14ac:dyDescent="0.2">
      <c r="E885" s="4" t="s">
        <v>17</v>
      </c>
      <c r="K885" t="str">
        <v>not</v>
      </c>
      <c r="L885" t="str">
        <v>So,</v>
      </c>
      <c r="M885" s="4" t="str">
        <f t="shared" si="13"/>
        <v>not</v>
      </c>
      <c r="N885" s="4" cm="1">
        <f t="array" ref="N885">SUM(--(_xlfn.TEXTSPLIT($J$852,, " ") = L885))</f>
        <v>2</v>
      </c>
    </row>
    <row r="886" spans="5:14" x14ac:dyDescent="0.2">
      <c r="E886" s="4" t="s">
        <v>17</v>
      </c>
      <c r="K886" t="str">
        <v>want</v>
      </c>
      <c r="L886" t="str">
        <v xml:space="preserve">so
</v>
      </c>
      <c r="M886" s="4" t="str">
        <f t="shared" si="13"/>
        <v>want</v>
      </c>
      <c r="N886" s="4" cm="1">
        <f t="array" ref="N886">SUM(--(_xlfn.TEXTSPLIT($J$852,, " ") = L886))</f>
        <v>3</v>
      </c>
    </row>
    <row r="887" spans="5:14" x14ac:dyDescent="0.2">
      <c r="E887" s="4" t="s">
        <v>17</v>
      </c>
      <c r="K887" t="str">
        <v>to</v>
      </c>
      <c r="L887" t="str">
        <v>He's</v>
      </c>
      <c r="M887" s="4" t="str">
        <f t="shared" si="13"/>
        <v>to</v>
      </c>
      <c r="N887" s="4" cm="1">
        <f t="array" ref="N887">SUM(--(_xlfn.TEXTSPLIT($J$852,, " ") = L887))</f>
        <v>3</v>
      </c>
    </row>
    <row r="888" spans="5:14" x14ac:dyDescent="0.2">
      <c r="E888" s="4" t="s">
        <v>17</v>
      </c>
      <c r="K888" t="str">
        <v xml:space="preserve">go
</v>
      </c>
      <c r="L888" t="str">
        <v xml:space="preserve">show
</v>
      </c>
      <c r="M888" s="4" t="str">
        <f t="shared" si="13"/>
        <v xml:space="preserve">go  </v>
      </c>
      <c r="N888" s="4" cm="1">
        <f t="array" ref="N888">SUM(--(_xlfn.TEXTSPLIT($J$852,, " ") = L888))</f>
        <v>3</v>
      </c>
    </row>
    <row r="889" spans="5:14" x14ac:dyDescent="0.2">
      <c r="E889" s="4" t="s">
        <v>17</v>
      </c>
      <c r="K889" t="str">
        <v>So,</v>
      </c>
      <c r="L889" t="str">
        <v>Even</v>
      </c>
      <c r="M889" s="4" t="str">
        <f t="shared" si="13"/>
        <v xml:space="preserve">So </v>
      </c>
      <c r="N889" s="4" cm="1">
        <f t="array" ref="N889">SUM(--(_xlfn.TEXTSPLIT($J$852,, " ") = L889))</f>
        <v>18</v>
      </c>
    </row>
    <row r="890" spans="5:14" x14ac:dyDescent="0.2">
      <c r="E890" s="4" t="s">
        <v>17</v>
      </c>
      <c r="K890" t="str">
        <v xml:space="preserve">so
</v>
      </c>
      <c r="L890" t="str">
        <v>now,</v>
      </c>
      <c r="M890" s="4" t="str">
        <f t="shared" si="13"/>
        <v xml:space="preserve">so </v>
      </c>
      <c r="N890" s="4" cm="1">
        <f t="array" ref="N890">SUM(--(_xlfn.TEXTSPLIT($J$852,, " ") = L890))</f>
        <v>12</v>
      </c>
    </row>
    <row r="891" spans="5:14" x14ac:dyDescent="0.2">
      <c r="E891" s="4" t="s">
        <v>17</v>
      </c>
      <c r="K891" t="str">
        <v>He's</v>
      </c>
      <c r="L891" t="str">
        <v xml:space="preserve">now
</v>
      </c>
      <c r="M891" s="4" t="str">
        <f t="shared" si="13"/>
        <v>He s</v>
      </c>
      <c r="N891" s="4" cm="1">
        <f t="array" ref="N891">SUM(--(_xlfn.TEXTSPLIT($J$852,, " ") = L891))</f>
        <v>6</v>
      </c>
    </row>
    <row r="892" spans="5:14" x14ac:dyDescent="0.2">
      <c r="E892" s="4" t="s">
        <v>17</v>
      </c>
      <c r="K892" t="str">
        <v>puttin'</v>
      </c>
      <c r="L892" t="str">
        <v>He'll</v>
      </c>
      <c r="M892" s="4" t="str">
        <f t="shared" si="13"/>
        <v xml:space="preserve">puttin </v>
      </c>
      <c r="N892" s="4" cm="1">
        <f t="array" ref="N892">SUM(--(_xlfn.TEXTSPLIT($J$852,, " ") = L892))</f>
        <v>6</v>
      </c>
    </row>
    <row r="893" spans="5:14" x14ac:dyDescent="0.2">
      <c r="E893" s="4" t="s">
        <v>17</v>
      </c>
      <c r="K893" t="str">
        <v>on</v>
      </c>
      <c r="L893" t="str">
        <v>take</v>
      </c>
      <c r="M893" s="4" t="str">
        <f t="shared" si="13"/>
        <v>on</v>
      </c>
      <c r="N893" s="4" cm="1">
        <f t="array" ref="N893">SUM(--(_xlfn.TEXTSPLIT($J$852,, " ") = L893))</f>
        <v>3</v>
      </c>
    </row>
    <row r="894" spans="5:14" x14ac:dyDescent="0.2">
      <c r="E894" s="4" t="s">
        <v>17</v>
      </c>
      <c r="K894" t="str">
        <v>a</v>
      </c>
      <c r="L894" t="str">
        <v>the</v>
      </c>
      <c r="M894" s="4" t="str">
        <f t="shared" si="13"/>
        <v>a</v>
      </c>
      <c r="N894" s="4" cm="1">
        <f t="array" ref="N894">SUM(--(_xlfn.TEXTSPLIT($J$852,, " ") = L894))</f>
        <v>3</v>
      </c>
    </row>
    <row r="895" spans="5:14" x14ac:dyDescent="0.2">
      <c r="E895" s="4" t="s">
        <v>17</v>
      </c>
      <c r="K895" t="str">
        <v>drum</v>
      </c>
      <c r="L895" t="str">
        <v>longer</v>
      </c>
      <c r="M895" s="4" t="str">
        <f t="shared" si="13"/>
        <v>drum</v>
      </c>
      <c r="N895" s="4" cm="1">
        <f t="array" ref="N895">SUM(--(_xlfn.TEXTSPLIT($J$852,, " ") = L895))</f>
        <v>3</v>
      </c>
    </row>
    <row r="896" spans="5:14" x14ac:dyDescent="0.2">
      <c r="E896" s="4" t="s">
        <v>17</v>
      </c>
      <c r="K896" t="str">
        <v xml:space="preserve">show
</v>
      </c>
      <c r="L896" t="str">
        <v>way</v>
      </c>
      <c r="M896" s="4" t="str">
        <f t="shared" si="13"/>
        <v xml:space="preserve">show  </v>
      </c>
      <c r="N896" s="4" cm="1">
        <f t="array" ref="N896">SUM(--(_xlfn.TEXTSPLIT($J$852,, " ") = L896))</f>
        <v>5</v>
      </c>
    </row>
    <row r="897" spans="5:14" x14ac:dyDescent="0.2">
      <c r="E897" s="4" t="s">
        <v>17</v>
      </c>
      <c r="K897" t="str">
        <v>Even</v>
      </c>
      <c r="L897" t="str">
        <v>never</v>
      </c>
      <c r="M897" s="4" t="str">
        <f t="shared" si="13"/>
        <v>Even</v>
      </c>
      <c r="N897" s="4" cm="1">
        <f t="array" ref="N897">SUM(--(_xlfn.TEXTSPLIT($J$852,, " ") = L897))</f>
        <v>3</v>
      </c>
    </row>
    <row r="898" spans="5:14" x14ac:dyDescent="0.2">
      <c r="E898" s="4" t="s">
        <v>17</v>
      </c>
      <c r="K898" t="str">
        <v>now,</v>
      </c>
      <c r="L898" t="str">
        <v>ever</v>
      </c>
      <c r="M898" s="4" t="str">
        <f t="shared" si="13"/>
        <v xml:space="preserve">now </v>
      </c>
      <c r="N898" s="4" cm="1">
        <f t="array" ref="N898">SUM(--(_xlfn.TEXTSPLIT($J$852,, " ") = L898))</f>
        <v>3</v>
      </c>
    </row>
    <row r="899" spans="5:14" x14ac:dyDescent="0.2">
      <c r="E899" s="4" t="s">
        <v>17</v>
      </c>
      <c r="K899" t="str">
        <v>even</v>
      </c>
      <c r="L899" t="str">
        <v>say</v>
      </c>
      <c r="M899" s="4" t="str">
        <f t="shared" ref="M899:M962" si="14">_xlfn.REGEXREPLACE(K899, "[^A-Za-z ]", " ")</f>
        <v>even</v>
      </c>
      <c r="N899" s="4" cm="1">
        <f t="array" ref="N899">SUM(--(_xlfn.TEXTSPLIT($J$852,, " ") = L899))</f>
        <v>3</v>
      </c>
    </row>
    <row r="900" spans="5:14" x14ac:dyDescent="0.2">
      <c r="E900" s="4" t="s">
        <v>17</v>
      </c>
      <c r="K900" t="str">
        <v>now,</v>
      </c>
      <c r="L900" t="str">
        <v>He</v>
      </c>
      <c r="M900" s="4" t="str">
        <f t="shared" si="14"/>
        <v xml:space="preserve">now </v>
      </c>
      <c r="N900" s="4" cm="1">
        <f t="array" ref="N900">SUM(--(_xlfn.TEXTSPLIT($J$852,, " ") = L900))</f>
        <v>8</v>
      </c>
    </row>
    <row r="901" spans="5:14" x14ac:dyDescent="0.2">
      <c r="E901" s="4" t="s">
        <v>17</v>
      </c>
      <c r="K901" t="str">
        <v>even</v>
      </c>
      <c r="L901" t="str">
        <v>drives</v>
      </c>
      <c r="M901" s="4" t="str">
        <f t="shared" si="14"/>
        <v>even</v>
      </c>
      <c r="N901" s="4" cm="1">
        <f t="array" ref="N901">SUM(--(_xlfn.TEXTSPLIT($J$852,, " ") = L901))</f>
        <v>6</v>
      </c>
    </row>
    <row r="902" spans="5:14" x14ac:dyDescent="0.2">
      <c r="E902" s="4" t="s">
        <v>17</v>
      </c>
      <c r="K902" t="str">
        <v xml:space="preserve">now
</v>
      </c>
      <c r="L902" t="str">
        <v>fast</v>
      </c>
      <c r="M902" s="4" t="str">
        <f t="shared" si="14"/>
        <v xml:space="preserve">now </v>
      </c>
      <c r="N902" s="4" cm="1">
        <f t="array" ref="N902">SUM(--(_xlfn.TEXTSPLIT($J$852,, " ") = L902))</f>
        <v>3</v>
      </c>
    </row>
    <row r="903" spans="5:14" x14ac:dyDescent="0.2">
      <c r="E903" s="4" t="s">
        <v>17</v>
      </c>
      <c r="K903" t="str">
        <v>He'll</v>
      </c>
      <c r="L903" t="str">
        <v>just</v>
      </c>
      <c r="M903" s="4" t="str">
        <f t="shared" si="14"/>
        <v>He ll</v>
      </c>
      <c r="N903" s="4" cm="1">
        <f t="array" ref="N903">SUM(--(_xlfn.TEXTSPLIT($J$852,, " ") = L903))</f>
        <v>3</v>
      </c>
    </row>
    <row r="904" spans="5:14" x14ac:dyDescent="0.2">
      <c r="E904" s="4" t="s">
        <v>17</v>
      </c>
      <c r="K904" t="str">
        <v>take</v>
      </c>
      <c r="L904" t="str">
        <v>feel</v>
      </c>
      <c r="M904" s="4" t="str">
        <f t="shared" si="14"/>
        <v>take</v>
      </c>
      <c r="N904" s="4" cm="1">
        <f t="array" ref="N904">SUM(--(_xlfn.TEXTSPLIT($J$852,, " ") = L904))</f>
        <v>10</v>
      </c>
    </row>
    <row r="905" spans="5:14" x14ac:dyDescent="0.2">
      <c r="E905" s="4" t="s">
        <v>17</v>
      </c>
      <c r="K905" t="str">
        <v>the</v>
      </c>
      <c r="L905" t="str">
        <v>it,</v>
      </c>
      <c r="M905" s="4" t="str">
        <f t="shared" si="14"/>
        <v>the</v>
      </c>
      <c r="N905" s="4" cm="1">
        <f t="array" ref="N905">SUM(--(_xlfn.TEXTSPLIT($J$852,, " ") = L905))</f>
        <v>6</v>
      </c>
    </row>
    <row r="906" spans="5:14" x14ac:dyDescent="0.2">
      <c r="E906" s="4" t="s">
        <v>17</v>
      </c>
      <c r="K906" t="str">
        <v>longer</v>
      </c>
      <c r="L906" t="str">
        <v>it</v>
      </c>
      <c r="M906" s="4" t="str">
        <f t="shared" si="14"/>
        <v>longer</v>
      </c>
      <c r="N906" s="4" cm="1">
        <f t="array" ref="N906">SUM(--(_xlfn.TEXTSPLIT($J$852,, " ") = L906))</f>
        <v>10</v>
      </c>
    </row>
    <row r="907" spans="5:14" x14ac:dyDescent="0.2">
      <c r="E907" s="4" t="s">
        <v>17</v>
      </c>
      <c r="K907" t="str">
        <v>way</v>
      </c>
      <c r="L907" t="str">
        <v>(Feel</v>
      </c>
      <c r="M907" s="4" t="str">
        <f t="shared" si="14"/>
        <v>way</v>
      </c>
      <c r="N907" s="4" cm="1">
        <f t="array" ref="N907">SUM(--(_xlfn.TEXTSPLIT($J$852,, " ") = L907))</f>
        <v>9</v>
      </c>
    </row>
    <row r="908" spans="5:14" x14ac:dyDescent="0.2">
      <c r="E908" s="4" t="s">
        <v>17</v>
      </c>
      <c r="K908" t="str">
        <v xml:space="preserve">home
</v>
      </c>
      <c r="L908" t="str">
        <v xml:space="preserve">it)
</v>
      </c>
      <c r="M908" s="4" t="str">
        <f t="shared" si="14"/>
        <v xml:space="preserve">home </v>
      </c>
      <c r="N908" s="4" cm="1">
        <f t="array" ref="N908">SUM(--(_xlfn.TEXTSPLIT($J$852,, " ") = L908))</f>
        <v>9</v>
      </c>
    </row>
    <row r="909" spans="5:14" x14ac:dyDescent="0.2">
      <c r="E909" s="4" t="s">
        <v>17</v>
      </c>
      <c r="K909" t="str">
        <v>Even</v>
      </c>
      <c r="L909" t="str">
        <v>slow</v>
      </c>
      <c r="M909" s="4" t="str">
        <f t="shared" si="14"/>
        <v>Even</v>
      </c>
      <c r="N909" s="4" cm="1">
        <f t="array" ref="N909">SUM(--(_xlfn.TEXTSPLIT($J$852,, " ") = L909))</f>
        <v>3</v>
      </c>
    </row>
    <row r="910" spans="5:14" x14ac:dyDescent="0.2">
      <c r="E910" s="4" t="s">
        <v>17</v>
      </c>
      <c r="K910" t="str">
        <v>now,</v>
      </c>
      <c r="L910" t="str">
        <v>if</v>
      </c>
      <c r="M910" s="4" t="str">
        <f t="shared" si="14"/>
        <v xml:space="preserve">now </v>
      </c>
      <c r="N910" s="4" cm="1">
        <f t="array" ref="N910">SUM(--(_xlfn.TEXTSPLIT($J$852,, " ") = L910))</f>
        <v>3</v>
      </c>
    </row>
    <row r="911" spans="5:14" x14ac:dyDescent="0.2">
      <c r="E911" s="4" t="s">
        <v>17</v>
      </c>
      <c r="K911" t="str">
        <v>even</v>
      </c>
      <c r="L911" t="str">
        <v>his</v>
      </c>
      <c r="M911" s="4" t="str">
        <f t="shared" si="14"/>
        <v>even</v>
      </c>
      <c r="N911" s="4" cm="1">
        <f t="array" ref="N911">SUM(--(_xlfn.TEXTSPLIT($J$852,, " ") = L911))</f>
        <v>4</v>
      </c>
    </row>
    <row r="912" spans="5:14" x14ac:dyDescent="0.2">
      <c r="E912" s="4" t="s">
        <v>17</v>
      </c>
      <c r="K912" t="str">
        <v>now,</v>
      </c>
      <c r="L912" t="str">
        <v>song's</v>
      </c>
      <c r="M912" s="4" t="str">
        <f t="shared" si="14"/>
        <v xml:space="preserve">now </v>
      </c>
      <c r="N912" s="4" cm="1">
        <f t="array" ref="N912">SUM(--(_xlfn.TEXTSPLIT($J$852,, " ") = L912))</f>
        <v>3</v>
      </c>
    </row>
    <row r="913" spans="5:14" x14ac:dyDescent="0.2">
      <c r="E913" s="4" t="s">
        <v>17</v>
      </c>
      <c r="K913" t="str">
        <v>even</v>
      </c>
      <c r="L913" t="str">
        <v>over</v>
      </c>
      <c r="M913" s="4" t="str">
        <f t="shared" si="14"/>
        <v>even</v>
      </c>
      <c r="N913" s="4" cm="1">
        <f t="array" ref="N913">SUM(--(_xlfn.TEXTSPLIT($J$852,, " ") = L913))</f>
        <v>3</v>
      </c>
    </row>
    <row r="914" spans="5:14" x14ac:dyDescent="0.2">
      <c r="E914" s="4" t="s">
        <v>17</v>
      </c>
      <c r="K914" t="str">
        <v xml:space="preserve">now
</v>
      </c>
      <c r="L914" t="str">
        <v>Drown</v>
      </c>
      <c r="M914" s="4" t="str">
        <f t="shared" si="14"/>
        <v xml:space="preserve">now </v>
      </c>
      <c r="N914" s="4" cm="1">
        <f t="array" ref="N914">SUM(--(_xlfn.TEXTSPLIT($J$852,, " ") = L914))</f>
        <v>6</v>
      </c>
    </row>
    <row r="915" spans="5:14" x14ac:dyDescent="0.2">
      <c r="E915" s="4" t="s">
        <v>17</v>
      </c>
      <c r="K915" t="str">
        <v>He'll</v>
      </c>
      <c r="L915" t="str">
        <v>out,</v>
      </c>
      <c r="M915" s="4" t="str">
        <f t="shared" si="14"/>
        <v>He ll</v>
      </c>
      <c r="N915" s="4" cm="1">
        <f t="array" ref="N915">SUM(--(_xlfn.TEXTSPLIT($J$852,, " ") = L915))</f>
        <v>3</v>
      </c>
    </row>
    <row r="916" spans="5:14" x14ac:dyDescent="0.2">
      <c r="E916" s="4" t="s">
        <v>17</v>
      </c>
      <c r="K916" t="str">
        <v>never</v>
      </c>
      <c r="L916" t="str">
        <v xml:space="preserve">out
</v>
      </c>
      <c r="M916" s="4" t="str">
        <f t="shared" si="14"/>
        <v>never</v>
      </c>
      <c r="N916" s="4" cm="1">
        <f t="array" ref="N916">SUM(--(_xlfn.TEXTSPLIT($J$852,, " ") = L916))</f>
        <v>2</v>
      </c>
    </row>
    <row r="917" spans="5:14" x14ac:dyDescent="0.2">
      <c r="E917" s="4" t="s">
        <v>17</v>
      </c>
      <c r="K917" t="str">
        <v>ever</v>
      </c>
      <c r="L917" t="str">
        <v>He'd</v>
      </c>
      <c r="M917" s="4" t="str">
        <f t="shared" si="14"/>
        <v>ever</v>
      </c>
      <c r="N917" s="4" cm="1">
        <f t="array" ref="N917">SUM(--(_xlfn.TEXTSPLIT($J$852,, " ") = L917))</f>
        <v>1</v>
      </c>
    </row>
    <row r="918" spans="5:14" x14ac:dyDescent="0.2">
      <c r="E918" s="4" t="s">
        <v>17</v>
      </c>
      <c r="K918" t="str">
        <v>say</v>
      </c>
      <c r="L918" t="str">
        <v>rather</v>
      </c>
      <c r="M918" s="4" t="str">
        <f t="shared" si="14"/>
        <v>say</v>
      </c>
      <c r="N918" s="4" cm="1">
        <f t="array" ref="N918">SUM(--(_xlfn.TEXTSPLIT($J$852,, " ") = L918))</f>
        <v>1</v>
      </c>
    </row>
    <row r="919" spans="5:14" x14ac:dyDescent="0.2">
      <c r="E919" s="4" t="s">
        <v>17</v>
      </c>
      <c r="K919" t="str">
        <v xml:space="preserve">so
</v>
      </c>
      <c r="L919" t="str">
        <v>something</v>
      </c>
      <c r="M919" s="4" t="str">
        <f t="shared" si="14"/>
        <v xml:space="preserve">so </v>
      </c>
      <c r="N919" s="4" cm="1">
        <f t="array" ref="N919">SUM(--(_xlfn.TEXTSPLIT($J$852,, " ") = L919))</f>
        <v>1</v>
      </c>
    </row>
    <row r="920" spans="5:14" x14ac:dyDescent="0.2">
      <c r="E920" s="4" t="s">
        <v>17</v>
      </c>
      <c r="K920" t="str">
        <v>He</v>
      </c>
      <c r="L920" t="str">
        <v>than</v>
      </c>
      <c r="M920" s="4" t="str">
        <f t="shared" si="14"/>
        <v>He</v>
      </c>
      <c r="N920" s="4" cm="1">
        <f t="array" ref="N920">SUM(--(_xlfn.TEXTSPLIT($J$852,, " ") = L920))</f>
        <v>1</v>
      </c>
    </row>
    <row r="921" spans="5:14" x14ac:dyDescent="0.2">
      <c r="E921" s="4" t="s">
        <v>17</v>
      </c>
      <c r="K921" t="str">
        <v>drives</v>
      </c>
      <c r="L921" t="str">
        <v>nothing</v>
      </c>
      <c r="M921" s="4" t="str">
        <f t="shared" si="14"/>
        <v>drives</v>
      </c>
      <c r="N921" s="4" cm="1">
        <f t="array" ref="N921">SUM(--(_xlfn.TEXTSPLIT($J$852,, " ") = L921))</f>
        <v>1</v>
      </c>
    </row>
    <row r="922" spans="5:14" x14ac:dyDescent="0.2">
      <c r="E922" s="4" t="s">
        <v>17</v>
      </c>
      <c r="K922" t="str">
        <v>fast</v>
      </c>
      <c r="L922" t="str">
        <v>at</v>
      </c>
      <c r="M922" s="4" t="str">
        <f t="shared" si="14"/>
        <v>fast</v>
      </c>
      <c r="N922" s="4" cm="1">
        <f t="array" ref="N922">SUM(--(_xlfn.TEXTSPLIT($J$852,, " ") = L922))</f>
        <v>1</v>
      </c>
    </row>
    <row r="923" spans="5:14" x14ac:dyDescent="0.2">
      <c r="E923" s="4" t="s">
        <v>17</v>
      </c>
      <c r="K923" t="str">
        <v>just</v>
      </c>
      <c r="L923" t="str">
        <v xml:space="preserve">all
</v>
      </c>
      <c r="M923" s="4" t="str">
        <f t="shared" si="14"/>
        <v>just</v>
      </c>
      <c r="N923" s="4" cm="1">
        <f t="array" ref="N923">SUM(--(_xlfn.TEXTSPLIT($J$852,, " ") = L923))</f>
        <v>1</v>
      </c>
    </row>
    <row r="924" spans="5:14" x14ac:dyDescent="0.2">
      <c r="E924" s="4" t="s">
        <v>17</v>
      </c>
      <c r="K924" t="str">
        <v>to</v>
      </c>
      <c r="L924" t="str">
        <v>So</v>
      </c>
      <c r="M924" s="4" t="str">
        <f t="shared" si="14"/>
        <v>to</v>
      </c>
      <c r="N924" s="4" cm="1">
        <f t="array" ref="N924">SUM(--(_xlfn.TEXTSPLIT($J$852,, " ") = L924))</f>
        <v>3</v>
      </c>
    </row>
    <row r="925" spans="5:14" x14ac:dyDescent="0.2">
      <c r="E925" s="4" t="s">
        <v>17</v>
      </c>
      <c r="K925" t="str">
        <v>feel</v>
      </c>
      <c r="L925" t="str">
        <v>swerves</v>
      </c>
      <c r="M925" s="4" t="str">
        <f t="shared" si="14"/>
        <v>feel</v>
      </c>
      <c r="N925" s="4" cm="1">
        <f t="array" ref="N925">SUM(--(_xlfn.TEXTSPLIT($J$852,, " ") = L925))</f>
        <v>1</v>
      </c>
    </row>
    <row r="926" spans="5:14" x14ac:dyDescent="0.2">
      <c r="E926" s="4" t="s">
        <v>17</v>
      </c>
      <c r="K926" t="str">
        <v>it,</v>
      </c>
      <c r="L926" t="str">
        <v>all</v>
      </c>
      <c r="M926" s="4" t="str">
        <f t="shared" si="14"/>
        <v xml:space="preserve">it </v>
      </c>
      <c r="N926" s="4" cm="1">
        <f t="array" ref="N926">SUM(--(_xlfn.TEXTSPLIT($J$852,, " ") = L926))</f>
        <v>1</v>
      </c>
    </row>
    <row r="927" spans="5:14" x14ac:dyDescent="0.2">
      <c r="E927" s="4" t="s">
        <v>17</v>
      </c>
      <c r="K927" t="str">
        <v>feel</v>
      </c>
      <c r="L927" t="str">
        <v>around</v>
      </c>
      <c r="M927" s="4" t="str">
        <f t="shared" si="14"/>
        <v>feel</v>
      </c>
      <c r="N927" s="4" cm="1">
        <f t="array" ref="N927">SUM(--(_xlfn.TEXTSPLIT($J$852,, " ") = L927))</f>
        <v>1</v>
      </c>
    </row>
    <row r="928" spans="5:14" x14ac:dyDescent="0.2">
      <c r="E928" s="4" t="s">
        <v>17</v>
      </c>
      <c r="K928" t="str">
        <v>it</v>
      </c>
      <c r="L928" t="str">
        <v>as</v>
      </c>
      <c r="M928" s="4" t="str">
        <f t="shared" si="14"/>
        <v>it</v>
      </c>
      <c r="N928" s="4" cm="1">
        <f t="array" ref="N928">SUM(--(_xlfn.TEXTSPLIT($J$852,, " ") = L928))</f>
        <v>1</v>
      </c>
    </row>
    <row r="929" spans="5:14" x14ac:dyDescent="0.2">
      <c r="E929" s="4" t="s">
        <v>17</v>
      </c>
      <c r="K929" t="str">
        <v>(Feel</v>
      </c>
      <c r="L929" t="str">
        <v>head</v>
      </c>
      <c r="M929" s="4" t="str">
        <f t="shared" si="14"/>
        <v xml:space="preserve"> Feel</v>
      </c>
      <c r="N929" s="4" cm="1">
        <f t="array" ref="N929">SUM(--(_xlfn.TEXTSPLIT($J$852,, " ") = L929))</f>
        <v>1</v>
      </c>
    </row>
    <row r="930" spans="5:14" x14ac:dyDescent="0.2">
      <c r="E930" s="4" t="s">
        <v>17</v>
      </c>
      <c r="K930" t="str">
        <v xml:space="preserve">it)
</v>
      </c>
      <c r="L930" t="str">
        <v>starts</v>
      </c>
      <c r="M930" s="4" t="str">
        <f t="shared" si="14"/>
        <v xml:space="preserve">it  </v>
      </c>
      <c r="N930" s="4" cm="1">
        <f t="array" ref="N930">SUM(--(_xlfn.TEXTSPLIT($J$852,, " ") = L930))</f>
        <v>1</v>
      </c>
    </row>
    <row r="931" spans="5:14" x14ac:dyDescent="0.2">
      <c r="E931" s="4" t="s">
        <v>17</v>
      </c>
      <c r="K931" t="str">
        <v>He</v>
      </c>
      <c r="L931" t="str">
        <v>fall,</v>
      </c>
      <c r="M931" s="4" t="str">
        <f t="shared" si="14"/>
        <v>He</v>
      </c>
      <c r="N931" s="4" cm="1">
        <f t="array" ref="N931">SUM(--(_xlfn.TEXTSPLIT($J$852,, " ") = L931))</f>
        <v>1</v>
      </c>
    </row>
    <row r="932" spans="5:14" x14ac:dyDescent="0.2">
      <c r="E932" s="4" t="s">
        <v>17</v>
      </c>
      <c r="K932" t="str">
        <v>drives</v>
      </c>
      <c r="L932" t="str">
        <v>turns</v>
      </c>
      <c r="M932" s="4" t="str">
        <f t="shared" si="14"/>
        <v>drives</v>
      </c>
      <c r="N932" s="4" cm="1">
        <f t="array" ref="N932">SUM(--(_xlfn.TEXTSPLIT($J$852,, " ") = L932))</f>
        <v>1</v>
      </c>
    </row>
    <row r="933" spans="5:14" x14ac:dyDescent="0.2">
      <c r="E933" s="4" t="s">
        <v>17</v>
      </c>
      <c r="K933" t="str">
        <v>slow</v>
      </c>
      <c r="L933" t="str">
        <v xml:space="preserve">up
</v>
      </c>
      <c r="M933" s="4" t="str">
        <f t="shared" si="14"/>
        <v>slow</v>
      </c>
      <c r="N933" s="4" cm="1">
        <f t="array" ref="N933">SUM(--(_xlfn.TEXTSPLIT($J$852,, " ") = L933))</f>
        <v>1</v>
      </c>
    </row>
    <row r="934" spans="5:14" x14ac:dyDescent="0.2">
      <c r="E934" s="4" t="s">
        <v>17</v>
      </c>
      <c r="K934" t="str">
        <v>if</v>
      </c>
      <c r="L934" t="str">
        <v>does</v>
      </c>
      <c r="M934" s="4" t="str">
        <f t="shared" si="14"/>
        <v>if</v>
      </c>
      <c r="N934" s="4" cm="1">
        <f t="array" ref="N934">SUM(--(_xlfn.TEXTSPLIT($J$852,, " ") = L934))</f>
        <v>1</v>
      </c>
    </row>
    <row r="935" spans="5:14" x14ac:dyDescent="0.2">
      <c r="E935" s="4" t="s">
        <v>17</v>
      </c>
      <c r="K935" t="str">
        <v>his</v>
      </c>
      <c r="L935" t="str">
        <v>home</v>
      </c>
      <c r="M935" s="4" t="str">
        <f t="shared" si="14"/>
        <v>his</v>
      </c>
      <c r="N935" s="4" cm="1">
        <f t="array" ref="N935">SUM(--(_xlfn.TEXTSPLIT($J$852,, " ") = L935))</f>
        <v>2</v>
      </c>
    </row>
    <row r="936" spans="5:14" x14ac:dyDescent="0.2">
      <c r="E936" s="4" t="s">
        <v>17</v>
      </c>
      <c r="K936" t="str">
        <v>song's</v>
      </c>
      <c r="L936" t="str">
        <v>(I've</v>
      </c>
      <c r="M936" s="4" t="str">
        <f t="shared" si="14"/>
        <v>song s</v>
      </c>
      <c r="N936" s="4" cm="1">
        <f t="array" ref="N936">SUM(--(_xlfn.TEXTSPLIT($J$852,, " ") = L936))</f>
        <v>3</v>
      </c>
    </row>
    <row r="937" spans="5:14" x14ac:dyDescent="0.2">
      <c r="E937" s="4" t="s">
        <v>17</v>
      </c>
      <c r="K937" t="str">
        <v>not</v>
      </c>
      <c r="L937" t="str">
        <v>been</v>
      </c>
      <c r="M937" s="4" t="str">
        <f t="shared" si="14"/>
        <v>not</v>
      </c>
      <c r="N937" s="4" cm="1">
        <f t="array" ref="N937">SUM(--(_xlfn.TEXTSPLIT($J$852,, " ") = L937))</f>
        <v>7</v>
      </c>
    </row>
    <row r="938" spans="5:14" x14ac:dyDescent="0.2">
      <c r="E938" s="4" t="s">
        <v>17</v>
      </c>
      <c r="K938" t="str">
        <v>over</v>
      </c>
      <c r="L938" t="str">
        <v>this</v>
      </c>
      <c r="M938" s="4" t="str">
        <f t="shared" si="14"/>
        <v>over</v>
      </c>
      <c r="N938" s="4" cm="1">
        <f t="array" ref="N938">SUM(--(_xlfn.TEXTSPLIT($J$852,, " ") = L938))</f>
        <v>7</v>
      </c>
    </row>
    <row r="939" spans="5:14" x14ac:dyDescent="0.2">
      <c r="E939" s="4" t="s">
        <v>17</v>
      </c>
      <c r="K939" t="str">
        <v>(Feel</v>
      </c>
      <c r="L939" t="str">
        <v xml:space="preserve">way)
</v>
      </c>
      <c r="M939" s="4" t="str">
        <f t="shared" si="14"/>
        <v xml:space="preserve"> Feel</v>
      </c>
      <c r="N939" s="4" cm="1">
        <f t="array" ref="N939">SUM(--(_xlfn.TEXTSPLIT($J$852,, " ") = L939))</f>
        <v>2</v>
      </c>
    </row>
    <row r="940" spans="5:14" x14ac:dyDescent="0.2">
      <c r="E940" s="4" t="s">
        <v>17</v>
      </c>
      <c r="K940" t="str">
        <v xml:space="preserve">it)
</v>
      </c>
      <c r="L940" t="str">
        <v>(I</v>
      </c>
      <c r="M940" s="4" t="str">
        <f t="shared" si="14"/>
        <v xml:space="preserve">it  </v>
      </c>
      <c r="N940" s="4" cm="1">
        <f t="array" ref="N940">SUM(--(_xlfn.TEXTSPLIT($J$852,, " ") = L940))</f>
        <v>3</v>
      </c>
    </row>
    <row r="941" spans="5:14" x14ac:dyDescent="0.2">
      <c r="E941" s="4" t="s">
        <v>17</v>
      </c>
      <c r="K941" t="str">
        <v>Drown</v>
      </c>
      <c r="L941" t="str">
        <v xml:space="preserve">change)
</v>
      </c>
      <c r="M941" s="4" t="str">
        <f t="shared" si="14"/>
        <v>Drown</v>
      </c>
      <c r="N941" s="4" cm="1">
        <f t="array" ref="N941">SUM(--(_xlfn.TEXTSPLIT($J$852,, " ") = L941))</f>
        <v>2</v>
      </c>
    </row>
    <row r="942" spans="5:14" x14ac:dyDescent="0.2">
      <c r="E942" s="4" t="s">
        <v>17</v>
      </c>
      <c r="K942" t="str">
        <v>it</v>
      </c>
      <c r="L942" t="str">
        <v>I've</v>
      </c>
      <c r="M942" s="4" t="str">
        <f t="shared" si="14"/>
        <v>it</v>
      </c>
      <c r="N942" s="4" cm="1">
        <f t="array" ref="N942">SUM(--(_xlfn.TEXTSPLIT($J$852,, " ") = L942))</f>
        <v>4</v>
      </c>
    </row>
    <row r="943" spans="5:14" x14ac:dyDescent="0.2">
      <c r="E943" s="4" t="s">
        <v>17</v>
      </c>
      <c r="K943" t="str">
        <v>out,</v>
      </c>
      <c r="L943" t="str">
        <v xml:space="preserve">way
</v>
      </c>
      <c r="M943" s="4" t="str">
        <f t="shared" si="14"/>
        <v xml:space="preserve">out </v>
      </c>
      <c r="N943" s="4" cm="1">
        <f t="array" ref="N943">SUM(--(_xlfn.TEXTSPLIT($J$852,, " ") = L943))</f>
        <v>2</v>
      </c>
    </row>
    <row r="944" spans="5:14" x14ac:dyDescent="0.2">
      <c r="E944" s="4" t="s">
        <v>17</v>
      </c>
      <c r="K944" t="str">
        <v>drown</v>
      </c>
      <c r="L944" t="str">
        <v>I</v>
      </c>
      <c r="M944" s="4" t="str">
        <f t="shared" si="14"/>
        <v>drown</v>
      </c>
      <c r="N944" s="4" cm="1">
        <f t="array" ref="N944">SUM(--(_xlfn.TEXTSPLIT($J$852,, " ") = L944))</f>
        <v>4</v>
      </c>
    </row>
    <row r="945" spans="5:14" x14ac:dyDescent="0.2">
      <c r="E945" s="4" t="s">
        <v>17</v>
      </c>
      <c r="K945" t="str">
        <v>it</v>
      </c>
      <c r="L945" t="str">
        <v xml:space="preserve">change
</v>
      </c>
      <c r="M945" s="4" t="str">
        <f t="shared" si="14"/>
        <v>it</v>
      </c>
      <c r="N945" s="4" cm="1">
        <f t="array" ref="N945">SUM(--(_xlfn.TEXTSPLIT($J$852,, " ") = L945))</f>
        <v>1</v>
      </c>
    </row>
    <row r="946" spans="5:14" x14ac:dyDescent="0.2">
      <c r="E946" s="4" t="s">
        <v>17</v>
      </c>
      <c r="K946" t="str">
        <v xml:space="preserve">out
</v>
      </c>
      <c r="L946" t="str">
        <v xml:space="preserve">change
</v>
      </c>
      <c r="M946" s="4" t="str">
        <f t="shared" si="14"/>
        <v xml:space="preserve">out  </v>
      </c>
      <c r="N946" s="4" cm="1">
        <f t="array" ref="N946">SUM(--(_xlfn.TEXTSPLIT($J$852,, " ") = L946))</f>
        <v>1</v>
      </c>
    </row>
    <row r="947" spans="5:14" x14ac:dyDescent="0.2">
      <c r="E947" s="4" t="s">
        <v>17</v>
      </c>
      <c r="K947" t="str">
        <v xml:space="preserve">Show
</v>
      </c>
      <c r="L947" t="str">
        <v>well</v>
      </c>
      <c r="M947" s="4" t="str">
        <f t="shared" si="14"/>
        <v xml:space="preserve">Show </v>
      </c>
      <c r="N947" s="4" cm="1">
        <f t="array" ref="N947">SUM(--(_xlfn.TEXTSPLIT($J$852,, " ") = L947))</f>
        <v>2</v>
      </c>
    </row>
    <row r="948" spans="5:14" x14ac:dyDescent="0.2">
      <c r="E948" s="4" t="s">
        <v>17</v>
      </c>
      <c r="K948" t="str">
        <v xml:space="preserve">Ooh-ooh
</v>
      </c>
      <c r="L948" t="str">
        <v>way)</v>
      </c>
      <c r="M948" s="4" t="str">
        <f t="shared" si="14"/>
        <v xml:space="preserve">Ooh ooh  </v>
      </c>
      <c r="N948" s="4" cm="1">
        <f t="array" ref="N948">SUM(--(_xlfn.TEXTSPLIT($J$852,, " ") = L948))</f>
        <v>1</v>
      </c>
    </row>
    <row r="949" spans="5:14" x14ac:dyDescent="0.2">
      <c r="E949" s="4" t="s">
        <v>17</v>
      </c>
      <c r="K949" t="str">
        <v>He'd</v>
      </c>
      <c r="L949" t="str">
        <v xml:space="preserve">change)
</v>
      </c>
      <c r="M949" s="4" t="str">
        <f t="shared" si="14"/>
        <v>He d</v>
      </c>
      <c r="N949" s="4" cm="1">
        <f t="array" ref="N949">SUM(--(_xlfn.TEXTSPLIT($J$852,, " ") = L949))</f>
        <v>1</v>
      </c>
    </row>
    <row r="950" spans="5:14" x14ac:dyDescent="0.2">
      <c r="E950" s="4" t="s">
        <v>17</v>
      </c>
      <c r="K950" t="str">
        <v>rather</v>
      </c>
      <c r="L950" t="str">
        <v>change</v>
      </c>
      <c r="M950" s="4" t="str">
        <f t="shared" si="14"/>
        <v>rather</v>
      </c>
      <c r="N950" s="4" cm="1">
        <f t="array" ref="N950">SUM(--(_xlfn.TEXTSPLIT($J$852,, " ") = L950))</f>
        <v>1</v>
      </c>
    </row>
    <row r="951" spans="5:14" x14ac:dyDescent="0.2">
      <c r="E951" s="4" t="s">
        <v>17</v>
      </c>
      <c r="K951" t="str">
        <v>feel</v>
      </c>
      <c r="M951" s="4" t="str">
        <f t="shared" si="14"/>
        <v>feel</v>
      </c>
      <c r="N951" s="4" cm="1">
        <f t="array" ref="N951">SUM(--(_xlfn.TEXTSPLIT($J$852,, " ") = L951))</f>
        <v>2</v>
      </c>
    </row>
    <row r="952" spans="5:14" x14ac:dyDescent="0.2">
      <c r="E952" s="4" t="s">
        <v>17</v>
      </c>
      <c r="K952" t="str">
        <v>something</v>
      </c>
      <c r="M952" s="4" t="str">
        <f t="shared" si="14"/>
        <v>something</v>
      </c>
      <c r="N952" s="4" cm="1">
        <f t="array" ref="N952">SUM(--(_xlfn.TEXTSPLIT($J$852,, " ") = L952))</f>
        <v>2</v>
      </c>
    </row>
    <row r="953" spans="5:14" x14ac:dyDescent="0.2">
      <c r="E953" s="4" t="s">
        <v>17</v>
      </c>
      <c r="K953" t="str">
        <v>than</v>
      </c>
      <c r="M953" s="4" t="str">
        <f t="shared" si="14"/>
        <v>than</v>
      </c>
      <c r="N953" s="4" cm="1">
        <f t="array" ref="N953">SUM(--(_xlfn.TEXTSPLIT($J$852,, " ") = L953))</f>
        <v>2</v>
      </c>
    </row>
    <row r="954" spans="5:14" x14ac:dyDescent="0.2">
      <c r="E954" s="4" t="s">
        <v>17</v>
      </c>
      <c r="K954" t="str">
        <v>nothing</v>
      </c>
      <c r="M954" s="4" t="str">
        <f t="shared" si="14"/>
        <v>nothing</v>
      </c>
      <c r="N954" s="4" cm="1">
        <f t="array" ref="N954">SUM(--(_xlfn.TEXTSPLIT($J$852,, " ") = L954))</f>
        <v>2</v>
      </c>
    </row>
    <row r="955" spans="5:14" x14ac:dyDescent="0.2">
      <c r="E955" s="4" t="s">
        <v>17</v>
      </c>
      <c r="K955" t="str">
        <v>at</v>
      </c>
      <c r="M955" s="4" t="str">
        <f t="shared" si="14"/>
        <v>at</v>
      </c>
      <c r="N955" s="4" cm="1">
        <f t="array" ref="N955">SUM(--(_xlfn.TEXTSPLIT($J$852,, " ") = L955))</f>
        <v>2</v>
      </c>
    </row>
    <row r="956" spans="5:14" x14ac:dyDescent="0.2">
      <c r="E956" s="4" t="s">
        <v>17</v>
      </c>
      <c r="K956" t="str">
        <v xml:space="preserve">all
</v>
      </c>
      <c r="M956" s="4" t="str">
        <f t="shared" si="14"/>
        <v xml:space="preserve">all </v>
      </c>
      <c r="N956" s="4" cm="1">
        <f t="array" ref="N956">SUM(--(_xlfn.TEXTSPLIT($J$852,, " ") = L956))</f>
        <v>2</v>
      </c>
    </row>
    <row r="957" spans="5:14" x14ac:dyDescent="0.2">
      <c r="E957" s="4" t="s">
        <v>17</v>
      </c>
      <c r="K957" t="str">
        <v>So</v>
      </c>
      <c r="M957" s="4" t="str">
        <f t="shared" si="14"/>
        <v>So</v>
      </c>
      <c r="N957" s="4" cm="1">
        <f t="array" ref="N957">SUM(--(_xlfn.TEXTSPLIT($J$852,, " ") = L957))</f>
        <v>2</v>
      </c>
    </row>
    <row r="958" spans="5:14" x14ac:dyDescent="0.2">
      <c r="E958" s="4" t="s">
        <v>17</v>
      </c>
      <c r="K958" t="str">
        <v>he</v>
      </c>
      <c r="M958" s="4" t="str">
        <f t="shared" si="14"/>
        <v>he</v>
      </c>
      <c r="N958" s="4" cm="1">
        <f t="array" ref="N958">SUM(--(_xlfn.TEXTSPLIT($J$852,, " ") = L958))</f>
        <v>2</v>
      </c>
    </row>
    <row r="959" spans="5:14" x14ac:dyDescent="0.2">
      <c r="E959" s="4" t="s">
        <v>17</v>
      </c>
      <c r="K959" t="str">
        <v>swerves</v>
      </c>
      <c r="M959" s="4" t="str">
        <f t="shared" si="14"/>
        <v>swerves</v>
      </c>
      <c r="N959" s="4" cm="1">
        <f t="array" ref="N959">SUM(--(_xlfn.TEXTSPLIT($J$852,, " ") = L959))</f>
        <v>2</v>
      </c>
    </row>
    <row r="960" spans="5:14" x14ac:dyDescent="0.2">
      <c r="E960" s="4" t="s">
        <v>17</v>
      </c>
      <c r="K960" t="str">
        <v>all</v>
      </c>
      <c r="M960" s="4" t="str">
        <f t="shared" si="14"/>
        <v>all</v>
      </c>
      <c r="N960" s="4" cm="1">
        <f t="array" ref="N960">SUM(--(_xlfn.TEXTSPLIT($J$852,, " ") = L960))</f>
        <v>2</v>
      </c>
    </row>
    <row r="961" spans="5:14" x14ac:dyDescent="0.2">
      <c r="E961" s="4" t="s">
        <v>17</v>
      </c>
      <c r="K961" t="str">
        <v>around</v>
      </c>
      <c r="M961" s="4" t="str">
        <f t="shared" si="14"/>
        <v>around</v>
      </c>
      <c r="N961" s="4" cm="1">
        <f t="array" ref="N961">SUM(--(_xlfn.TEXTSPLIT($J$852,, " ") = L961))</f>
        <v>2</v>
      </c>
    </row>
    <row r="962" spans="5:14" x14ac:dyDescent="0.2">
      <c r="E962" s="4" t="s">
        <v>17</v>
      </c>
      <c r="K962" t="str">
        <v>as</v>
      </c>
      <c r="M962" s="4" t="str">
        <f t="shared" si="14"/>
        <v>as</v>
      </c>
      <c r="N962" s="4" cm="1">
        <f t="array" ref="N962">SUM(--(_xlfn.TEXTSPLIT($J$852,, " ") = L962))</f>
        <v>2</v>
      </c>
    </row>
    <row r="963" spans="5:14" x14ac:dyDescent="0.2">
      <c r="E963" s="4" t="s">
        <v>17</v>
      </c>
      <c r="K963" t="str">
        <v>his</v>
      </c>
      <c r="M963" s="4" t="str">
        <f t="shared" ref="M963:M1026" si="15">_xlfn.REGEXREPLACE(K963, "[^A-Za-z ]", " ")</f>
        <v>his</v>
      </c>
      <c r="N963" s="4" cm="1">
        <f t="array" ref="N963">SUM(--(_xlfn.TEXTSPLIT($J$852,, " ") = L963))</f>
        <v>2</v>
      </c>
    </row>
    <row r="964" spans="5:14" x14ac:dyDescent="0.2">
      <c r="E964" s="4" t="s">
        <v>17</v>
      </c>
      <c r="K964" t="str">
        <v>head</v>
      </c>
      <c r="M964" s="4" t="str">
        <f t="shared" si="15"/>
        <v>head</v>
      </c>
      <c r="N964" s="4" cm="1">
        <f t="array" ref="N964">SUM(--(_xlfn.TEXTSPLIT($J$852,, " ") = L964))</f>
        <v>2</v>
      </c>
    </row>
    <row r="965" spans="5:14" x14ac:dyDescent="0.2">
      <c r="E965" s="4" t="s">
        <v>17</v>
      </c>
      <c r="K965" t="str">
        <v>starts</v>
      </c>
      <c r="M965" s="4" t="str">
        <f t="shared" si="15"/>
        <v>starts</v>
      </c>
      <c r="N965" s="4" cm="1">
        <f t="array" ref="N965">SUM(--(_xlfn.TEXTSPLIT($J$852,, " ") = L965))</f>
        <v>2</v>
      </c>
    </row>
    <row r="966" spans="5:14" x14ac:dyDescent="0.2">
      <c r="E966" s="4" t="s">
        <v>17</v>
      </c>
      <c r="K966" t="str">
        <v>to</v>
      </c>
      <c r="M966" s="4" t="str">
        <f t="shared" si="15"/>
        <v>to</v>
      </c>
      <c r="N966" s="4" cm="1">
        <f t="array" ref="N966">SUM(--(_xlfn.TEXTSPLIT($J$852,, " ") = L966))</f>
        <v>2</v>
      </c>
    </row>
    <row r="967" spans="5:14" x14ac:dyDescent="0.2">
      <c r="E967" s="4" t="s">
        <v>17</v>
      </c>
      <c r="K967" t="str">
        <v>fall,</v>
      </c>
      <c r="M967" s="4" t="str">
        <f t="shared" si="15"/>
        <v xml:space="preserve">fall </v>
      </c>
      <c r="N967" s="4" cm="1">
        <f t="array" ref="N967">SUM(--(_xlfn.TEXTSPLIT($J$852,, " ") = L967))</f>
        <v>2</v>
      </c>
    </row>
    <row r="968" spans="5:14" x14ac:dyDescent="0.2">
      <c r="E968" s="4" t="s">
        <v>17</v>
      </c>
      <c r="K968" t="str">
        <v>turns</v>
      </c>
      <c r="M968" s="4" t="str">
        <f t="shared" si="15"/>
        <v>turns</v>
      </c>
      <c r="N968" s="4" cm="1">
        <f t="array" ref="N968">SUM(--(_xlfn.TEXTSPLIT($J$852,, " ") = L968))</f>
        <v>2</v>
      </c>
    </row>
    <row r="969" spans="5:14" x14ac:dyDescent="0.2">
      <c r="E969" s="4" t="s">
        <v>17</v>
      </c>
      <c r="K969" t="str">
        <v>it</v>
      </c>
      <c r="M969" s="4" t="str">
        <f t="shared" si="15"/>
        <v>it</v>
      </c>
      <c r="N969" s="4" cm="1">
        <f t="array" ref="N969">SUM(--(_xlfn.TEXTSPLIT($J$852,, " ") = L969))</f>
        <v>2</v>
      </c>
    </row>
    <row r="970" spans="5:14" x14ac:dyDescent="0.2">
      <c r="E970" s="4" t="s">
        <v>17</v>
      </c>
      <c r="K970" t="str">
        <v xml:space="preserve">up
</v>
      </c>
      <c r="M970" s="4" t="str">
        <f t="shared" si="15"/>
        <v xml:space="preserve">up </v>
      </c>
      <c r="N970" s="4" cm="1">
        <f t="array" ref="N970">SUM(--(_xlfn.TEXTSPLIT($J$852,, " ") = L970))</f>
        <v>2</v>
      </c>
    </row>
    <row r="971" spans="5:14" x14ac:dyDescent="0.2">
      <c r="E971" s="4" t="s">
        <v>17</v>
      </c>
      <c r="K971" t="str">
        <v>Stuck</v>
      </c>
      <c r="M971" s="4" t="str">
        <f t="shared" si="15"/>
        <v>Stuck</v>
      </c>
      <c r="N971" s="4" cm="1">
        <f t="array" ref="N971">SUM(--(_xlfn.TEXTSPLIT($J$852,, " ") = L971))</f>
        <v>2</v>
      </c>
    </row>
    <row r="972" spans="5:14" x14ac:dyDescent="0.2">
      <c r="E972" s="4" t="s">
        <v>17</v>
      </c>
      <c r="K972" t="str">
        <v>between</v>
      </c>
      <c r="M972" s="4" t="str">
        <f t="shared" si="15"/>
        <v>between</v>
      </c>
      <c r="N972" s="4" cm="1">
        <f t="array" ref="N972">SUM(--(_xlfn.TEXTSPLIT($J$852,, " ") = L972))</f>
        <v>2</v>
      </c>
    </row>
    <row r="973" spans="5:14" x14ac:dyDescent="0.2">
      <c r="E973" s="4" t="s">
        <v>17</v>
      </c>
      <c r="K973" t="str">
        <v>a</v>
      </c>
      <c r="M973" s="4" t="str">
        <f t="shared" si="15"/>
        <v>a</v>
      </c>
      <c r="N973" s="4" cm="1">
        <f t="array" ref="N973">SUM(--(_xlfn.TEXTSPLIT($J$852,, " ") = L973))</f>
        <v>2</v>
      </c>
    </row>
    <row r="974" spans="5:14" x14ac:dyDescent="0.2">
      <c r="E974" s="4" t="s">
        <v>17</v>
      </c>
      <c r="K974" t="str">
        <v>rock</v>
      </c>
      <c r="M974" s="4" t="str">
        <f t="shared" si="15"/>
        <v>rock</v>
      </c>
      <c r="N974" s="4" cm="1">
        <f t="array" ref="N974">SUM(--(_xlfn.TEXTSPLIT($J$852,, " ") = L974))</f>
        <v>2</v>
      </c>
    </row>
    <row r="975" spans="5:14" x14ac:dyDescent="0.2">
      <c r="E975" s="4" t="s">
        <v>17</v>
      </c>
      <c r="K975" t="str">
        <v>and</v>
      </c>
      <c r="M975" s="4" t="str">
        <f t="shared" si="15"/>
        <v>and</v>
      </c>
      <c r="N975" s="4" cm="1">
        <f t="array" ref="N975">SUM(--(_xlfn.TEXTSPLIT($J$852,, " ") = L975))</f>
        <v>2</v>
      </c>
    </row>
    <row r="976" spans="5:14" x14ac:dyDescent="0.2">
      <c r="E976" s="4" t="s">
        <v>17</v>
      </c>
      <c r="K976" t="str">
        <v>a</v>
      </c>
      <c r="M976" s="4" t="str">
        <f t="shared" si="15"/>
        <v>a</v>
      </c>
      <c r="N976" s="4" cm="1">
        <f t="array" ref="N976">SUM(--(_xlfn.TEXTSPLIT($J$852,, " ") = L976))</f>
        <v>2</v>
      </c>
    </row>
    <row r="977" spans="5:14" x14ac:dyDescent="0.2">
      <c r="E977" s="4" t="s">
        <v>17</v>
      </c>
      <c r="K977" t="str">
        <v xml:space="preserve">home
</v>
      </c>
      <c r="M977" s="4" t="str">
        <f t="shared" si="15"/>
        <v xml:space="preserve">home </v>
      </c>
      <c r="N977" s="4" cm="1">
        <f t="array" ref="N977">SUM(--(_xlfn.TEXTSPLIT($J$852,, " ") = L977))</f>
        <v>2</v>
      </c>
    </row>
    <row r="978" spans="5:14" x14ac:dyDescent="0.2">
      <c r="E978" s="4" t="s">
        <v>17</v>
      </c>
      <c r="K978" t="str">
        <v>Two</v>
      </c>
      <c r="M978" s="4" t="str">
        <f t="shared" si="15"/>
        <v>Two</v>
      </c>
      <c r="N978" s="4" cm="1">
        <f t="array" ref="N978">SUM(--(_xlfn.TEXTSPLIT($J$852,, " ") = L978))</f>
        <v>2</v>
      </c>
    </row>
    <row r="979" spans="5:14" x14ac:dyDescent="0.2">
      <c r="E979" s="4" t="s">
        <v>17</v>
      </c>
      <c r="K979" t="str">
        <v>places</v>
      </c>
      <c r="M979" s="4" t="str">
        <f t="shared" si="15"/>
        <v>places</v>
      </c>
      <c r="N979" s="4" cm="1">
        <f t="array" ref="N979">SUM(--(_xlfn.TEXTSPLIT($J$852,, " ") = L979))</f>
        <v>2</v>
      </c>
    </row>
    <row r="980" spans="5:14" x14ac:dyDescent="0.2">
      <c r="E980" s="4" t="s">
        <v>17</v>
      </c>
      <c r="K980" t="str">
        <v>he</v>
      </c>
      <c r="M980" s="4" t="str">
        <f t="shared" si="15"/>
        <v>he</v>
      </c>
      <c r="N980" s="4" cm="1">
        <f t="array" ref="N980">SUM(--(_xlfn.TEXTSPLIT($J$852,, " ") = L980))</f>
        <v>2</v>
      </c>
    </row>
    <row r="981" spans="5:14" x14ac:dyDescent="0.2">
      <c r="E981" s="4" t="s">
        <v>17</v>
      </c>
      <c r="K981" t="str">
        <v>does</v>
      </c>
      <c r="M981" s="4" t="str">
        <f t="shared" si="15"/>
        <v>does</v>
      </c>
      <c r="N981" s="4" cm="1">
        <f t="array" ref="N981">SUM(--(_xlfn.TEXTSPLIT($J$852,, " ") = L981))</f>
        <v>2</v>
      </c>
    </row>
    <row r="982" spans="5:14" x14ac:dyDescent="0.2">
      <c r="E982" s="4" t="s">
        <v>17</v>
      </c>
      <c r="K982" t="str">
        <v>not</v>
      </c>
      <c r="M982" s="4" t="str">
        <f t="shared" si="15"/>
        <v>not</v>
      </c>
      <c r="N982" s="4" cm="1">
        <f t="array" ref="N982">SUM(--(_xlfn.TEXTSPLIT($J$852,, " ") = L982))</f>
        <v>2</v>
      </c>
    </row>
    <row r="983" spans="5:14" x14ac:dyDescent="0.2">
      <c r="E983" s="4" t="s">
        <v>17</v>
      </c>
      <c r="K983" t="str">
        <v>want</v>
      </c>
      <c r="M983" s="4" t="str">
        <f t="shared" si="15"/>
        <v>want</v>
      </c>
      <c r="N983" s="4" cm="1">
        <f t="array" ref="N983">SUM(--(_xlfn.TEXTSPLIT($J$852,, " ") = L983))</f>
        <v>2</v>
      </c>
    </row>
    <row r="984" spans="5:14" x14ac:dyDescent="0.2">
      <c r="E984" s="4" t="s">
        <v>17</v>
      </c>
      <c r="K984" t="str">
        <v>to</v>
      </c>
      <c r="M984" s="4" t="str">
        <f t="shared" si="15"/>
        <v>to</v>
      </c>
      <c r="N984" s="4" cm="1">
        <f t="array" ref="N984">SUM(--(_xlfn.TEXTSPLIT($J$852,, " ") = L984))</f>
        <v>2</v>
      </c>
    </row>
    <row r="985" spans="5:14" x14ac:dyDescent="0.2">
      <c r="E985" s="4" t="s">
        <v>17</v>
      </c>
      <c r="K985" t="str">
        <v xml:space="preserve">go
</v>
      </c>
      <c r="M985" s="4" t="str">
        <f t="shared" si="15"/>
        <v xml:space="preserve">go  </v>
      </c>
      <c r="N985" s="4" cm="1">
        <f t="array" ref="N985">SUM(--(_xlfn.TEXTSPLIT($J$852,, " ") = L985))</f>
        <v>2</v>
      </c>
    </row>
    <row r="986" spans="5:14" x14ac:dyDescent="0.2">
      <c r="E986" s="4" t="s">
        <v>17</v>
      </c>
      <c r="K986" t="str">
        <v>So,</v>
      </c>
      <c r="M986" s="4" t="str">
        <f t="shared" si="15"/>
        <v xml:space="preserve">So </v>
      </c>
      <c r="N986" s="4" cm="1">
        <f t="array" ref="N986">SUM(--(_xlfn.TEXTSPLIT($J$852,, " ") = L986))</f>
        <v>2</v>
      </c>
    </row>
    <row r="987" spans="5:14" x14ac:dyDescent="0.2">
      <c r="E987" s="4" t="s">
        <v>17</v>
      </c>
      <c r="K987" t="str">
        <v xml:space="preserve">so
</v>
      </c>
      <c r="M987" s="4" t="str">
        <f t="shared" si="15"/>
        <v xml:space="preserve">so </v>
      </c>
      <c r="N987" s="4" cm="1">
        <f t="array" ref="N987">SUM(--(_xlfn.TEXTSPLIT($J$852,, " ") = L987))</f>
        <v>2</v>
      </c>
    </row>
    <row r="988" spans="5:14" x14ac:dyDescent="0.2">
      <c r="E988" s="4" t="s">
        <v>17</v>
      </c>
      <c r="K988" t="str">
        <v>He's</v>
      </c>
      <c r="M988" s="4" t="str">
        <f t="shared" si="15"/>
        <v>He s</v>
      </c>
      <c r="N988" s="4" cm="1">
        <f t="array" ref="N988">SUM(--(_xlfn.TEXTSPLIT($J$852,, " ") = L988))</f>
        <v>2</v>
      </c>
    </row>
    <row r="989" spans="5:14" x14ac:dyDescent="0.2">
      <c r="E989" s="4" t="s">
        <v>17</v>
      </c>
      <c r="K989" t="str">
        <v>puttin'</v>
      </c>
      <c r="M989" s="4" t="str">
        <f t="shared" si="15"/>
        <v xml:space="preserve">puttin </v>
      </c>
      <c r="N989" s="4" cm="1">
        <f t="array" ref="N989">SUM(--(_xlfn.TEXTSPLIT($J$852,, " ") = L989))</f>
        <v>2</v>
      </c>
    </row>
    <row r="990" spans="5:14" x14ac:dyDescent="0.2">
      <c r="E990" s="4" t="s">
        <v>17</v>
      </c>
      <c r="K990" t="str">
        <v>on</v>
      </c>
      <c r="M990" s="4" t="str">
        <f t="shared" si="15"/>
        <v>on</v>
      </c>
      <c r="N990" s="4" cm="1">
        <f t="array" ref="N990">SUM(--(_xlfn.TEXTSPLIT($J$852,, " ") = L990))</f>
        <v>2</v>
      </c>
    </row>
    <row r="991" spans="5:14" x14ac:dyDescent="0.2">
      <c r="E991" s="4" t="s">
        <v>17</v>
      </c>
      <c r="K991" t="str">
        <v>a</v>
      </c>
      <c r="M991" s="4" t="str">
        <f t="shared" si="15"/>
        <v>a</v>
      </c>
      <c r="N991" s="4" cm="1">
        <f t="array" ref="N991">SUM(--(_xlfn.TEXTSPLIT($J$852,, " ") = L991))</f>
        <v>2</v>
      </c>
    </row>
    <row r="992" spans="5:14" x14ac:dyDescent="0.2">
      <c r="E992" s="4" t="s">
        <v>17</v>
      </c>
      <c r="K992" t="str">
        <v>drum</v>
      </c>
      <c r="M992" s="4" t="str">
        <f t="shared" si="15"/>
        <v>drum</v>
      </c>
      <c r="N992" s="4" cm="1">
        <f t="array" ref="N992">SUM(--(_xlfn.TEXTSPLIT($J$852,, " ") = L992))</f>
        <v>2</v>
      </c>
    </row>
    <row r="993" spans="5:14" x14ac:dyDescent="0.2">
      <c r="E993" s="4" t="s">
        <v>17</v>
      </c>
      <c r="K993" t="str">
        <v xml:space="preserve">show
</v>
      </c>
      <c r="M993" s="4" t="str">
        <f t="shared" si="15"/>
        <v xml:space="preserve">show  </v>
      </c>
      <c r="N993" s="4" cm="1">
        <f t="array" ref="N993">SUM(--(_xlfn.TEXTSPLIT($J$852,, " ") = L993))</f>
        <v>2</v>
      </c>
    </row>
    <row r="994" spans="5:14" x14ac:dyDescent="0.2">
      <c r="E994" s="4" t="s">
        <v>17</v>
      </c>
      <c r="K994" t="str">
        <v>Even</v>
      </c>
      <c r="M994" s="4" t="str">
        <f t="shared" si="15"/>
        <v>Even</v>
      </c>
      <c r="N994" s="4" cm="1">
        <f t="array" ref="N994">SUM(--(_xlfn.TEXTSPLIT($J$852,, " ") = L994))</f>
        <v>2</v>
      </c>
    </row>
    <row r="995" spans="5:14" x14ac:dyDescent="0.2">
      <c r="E995" s="4" t="s">
        <v>17</v>
      </c>
      <c r="K995" t="str">
        <v>now,</v>
      </c>
      <c r="M995" s="4" t="str">
        <f t="shared" si="15"/>
        <v xml:space="preserve">now </v>
      </c>
      <c r="N995" s="4" cm="1">
        <f t="array" ref="N995">SUM(--(_xlfn.TEXTSPLIT($J$852,, " ") = L995))</f>
        <v>2</v>
      </c>
    </row>
    <row r="996" spans="5:14" x14ac:dyDescent="0.2">
      <c r="E996" s="4" t="s">
        <v>17</v>
      </c>
      <c r="K996" t="str">
        <v>even</v>
      </c>
      <c r="M996" s="4" t="str">
        <f t="shared" si="15"/>
        <v>even</v>
      </c>
      <c r="N996" s="4" cm="1">
        <f t="array" ref="N996">SUM(--(_xlfn.TEXTSPLIT($J$852,, " ") = L996))</f>
        <v>2</v>
      </c>
    </row>
    <row r="997" spans="5:14" x14ac:dyDescent="0.2">
      <c r="E997" s="4" t="s">
        <v>17</v>
      </c>
      <c r="K997" t="str">
        <v>now,</v>
      </c>
      <c r="M997" s="4" t="str">
        <f t="shared" si="15"/>
        <v xml:space="preserve">now </v>
      </c>
      <c r="N997" s="4" cm="1">
        <f t="array" ref="N997">SUM(--(_xlfn.TEXTSPLIT($J$852,, " ") = L997))</f>
        <v>2</v>
      </c>
    </row>
    <row r="998" spans="5:14" x14ac:dyDescent="0.2">
      <c r="E998" s="4" t="s">
        <v>17</v>
      </c>
      <c r="K998" t="str">
        <v>even</v>
      </c>
      <c r="M998" s="4" t="str">
        <f t="shared" si="15"/>
        <v>even</v>
      </c>
      <c r="N998" s="4" cm="1">
        <f t="array" ref="N998">SUM(--(_xlfn.TEXTSPLIT($J$852,, " ") = L998))</f>
        <v>2</v>
      </c>
    </row>
    <row r="999" spans="5:14" x14ac:dyDescent="0.2">
      <c r="E999" s="4" t="s">
        <v>17</v>
      </c>
      <c r="K999" t="str">
        <v xml:space="preserve">now
</v>
      </c>
      <c r="M999" s="4" t="str">
        <f t="shared" si="15"/>
        <v xml:space="preserve">now </v>
      </c>
      <c r="N999" s="4" cm="1">
        <f t="array" ref="N999">SUM(--(_xlfn.TEXTSPLIT($J$852,, " ") = L999))</f>
        <v>2</v>
      </c>
    </row>
    <row r="1000" spans="5:14" x14ac:dyDescent="0.2">
      <c r="E1000" s="4" t="s">
        <v>17</v>
      </c>
      <c r="K1000" t="str">
        <v>He'll</v>
      </c>
      <c r="M1000" s="4" t="str">
        <f t="shared" si="15"/>
        <v>He ll</v>
      </c>
      <c r="N1000" s="4" cm="1">
        <f t="array" ref="N1000">SUM(--(_xlfn.TEXTSPLIT($J$852,, " ") = L1000))</f>
        <v>2</v>
      </c>
    </row>
    <row r="1001" spans="5:14" x14ac:dyDescent="0.2">
      <c r="E1001" s="4" t="s">
        <v>17</v>
      </c>
      <c r="K1001" t="str">
        <v>take</v>
      </c>
      <c r="M1001" s="4" t="str">
        <f t="shared" si="15"/>
        <v>take</v>
      </c>
      <c r="N1001" s="4" cm="1">
        <f t="array" ref="N1001">SUM(--(_xlfn.TEXTSPLIT($J$852,, " ") = L1001))</f>
        <v>2</v>
      </c>
    </row>
    <row r="1002" spans="5:14" x14ac:dyDescent="0.2">
      <c r="E1002" s="4" t="s">
        <v>17</v>
      </c>
      <c r="K1002" t="str">
        <v>the</v>
      </c>
      <c r="M1002" s="4" t="str">
        <f t="shared" si="15"/>
        <v>the</v>
      </c>
      <c r="N1002" s="4" cm="1">
        <f t="array" ref="N1002">SUM(--(_xlfn.TEXTSPLIT($J$852,, " ") = L1002))</f>
        <v>2</v>
      </c>
    </row>
    <row r="1003" spans="5:14" x14ac:dyDescent="0.2">
      <c r="E1003" s="4" t="s">
        <v>17</v>
      </c>
      <c r="K1003" t="str">
        <v>longer</v>
      </c>
      <c r="M1003" s="4" t="str">
        <f t="shared" si="15"/>
        <v>longer</v>
      </c>
      <c r="N1003" s="4" cm="1">
        <f t="array" ref="N1003">SUM(--(_xlfn.TEXTSPLIT($J$852,, " ") = L1003))</f>
        <v>2</v>
      </c>
    </row>
    <row r="1004" spans="5:14" x14ac:dyDescent="0.2">
      <c r="E1004" s="4" t="s">
        <v>17</v>
      </c>
      <c r="K1004" t="str">
        <v>way</v>
      </c>
      <c r="M1004" s="4" t="str">
        <f t="shared" si="15"/>
        <v>way</v>
      </c>
      <c r="N1004" s="4" cm="1">
        <f t="array" ref="N1004">SUM(--(_xlfn.TEXTSPLIT($J$852,, " ") = L1004))</f>
        <v>2</v>
      </c>
    </row>
    <row r="1005" spans="5:14" x14ac:dyDescent="0.2">
      <c r="E1005" s="4" t="s">
        <v>17</v>
      </c>
      <c r="K1005" t="str">
        <v>home</v>
      </c>
      <c r="M1005" s="4" t="str">
        <f t="shared" si="15"/>
        <v>home</v>
      </c>
      <c r="N1005" s="4" cm="1">
        <f t="array" ref="N1005">SUM(--(_xlfn.TEXTSPLIT($J$852,, " ") = L1005))</f>
        <v>2</v>
      </c>
    </row>
    <row r="1006" spans="5:14" x14ac:dyDescent="0.2">
      <c r="E1006" s="4" t="s">
        <v>17</v>
      </c>
      <c r="K1006" t="str">
        <v>(I've</v>
      </c>
      <c r="M1006" s="4" t="str">
        <f t="shared" si="15"/>
        <v xml:space="preserve"> I ve</v>
      </c>
      <c r="N1006" s="4" cm="1">
        <f t="array" ref="N1006">SUM(--(_xlfn.TEXTSPLIT($J$852,, " ") = L1006))</f>
        <v>2</v>
      </c>
    </row>
    <row r="1007" spans="5:14" x14ac:dyDescent="0.2">
      <c r="E1007" s="4" t="s">
        <v>17</v>
      </c>
      <c r="K1007" t="str">
        <v>been</v>
      </c>
      <c r="M1007" s="4" t="str">
        <f t="shared" si="15"/>
        <v>been</v>
      </c>
      <c r="N1007" s="4" cm="1">
        <f t="array" ref="N1007">SUM(--(_xlfn.TEXTSPLIT($J$852,, " ") = L1007))</f>
        <v>2</v>
      </c>
    </row>
    <row r="1008" spans="5:14" x14ac:dyDescent="0.2">
      <c r="E1008" s="4" t="s">
        <v>17</v>
      </c>
      <c r="K1008" t="str">
        <v>this</v>
      </c>
      <c r="M1008" s="4" t="str">
        <f t="shared" si="15"/>
        <v>this</v>
      </c>
      <c r="N1008" s="4" cm="1">
        <f t="array" ref="N1008">SUM(--(_xlfn.TEXTSPLIT($J$852,, " ") = L1008))</f>
        <v>2</v>
      </c>
    </row>
    <row r="1009" spans="5:14" x14ac:dyDescent="0.2">
      <c r="E1009" s="4" t="s">
        <v>17</v>
      </c>
      <c r="K1009" t="str">
        <v xml:space="preserve">way)
</v>
      </c>
      <c r="M1009" s="4" t="str">
        <f t="shared" si="15"/>
        <v xml:space="preserve">way  </v>
      </c>
      <c r="N1009" s="4" cm="1">
        <f t="array" ref="N1009">SUM(--(_xlfn.TEXTSPLIT($J$852,, " ") = L1009))</f>
        <v>2</v>
      </c>
    </row>
    <row r="1010" spans="5:14" x14ac:dyDescent="0.2">
      <c r="E1010" s="4" t="s">
        <v>17</v>
      </c>
      <c r="K1010" t="str">
        <v>Even</v>
      </c>
      <c r="M1010" s="4" t="str">
        <f t="shared" si="15"/>
        <v>Even</v>
      </c>
      <c r="N1010" s="4" cm="1">
        <f t="array" ref="N1010">SUM(--(_xlfn.TEXTSPLIT($J$852,, " ") = L1010))</f>
        <v>2</v>
      </c>
    </row>
    <row r="1011" spans="5:14" x14ac:dyDescent="0.2">
      <c r="E1011" s="4" t="s">
        <v>17</v>
      </c>
      <c r="K1011" t="str">
        <v>now,</v>
      </c>
      <c r="M1011" s="4" t="str">
        <f t="shared" si="15"/>
        <v xml:space="preserve">now </v>
      </c>
      <c r="N1011" s="4" cm="1">
        <f t="array" ref="N1011">SUM(--(_xlfn.TEXTSPLIT($J$852,, " ") = L1011))</f>
        <v>2</v>
      </c>
    </row>
    <row r="1012" spans="5:14" x14ac:dyDescent="0.2">
      <c r="E1012" s="4" t="s">
        <v>17</v>
      </c>
      <c r="K1012" t="str">
        <v>even</v>
      </c>
      <c r="M1012" s="4" t="str">
        <f t="shared" si="15"/>
        <v>even</v>
      </c>
      <c r="N1012" s="4" cm="1">
        <f t="array" ref="N1012">SUM(--(_xlfn.TEXTSPLIT($J$852,, " ") = L1012))</f>
        <v>2</v>
      </c>
    </row>
    <row r="1013" spans="5:14" x14ac:dyDescent="0.2">
      <c r="E1013" s="4" t="s">
        <v>17</v>
      </c>
      <c r="K1013" t="str">
        <v>now,</v>
      </c>
      <c r="M1013" s="4" t="str">
        <f t="shared" si="15"/>
        <v xml:space="preserve">now </v>
      </c>
      <c r="N1013" s="4" cm="1">
        <f t="array" ref="N1013">SUM(--(_xlfn.TEXTSPLIT($J$852,, " ") = L1013))</f>
        <v>2</v>
      </c>
    </row>
    <row r="1014" spans="5:14" x14ac:dyDescent="0.2">
      <c r="E1014" s="4" t="s">
        <v>17</v>
      </c>
      <c r="K1014" t="str">
        <v>even</v>
      </c>
      <c r="M1014" s="4" t="str">
        <f t="shared" si="15"/>
        <v>even</v>
      </c>
      <c r="N1014" s="4" cm="1">
        <f t="array" ref="N1014">SUM(--(_xlfn.TEXTSPLIT($J$852,, " ") = L1014))</f>
        <v>2</v>
      </c>
    </row>
    <row r="1015" spans="5:14" x14ac:dyDescent="0.2">
      <c r="E1015" s="4" t="s">
        <v>17</v>
      </c>
      <c r="K1015" t="str">
        <v xml:space="preserve">now
</v>
      </c>
      <c r="M1015" s="4" t="str">
        <f t="shared" si="15"/>
        <v xml:space="preserve">now </v>
      </c>
      <c r="N1015" s="4" cm="1">
        <f t="array" ref="N1015">SUM(--(_xlfn.TEXTSPLIT($J$852,, " ") = L1015))</f>
        <v>2</v>
      </c>
    </row>
    <row r="1016" spans="5:14" x14ac:dyDescent="0.2">
      <c r="E1016" s="4" t="s">
        <v>17</v>
      </c>
      <c r="K1016" t="str">
        <v>He'll</v>
      </c>
      <c r="M1016" s="4" t="str">
        <f t="shared" si="15"/>
        <v>He ll</v>
      </c>
      <c r="N1016" s="4" cm="1">
        <f t="array" ref="N1016">SUM(--(_xlfn.TEXTSPLIT($J$852,, " ") = L1016))</f>
        <v>2</v>
      </c>
    </row>
    <row r="1017" spans="5:14" x14ac:dyDescent="0.2">
      <c r="E1017" s="4" t="s">
        <v>17</v>
      </c>
      <c r="K1017" t="str">
        <v>never</v>
      </c>
      <c r="M1017" s="4" t="str">
        <f t="shared" si="15"/>
        <v>never</v>
      </c>
      <c r="N1017" s="4" cm="1">
        <f t="array" ref="N1017">SUM(--(_xlfn.TEXTSPLIT($J$852,, " ") = L1017))</f>
        <v>2</v>
      </c>
    </row>
    <row r="1018" spans="5:14" x14ac:dyDescent="0.2">
      <c r="E1018" s="4" t="s">
        <v>17</v>
      </c>
      <c r="K1018" t="str">
        <v>ever</v>
      </c>
      <c r="M1018" s="4" t="str">
        <f t="shared" si="15"/>
        <v>ever</v>
      </c>
      <c r="N1018" s="4" cm="1">
        <f t="array" ref="N1018">SUM(--(_xlfn.TEXTSPLIT($J$852,, " ") = L1018))</f>
        <v>2</v>
      </c>
    </row>
    <row r="1019" spans="5:14" x14ac:dyDescent="0.2">
      <c r="E1019" s="4" t="s">
        <v>17</v>
      </c>
      <c r="K1019" t="str">
        <v>say</v>
      </c>
      <c r="M1019" s="4" t="str">
        <f t="shared" si="15"/>
        <v>say</v>
      </c>
      <c r="N1019" s="4" cm="1">
        <f t="array" ref="N1019">SUM(--(_xlfn.TEXTSPLIT($J$852,, " ") = L1019))</f>
        <v>2</v>
      </c>
    </row>
    <row r="1020" spans="5:14" x14ac:dyDescent="0.2">
      <c r="E1020" s="4" t="s">
        <v>17</v>
      </c>
      <c r="K1020" t="str">
        <v>so</v>
      </c>
      <c r="M1020" s="4" t="str">
        <f t="shared" si="15"/>
        <v>so</v>
      </c>
      <c r="N1020" s="4" cm="1">
        <f t="array" ref="N1020">SUM(--(_xlfn.TEXTSPLIT($J$852,, " ") = L1020))</f>
        <v>2</v>
      </c>
    </row>
    <row r="1021" spans="5:14" x14ac:dyDescent="0.2">
      <c r="E1021" s="4" t="s">
        <v>17</v>
      </c>
      <c r="K1021" t="str">
        <v>(I</v>
      </c>
      <c r="M1021" s="4" t="str">
        <f t="shared" si="15"/>
        <v xml:space="preserve"> I</v>
      </c>
      <c r="N1021" s="4" cm="1">
        <f t="array" ref="N1021">SUM(--(_xlfn.TEXTSPLIT($J$852,, " ") = L1021))</f>
        <v>2</v>
      </c>
    </row>
    <row r="1022" spans="5:14" x14ac:dyDescent="0.2">
      <c r="E1022" s="4" t="s">
        <v>17</v>
      </c>
      <c r="K1022" t="str">
        <v>want</v>
      </c>
      <c r="M1022" s="4" t="str">
        <f t="shared" si="15"/>
        <v>want</v>
      </c>
      <c r="N1022" s="4" cm="1">
        <f t="array" ref="N1022">SUM(--(_xlfn.TEXTSPLIT($J$852,, " ") = L1022))</f>
        <v>2</v>
      </c>
    </row>
    <row r="1023" spans="5:14" x14ac:dyDescent="0.2">
      <c r="E1023" s="4" t="s">
        <v>17</v>
      </c>
      <c r="K1023" t="str">
        <v>to</v>
      </c>
      <c r="M1023" s="4" t="str">
        <f t="shared" si="15"/>
        <v>to</v>
      </c>
      <c r="N1023" s="4" cm="1">
        <f t="array" ref="N1023">SUM(--(_xlfn.TEXTSPLIT($J$852,, " ") = L1023))</f>
        <v>2</v>
      </c>
    </row>
    <row r="1024" spans="5:14" x14ac:dyDescent="0.2">
      <c r="E1024" s="4" t="s">
        <v>17</v>
      </c>
      <c r="K1024" t="str">
        <v xml:space="preserve">change)
</v>
      </c>
      <c r="M1024" s="4" t="str">
        <f t="shared" si="15"/>
        <v xml:space="preserve">change  </v>
      </c>
      <c r="N1024" s="4" cm="1">
        <f t="array" ref="N1024">SUM(--(_xlfn.TEXTSPLIT($J$852,, " ") = L1024))</f>
        <v>2</v>
      </c>
    </row>
    <row r="1025" spans="5:14" x14ac:dyDescent="0.2">
      <c r="E1025" s="4" t="s">
        <v>17</v>
      </c>
      <c r="K1025" t="str">
        <v>He</v>
      </c>
      <c r="M1025" s="4" t="str">
        <f t="shared" si="15"/>
        <v>He</v>
      </c>
      <c r="N1025" s="4" cm="1">
        <f t="array" ref="N1025">SUM(--(_xlfn.TEXTSPLIT($J$852,, " ") = L1025))</f>
        <v>2</v>
      </c>
    </row>
    <row r="1026" spans="5:14" x14ac:dyDescent="0.2">
      <c r="E1026" s="4" t="s">
        <v>17</v>
      </c>
      <c r="K1026" t="str">
        <v>drives</v>
      </c>
      <c r="M1026" s="4" t="str">
        <f t="shared" si="15"/>
        <v>drives</v>
      </c>
      <c r="N1026" s="4" cm="1">
        <f t="array" ref="N1026">SUM(--(_xlfn.TEXTSPLIT($J$852,, " ") = L1026))</f>
        <v>2</v>
      </c>
    </row>
    <row r="1027" spans="5:14" x14ac:dyDescent="0.2">
      <c r="E1027" s="4" t="s">
        <v>17</v>
      </c>
      <c r="K1027" t="str">
        <v>fast</v>
      </c>
      <c r="M1027" s="4" t="str">
        <f t="shared" ref="M1027:M1090" si="16">_xlfn.REGEXREPLACE(K1027, "[^A-Za-z ]", " ")</f>
        <v>fast</v>
      </c>
      <c r="N1027" s="4" cm="1">
        <f t="array" ref="N1027">SUM(--(_xlfn.TEXTSPLIT($J$852,, " ") = L1027))</f>
        <v>2</v>
      </c>
    </row>
    <row r="1028" spans="5:14" x14ac:dyDescent="0.2">
      <c r="E1028" s="4" t="s">
        <v>17</v>
      </c>
      <c r="K1028" t="str">
        <v>just</v>
      </c>
      <c r="M1028" s="4" t="str">
        <f t="shared" si="16"/>
        <v>just</v>
      </c>
      <c r="N1028" s="4" cm="1">
        <f t="array" ref="N1028">SUM(--(_xlfn.TEXTSPLIT($J$852,, " ") = L1028))</f>
        <v>2</v>
      </c>
    </row>
    <row r="1029" spans="5:14" x14ac:dyDescent="0.2">
      <c r="E1029" s="4" t="s">
        <v>17</v>
      </c>
      <c r="K1029" t="str">
        <v>to</v>
      </c>
      <c r="M1029" s="4" t="str">
        <f t="shared" si="16"/>
        <v>to</v>
      </c>
      <c r="N1029" s="4" cm="1">
        <f t="array" ref="N1029">SUM(--(_xlfn.TEXTSPLIT($J$852,, " ") = L1029))</f>
        <v>2</v>
      </c>
    </row>
    <row r="1030" spans="5:14" x14ac:dyDescent="0.2">
      <c r="E1030" s="4" t="s">
        <v>17</v>
      </c>
      <c r="K1030" t="str">
        <v>feel</v>
      </c>
      <c r="M1030" s="4" t="str">
        <f t="shared" si="16"/>
        <v>feel</v>
      </c>
      <c r="N1030" s="4" cm="1">
        <f t="array" ref="N1030">SUM(--(_xlfn.TEXTSPLIT($J$852,, " ") = L1030))</f>
        <v>2</v>
      </c>
    </row>
    <row r="1031" spans="5:14" x14ac:dyDescent="0.2">
      <c r="E1031" s="4" t="s">
        <v>17</v>
      </c>
      <c r="K1031" t="str">
        <v>it,</v>
      </c>
      <c r="M1031" s="4" t="str">
        <f t="shared" si="16"/>
        <v xml:space="preserve">it </v>
      </c>
      <c r="N1031" s="4" cm="1">
        <f t="array" ref="N1031">SUM(--(_xlfn.TEXTSPLIT($J$852,, " ") = L1031))</f>
        <v>2</v>
      </c>
    </row>
    <row r="1032" spans="5:14" x14ac:dyDescent="0.2">
      <c r="E1032" s="4" t="s">
        <v>17</v>
      </c>
      <c r="K1032" t="str">
        <v>feel</v>
      </c>
      <c r="M1032" s="4" t="str">
        <f t="shared" si="16"/>
        <v>feel</v>
      </c>
      <c r="N1032" s="4" cm="1">
        <f t="array" ref="N1032">SUM(--(_xlfn.TEXTSPLIT($J$852,, " ") = L1032))</f>
        <v>2</v>
      </c>
    </row>
    <row r="1033" spans="5:14" x14ac:dyDescent="0.2">
      <c r="E1033" s="4" t="s">
        <v>17</v>
      </c>
      <c r="K1033" t="str">
        <v>it</v>
      </c>
      <c r="M1033" s="4" t="str">
        <f t="shared" si="16"/>
        <v>it</v>
      </c>
      <c r="N1033" s="4" cm="1">
        <f t="array" ref="N1033">SUM(--(_xlfn.TEXTSPLIT($J$852,, " ") = L1033))</f>
        <v>2</v>
      </c>
    </row>
    <row r="1034" spans="5:14" x14ac:dyDescent="0.2">
      <c r="E1034" s="4" t="s">
        <v>17</v>
      </c>
      <c r="K1034" t="str">
        <v>(Feel</v>
      </c>
      <c r="M1034" s="4" t="str">
        <f t="shared" si="16"/>
        <v xml:space="preserve"> Feel</v>
      </c>
      <c r="N1034" s="4" cm="1">
        <f t="array" ref="N1034">SUM(--(_xlfn.TEXTSPLIT($J$852,, " ") = L1034))</f>
        <v>2</v>
      </c>
    </row>
    <row r="1035" spans="5:14" x14ac:dyDescent="0.2">
      <c r="E1035" s="4" t="s">
        <v>17</v>
      </c>
      <c r="K1035" t="str">
        <v xml:space="preserve">it)
</v>
      </c>
      <c r="M1035" s="4" t="str">
        <f t="shared" si="16"/>
        <v xml:space="preserve">it  </v>
      </c>
      <c r="N1035" s="4" cm="1">
        <f t="array" ref="N1035">SUM(--(_xlfn.TEXTSPLIT($J$852,, " ") = L1035))</f>
        <v>2</v>
      </c>
    </row>
    <row r="1036" spans="5:14" x14ac:dyDescent="0.2">
      <c r="E1036" s="4" t="s">
        <v>17</v>
      </c>
      <c r="K1036" t="str">
        <v>He</v>
      </c>
      <c r="M1036" s="4" t="str">
        <f t="shared" si="16"/>
        <v>He</v>
      </c>
      <c r="N1036" s="4" cm="1">
        <f t="array" ref="N1036">SUM(--(_xlfn.TEXTSPLIT($J$852,, " ") = L1036))</f>
        <v>2</v>
      </c>
    </row>
    <row r="1037" spans="5:14" x14ac:dyDescent="0.2">
      <c r="E1037" s="4" t="s">
        <v>17</v>
      </c>
      <c r="K1037" t="str">
        <v>drives</v>
      </c>
      <c r="M1037" s="4" t="str">
        <f t="shared" si="16"/>
        <v>drives</v>
      </c>
      <c r="N1037" s="4" cm="1">
        <f t="array" ref="N1037">SUM(--(_xlfn.TEXTSPLIT($J$852,, " ") = L1037))</f>
        <v>2</v>
      </c>
    </row>
    <row r="1038" spans="5:14" x14ac:dyDescent="0.2">
      <c r="E1038" s="4" t="s">
        <v>17</v>
      </c>
      <c r="K1038" t="str">
        <v>slow</v>
      </c>
      <c r="M1038" s="4" t="str">
        <f t="shared" si="16"/>
        <v>slow</v>
      </c>
      <c r="N1038" s="4" cm="1">
        <f t="array" ref="N1038">SUM(--(_xlfn.TEXTSPLIT($J$852,, " ") = L1038))</f>
        <v>2</v>
      </c>
    </row>
    <row r="1039" spans="5:14" x14ac:dyDescent="0.2">
      <c r="E1039" s="4" t="s">
        <v>17</v>
      </c>
      <c r="K1039" t="str">
        <v>if</v>
      </c>
      <c r="M1039" s="4" t="str">
        <f t="shared" si="16"/>
        <v>if</v>
      </c>
      <c r="N1039" s="4" cm="1">
        <f t="array" ref="N1039">SUM(--(_xlfn.TEXTSPLIT($J$852,, " ") = L1039))</f>
        <v>2</v>
      </c>
    </row>
    <row r="1040" spans="5:14" x14ac:dyDescent="0.2">
      <c r="E1040" s="4" t="s">
        <v>17</v>
      </c>
      <c r="K1040" t="str">
        <v>his</v>
      </c>
      <c r="M1040" s="4" t="str">
        <f t="shared" si="16"/>
        <v>his</v>
      </c>
      <c r="N1040" s="4" cm="1">
        <f t="array" ref="N1040">SUM(--(_xlfn.TEXTSPLIT($J$852,, " ") = L1040))</f>
        <v>2</v>
      </c>
    </row>
    <row r="1041" spans="5:14" x14ac:dyDescent="0.2">
      <c r="E1041" s="4" t="s">
        <v>17</v>
      </c>
      <c r="K1041" t="str">
        <v>song's</v>
      </c>
      <c r="M1041" s="4" t="str">
        <f t="shared" si="16"/>
        <v>song s</v>
      </c>
      <c r="N1041" s="4" cm="1">
        <f t="array" ref="N1041">SUM(--(_xlfn.TEXTSPLIT($J$852,, " ") = L1041))</f>
        <v>2</v>
      </c>
    </row>
    <row r="1042" spans="5:14" x14ac:dyDescent="0.2">
      <c r="E1042" s="4" t="s">
        <v>17</v>
      </c>
      <c r="K1042" t="str">
        <v>not</v>
      </c>
      <c r="M1042" s="4" t="str">
        <f t="shared" si="16"/>
        <v>not</v>
      </c>
      <c r="N1042" s="4" cm="1">
        <f t="array" ref="N1042">SUM(--(_xlfn.TEXTSPLIT($J$852,, " ") = L1042))</f>
        <v>2</v>
      </c>
    </row>
    <row r="1043" spans="5:14" x14ac:dyDescent="0.2">
      <c r="E1043" s="4" t="s">
        <v>17</v>
      </c>
      <c r="K1043" t="str">
        <v>over</v>
      </c>
      <c r="M1043" s="4" t="str">
        <f t="shared" si="16"/>
        <v>over</v>
      </c>
      <c r="N1043" s="4" cm="1">
        <f t="array" ref="N1043">SUM(--(_xlfn.TEXTSPLIT($J$852,, " ") = L1043))</f>
        <v>2</v>
      </c>
    </row>
    <row r="1044" spans="5:14" x14ac:dyDescent="0.2">
      <c r="E1044" s="4" t="s">
        <v>17</v>
      </c>
      <c r="K1044" t="str">
        <v>(Feel</v>
      </c>
      <c r="M1044" s="4" t="str">
        <f t="shared" si="16"/>
        <v xml:space="preserve"> Feel</v>
      </c>
      <c r="N1044" s="4" cm="1">
        <f t="array" ref="N1044">SUM(--(_xlfn.TEXTSPLIT($J$852,, " ") = L1044))</f>
        <v>2</v>
      </c>
    </row>
    <row r="1045" spans="5:14" x14ac:dyDescent="0.2">
      <c r="E1045" s="4" t="s">
        <v>17</v>
      </c>
      <c r="K1045" t="str">
        <v xml:space="preserve">it)
</v>
      </c>
      <c r="M1045" s="4" t="str">
        <f t="shared" si="16"/>
        <v xml:space="preserve">it  </v>
      </c>
      <c r="N1045" s="4" cm="1">
        <f t="array" ref="N1045">SUM(--(_xlfn.TEXTSPLIT($J$852,, " ") = L1045))</f>
        <v>2</v>
      </c>
    </row>
    <row r="1046" spans="5:14" x14ac:dyDescent="0.2">
      <c r="E1046" s="4" t="s">
        <v>17</v>
      </c>
      <c r="K1046" t="str">
        <v>Drown</v>
      </c>
      <c r="M1046" s="4" t="str">
        <f t="shared" si="16"/>
        <v>Drown</v>
      </c>
      <c r="N1046" s="4" cm="1">
        <f t="array" ref="N1046">SUM(--(_xlfn.TEXTSPLIT($J$852,, " ") = L1046))</f>
        <v>2</v>
      </c>
    </row>
    <row r="1047" spans="5:14" x14ac:dyDescent="0.2">
      <c r="E1047" s="4" t="s">
        <v>17</v>
      </c>
      <c r="K1047" t="str">
        <v>it</v>
      </c>
      <c r="M1047" s="4" t="str">
        <f t="shared" si="16"/>
        <v>it</v>
      </c>
      <c r="N1047" s="4" cm="1">
        <f t="array" ref="N1047">SUM(--(_xlfn.TEXTSPLIT($J$852,, " ") = L1047))</f>
        <v>2</v>
      </c>
    </row>
    <row r="1048" spans="5:14" x14ac:dyDescent="0.2">
      <c r="E1048" s="4" t="s">
        <v>17</v>
      </c>
      <c r="K1048" t="str">
        <v>out,</v>
      </c>
      <c r="M1048" s="4" t="str">
        <f t="shared" si="16"/>
        <v xml:space="preserve">out </v>
      </c>
      <c r="N1048" s="4" cm="1">
        <f t="array" ref="N1048">SUM(--(_xlfn.TEXTSPLIT($J$852,, " ") = L1048))</f>
        <v>2</v>
      </c>
    </row>
    <row r="1049" spans="5:14" x14ac:dyDescent="0.2">
      <c r="E1049" s="4" t="s">
        <v>17</v>
      </c>
      <c r="K1049" t="str">
        <v>drown</v>
      </c>
      <c r="M1049" s="4" t="str">
        <f t="shared" si="16"/>
        <v>drown</v>
      </c>
      <c r="N1049" s="4" cm="1">
        <f t="array" ref="N1049">SUM(--(_xlfn.TEXTSPLIT($J$852,, " ") = L1049))</f>
        <v>2</v>
      </c>
    </row>
    <row r="1050" spans="5:14" x14ac:dyDescent="0.2">
      <c r="E1050" s="4" t="s">
        <v>17</v>
      </c>
      <c r="K1050" t="str">
        <v>it</v>
      </c>
      <c r="M1050" s="4" t="str">
        <f t="shared" si="16"/>
        <v>it</v>
      </c>
      <c r="N1050" s="4" cm="1">
        <f t="array" ref="N1050">SUM(--(_xlfn.TEXTSPLIT($J$852,, " ") = L1050))</f>
        <v>2</v>
      </c>
    </row>
    <row r="1051" spans="5:14" x14ac:dyDescent="0.2">
      <c r="E1051" s="4" t="s">
        <v>17</v>
      </c>
      <c r="K1051" t="str">
        <v xml:space="preserve">out
</v>
      </c>
      <c r="M1051" s="4" t="str">
        <f t="shared" si="16"/>
        <v xml:space="preserve">out  </v>
      </c>
      <c r="N1051" s="4" cm="1">
        <f t="array" ref="N1051">SUM(--(_xlfn.TEXTSPLIT($J$852,, " ") = L1051))</f>
        <v>2</v>
      </c>
    </row>
    <row r="1052" spans="5:14" x14ac:dyDescent="0.2">
      <c r="E1052" s="4" t="s">
        <v>17</v>
      </c>
      <c r="K1052" t="str">
        <v>I've</v>
      </c>
      <c r="M1052" s="4" t="str">
        <f t="shared" si="16"/>
        <v>I ve</v>
      </c>
      <c r="N1052" s="4" cm="1">
        <f t="array" ref="N1052">SUM(--(_xlfn.TEXTSPLIT($J$852,, " ") = L1052))</f>
        <v>2</v>
      </c>
    </row>
    <row r="1053" spans="5:14" x14ac:dyDescent="0.2">
      <c r="E1053" s="4" t="s">
        <v>17</v>
      </c>
      <c r="K1053" t="str">
        <v>been</v>
      </c>
      <c r="M1053" s="4" t="str">
        <f t="shared" si="16"/>
        <v>been</v>
      </c>
      <c r="N1053" s="4" cm="1">
        <f t="array" ref="N1053">SUM(--(_xlfn.TEXTSPLIT($J$852,, " ") = L1053))</f>
        <v>2</v>
      </c>
    </row>
    <row r="1054" spans="5:14" x14ac:dyDescent="0.2">
      <c r="E1054" s="4" t="s">
        <v>17</v>
      </c>
      <c r="K1054" t="str">
        <v>this</v>
      </c>
      <c r="M1054" s="4" t="str">
        <f t="shared" si="16"/>
        <v>this</v>
      </c>
      <c r="N1054" s="4" cm="1">
        <f t="array" ref="N1054">SUM(--(_xlfn.TEXTSPLIT($J$852,, " ") = L1054))</f>
        <v>2</v>
      </c>
    </row>
    <row r="1055" spans="5:14" x14ac:dyDescent="0.2">
      <c r="E1055" s="4" t="s">
        <v>17</v>
      </c>
      <c r="K1055" t="str">
        <v xml:space="preserve">way
</v>
      </c>
      <c r="M1055" s="4" t="str">
        <f t="shared" si="16"/>
        <v xml:space="preserve">way </v>
      </c>
      <c r="N1055" s="4" cm="1">
        <f t="array" ref="N1055">SUM(--(_xlfn.TEXTSPLIT($J$852,, " ") = L1055))</f>
        <v>2</v>
      </c>
    </row>
    <row r="1056" spans="5:14" x14ac:dyDescent="0.2">
      <c r="E1056" s="4" t="s">
        <v>17</v>
      </c>
      <c r="K1056" t="str">
        <v>I</v>
      </c>
      <c r="M1056" s="4" t="str">
        <f t="shared" si="16"/>
        <v>I</v>
      </c>
      <c r="N1056" s="4" cm="1">
        <f t="array" ref="N1056">SUM(--(_xlfn.TEXTSPLIT($J$852,, " ") = L1056))</f>
        <v>2</v>
      </c>
    </row>
    <row r="1057" spans="5:14" x14ac:dyDescent="0.2">
      <c r="E1057" s="4" t="s">
        <v>17</v>
      </c>
      <c r="K1057" t="str">
        <v>want</v>
      </c>
      <c r="M1057" s="4" t="str">
        <f t="shared" si="16"/>
        <v>want</v>
      </c>
      <c r="N1057" s="4" cm="1">
        <f t="array" ref="N1057">SUM(--(_xlfn.TEXTSPLIT($J$852,, " ") = L1057))</f>
        <v>2</v>
      </c>
    </row>
    <row r="1058" spans="5:14" x14ac:dyDescent="0.2">
      <c r="E1058" s="4" t="s">
        <v>17</v>
      </c>
      <c r="K1058" t="str">
        <v>to</v>
      </c>
      <c r="M1058" s="4" t="str">
        <f t="shared" si="16"/>
        <v>to</v>
      </c>
      <c r="N1058" s="4" cm="1">
        <f t="array" ref="N1058">SUM(--(_xlfn.TEXTSPLIT($J$852,, " ") = L1058))</f>
        <v>2</v>
      </c>
    </row>
    <row r="1059" spans="5:14" x14ac:dyDescent="0.2">
      <c r="E1059" s="4" t="s">
        <v>17</v>
      </c>
      <c r="K1059" t="str">
        <v xml:space="preserve">change
</v>
      </c>
      <c r="M1059" s="4" t="str">
        <f t="shared" si="16"/>
        <v xml:space="preserve">change </v>
      </c>
      <c r="N1059" s="4" cm="1">
        <f t="array" ref="N1059">SUM(--(_xlfn.TEXTSPLIT($J$852,, " ") = L1059))</f>
        <v>2</v>
      </c>
    </row>
    <row r="1060" spans="5:14" x14ac:dyDescent="0.2">
      <c r="E1060" s="4" t="s">
        <v>17</v>
      </c>
      <c r="K1060" t="str">
        <v>I've</v>
      </c>
      <c r="M1060" s="4" t="str">
        <f t="shared" si="16"/>
        <v>I ve</v>
      </c>
      <c r="N1060" s="4" cm="1">
        <f t="array" ref="N1060">SUM(--(_xlfn.TEXTSPLIT($J$852,, " ") = L1060))</f>
        <v>2</v>
      </c>
    </row>
    <row r="1061" spans="5:14" x14ac:dyDescent="0.2">
      <c r="E1061" s="4" t="s">
        <v>17</v>
      </c>
      <c r="K1061" t="str">
        <v>been</v>
      </c>
      <c r="M1061" s="4" t="str">
        <f t="shared" si="16"/>
        <v>been</v>
      </c>
      <c r="N1061" s="4" cm="1">
        <f t="array" ref="N1061">SUM(--(_xlfn.TEXTSPLIT($J$852,, " ") = L1061))</f>
        <v>2</v>
      </c>
    </row>
    <row r="1062" spans="5:14" x14ac:dyDescent="0.2">
      <c r="E1062" s="4" t="s">
        <v>17</v>
      </c>
      <c r="K1062" t="str">
        <v>this</v>
      </c>
      <c r="M1062" s="4" t="str">
        <f t="shared" si="16"/>
        <v>this</v>
      </c>
      <c r="N1062" s="4" cm="1">
        <f t="array" ref="N1062">SUM(--(_xlfn.TEXTSPLIT($J$852,, " ") = L1062))</f>
        <v>2</v>
      </c>
    </row>
    <row r="1063" spans="5:14" x14ac:dyDescent="0.2">
      <c r="E1063" s="4" t="s">
        <v>17</v>
      </c>
      <c r="K1063" t="str">
        <v xml:space="preserve">way
</v>
      </c>
      <c r="M1063" s="4" t="str">
        <f t="shared" si="16"/>
        <v xml:space="preserve">way </v>
      </c>
      <c r="N1063" s="4" cm="1">
        <f t="array" ref="N1063">SUM(--(_xlfn.TEXTSPLIT($J$852,, " ") = L1063))</f>
        <v>2</v>
      </c>
    </row>
    <row r="1064" spans="5:14" x14ac:dyDescent="0.2">
      <c r="E1064" s="4" t="s">
        <v>17</v>
      </c>
      <c r="K1064" t="str">
        <v>I</v>
      </c>
      <c r="M1064" s="4" t="str">
        <f t="shared" si="16"/>
        <v>I</v>
      </c>
      <c r="N1064" s="4" cm="1">
        <f t="array" ref="N1064">SUM(--(_xlfn.TEXTSPLIT($J$852,, " ") = L1064))</f>
        <v>2</v>
      </c>
    </row>
    <row r="1065" spans="5:14" x14ac:dyDescent="0.2">
      <c r="E1065" s="4" t="s">
        <v>17</v>
      </c>
      <c r="K1065" t="str">
        <v>want</v>
      </c>
      <c r="M1065" s="4" t="str">
        <f t="shared" si="16"/>
        <v>want</v>
      </c>
      <c r="N1065" s="4" cm="1">
        <f t="array" ref="N1065">SUM(--(_xlfn.TEXTSPLIT($J$852,, " ") = L1065))</f>
        <v>2</v>
      </c>
    </row>
    <row r="1066" spans="5:14" x14ac:dyDescent="0.2">
      <c r="E1066" s="4" t="s">
        <v>17</v>
      </c>
      <c r="K1066" t="str">
        <v>to</v>
      </c>
      <c r="M1066" s="4" t="str">
        <f t="shared" si="16"/>
        <v>to</v>
      </c>
      <c r="N1066" s="4" cm="1">
        <f t="array" ref="N1066">SUM(--(_xlfn.TEXTSPLIT($J$852,, " ") = L1066))</f>
        <v>2</v>
      </c>
    </row>
    <row r="1067" spans="5:14" x14ac:dyDescent="0.2">
      <c r="E1067" s="4" t="s">
        <v>17</v>
      </c>
      <c r="K1067" t="str">
        <v xml:space="preserve">change
</v>
      </c>
      <c r="M1067" s="4" t="str">
        <f t="shared" si="16"/>
        <v xml:space="preserve">change  </v>
      </c>
      <c r="N1067" s="4" cm="1">
        <f t="array" ref="N1067">SUM(--(_xlfn.TEXTSPLIT($J$852,, " ") = L1067))</f>
        <v>2</v>
      </c>
    </row>
    <row r="1068" spans="5:14" x14ac:dyDescent="0.2">
      <c r="E1068" s="4" t="s">
        <v>17</v>
      </c>
      <c r="K1068" t="str">
        <v>He's</v>
      </c>
      <c r="M1068" s="4" t="str">
        <f t="shared" si="16"/>
        <v>He s</v>
      </c>
      <c r="N1068" s="4" cm="1">
        <f t="array" ref="N1068">SUM(--(_xlfn.TEXTSPLIT($J$852,, " ") = L1068))</f>
        <v>2</v>
      </c>
    </row>
    <row r="1069" spans="5:14" x14ac:dyDescent="0.2">
      <c r="E1069" s="4" t="s">
        <v>17</v>
      </c>
      <c r="K1069" t="str">
        <v>puttin'</v>
      </c>
      <c r="M1069" s="4" t="str">
        <f t="shared" si="16"/>
        <v xml:space="preserve">puttin </v>
      </c>
      <c r="N1069" s="4" cm="1">
        <f t="array" ref="N1069">SUM(--(_xlfn.TEXTSPLIT($J$852,, " ") = L1069))</f>
        <v>2</v>
      </c>
    </row>
    <row r="1070" spans="5:14" x14ac:dyDescent="0.2">
      <c r="E1070" s="4" t="s">
        <v>17</v>
      </c>
      <c r="K1070" t="str">
        <v>on</v>
      </c>
      <c r="M1070" s="4" t="str">
        <f t="shared" si="16"/>
        <v>on</v>
      </c>
      <c r="N1070" s="4" cm="1">
        <f t="array" ref="N1070">SUM(--(_xlfn.TEXTSPLIT($J$852,, " ") = L1070))</f>
        <v>2</v>
      </c>
    </row>
    <row r="1071" spans="5:14" x14ac:dyDescent="0.2">
      <c r="E1071" s="4" t="s">
        <v>17</v>
      </c>
      <c r="K1071" t="str">
        <v>a</v>
      </c>
      <c r="M1071" s="4" t="str">
        <f t="shared" si="16"/>
        <v>a</v>
      </c>
      <c r="N1071" s="4" cm="1">
        <f t="array" ref="N1071">SUM(--(_xlfn.TEXTSPLIT($J$852,, " ") = L1071))</f>
        <v>2</v>
      </c>
    </row>
    <row r="1072" spans="5:14" x14ac:dyDescent="0.2">
      <c r="E1072" s="4" t="s">
        <v>17</v>
      </c>
      <c r="K1072" t="str">
        <v>drum</v>
      </c>
      <c r="M1072" s="4" t="str">
        <f t="shared" si="16"/>
        <v>drum</v>
      </c>
      <c r="N1072" s="4" cm="1">
        <f t="array" ref="N1072">SUM(--(_xlfn.TEXTSPLIT($J$852,, " ") = L1072))</f>
        <v>2</v>
      </c>
    </row>
    <row r="1073" spans="5:14" x14ac:dyDescent="0.2">
      <c r="E1073" s="4" t="s">
        <v>17</v>
      </c>
      <c r="K1073" t="str">
        <v xml:space="preserve">show
</v>
      </c>
      <c r="M1073" s="4" t="str">
        <f t="shared" si="16"/>
        <v xml:space="preserve">show  </v>
      </c>
      <c r="N1073" s="4" cm="1">
        <f t="array" ref="N1073">SUM(--(_xlfn.TEXTSPLIT($J$852,, " ") = L1073))</f>
        <v>2</v>
      </c>
    </row>
    <row r="1074" spans="5:14" x14ac:dyDescent="0.2">
      <c r="E1074" s="4" t="s">
        <v>17</v>
      </c>
      <c r="K1074" t="str">
        <v>Even</v>
      </c>
      <c r="M1074" s="4" t="str">
        <f t="shared" si="16"/>
        <v>Even</v>
      </c>
      <c r="N1074" s="4" cm="1">
        <f t="array" ref="N1074">SUM(--(_xlfn.TEXTSPLIT($J$852,, " ") = L1074))</f>
        <v>2</v>
      </c>
    </row>
    <row r="1075" spans="5:14" x14ac:dyDescent="0.2">
      <c r="E1075" s="4" t="s">
        <v>17</v>
      </c>
      <c r="K1075" t="str">
        <v>now,</v>
      </c>
      <c r="M1075" s="4" t="str">
        <f t="shared" si="16"/>
        <v xml:space="preserve">now </v>
      </c>
      <c r="N1075" s="4" cm="1">
        <f t="array" ref="N1075">SUM(--(_xlfn.TEXTSPLIT($J$852,, " ") = L1075))</f>
        <v>2</v>
      </c>
    </row>
    <row r="1076" spans="5:14" x14ac:dyDescent="0.2">
      <c r="E1076" s="4" t="s">
        <v>17</v>
      </c>
      <c r="K1076" t="str">
        <v>even</v>
      </c>
      <c r="M1076" s="4" t="str">
        <f t="shared" si="16"/>
        <v>even</v>
      </c>
      <c r="N1076" s="4" cm="1">
        <f t="array" ref="N1076">SUM(--(_xlfn.TEXTSPLIT($J$852,, " ") = L1076))</f>
        <v>2</v>
      </c>
    </row>
    <row r="1077" spans="5:14" x14ac:dyDescent="0.2">
      <c r="E1077" s="4" t="s">
        <v>17</v>
      </c>
      <c r="K1077" t="str">
        <v>now,</v>
      </c>
      <c r="M1077" s="4" t="str">
        <f t="shared" si="16"/>
        <v xml:space="preserve">now </v>
      </c>
      <c r="N1077" s="4" cm="1">
        <f t="array" ref="N1077">SUM(--(_xlfn.TEXTSPLIT($J$852,, " ") = L1077))</f>
        <v>2</v>
      </c>
    </row>
    <row r="1078" spans="5:14" x14ac:dyDescent="0.2">
      <c r="E1078" s="4" t="s">
        <v>17</v>
      </c>
      <c r="K1078" t="str">
        <v>even</v>
      </c>
      <c r="M1078" s="4" t="str">
        <f t="shared" si="16"/>
        <v>even</v>
      </c>
      <c r="N1078" s="4" cm="1">
        <f t="array" ref="N1078">SUM(--(_xlfn.TEXTSPLIT($J$852,, " ") = L1078))</f>
        <v>2</v>
      </c>
    </row>
    <row r="1079" spans="5:14" x14ac:dyDescent="0.2">
      <c r="E1079" s="4" t="s">
        <v>17</v>
      </c>
      <c r="K1079" t="str">
        <v xml:space="preserve">now
</v>
      </c>
      <c r="M1079" s="4" t="str">
        <f t="shared" si="16"/>
        <v xml:space="preserve">now </v>
      </c>
      <c r="N1079" s="4" cm="1">
        <f t="array" ref="N1079">SUM(--(_xlfn.TEXTSPLIT($J$852,, " ") = L1079))</f>
        <v>2</v>
      </c>
    </row>
    <row r="1080" spans="5:14" x14ac:dyDescent="0.2">
      <c r="E1080" s="4" t="s">
        <v>17</v>
      </c>
      <c r="K1080" t="str">
        <v>He'll</v>
      </c>
      <c r="M1080" s="4" t="str">
        <f t="shared" si="16"/>
        <v>He ll</v>
      </c>
      <c r="N1080" s="4" cm="1">
        <f t="array" ref="N1080">SUM(--(_xlfn.TEXTSPLIT($J$852,, " ") = L1080))</f>
        <v>2</v>
      </c>
    </row>
    <row r="1081" spans="5:14" x14ac:dyDescent="0.2">
      <c r="E1081" s="4" t="s">
        <v>17</v>
      </c>
      <c r="K1081" t="str">
        <v>take</v>
      </c>
      <c r="M1081" s="4" t="str">
        <f t="shared" si="16"/>
        <v>take</v>
      </c>
      <c r="N1081" s="4" cm="1">
        <f t="array" ref="N1081">SUM(--(_xlfn.TEXTSPLIT($J$852,, " ") = L1081))</f>
        <v>2</v>
      </c>
    </row>
    <row r="1082" spans="5:14" x14ac:dyDescent="0.2">
      <c r="E1082" s="4" t="s">
        <v>17</v>
      </c>
      <c r="K1082" t="str">
        <v>the</v>
      </c>
      <c r="M1082" s="4" t="str">
        <f t="shared" si="16"/>
        <v>the</v>
      </c>
      <c r="N1082" s="4" cm="1">
        <f t="array" ref="N1082">SUM(--(_xlfn.TEXTSPLIT($J$852,, " ") = L1082))</f>
        <v>2</v>
      </c>
    </row>
    <row r="1083" spans="5:14" x14ac:dyDescent="0.2">
      <c r="E1083" s="4" t="s">
        <v>17</v>
      </c>
      <c r="K1083" t="str">
        <v>longer</v>
      </c>
      <c r="M1083" s="4" t="str">
        <f t="shared" si="16"/>
        <v>longer</v>
      </c>
      <c r="N1083" s="4" cm="1">
        <f t="array" ref="N1083">SUM(--(_xlfn.TEXTSPLIT($J$852,, " ") = L1083))</f>
        <v>2</v>
      </c>
    </row>
    <row r="1084" spans="5:14" x14ac:dyDescent="0.2">
      <c r="E1084" s="4" t="s">
        <v>17</v>
      </c>
      <c r="K1084" t="str">
        <v>way</v>
      </c>
      <c r="M1084" s="4" t="str">
        <f t="shared" si="16"/>
        <v>way</v>
      </c>
      <c r="N1084" s="4" cm="1">
        <f t="array" ref="N1084">SUM(--(_xlfn.TEXTSPLIT($J$852,, " ") = L1084))</f>
        <v>2</v>
      </c>
    </row>
    <row r="1085" spans="5:14" x14ac:dyDescent="0.2">
      <c r="E1085" s="4" t="s">
        <v>17</v>
      </c>
      <c r="K1085" t="str">
        <v>home</v>
      </c>
      <c r="M1085" s="4" t="str">
        <f t="shared" si="16"/>
        <v>home</v>
      </c>
      <c r="N1085" s="4" cm="1">
        <f t="array" ref="N1085">SUM(--(_xlfn.TEXTSPLIT($J$852,, " ") = L1085))</f>
        <v>2</v>
      </c>
    </row>
    <row r="1086" spans="5:14" x14ac:dyDescent="0.2">
      <c r="E1086" s="4" t="s">
        <v>17</v>
      </c>
      <c r="K1086" t="str">
        <v>(I've</v>
      </c>
      <c r="M1086" s="4" t="str">
        <f t="shared" si="16"/>
        <v xml:space="preserve"> I ve</v>
      </c>
      <c r="N1086" s="4" cm="1">
        <f t="array" ref="N1086">SUM(--(_xlfn.TEXTSPLIT($J$852,, " ") = L1086))</f>
        <v>2</v>
      </c>
    </row>
    <row r="1087" spans="5:14" x14ac:dyDescent="0.2">
      <c r="E1087" s="4" t="s">
        <v>17</v>
      </c>
      <c r="K1087" t="str">
        <v>been</v>
      </c>
      <c r="M1087" s="4" t="str">
        <f t="shared" si="16"/>
        <v>been</v>
      </c>
      <c r="N1087" s="4" cm="1">
        <f t="array" ref="N1087">SUM(--(_xlfn.TEXTSPLIT($J$852,, " ") = L1087))</f>
        <v>2</v>
      </c>
    </row>
    <row r="1088" spans="5:14" x14ac:dyDescent="0.2">
      <c r="E1088" s="4" t="s">
        <v>17</v>
      </c>
      <c r="K1088" t="str">
        <v>this</v>
      </c>
      <c r="M1088" s="4" t="str">
        <f t="shared" si="16"/>
        <v>this</v>
      </c>
      <c r="N1088" s="4" cm="1">
        <f t="array" ref="N1088">SUM(--(_xlfn.TEXTSPLIT($J$852,, " ") = L1088))</f>
        <v>2</v>
      </c>
    </row>
    <row r="1089" spans="5:14" x14ac:dyDescent="0.2">
      <c r="E1089" s="4" t="s">
        <v>17</v>
      </c>
      <c r="K1089" t="str">
        <v xml:space="preserve">way)
</v>
      </c>
      <c r="M1089" s="4" t="str">
        <f t="shared" si="16"/>
        <v xml:space="preserve">way  </v>
      </c>
      <c r="N1089" s="4" cm="1">
        <f t="array" ref="N1089">SUM(--(_xlfn.TEXTSPLIT($J$852,, " ") = L1089))</f>
        <v>2</v>
      </c>
    </row>
    <row r="1090" spans="5:14" x14ac:dyDescent="0.2">
      <c r="E1090" s="4" t="s">
        <v>17</v>
      </c>
      <c r="K1090" t="str">
        <v>Even</v>
      </c>
      <c r="M1090" s="4" t="str">
        <f t="shared" si="16"/>
        <v>Even</v>
      </c>
      <c r="N1090" s="4" cm="1">
        <f t="array" ref="N1090">SUM(--(_xlfn.TEXTSPLIT($J$852,, " ") = L1090))</f>
        <v>2</v>
      </c>
    </row>
    <row r="1091" spans="5:14" x14ac:dyDescent="0.2">
      <c r="E1091" s="4" t="s">
        <v>17</v>
      </c>
      <c r="K1091" t="str">
        <v>now,</v>
      </c>
      <c r="M1091" s="4" t="str">
        <f t="shared" ref="M1091:M1154" si="17">_xlfn.REGEXREPLACE(K1091, "[^A-Za-z ]", " ")</f>
        <v xml:space="preserve">now </v>
      </c>
      <c r="N1091" s="4" cm="1">
        <f t="array" ref="N1091">SUM(--(_xlfn.TEXTSPLIT($J$852,, " ") = L1091))</f>
        <v>2</v>
      </c>
    </row>
    <row r="1092" spans="5:14" x14ac:dyDescent="0.2">
      <c r="E1092" s="4" t="s">
        <v>17</v>
      </c>
      <c r="K1092" t="str">
        <v>well</v>
      </c>
      <c r="M1092" s="4" t="str">
        <f t="shared" si="17"/>
        <v>well</v>
      </c>
      <c r="N1092" s="4" cm="1">
        <f t="array" ref="N1092">SUM(--(_xlfn.TEXTSPLIT($J$852,, " ") = L1092))</f>
        <v>2</v>
      </c>
    </row>
    <row r="1093" spans="5:14" x14ac:dyDescent="0.2">
      <c r="E1093" s="4" t="s">
        <v>17</v>
      </c>
      <c r="K1093" t="str">
        <v>even</v>
      </c>
      <c r="M1093" s="4" t="str">
        <f t="shared" si="17"/>
        <v>even</v>
      </c>
      <c r="N1093" s="4" cm="1">
        <f t="array" ref="N1093">SUM(--(_xlfn.TEXTSPLIT($J$852,, " ") = L1093))</f>
        <v>2</v>
      </c>
    </row>
    <row r="1094" spans="5:14" x14ac:dyDescent="0.2">
      <c r="E1094" s="4" t="s">
        <v>17</v>
      </c>
      <c r="K1094" t="str">
        <v>now,</v>
      </c>
      <c r="M1094" s="4" t="str">
        <f t="shared" si="17"/>
        <v xml:space="preserve">now </v>
      </c>
      <c r="N1094" s="4" cm="1">
        <f t="array" ref="N1094">SUM(--(_xlfn.TEXTSPLIT($J$852,, " ") = L1094))</f>
        <v>2</v>
      </c>
    </row>
    <row r="1095" spans="5:14" x14ac:dyDescent="0.2">
      <c r="E1095" s="4" t="s">
        <v>17</v>
      </c>
      <c r="K1095" t="str">
        <v>well</v>
      </c>
      <c r="M1095" s="4" t="str">
        <f t="shared" si="17"/>
        <v>well</v>
      </c>
      <c r="N1095" s="4" cm="1">
        <f t="array" ref="N1095">SUM(--(_xlfn.TEXTSPLIT($J$852,, " ") = L1095))</f>
        <v>2</v>
      </c>
    </row>
    <row r="1096" spans="5:14" x14ac:dyDescent="0.2">
      <c r="E1096" s="4" t="s">
        <v>17</v>
      </c>
      <c r="K1096" t="str">
        <v>even</v>
      </c>
      <c r="M1096" s="4" t="str">
        <f t="shared" si="17"/>
        <v>even</v>
      </c>
      <c r="N1096" s="4" cm="1">
        <f t="array" ref="N1096">SUM(--(_xlfn.TEXTSPLIT($J$852,, " ") = L1096))</f>
        <v>2</v>
      </c>
    </row>
    <row r="1097" spans="5:14" x14ac:dyDescent="0.2">
      <c r="E1097" s="4" t="s">
        <v>17</v>
      </c>
      <c r="K1097" t="str">
        <v xml:space="preserve">now
</v>
      </c>
      <c r="M1097" s="4" t="str">
        <f t="shared" si="17"/>
        <v xml:space="preserve">now </v>
      </c>
      <c r="N1097" s="4" cm="1">
        <f t="array" ref="N1097">SUM(--(_xlfn.TEXTSPLIT($J$852,, " ") = L1097))</f>
        <v>2</v>
      </c>
    </row>
    <row r="1098" spans="5:14" x14ac:dyDescent="0.2">
      <c r="E1098" s="4" t="s">
        <v>17</v>
      </c>
      <c r="K1098" t="str">
        <v>He'll</v>
      </c>
      <c r="M1098" s="4" t="str">
        <f t="shared" si="17"/>
        <v>He ll</v>
      </c>
      <c r="N1098" s="4" cm="1">
        <f t="array" ref="N1098">SUM(--(_xlfn.TEXTSPLIT($J$852,, " ") = L1098))</f>
        <v>2</v>
      </c>
    </row>
    <row r="1099" spans="5:14" x14ac:dyDescent="0.2">
      <c r="E1099" s="4" t="s">
        <v>17</v>
      </c>
      <c r="K1099" t="str">
        <v>never</v>
      </c>
      <c r="M1099" s="4" t="str">
        <f t="shared" si="17"/>
        <v>never</v>
      </c>
      <c r="N1099" s="4" cm="1">
        <f t="array" ref="N1099">SUM(--(_xlfn.TEXTSPLIT($J$852,, " ") = L1099))</f>
        <v>2</v>
      </c>
    </row>
    <row r="1100" spans="5:14" x14ac:dyDescent="0.2">
      <c r="E1100" s="4" t="s">
        <v>17</v>
      </c>
      <c r="K1100" t="str">
        <v>ever</v>
      </c>
      <c r="M1100" s="4" t="str">
        <f t="shared" si="17"/>
        <v>ever</v>
      </c>
      <c r="N1100" s="4" cm="1">
        <f t="array" ref="N1100">SUM(--(_xlfn.TEXTSPLIT($J$852,, " ") = L1100))</f>
        <v>2</v>
      </c>
    </row>
    <row r="1101" spans="5:14" x14ac:dyDescent="0.2">
      <c r="E1101" s="4" t="s">
        <v>17</v>
      </c>
      <c r="K1101" t="str">
        <v>say</v>
      </c>
      <c r="M1101" s="4" t="str">
        <f t="shared" si="17"/>
        <v>say</v>
      </c>
      <c r="N1101" s="4" cm="1">
        <f t="array" ref="N1101">SUM(--(_xlfn.TEXTSPLIT($J$852,, " ") = L1101))</f>
        <v>2</v>
      </c>
    </row>
    <row r="1102" spans="5:14" x14ac:dyDescent="0.2">
      <c r="E1102" s="4" t="s">
        <v>17</v>
      </c>
      <c r="K1102" t="str">
        <v>so</v>
      </c>
      <c r="M1102" s="4" t="str">
        <f t="shared" si="17"/>
        <v>so</v>
      </c>
      <c r="N1102" s="4" cm="1">
        <f t="array" ref="N1102">SUM(--(_xlfn.TEXTSPLIT($J$852,, " ") = L1102))</f>
        <v>2</v>
      </c>
    </row>
    <row r="1103" spans="5:14" x14ac:dyDescent="0.2">
      <c r="E1103" s="4" t="s">
        <v>17</v>
      </c>
      <c r="K1103" t="str">
        <v>(I</v>
      </c>
      <c r="M1103" s="4" t="str">
        <f t="shared" si="17"/>
        <v xml:space="preserve"> I</v>
      </c>
      <c r="N1103" s="4" cm="1">
        <f t="array" ref="N1103">SUM(--(_xlfn.TEXTSPLIT($J$852,, " ") = L1103))</f>
        <v>2</v>
      </c>
    </row>
    <row r="1104" spans="5:14" x14ac:dyDescent="0.2">
      <c r="E1104" s="4" t="s">
        <v>17</v>
      </c>
      <c r="K1104" t="str">
        <v>want</v>
      </c>
      <c r="M1104" s="4" t="str">
        <f t="shared" si="17"/>
        <v>want</v>
      </c>
      <c r="N1104" s="4" cm="1">
        <f t="array" ref="N1104">SUM(--(_xlfn.TEXTSPLIT($J$852,, " ") = L1104))</f>
        <v>2</v>
      </c>
    </row>
    <row r="1105" spans="5:14" x14ac:dyDescent="0.2">
      <c r="E1105" s="4" t="s">
        <v>17</v>
      </c>
      <c r="K1105" t="str">
        <v>to</v>
      </c>
      <c r="M1105" s="4" t="str">
        <f t="shared" si="17"/>
        <v>to</v>
      </c>
      <c r="N1105" s="4" cm="1">
        <f t="array" ref="N1105">SUM(--(_xlfn.TEXTSPLIT($J$852,, " ") = L1105))</f>
        <v>2</v>
      </c>
    </row>
    <row r="1106" spans="5:14" x14ac:dyDescent="0.2">
      <c r="E1106" s="4" t="s">
        <v>17</v>
      </c>
      <c r="K1106" t="str">
        <v xml:space="preserve">change)
</v>
      </c>
      <c r="M1106" s="4" t="str">
        <f t="shared" si="17"/>
        <v xml:space="preserve">change  </v>
      </c>
      <c r="N1106" s="4" cm="1">
        <f t="array" ref="N1106">SUM(--(_xlfn.TEXTSPLIT($J$852,, " ") = L1106))</f>
        <v>2</v>
      </c>
    </row>
    <row r="1107" spans="5:14" x14ac:dyDescent="0.2">
      <c r="E1107" s="4" t="s">
        <v>17</v>
      </c>
      <c r="K1107" t="str">
        <v>He</v>
      </c>
      <c r="M1107" s="4" t="str">
        <f t="shared" si="17"/>
        <v>He</v>
      </c>
      <c r="N1107" s="4" cm="1">
        <f t="array" ref="N1107">SUM(--(_xlfn.TEXTSPLIT($J$852,, " ") = L1107))</f>
        <v>2</v>
      </c>
    </row>
    <row r="1108" spans="5:14" x14ac:dyDescent="0.2">
      <c r="E1108" s="4" t="s">
        <v>17</v>
      </c>
      <c r="K1108" t="str">
        <v>drives</v>
      </c>
      <c r="M1108" s="4" t="str">
        <f t="shared" si="17"/>
        <v>drives</v>
      </c>
      <c r="N1108" s="4" cm="1">
        <f t="array" ref="N1108">SUM(--(_xlfn.TEXTSPLIT($J$852,, " ") = L1108))</f>
        <v>2</v>
      </c>
    </row>
    <row r="1109" spans="5:14" x14ac:dyDescent="0.2">
      <c r="E1109" s="4" t="s">
        <v>17</v>
      </c>
      <c r="K1109" t="str">
        <v>fast</v>
      </c>
      <c r="M1109" s="4" t="str">
        <f t="shared" si="17"/>
        <v>fast</v>
      </c>
      <c r="N1109" s="4" cm="1">
        <f t="array" ref="N1109">SUM(--(_xlfn.TEXTSPLIT($J$852,, " ") = L1109))</f>
        <v>2</v>
      </c>
    </row>
    <row r="1110" spans="5:14" x14ac:dyDescent="0.2">
      <c r="E1110" s="4" t="s">
        <v>17</v>
      </c>
      <c r="K1110" t="str">
        <v>just</v>
      </c>
      <c r="M1110" s="4" t="str">
        <f t="shared" si="17"/>
        <v>just</v>
      </c>
      <c r="N1110" s="4" cm="1">
        <f t="array" ref="N1110">SUM(--(_xlfn.TEXTSPLIT($J$852,, " ") = L1110))</f>
        <v>2</v>
      </c>
    </row>
    <row r="1111" spans="5:14" x14ac:dyDescent="0.2">
      <c r="E1111" s="4" t="s">
        <v>17</v>
      </c>
      <c r="K1111" t="str">
        <v>to</v>
      </c>
      <c r="M1111" s="4" t="str">
        <f t="shared" si="17"/>
        <v>to</v>
      </c>
      <c r="N1111" s="4" cm="1">
        <f t="array" ref="N1111">SUM(--(_xlfn.TEXTSPLIT($J$852,, " ") = L1111))</f>
        <v>2</v>
      </c>
    </row>
    <row r="1112" spans="5:14" x14ac:dyDescent="0.2">
      <c r="E1112" s="4" t="s">
        <v>17</v>
      </c>
      <c r="K1112" t="str">
        <v>feel</v>
      </c>
      <c r="M1112" s="4" t="str">
        <f t="shared" si="17"/>
        <v>feel</v>
      </c>
      <c r="N1112" s="4" cm="1">
        <f t="array" ref="N1112">SUM(--(_xlfn.TEXTSPLIT($J$852,, " ") = L1112))</f>
        <v>2</v>
      </c>
    </row>
    <row r="1113" spans="5:14" x14ac:dyDescent="0.2">
      <c r="E1113" s="4" t="s">
        <v>17</v>
      </c>
      <c r="K1113" t="str">
        <v>it,</v>
      </c>
      <c r="M1113" s="4" t="str">
        <f t="shared" si="17"/>
        <v xml:space="preserve">it </v>
      </c>
      <c r="N1113" s="4" cm="1">
        <f t="array" ref="N1113">SUM(--(_xlfn.TEXTSPLIT($J$852,, " ") = L1113))</f>
        <v>2</v>
      </c>
    </row>
    <row r="1114" spans="5:14" x14ac:dyDescent="0.2">
      <c r="E1114" s="4" t="s">
        <v>17</v>
      </c>
      <c r="K1114" t="str">
        <v>feel</v>
      </c>
      <c r="M1114" s="4" t="str">
        <f t="shared" si="17"/>
        <v>feel</v>
      </c>
      <c r="N1114" s="4" cm="1">
        <f t="array" ref="N1114">SUM(--(_xlfn.TEXTSPLIT($J$852,, " ") = L1114))</f>
        <v>2</v>
      </c>
    </row>
    <row r="1115" spans="5:14" x14ac:dyDescent="0.2">
      <c r="E1115" s="4" t="s">
        <v>17</v>
      </c>
      <c r="K1115" t="str">
        <v>it</v>
      </c>
      <c r="M1115" s="4" t="str">
        <f t="shared" si="17"/>
        <v>it</v>
      </c>
      <c r="N1115" s="4" cm="1">
        <f t="array" ref="N1115">SUM(--(_xlfn.TEXTSPLIT($J$852,, " ") = L1115))</f>
        <v>2</v>
      </c>
    </row>
    <row r="1116" spans="5:14" x14ac:dyDescent="0.2">
      <c r="E1116" s="4" t="s">
        <v>17</v>
      </c>
      <c r="K1116" t="str">
        <v>(Feel</v>
      </c>
      <c r="M1116" s="4" t="str">
        <f t="shared" si="17"/>
        <v xml:space="preserve"> Feel</v>
      </c>
      <c r="N1116" s="4" cm="1">
        <f t="array" ref="N1116">SUM(--(_xlfn.TEXTSPLIT($J$852,, " ") = L1116))</f>
        <v>2</v>
      </c>
    </row>
    <row r="1117" spans="5:14" x14ac:dyDescent="0.2">
      <c r="E1117" s="4" t="s">
        <v>17</v>
      </c>
      <c r="K1117" t="str">
        <v xml:space="preserve">it)
</v>
      </c>
      <c r="M1117" s="4" t="str">
        <f t="shared" si="17"/>
        <v xml:space="preserve">it  </v>
      </c>
      <c r="N1117" s="4" cm="1">
        <f t="array" ref="N1117">SUM(--(_xlfn.TEXTSPLIT($J$852,, " ") = L1117))</f>
        <v>2</v>
      </c>
    </row>
    <row r="1118" spans="5:14" x14ac:dyDescent="0.2">
      <c r="E1118" s="4" t="s">
        <v>17</v>
      </c>
      <c r="K1118" t="str">
        <v>He</v>
      </c>
      <c r="M1118" s="4" t="str">
        <f t="shared" si="17"/>
        <v>He</v>
      </c>
      <c r="N1118" s="4" cm="1">
        <f t="array" ref="N1118">SUM(--(_xlfn.TEXTSPLIT($J$852,, " ") = L1118))</f>
        <v>2</v>
      </c>
    </row>
    <row r="1119" spans="5:14" x14ac:dyDescent="0.2">
      <c r="E1119" s="4" t="s">
        <v>17</v>
      </c>
      <c r="K1119" t="str">
        <v>drives</v>
      </c>
      <c r="M1119" s="4" t="str">
        <f t="shared" si="17"/>
        <v>drives</v>
      </c>
      <c r="N1119" s="4" cm="1">
        <f t="array" ref="N1119">SUM(--(_xlfn.TEXTSPLIT($J$852,, " ") = L1119))</f>
        <v>2</v>
      </c>
    </row>
    <row r="1120" spans="5:14" x14ac:dyDescent="0.2">
      <c r="E1120" s="4" t="s">
        <v>17</v>
      </c>
      <c r="K1120" t="str">
        <v>slow</v>
      </c>
      <c r="M1120" s="4" t="str">
        <f t="shared" si="17"/>
        <v>slow</v>
      </c>
      <c r="N1120" s="4" cm="1">
        <f t="array" ref="N1120">SUM(--(_xlfn.TEXTSPLIT($J$852,, " ") = L1120))</f>
        <v>2</v>
      </c>
    </row>
    <row r="1121" spans="5:14" x14ac:dyDescent="0.2">
      <c r="E1121" s="4" t="s">
        <v>17</v>
      </c>
      <c r="K1121" t="str">
        <v>if</v>
      </c>
      <c r="M1121" s="4" t="str">
        <f t="shared" si="17"/>
        <v>if</v>
      </c>
      <c r="N1121" s="4" cm="1">
        <f t="array" ref="N1121">SUM(--(_xlfn.TEXTSPLIT($J$852,, " ") = L1121))</f>
        <v>2</v>
      </c>
    </row>
    <row r="1122" spans="5:14" x14ac:dyDescent="0.2">
      <c r="E1122" s="4" t="s">
        <v>17</v>
      </c>
      <c r="K1122" t="str">
        <v>his</v>
      </c>
      <c r="M1122" s="4" t="str">
        <f t="shared" si="17"/>
        <v>his</v>
      </c>
      <c r="N1122" s="4" cm="1">
        <f t="array" ref="N1122">SUM(--(_xlfn.TEXTSPLIT($J$852,, " ") = L1122))</f>
        <v>2</v>
      </c>
    </row>
    <row r="1123" spans="5:14" x14ac:dyDescent="0.2">
      <c r="E1123" s="4" t="s">
        <v>17</v>
      </c>
      <c r="K1123" t="str">
        <v>song's</v>
      </c>
      <c r="M1123" s="4" t="str">
        <f t="shared" si="17"/>
        <v>song s</v>
      </c>
      <c r="N1123" s="4" cm="1">
        <f t="array" ref="N1123">SUM(--(_xlfn.TEXTSPLIT($J$852,, " ") = L1123))</f>
        <v>2</v>
      </c>
    </row>
    <row r="1124" spans="5:14" x14ac:dyDescent="0.2">
      <c r="E1124" s="4" t="s">
        <v>17</v>
      </c>
      <c r="K1124" t="str">
        <v>not</v>
      </c>
      <c r="M1124" s="4" t="str">
        <f t="shared" si="17"/>
        <v>not</v>
      </c>
      <c r="N1124" s="4" cm="1">
        <f t="array" ref="N1124">SUM(--(_xlfn.TEXTSPLIT($J$852,, " ") = L1124))</f>
        <v>2</v>
      </c>
    </row>
    <row r="1125" spans="5:14" x14ac:dyDescent="0.2">
      <c r="E1125" s="4" t="s">
        <v>17</v>
      </c>
      <c r="K1125" t="str">
        <v>over</v>
      </c>
      <c r="M1125" s="4" t="str">
        <f t="shared" si="17"/>
        <v>over</v>
      </c>
      <c r="N1125" s="4" cm="1">
        <f t="array" ref="N1125">SUM(--(_xlfn.TEXTSPLIT($J$852,, " ") = L1125))</f>
        <v>2</v>
      </c>
    </row>
    <row r="1126" spans="5:14" x14ac:dyDescent="0.2">
      <c r="E1126" s="4" t="s">
        <v>17</v>
      </c>
      <c r="K1126" t="str">
        <v>(I've</v>
      </c>
      <c r="M1126" s="4" t="str">
        <f t="shared" si="17"/>
        <v xml:space="preserve"> I ve</v>
      </c>
      <c r="N1126" s="4" cm="1">
        <f t="array" ref="N1126">SUM(--(_xlfn.TEXTSPLIT($J$852,, " ") = L1126))</f>
        <v>2</v>
      </c>
    </row>
    <row r="1127" spans="5:14" x14ac:dyDescent="0.2">
      <c r="E1127" s="4" t="s">
        <v>17</v>
      </c>
      <c r="K1127" t="str">
        <v>been</v>
      </c>
      <c r="M1127" s="4" t="str">
        <f t="shared" si="17"/>
        <v>been</v>
      </c>
      <c r="N1127" s="4" cm="1">
        <f t="array" ref="N1127">SUM(--(_xlfn.TEXTSPLIT($J$852,, " ") = L1127))</f>
        <v>2</v>
      </c>
    </row>
    <row r="1128" spans="5:14" x14ac:dyDescent="0.2">
      <c r="E1128" s="4" t="s">
        <v>17</v>
      </c>
      <c r="K1128" t="str">
        <v>this</v>
      </c>
      <c r="M1128" s="4" t="str">
        <f t="shared" si="17"/>
        <v>this</v>
      </c>
      <c r="N1128" s="4" cm="1">
        <f t="array" ref="N1128">SUM(--(_xlfn.TEXTSPLIT($J$852,, " ") = L1128))</f>
        <v>2</v>
      </c>
    </row>
    <row r="1129" spans="5:14" x14ac:dyDescent="0.2">
      <c r="E1129" s="4" t="s">
        <v>17</v>
      </c>
      <c r="K1129" t="str">
        <v>way)</v>
      </c>
      <c r="M1129" s="4" t="str">
        <f t="shared" si="17"/>
        <v xml:space="preserve">way </v>
      </c>
      <c r="N1129" s="4" cm="1">
        <f t="array" ref="N1129">SUM(--(_xlfn.TEXTSPLIT($J$852,, " ") = L1129))</f>
        <v>2</v>
      </c>
    </row>
    <row r="1130" spans="5:14" x14ac:dyDescent="0.2">
      <c r="E1130" s="4" t="s">
        <v>17</v>
      </c>
      <c r="K1130" t="str">
        <v>(Feel</v>
      </c>
      <c r="M1130" s="4" t="str">
        <f t="shared" si="17"/>
        <v xml:space="preserve"> Feel</v>
      </c>
      <c r="N1130" s="4" cm="1">
        <f t="array" ref="N1130">SUM(--(_xlfn.TEXTSPLIT($J$852,, " ") = L1130))</f>
        <v>2</v>
      </c>
    </row>
    <row r="1131" spans="5:14" x14ac:dyDescent="0.2">
      <c r="E1131" s="4" t="s">
        <v>17</v>
      </c>
      <c r="K1131" t="str">
        <v xml:space="preserve">it)
</v>
      </c>
      <c r="M1131" s="4" t="str">
        <f t="shared" si="17"/>
        <v xml:space="preserve">it  </v>
      </c>
      <c r="N1131" s="4" cm="1">
        <f t="array" ref="N1131">SUM(--(_xlfn.TEXTSPLIT($J$852,, " ") = L1131))</f>
        <v>2</v>
      </c>
    </row>
    <row r="1132" spans="5:14" x14ac:dyDescent="0.2">
      <c r="E1132" s="4" t="s">
        <v>17</v>
      </c>
      <c r="K1132" t="str">
        <v>Drown</v>
      </c>
      <c r="M1132" s="4" t="str">
        <f t="shared" si="17"/>
        <v>Drown</v>
      </c>
      <c r="N1132" s="4" cm="1">
        <f t="array" ref="N1132">SUM(--(_xlfn.TEXTSPLIT($J$852,, " ") = L1132))</f>
        <v>2</v>
      </c>
    </row>
    <row r="1133" spans="5:14" x14ac:dyDescent="0.2">
      <c r="E1133" s="4" t="s">
        <v>17</v>
      </c>
      <c r="K1133" t="str">
        <v>it</v>
      </c>
      <c r="M1133" s="4" t="str">
        <f t="shared" si="17"/>
        <v>it</v>
      </c>
      <c r="N1133" s="4" cm="1">
        <f t="array" ref="N1133">SUM(--(_xlfn.TEXTSPLIT($J$852,, " ") = L1133))</f>
        <v>2</v>
      </c>
    </row>
    <row r="1134" spans="5:14" x14ac:dyDescent="0.2">
      <c r="E1134" s="4" t="s">
        <v>17</v>
      </c>
      <c r="K1134" t="str">
        <v>out,</v>
      </c>
      <c r="M1134" s="4" t="str">
        <f t="shared" si="17"/>
        <v xml:space="preserve">out </v>
      </c>
      <c r="N1134" s="4" cm="1">
        <f t="array" ref="N1134">SUM(--(_xlfn.TEXTSPLIT($J$852,, " ") = L1134))</f>
        <v>2</v>
      </c>
    </row>
    <row r="1135" spans="5:14" x14ac:dyDescent="0.2">
      <c r="E1135" s="4" t="s">
        <v>17</v>
      </c>
      <c r="K1135" t="str">
        <v>drown</v>
      </c>
      <c r="M1135" s="4" t="str">
        <f t="shared" si="17"/>
        <v>drown</v>
      </c>
      <c r="N1135" s="4" cm="1">
        <f t="array" ref="N1135">SUM(--(_xlfn.TEXTSPLIT($J$852,, " ") = L1135))</f>
        <v>2</v>
      </c>
    </row>
    <row r="1136" spans="5:14" x14ac:dyDescent="0.2">
      <c r="E1136" s="4" t="s">
        <v>17</v>
      </c>
      <c r="K1136" t="str">
        <v>it</v>
      </c>
      <c r="M1136" s="4" t="str">
        <f t="shared" si="17"/>
        <v>it</v>
      </c>
      <c r="N1136" s="4" cm="1">
        <f t="array" ref="N1136">SUM(--(_xlfn.TEXTSPLIT($J$852,, " ") = L1136))</f>
        <v>2</v>
      </c>
    </row>
    <row r="1137" spans="5:14" x14ac:dyDescent="0.2">
      <c r="E1137" s="4" t="s">
        <v>17</v>
      </c>
      <c r="K1137" t="str">
        <v>out</v>
      </c>
      <c r="M1137" s="4" t="str">
        <f t="shared" si="17"/>
        <v>out</v>
      </c>
      <c r="N1137" s="4" cm="1">
        <f t="array" ref="N1137">SUM(--(_xlfn.TEXTSPLIT($J$852,, " ") = L1137))</f>
        <v>2</v>
      </c>
    </row>
    <row r="1138" spans="5:14" x14ac:dyDescent="0.2">
      <c r="E1138" s="4" t="s">
        <v>17</v>
      </c>
      <c r="K1138" t="str">
        <v>(I</v>
      </c>
      <c r="M1138" s="4" t="str">
        <f t="shared" si="17"/>
        <v xml:space="preserve"> I</v>
      </c>
      <c r="N1138" s="4" cm="1">
        <f t="array" ref="N1138">SUM(--(_xlfn.TEXTSPLIT($J$852,, " ") = L1138))</f>
        <v>2</v>
      </c>
    </row>
    <row r="1139" spans="5:14" x14ac:dyDescent="0.2">
      <c r="E1139" s="4" t="s">
        <v>17</v>
      </c>
      <c r="K1139" t="str">
        <v>want</v>
      </c>
      <c r="M1139" s="4" t="str">
        <f t="shared" si="17"/>
        <v>want</v>
      </c>
      <c r="N1139" s="4" cm="1">
        <f t="array" ref="N1139">SUM(--(_xlfn.TEXTSPLIT($J$852,, " ") = L1139))</f>
        <v>2</v>
      </c>
    </row>
    <row r="1140" spans="5:14" x14ac:dyDescent="0.2">
      <c r="E1140" s="4" t="s">
        <v>17</v>
      </c>
      <c r="K1140" t="str">
        <v>to</v>
      </c>
      <c r="M1140" s="4" t="str">
        <f t="shared" si="17"/>
        <v>to</v>
      </c>
      <c r="N1140" s="4" cm="1">
        <f t="array" ref="N1140">SUM(--(_xlfn.TEXTSPLIT($J$852,, " ") = L1140))</f>
        <v>2</v>
      </c>
    </row>
    <row r="1141" spans="5:14" x14ac:dyDescent="0.2">
      <c r="E1141" s="4" t="s">
        <v>17</v>
      </c>
      <c r="K1141" t="str">
        <v xml:space="preserve">change)
</v>
      </c>
      <c r="M1141" s="4" t="str">
        <f t="shared" si="17"/>
        <v xml:space="preserve">change   </v>
      </c>
      <c r="N1141" s="4" cm="1">
        <f t="array" ref="N1141">SUM(--(_xlfn.TEXTSPLIT($J$852,, " ") = L1141))</f>
        <v>2</v>
      </c>
    </row>
    <row r="1142" spans="5:14" x14ac:dyDescent="0.2">
      <c r="E1142" s="4" t="s">
        <v>17</v>
      </c>
      <c r="K1142" t="str">
        <v>I've</v>
      </c>
      <c r="M1142" s="4" t="str">
        <f t="shared" si="17"/>
        <v>I ve</v>
      </c>
      <c r="N1142" s="4" cm="1">
        <f t="array" ref="N1142">SUM(--(_xlfn.TEXTSPLIT($J$852,, " ") = L1142))</f>
        <v>2</v>
      </c>
    </row>
    <row r="1143" spans="5:14" x14ac:dyDescent="0.2">
      <c r="E1143" s="4" t="s">
        <v>17</v>
      </c>
      <c r="K1143" t="str">
        <v>been</v>
      </c>
      <c r="M1143" s="4" t="str">
        <f t="shared" si="17"/>
        <v>been</v>
      </c>
      <c r="N1143" s="4" cm="1">
        <f t="array" ref="N1143">SUM(--(_xlfn.TEXTSPLIT($J$852,, " ") = L1143))</f>
        <v>2</v>
      </c>
    </row>
    <row r="1144" spans="5:14" x14ac:dyDescent="0.2">
      <c r="E1144" s="4" t="s">
        <v>17</v>
      </c>
      <c r="K1144" t="str">
        <v>this</v>
      </c>
      <c r="M1144" s="4" t="str">
        <f t="shared" si="17"/>
        <v>this</v>
      </c>
      <c r="N1144" s="4" cm="1">
        <f t="array" ref="N1144">SUM(--(_xlfn.TEXTSPLIT($J$852,, " ") = L1144))</f>
        <v>2</v>
      </c>
    </row>
    <row r="1145" spans="5:14" x14ac:dyDescent="0.2">
      <c r="E1145" s="4" t="s">
        <v>17</v>
      </c>
      <c r="K1145" t="str">
        <v>way</v>
      </c>
      <c r="M1145" s="4" t="str">
        <f t="shared" si="17"/>
        <v>way</v>
      </c>
      <c r="N1145" s="4" cm="1">
        <f t="array" ref="N1145">SUM(--(_xlfn.TEXTSPLIT($J$852,, " ") = L1145))</f>
        <v>2</v>
      </c>
    </row>
    <row r="1146" spans="5:14" x14ac:dyDescent="0.2">
      <c r="E1146" s="4" t="s">
        <v>17</v>
      </c>
      <c r="K1146" t="str">
        <v>(Feel</v>
      </c>
      <c r="M1146" s="4" t="str">
        <f t="shared" si="17"/>
        <v xml:space="preserve"> Feel</v>
      </c>
      <c r="N1146" s="4" cm="1">
        <f t="array" ref="N1146">SUM(--(_xlfn.TEXTSPLIT($J$852,, " ") = L1146))</f>
        <v>2</v>
      </c>
    </row>
    <row r="1147" spans="5:14" x14ac:dyDescent="0.2">
      <c r="E1147" s="4" t="s">
        <v>17</v>
      </c>
      <c r="K1147" t="str">
        <v>it,</v>
      </c>
      <c r="M1147" s="4" t="str">
        <f t="shared" si="17"/>
        <v xml:space="preserve">it </v>
      </c>
      <c r="N1147" s="4" cm="1">
        <f t="array" ref="N1147">SUM(--(_xlfn.TEXTSPLIT($J$852,, " ") = L1147))</f>
        <v>2</v>
      </c>
    </row>
    <row r="1148" spans="5:14" x14ac:dyDescent="0.2">
      <c r="E1148" s="4" t="s">
        <v>17</v>
      </c>
      <c r="K1148" t="str">
        <v>feel</v>
      </c>
      <c r="M1148" s="4" t="str">
        <f t="shared" si="17"/>
        <v>feel</v>
      </c>
      <c r="N1148" s="4" cm="1">
        <f t="array" ref="N1148">SUM(--(_xlfn.TEXTSPLIT($J$852,, " ") = L1148))</f>
        <v>2</v>
      </c>
    </row>
    <row r="1149" spans="5:14" x14ac:dyDescent="0.2">
      <c r="E1149" s="4" t="s">
        <v>17</v>
      </c>
      <c r="K1149" t="str">
        <v xml:space="preserve">it)
</v>
      </c>
      <c r="M1149" s="4" t="str">
        <f t="shared" si="17"/>
        <v xml:space="preserve">it  </v>
      </c>
      <c r="N1149" s="4" cm="1">
        <f t="array" ref="N1149">SUM(--(_xlfn.TEXTSPLIT($J$852,, " ") = L1149))</f>
        <v>2</v>
      </c>
    </row>
    <row r="1150" spans="5:14" x14ac:dyDescent="0.2">
      <c r="E1150" s="4" t="s">
        <v>17</v>
      </c>
      <c r="K1150" t="str">
        <v>I</v>
      </c>
      <c r="M1150" s="4" t="str">
        <f t="shared" si="17"/>
        <v>I</v>
      </c>
      <c r="N1150" s="4" cm="1">
        <f t="array" ref="N1150">SUM(--(_xlfn.TEXTSPLIT($J$852,, " ") = L1150))</f>
        <v>2</v>
      </c>
    </row>
    <row r="1151" spans="5:14" x14ac:dyDescent="0.2">
      <c r="E1151" s="4" t="s">
        <v>17</v>
      </c>
      <c r="K1151" t="str">
        <v>want</v>
      </c>
      <c r="M1151" s="4" t="str">
        <f t="shared" si="17"/>
        <v>want</v>
      </c>
      <c r="N1151" s="4" cm="1">
        <f t="array" ref="N1151">SUM(--(_xlfn.TEXTSPLIT($J$852,, " ") = L1151))</f>
        <v>2</v>
      </c>
    </row>
    <row r="1152" spans="5:14" x14ac:dyDescent="0.2">
      <c r="E1152" s="4" t="s">
        <v>17</v>
      </c>
      <c r="K1152" t="str">
        <v>to</v>
      </c>
      <c r="M1152" s="4" t="str">
        <f t="shared" si="17"/>
        <v>to</v>
      </c>
      <c r="N1152" s="4" cm="1">
        <f t="array" ref="N1152">SUM(--(_xlfn.TEXTSPLIT($J$852,, " ") = L1152))</f>
        <v>2</v>
      </c>
    </row>
    <row r="1153" spans="5:14" x14ac:dyDescent="0.2">
      <c r="E1153" s="4" t="s">
        <v>17</v>
      </c>
      <c r="K1153" t="str">
        <v>change</v>
      </c>
      <c r="M1153" s="4" t="str">
        <f t="shared" si="17"/>
        <v>change</v>
      </c>
      <c r="N1153" s="4" cm="1">
        <f t="array" ref="N1153">SUM(--(_xlfn.TEXTSPLIT($J$852,, " ") = L1153))</f>
        <v>2</v>
      </c>
    </row>
    <row r="1154" spans="5:14" x14ac:dyDescent="0.2">
      <c r="E1154" s="4" t="s">
        <v>17</v>
      </c>
      <c r="K1154" t="str">
        <v>(Feel</v>
      </c>
      <c r="M1154" s="4" t="str">
        <f t="shared" si="17"/>
        <v xml:space="preserve"> Feel</v>
      </c>
      <c r="N1154" s="4" cm="1">
        <f t="array" ref="N1154">SUM(--(_xlfn.TEXTSPLIT($J$852,, " ") = L1154))</f>
        <v>2</v>
      </c>
    </row>
    <row r="1155" spans="5:14" x14ac:dyDescent="0.2">
      <c r="E1155" s="4" t="s">
        <v>17</v>
      </c>
      <c r="K1155" t="str">
        <v>it,</v>
      </c>
      <c r="M1155" s="4" t="str">
        <f t="shared" ref="M1155:M1209" si="18">_xlfn.REGEXREPLACE(K1155, "[^A-Za-z ]", " ")</f>
        <v xml:space="preserve">it </v>
      </c>
      <c r="N1155" s="4" cm="1">
        <f t="array" ref="N1155">SUM(--(_xlfn.TEXTSPLIT($J$852,, " ") = L1155))</f>
        <v>2</v>
      </c>
    </row>
    <row r="1156" spans="5:14" x14ac:dyDescent="0.2">
      <c r="E1156" s="4" t="s">
        <v>17</v>
      </c>
      <c r="K1156" t="str">
        <v>feel</v>
      </c>
      <c r="M1156" s="4" t="str">
        <f t="shared" si="18"/>
        <v>feel</v>
      </c>
      <c r="N1156" s="4" cm="1">
        <f t="array" ref="N1156">SUM(--(_xlfn.TEXTSPLIT($J$852,, " ") = L1156))</f>
        <v>2</v>
      </c>
    </row>
    <row r="1157" spans="5:14" x14ac:dyDescent="0.2">
      <c r="E1157" s="4" t="s">
        <v>17</v>
      </c>
      <c r="K1157" t="str">
        <v xml:space="preserve">it)
</v>
      </c>
      <c r="M1157" s="4" t="str">
        <f t="shared" si="18"/>
        <v xml:space="preserve">it  </v>
      </c>
      <c r="N1157" s="4" cm="1">
        <f t="array" ref="N1157">SUM(--(_xlfn.TEXTSPLIT($J$852,, " ") = L1157))</f>
        <v>2</v>
      </c>
    </row>
    <row r="1158" spans="5:14" x14ac:dyDescent="0.2">
      <c r="E1158" s="4" t="s">
        <v>17</v>
      </c>
      <c r="K1158" t="str">
        <v/>
      </c>
      <c r="M1158" s="4" t="str">
        <f t="shared" si="18"/>
        <v/>
      </c>
      <c r="N1158" s="4" cm="1">
        <f t="array" ref="N1158">SUM(--(_xlfn.TEXTSPLIT($J$852,, " ") = L1158))</f>
        <v>2</v>
      </c>
    </row>
    <row r="1159" spans="5:14" x14ac:dyDescent="0.2">
      <c r="E1159" s="4" t="s">
        <v>17</v>
      </c>
      <c r="K1159" t="str">
        <v>I've</v>
      </c>
      <c r="M1159" s="4" t="str">
        <f t="shared" si="18"/>
        <v>I ve</v>
      </c>
      <c r="N1159" s="4" cm="1">
        <f t="array" ref="N1159">SUM(--(_xlfn.TEXTSPLIT($J$852,, " ") = L1159))</f>
        <v>2</v>
      </c>
    </row>
    <row r="1160" spans="5:14" x14ac:dyDescent="0.2">
      <c r="E1160" s="4" t="s">
        <v>17</v>
      </c>
      <c r="K1160" t="str">
        <v>been</v>
      </c>
      <c r="M1160" s="4" t="str">
        <f t="shared" si="18"/>
        <v>been</v>
      </c>
      <c r="N1160" s="4" cm="1">
        <f t="array" ref="N1160">SUM(--(_xlfn.TEXTSPLIT($J$852,, " ") = L1160))</f>
        <v>2</v>
      </c>
    </row>
    <row r="1161" spans="5:14" x14ac:dyDescent="0.2">
      <c r="E1161" s="4" t="s">
        <v>17</v>
      </c>
      <c r="K1161" t="str">
        <v>this</v>
      </c>
      <c r="M1161" s="4" t="str">
        <f t="shared" si="18"/>
        <v>this</v>
      </c>
      <c r="N1161" s="4" cm="1">
        <f t="array" ref="N1161">SUM(--(_xlfn.TEXTSPLIT($J$852,, " ") = L1161))</f>
        <v>2</v>
      </c>
    </row>
    <row r="1162" spans="5:14" x14ac:dyDescent="0.2">
      <c r="E1162" s="4" t="s">
        <v>17</v>
      </c>
      <c r="K1162" t="str">
        <v>way</v>
      </c>
      <c r="M1162" s="4" t="str">
        <f t="shared" si="18"/>
        <v>way</v>
      </c>
      <c r="N1162" s="4" cm="1">
        <f t="array" ref="N1162">SUM(--(_xlfn.TEXTSPLIT($J$852,, " ") = L1162))</f>
        <v>2</v>
      </c>
    </row>
    <row r="1163" spans="5:14" x14ac:dyDescent="0.2">
      <c r="E1163" s="4" t="s">
        <v>17</v>
      </c>
      <c r="K1163" t="str">
        <v>(Feel</v>
      </c>
      <c r="M1163" s="4" t="str">
        <f t="shared" si="18"/>
        <v xml:space="preserve"> Feel</v>
      </c>
      <c r="N1163" s="4" cm="1">
        <f t="array" ref="N1163">SUM(--(_xlfn.TEXTSPLIT($J$852,, " ") = L1163))</f>
        <v>2</v>
      </c>
    </row>
    <row r="1164" spans="5:14" x14ac:dyDescent="0.2">
      <c r="E1164" s="4" t="s">
        <v>17</v>
      </c>
      <c r="K1164" t="str">
        <v>it,</v>
      </c>
      <c r="M1164" s="4" t="str">
        <f t="shared" si="18"/>
        <v xml:space="preserve">it </v>
      </c>
      <c r="N1164" s="4" cm="1">
        <f t="array" ref="N1164">SUM(--(_xlfn.TEXTSPLIT($J$852,, " ") = L1164))</f>
        <v>2</v>
      </c>
    </row>
    <row r="1165" spans="5:14" x14ac:dyDescent="0.2">
      <c r="E1165" s="4" t="s">
        <v>17</v>
      </c>
      <c r="K1165" t="str">
        <v>feel</v>
      </c>
      <c r="M1165" s="4" t="str">
        <f t="shared" si="18"/>
        <v>feel</v>
      </c>
      <c r="N1165" s="4" cm="1">
        <f t="array" ref="N1165">SUM(--(_xlfn.TEXTSPLIT($J$852,, " ") = L1165))</f>
        <v>2</v>
      </c>
    </row>
    <row r="1166" spans="5:14" x14ac:dyDescent="0.2">
      <c r="E1166" s="4" t="s">
        <v>17</v>
      </c>
      <c r="K1166" t="str">
        <v xml:space="preserve">it)
</v>
      </c>
      <c r="M1166" s="4" t="str">
        <f t="shared" si="18"/>
        <v xml:space="preserve">it  </v>
      </c>
      <c r="N1166" s="4" cm="1">
        <f t="array" ref="N1166">SUM(--(_xlfn.TEXTSPLIT($J$852,, " ") = L1166))</f>
        <v>2</v>
      </c>
    </row>
    <row r="1167" spans="5:14" x14ac:dyDescent="0.2">
      <c r="E1167" s="4" t="s">
        <v>17</v>
      </c>
      <c r="K1167" t="str">
        <v>I</v>
      </c>
      <c r="M1167" s="4" t="str">
        <f t="shared" si="18"/>
        <v>I</v>
      </c>
      <c r="N1167" s="4" cm="1">
        <f t="array" ref="N1167">SUM(--(_xlfn.TEXTSPLIT($J$852,, " ") = L1167))</f>
        <v>2</v>
      </c>
    </row>
    <row r="1168" spans="5:14" x14ac:dyDescent="0.2">
      <c r="E1168" s="4" t="s">
        <v>17</v>
      </c>
      <c r="K1168" t="str">
        <v>want</v>
      </c>
      <c r="M1168" s="4" t="str">
        <f t="shared" si="18"/>
        <v>want</v>
      </c>
      <c r="N1168" s="4" cm="1">
        <f t="array" ref="N1168">SUM(--(_xlfn.TEXTSPLIT($J$852,, " ") = L1168))</f>
        <v>2</v>
      </c>
    </row>
    <row r="1169" spans="1:24" x14ac:dyDescent="0.2">
      <c r="E1169" s="4" t="s">
        <v>17</v>
      </c>
      <c r="K1169" t="str">
        <v>to</v>
      </c>
      <c r="M1169" s="4" t="str">
        <f t="shared" si="18"/>
        <v>to</v>
      </c>
      <c r="N1169" s="4" cm="1">
        <f t="array" ref="N1169">SUM(--(_xlfn.TEXTSPLIT($J$852,, " ") = L1169))</f>
        <v>2</v>
      </c>
    </row>
    <row r="1170" spans="1:24" s="4" customFormat="1" x14ac:dyDescent="0.2">
      <c r="A1170" s="4">
        <v>4</v>
      </c>
      <c r="B1170" s="5">
        <v>45912</v>
      </c>
      <c r="C1170" s="6">
        <v>0.1361111111111111</v>
      </c>
      <c r="D1170" s="7">
        <v>196</v>
      </c>
      <c r="E1170" s="9" t="s">
        <v>20</v>
      </c>
      <c r="F1170" s="4">
        <v>4</v>
      </c>
      <c r="G1170" s="8" t="s">
        <v>15</v>
      </c>
      <c r="H1170" s="9" t="s">
        <v>21</v>
      </c>
      <c r="I1170" s="4">
        <v>1</v>
      </c>
      <c r="J1170" s="4" t="str">
        <f>_xlfn.TEXTJOIN(" ", TRUE, H1170:H1386)</f>
        <v xml:space="preserve"> I didn't do it
 I feel like garbage
 I feel like
 My systems are operating at twenty percent
 Or less
 I'll walk you through the numbers
 I'll show you nothing's left
 Oh-oh
( Yeah, yeah) I'm biting down on my shirtsleeve
( Yeah, yeah) I'll lash out if you're in arm's reach
 (Yeah, yeah) I'm so lost, like, what is happening?
 Like, like
 I feel like garbage
 Ooh, yeah
 I can't decide
  If I could feel more or I just knew less
When I was younger
 Bright-eyed with wonder
 Do you know which name it's under? (Oh-oh-oh)
 Or less
 I'll walk you through the numbers
 I'll show you nothing's left
 Oh-oh
 (Yeah, yeah) I'm biting down on my shirt sleeve
 (Yeah, yeah) I'll lash out if you're in arm's reach
 (Yeah, yeah) I'm so lost, like, what is happening?
 Like, what is happening?
 Would you move closer if I grew quieter?
 Maybe this is you
 Maybe you don't fix and you like it like this
 I feel like garbage (Yeah)
 I feel like garbage
 I feel like (Yeah)
 Like
 I'll lash out, lash out, lash out (Hey)
 I'm biting down on my shirt sleeve
 Like, I'll lash out, lash out, lash out
 Don't give up on me
 Don't give up on me
 No, no, no, please, please, please</v>
      </c>
      <c r="K1170" s="4" t="str" cm="1">
        <f t="array" ref="K1170:K1386">_xlfn.TEXTSPLIT(J1170, ," ")</f>
        <v/>
      </c>
      <c r="L1170" s="4" t="str" cm="1">
        <f t="array" ref="L1170:L1268">_xlfn.UNIQUE(_xlfn.TEXTSPLIT(J1170, , " "))</f>
        <v/>
      </c>
      <c r="M1170" s="4" t="str">
        <f t="shared" si="18"/>
        <v/>
      </c>
      <c r="N1170" s="4" cm="1">
        <f t="array" ref="N1170">SUM(--(_xlfn.TEXTSPLIT($J$1170,, " ") = L1170))</f>
        <v>2</v>
      </c>
      <c r="O1170"/>
      <c r="P1170"/>
      <c r="Q1170"/>
      <c r="R1170"/>
      <c r="S1170"/>
      <c r="T1170"/>
      <c r="U1170"/>
      <c r="V1170"/>
      <c r="W1170"/>
      <c r="X1170"/>
    </row>
    <row r="1171" spans="1:24" x14ac:dyDescent="0.2">
      <c r="E1171" s="9" t="s">
        <v>20</v>
      </c>
      <c r="K1171" t="str">
        <v>I</v>
      </c>
      <c r="L1171" t="str">
        <v>I</v>
      </c>
      <c r="M1171" s="4" t="str">
        <f t="shared" si="18"/>
        <v>I</v>
      </c>
      <c r="N1171" s="4" cm="1">
        <f t="array" ref="N1171">SUM(--(_xlfn.TEXTSPLIT($J$1170,, " ") = L1171))</f>
        <v>12</v>
      </c>
    </row>
    <row r="1172" spans="1:24" x14ac:dyDescent="0.2">
      <c r="E1172" s="9" t="s">
        <v>20</v>
      </c>
      <c r="K1172" t="str">
        <v>didn't</v>
      </c>
      <c r="L1172" t="str">
        <v>didn't</v>
      </c>
      <c r="M1172" s="4" t="str">
        <f t="shared" si="18"/>
        <v>didn t</v>
      </c>
      <c r="N1172" s="4" cm="1">
        <f t="array" ref="N1172">SUM(--(_xlfn.TEXTSPLIT($J$1170,, " ") = L1172))</f>
        <v>1</v>
      </c>
    </row>
    <row r="1173" spans="1:24" x14ac:dyDescent="0.2">
      <c r="E1173" s="9" t="s">
        <v>20</v>
      </c>
      <c r="K1173" t="str">
        <v>do</v>
      </c>
      <c r="L1173" t="str">
        <v>do</v>
      </c>
      <c r="M1173" s="4" t="str">
        <f t="shared" si="18"/>
        <v>do</v>
      </c>
      <c r="N1173" s="4" cm="1">
        <f t="array" ref="N1173">SUM(--(_xlfn.TEXTSPLIT($J$1170,, " ") = L1173))</f>
        <v>2</v>
      </c>
    </row>
    <row r="1174" spans="1:24" x14ac:dyDescent="0.2">
      <c r="E1174" s="9" t="s">
        <v>20</v>
      </c>
      <c r="K1174" t="str">
        <v xml:space="preserve">it
</v>
      </c>
      <c r="L1174" t="str">
        <v xml:space="preserve">it
</v>
      </c>
      <c r="M1174" s="4" t="str">
        <f t="shared" si="18"/>
        <v xml:space="preserve">it  </v>
      </c>
      <c r="N1174" s="4" cm="1">
        <f t="array" ref="N1174">SUM(--(_xlfn.TEXTSPLIT($J$1170,, " ") = L1174))</f>
        <v>1</v>
      </c>
    </row>
    <row r="1175" spans="1:24" x14ac:dyDescent="0.2">
      <c r="E1175" s="9" t="s">
        <v>20</v>
      </c>
      <c r="K1175" t="str">
        <v>I</v>
      </c>
      <c r="L1175" t="str">
        <v>feel</v>
      </c>
      <c r="M1175" s="4" t="str">
        <f t="shared" si="18"/>
        <v>I</v>
      </c>
      <c r="N1175" s="4" cm="1">
        <f t="array" ref="N1175">SUM(--(_xlfn.TEXTSPLIT($J$1170,, " ") = L1175))</f>
        <v>7</v>
      </c>
    </row>
    <row r="1176" spans="1:24" x14ac:dyDescent="0.2">
      <c r="E1176" s="9" t="s">
        <v>20</v>
      </c>
      <c r="K1176" t="str">
        <v>feel</v>
      </c>
      <c r="L1176" t="str">
        <v>like</v>
      </c>
      <c r="M1176" s="4" t="str">
        <f t="shared" si="18"/>
        <v>feel</v>
      </c>
      <c r="N1176" s="4" cm="1">
        <f t="array" ref="N1176">SUM(--(_xlfn.TEXTSPLIT($J$1170,, " ") = L1176))</f>
        <v>7</v>
      </c>
    </row>
    <row r="1177" spans="1:24" x14ac:dyDescent="0.2">
      <c r="E1177" s="9" t="s">
        <v>20</v>
      </c>
      <c r="K1177" t="str">
        <v>like</v>
      </c>
      <c r="L1177" t="str">
        <v xml:space="preserve">garbage
</v>
      </c>
      <c r="M1177" s="4" t="str">
        <f t="shared" si="18"/>
        <v>like</v>
      </c>
      <c r="N1177" s="4" cm="1">
        <f t="array" ref="N1177">SUM(--(_xlfn.TEXTSPLIT($J$1170,, " ") = L1177))</f>
        <v>2</v>
      </c>
    </row>
    <row r="1178" spans="1:24" x14ac:dyDescent="0.2">
      <c r="E1178" s="9" t="s">
        <v>20</v>
      </c>
      <c r="K1178" t="str">
        <v xml:space="preserve">garbage
</v>
      </c>
      <c r="L1178" t="str">
        <v xml:space="preserve">like
</v>
      </c>
      <c r="M1178" s="4" t="str">
        <f t="shared" si="18"/>
        <v xml:space="preserve">garbage </v>
      </c>
      <c r="N1178" s="4" cm="1">
        <f t="array" ref="N1178">SUM(--(_xlfn.TEXTSPLIT($J$1170,, " ") = L1178))</f>
        <v>2</v>
      </c>
    </row>
    <row r="1179" spans="1:24" x14ac:dyDescent="0.2">
      <c r="E1179" s="9" t="s">
        <v>20</v>
      </c>
      <c r="K1179" t="str">
        <v>I</v>
      </c>
      <c r="L1179" t="str">
        <v>My</v>
      </c>
      <c r="M1179" s="4" t="str">
        <f t="shared" si="18"/>
        <v>I</v>
      </c>
      <c r="N1179" s="4" cm="1">
        <f t="array" ref="N1179">SUM(--(_xlfn.TEXTSPLIT($J$1170,, " ") = L1179))</f>
        <v>4</v>
      </c>
    </row>
    <row r="1180" spans="1:24" x14ac:dyDescent="0.2">
      <c r="E1180" s="9" t="s">
        <v>20</v>
      </c>
      <c r="K1180" t="str">
        <v>feel</v>
      </c>
      <c r="L1180" t="str">
        <v>systems</v>
      </c>
      <c r="M1180" s="4" t="str">
        <f t="shared" si="18"/>
        <v>feel</v>
      </c>
      <c r="N1180" s="4" cm="1">
        <f t="array" ref="N1180">SUM(--(_xlfn.TEXTSPLIT($J$1170,, " ") = L1180))</f>
        <v>1</v>
      </c>
    </row>
    <row r="1181" spans="1:24" x14ac:dyDescent="0.2">
      <c r="E1181" s="9" t="s">
        <v>20</v>
      </c>
      <c r="K1181" t="str">
        <v xml:space="preserve">like
</v>
      </c>
      <c r="L1181" t="str">
        <v>are</v>
      </c>
      <c r="M1181" s="4" t="str">
        <f t="shared" si="18"/>
        <v xml:space="preserve">like </v>
      </c>
      <c r="N1181" s="4" cm="1">
        <f t="array" ref="N1181">SUM(--(_xlfn.TEXTSPLIT($J$1170,, " ") = L1181))</f>
        <v>1</v>
      </c>
    </row>
    <row r="1182" spans="1:24" x14ac:dyDescent="0.2">
      <c r="E1182" s="9" t="s">
        <v>20</v>
      </c>
      <c r="K1182" t="str">
        <v>My</v>
      </c>
      <c r="L1182" t="str">
        <v>operating</v>
      </c>
      <c r="M1182" s="4" t="str">
        <f t="shared" si="18"/>
        <v>My</v>
      </c>
      <c r="N1182" s="4" cm="1">
        <f t="array" ref="N1182">SUM(--(_xlfn.TEXTSPLIT($J$1170,, " ") = L1182))</f>
        <v>1</v>
      </c>
    </row>
    <row r="1183" spans="1:24" x14ac:dyDescent="0.2">
      <c r="E1183" s="9" t="s">
        <v>20</v>
      </c>
      <c r="K1183" t="str">
        <v>systems</v>
      </c>
      <c r="L1183" t="str">
        <v>at</v>
      </c>
      <c r="M1183" s="4" t="str">
        <f t="shared" si="18"/>
        <v>systems</v>
      </c>
      <c r="N1183" s="4" cm="1">
        <f t="array" ref="N1183">SUM(--(_xlfn.TEXTSPLIT($J$1170,, " ") = L1183))</f>
        <v>1</v>
      </c>
    </row>
    <row r="1184" spans="1:24" x14ac:dyDescent="0.2">
      <c r="E1184" s="9" t="s">
        <v>20</v>
      </c>
      <c r="K1184" t="str">
        <v>are</v>
      </c>
      <c r="L1184" t="str">
        <v>twenty</v>
      </c>
      <c r="M1184" s="4" t="str">
        <f t="shared" si="18"/>
        <v>are</v>
      </c>
      <c r="N1184" s="4" cm="1">
        <f t="array" ref="N1184">SUM(--(_xlfn.TEXTSPLIT($J$1170,, " ") = L1184))</f>
        <v>1</v>
      </c>
    </row>
    <row r="1185" spans="5:14" x14ac:dyDescent="0.2">
      <c r="E1185" s="9" t="s">
        <v>20</v>
      </c>
      <c r="K1185" t="str">
        <v>operating</v>
      </c>
      <c r="L1185" t="str">
        <v xml:space="preserve">percent
</v>
      </c>
      <c r="M1185" s="4" t="str">
        <f t="shared" si="18"/>
        <v>operating</v>
      </c>
      <c r="N1185" s="4" cm="1">
        <f t="array" ref="N1185">SUM(--(_xlfn.TEXTSPLIT($J$1170,, " ") = L1185))</f>
        <v>1</v>
      </c>
    </row>
    <row r="1186" spans="5:14" x14ac:dyDescent="0.2">
      <c r="E1186" s="9" t="s">
        <v>20</v>
      </c>
      <c r="K1186" t="str">
        <v>at</v>
      </c>
      <c r="L1186" t="str">
        <v>Or</v>
      </c>
      <c r="M1186" s="4" t="str">
        <f t="shared" si="18"/>
        <v>at</v>
      </c>
      <c r="N1186" s="4" cm="1">
        <f t="array" ref="N1186">SUM(--(_xlfn.TEXTSPLIT($J$1170,, " ") = L1186))</f>
        <v>3</v>
      </c>
    </row>
    <row r="1187" spans="5:14" x14ac:dyDescent="0.2">
      <c r="E1187" s="9" t="s">
        <v>20</v>
      </c>
      <c r="K1187" t="str">
        <v>twenty</v>
      </c>
      <c r="L1187" t="str">
        <v xml:space="preserve">less
</v>
      </c>
      <c r="M1187" s="4" t="str">
        <f t="shared" si="18"/>
        <v>twenty</v>
      </c>
      <c r="N1187" s="4" cm="1">
        <f t="array" ref="N1187">SUM(--(_xlfn.TEXTSPLIT($J$1170,, " ") = L1187))</f>
        <v>2</v>
      </c>
    </row>
    <row r="1188" spans="5:14" x14ac:dyDescent="0.2">
      <c r="E1188" s="9" t="s">
        <v>20</v>
      </c>
      <c r="K1188" t="str">
        <v xml:space="preserve">percent
</v>
      </c>
      <c r="L1188" t="str">
        <v>I'll</v>
      </c>
      <c r="M1188" s="4" t="str">
        <f t="shared" si="18"/>
        <v xml:space="preserve">percent  </v>
      </c>
      <c r="N1188" s="4" cm="1">
        <f t="array" ref="N1188">SUM(--(_xlfn.TEXTSPLIT($J$1170,, " ") = L1188))</f>
        <v>8</v>
      </c>
    </row>
    <row r="1189" spans="5:14" x14ac:dyDescent="0.2">
      <c r="E1189" s="9" t="s">
        <v>20</v>
      </c>
      <c r="K1189" t="str">
        <v>Or</v>
      </c>
      <c r="L1189" t="str">
        <v>walk</v>
      </c>
      <c r="M1189" s="4" t="str">
        <f t="shared" si="18"/>
        <v>Or</v>
      </c>
      <c r="N1189" s="4" cm="1">
        <f t="array" ref="N1189">SUM(--(_xlfn.TEXTSPLIT($J$1170,, " ") = L1189))</f>
        <v>2</v>
      </c>
    </row>
    <row r="1190" spans="5:14" x14ac:dyDescent="0.2">
      <c r="E1190" s="9" t="s">
        <v>20</v>
      </c>
      <c r="K1190" t="str">
        <v xml:space="preserve">less
</v>
      </c>
      <c r="L1190" t="str">
        <v>you</v>
      </c>
      <c r="M1190" s="4" t="str">
        <f t="shared" si="18"/>
        <v xml:space="preserve">less </v>
      </c>
      <c r="N1190" s="4" cm="1">
        <f t="array" ref="N1190">SUM(--(_xlfn.TEXTSPLIT($J$1170,, " ") = L1190))</f>
        <v>8</v>
      </c>
    </row>
    <row r="1191" spans="5:14" x14ac:dyDescent="0.2">
      <c r="E1191" s="9" t="s">
        <v>20</v>
      </c>
      <c r="K1191" t="str">
        <v>I'll</v>
      </c>
      <c r="L1191" t="str">
        <v>through</v>
      </c>
      <c r="M1191" s="4" t="str">
        <f t="shared" si="18"/>
        <v>I ll</v>
      </c>
      <c r="N1191" s="4" cm="1">
        <f t="array" ref="N1191">SUM(--(_xlfn.TEXTSPLIT($J$1170,, " ") = L1191))</f>
        <v>2</v>
      </c>
    </row>
    <row r="1192" spans="5:14" x14ac:dyDescent="0.2">
      <c r="E1192" s="9" t="s">
        <v>20</v>
      </c>
      <c r="K1192" t="str">
        <v>walk</v>
      </c>
      <c r="L1192" t="str">
        <v>the</v>
      </c>
      <c r="M1192" s="4" t="str">
        <f t="shared" si="18"/>
        <v>walk</v>
      </c>
      <c r="N1192" s="4" cm="1">
        <f t="array" ref="N1192">SUM(--(_xlfn.TEXTSPLIT($J$1170,, " ") = L1192))</f>
        <v>2</v>
      </c>
    </row>
    <row r="1193" spans="5:14" x14ac:dyDescent="0.2">
      <c r="E1193" s="9" t="s">
        <v>20</v>
      </c>
      <c r="K1193" t="str">
        <v>you</v>
      </c>
      <c r="L1193" t="str">
        <v xml:space="preserve">numbers
</v>
      </c>
      <c r="M1193" s="4" t="str">
        <f t="shared" si="18"/>
        <v>you</v>
      </c>
      <c r="N1193" s="4" cm="1">
        <f t="array" ref="N1193">SUM(--(_xlfn.TEXTSPLIT($J$1170,, " ") = L1193))</f>
        <v>2</v>
      </c>
    </row>
    <row r="1194" spans="5:14" x14ac:dyDescent="0.2">
      <c r="E1194" s="9" t="s">
        <v>20</v>
      </c>
      <c r="K1194" t="str">
        <v>through</v>
      </c>
      <c r="L1194" t="str">
        <v>show</v>
      </c>
      <c r="M1194" s="4" t="str">
        <f t="shared" si="18"/>
        <v>through</v>
      </c>
      <c r="N1194" s="4" cm="1">
        <f t="array" ref="N1194">SUM(--(_xlfn.TEXTSPLIT($J$1170,, " ") = L1194))</f>
        <v>2</v>
      </c>
    </row>
    <row r="1195" spans="5:14" x14ac:dyDescent="0.2">
      <c r="E1195" s="9" t="s">
        <v>20</v>
      </c>
      <c r="K1195" t="str">
        <v>the</v>
      </c>
      <c r="L1195" t="str">
        <v>nothing's</v>
      </c>
      <c r="M1195" s="4" t="str">
        <f t="shared" si="18"/>
        <v>the</v>
      </c>
      <c r="N1195" s="4" cm="1">
        <f t="array" ref="N1195">SUM(--(_xlfn.TEXTSPLIT($J$1170,, " ") = L1195))</f>
        <v>2</v>
      </c>
    </row>
    <row r="1196" spans="5:14" x14ac:dyDescent="0.2">
      <c r="E1196" s="9" t="s">
        <v>20</v>
      </c>
      <c r="K1196" t="str">
        <v xml:space="preserve">numbers
</v>
      </c>
      <c r="L1196" t="str">
        <v xml:space="preserve">left
</v>
      </c>
      <c r="M1196" s="4" t="str">
        <f t="shared" si="18"/>
        <v xml:space="preserve">numbers </v>
      </c>
      <c r="N1196" s="4" cm="1">
        <f t="array" ref="N1196">SUM(--(_xlfn.TEXTSPLIT($J$1170,, " ") = L1196))</f>
        <v>2</v>
      </c>
    </row>
    <row r="1197" spans="5:14" x14ac:dyDescent="0.2">
      <c r="E1197" s="9" t="s">
        <v>20</v>
      </c>
      <c r="K1197" t="str">
        <v>I'll</v>
      </c>
      <c r="L1197" t="str">
        <v>Oh-oh
(</v>
      </c>
      <c r="M1197" s="4" t="str">
        <f t="shared" si="18"/>
        <v>I ll</v>
      </c>
      <c r="N1197" s="4" cm="1">
        <f t="array" ref="N1197">SUM(--(_xlfn.TEXTSPLIT($J$1170,, " ") = L1197))</f>
        <v>1</v>
      </c>
    </row>
    <row r="1198" spans="5:14" x14ac:dyDescent="0.2">
      <c r="E1198" s="9" t="s">
        <v>20</v>
      </c>
      <c r="K1198" t="str">
        <v>show</v>
      </c>
      <c r="L1198" t="str">
        <v>Yeah,</v>
      </c>
      <c r="M1198" s="4" t="str">
        <f t="shared" si="18"/>
        <v>show</v>
      </c>
      <c r="N1198" s="4" cm="1">
        <f t="array" ref="N1198">SUM(--(_xlfn.TEXTSPLIT($J$1170,, " ") = L1198))</f>
        <v>2</v>
      </c>
    </row>
    <row r="1199" spans="5:14" x14ac:dyDescent="0.2">
      <c r="E1199" s="9" t="s">
        <v>20</v>
      </c>
      <c r="K1199" t="str">
        <v>you</v>
      </c>
      <c r="L1199" t="str">
        <v>yeah)</v>
      </c>
      <c r="M1199" s="4" t="str">
        <f t="shared" si="18"/>
        <v>you</v>
      </c>
      <c r="N1199" s="4" cm="1">
        <f t="array" ref="N1199">SUM(--(_xlfn.TEXTSPLIT($J$1170,, " ") = L1199))</f>
        <v>6</v>
      </c>
    </row>
    <row r="1200" spans="5:14" x14ac:dyDescent="0.2">
      <c r="E1200" s="9" t="s">
        <v>20</v>
      </c>
      <c r="K1200" t="str">
        <v>nothing's</v>
      </c>
      <c r="L1200" t="str">
        <v>I'm</v>
      </c>
      <c r="M1200" s="4" t="str">
        <f t="shared" si="18"/>
        <v>nothing s</v>
      </c>
      <c r="N1200" s="4" cm="1">
        <f t="array" ref="N1200">SUM(--(_xlfn.TEXTSPLIT($J$1170,, " ") = L1200))</f>
        <v>5</v>
      </c>
    </row>
    <row r="1201" spans="5:14" x14ac:dyDescent="0.2">
      <c r="E1201" s="9" t="s">
        <v>20</v>
      </c>
      <c r="K1201" t="str">
        <v xml:space="preserve">left
</v>
      </c>
      <c r="L1201" t="str">
        <v>biting</v>
      </c>
      <c r="M1201" s="4" t="str">
        <f t="shared" si="18"/>
        <v xml:space="preserve">left </v>
      </c>
      <c r="N1201" s="4" cm="1">
        <f t="array" ref="N1201">SUM(--(_xlfn.TEXTSPLIT($J$1170,, " ") = L1201))</f>
        <v>3</v>
      </c>
    </row>
    <row r="1202" spans="5:14" x14ac:dyDescent="0.2">
      <c r="E1202" s="9" t="s">
        <v>20</v>
      </c>
      <c r="K1202" t="str">
        <v>Oh-oh
(</v>
      </c>
      <c r="L1202" t="str">
        <v>down</v>
      </c>
      <c r="M1202" s="4" t="str">
        <f t="shared" si="18"/>
        <v xml:space="preserve">Oh oh   </v>
      </c>
      <c r="N1202" s="4" cm="1">
        <f t="array" ref="N1202">SUM(--(_xlfn.TEXTSPLIT($J$1170,, " ") = L1202))</f>
        <v>3</v>
      </c>
    </row>
    <row r="1203" spans="5:14" x14ac:dyDescent="0.2">
      <c r="E1203" s="9" t="s">
        <v>20</v>
      </c>
      <c r="K1203" t="str">
        <v>Yeah,</v>
      </c>
      <c r="L1203" t="str">
        <v>on</v>
      </c>
      <c r="M1203" s="4" t="str">
        <f t="shared" si="18"/>
        <v xml:space="preserve">Yeah </v>
      </c>
      <c r="N1203" s="4" cm="1">
        <f t="array" ref="N1203">SUM(--(_xlfn.TEXTSPLIT($J$1170,, " ") = L1203))</f>
        <v>5</v>
      </c>
    </row>
    <row r="1204" spans="5:14" x14ac:dyDescent="0.2">
      <c r="E1204" s="9" t="s">
        <v>20</v>
      </c>
      <c r="K1204" t="str">
        <v>yeah)</v>
      </c>
      <c r="L1204" t="str">
        <v>shirtsleeve
(</v>
      </c>
      <c r="M1204" s="4" t="str">
        <f t="shared" si="18"/>
        <v xml:space="preserve">yeah </v>
      </c>
      <c r="N1204" s="4" cm="1">
        <f t="array" ref="N1204">SUM(--(_xlfn.TEXTSPLIT($J$1170,, " ") = L1204))</f>
        <v>1</v>
      </c>
    </row>
    <row r="1205" spans="5:14" x14ac:dyDescent="0.2">
      <c r="E1205" s="9" t="s">
        <v>20</v>
      </c>
      <c r="K1205" t="str">
        <v>I'm</v>
      </c>
      <c r="L1205" t="str">
        <v>lash</v>
      </c>
      <c r="M1205" s="4" t="str">
        <f t="shared" si="18"/>
        <v>I m</v>
      </c>
      <c r="N1205" s="4" cm="1">
        <f t="array" ref="N1205">SUM(--(_xlfn.TEXTSPLIT($J$1170,, " ") = L1205))</f>
        <v>8</v>
      </c>
    </row>
    <row r="1206" spans="5:14" x14ac:dyDescent="0.2">
      <c r="E1206" s="9" t="s">
        <v>20</v>
      </c>
      <c r="K1206" t="str">
        <v>biting</v>
      </c>
      <c r="L1206" t="str">
        <v>out</v>
      </c>
      <c r="M1206" s="4" t="str">
        <f t="shared" si="18"/>
        <v>biting</v>
      </c>
      <c r="N1206" s="4" cm="1">
        <f t="array" ref="N1206">SUM(--(_xlfn.TEXTSPLIT($J$1170,, " ") = L1206))</f>
        <v>3</v>
      </c>
    </row>
    <row r="1207" spans="5:14" x14ac:dyDescent="0.2">
      <c r="E1207" s="9" t="s">
        <v>20</v>
      </c>
      <c r="K1207" t="str">
        <v>down</v>
      </c>
      <c r="L1207" t="str">
        <v>if</v>
      </c>
      <c r="M1207" s="4" t="str">
        <f t="shared" si="18"/>
        <v>down</v>
      </c>
      <c r="N1207" s="4" cm="1">
        <f t="array" ref="N1207">SUM(--(_xlfn.TEXTSPLIT($J$1170,, " ") = L1207))</f>
        <v>4</v>
      </c>
    </row>
    <row r="1208" spans="5:14" x14ac:dyDescent="0.2">
      <c r="E1208" s="9" t="s">
        <v>20</v>
      </c>
      <c r="K1208" t="str">
        <v>on</v>
      </c>
      <c r="L1208" t="str">
        <v>you're</v>
      </c>
      <c r="M1208" s="4" t="str">
        <f t="shared" si="18"/>
        <v>on</v>
      </c>
      <c r="N1208" s="4" cm="1">
        <f t="array" ref="N1208">SUM(--(_xlfn.TEXTSPLIT($J$1170,, " ") = L1208))</f>
        <v>2</v>
      </c>
    </row>
    <row r="1209" spans="5:14" x14ac:dyDescent="0.2">
      <c r="E1209" s="9" t="s">
        <v>20</v>
      </c>
      <c r="K1209" t="str">
        <v>my</v>
      </c>
      <c r="L1209" t="str">
        <v>in</v>
      </c>
      <c r="M1209" s="4" t="str">
        <f t="shared" si="18"/>
        <v>my</v>
      </c>
      <c r="N1209" s="4" cm="1">
        <f t="array" ref="N1209">SUM(--(_xlfn.TEXTSPLIT($J$1170,, " ") = L1209))</f>
        <v>2</v>
      </c>
    </row>
    <row r="1210" spans="5:14" x14ac:dyDescent="0.2">
      <c r="E1210" s="9" t="s">
        <v>20</v>
      </c>
      <c r="K1210" t="str">
        <v>shirtsleeve
(</v>
      </c>
      <c r="L1210" t="str">
        <v>arm's</v>
      </c>
      <c r="M1210" s="4" t="str">
        <f t="shared" ref="M1210:M1241" si="19">_xlfn.REGEXREPLACE(C1210, "[^A-Za-z ]", " ")</f>
        <v/>
      </c>
      <c r="N1210" s="4" cm="1">
        <f t="array" ref="N1210">SUM(--(_xlfn.TEXTSPLIT($J$1170,, " ") = L1210))</f>
        <v>2</v>
      </c>
    </row>
    <row r="1211" spans="5:14" x14ac:dyDescent="0.2">
      <c r="E1211" s="9" t="s">
        <v>20</v>
      </c>
      <c r="K1211" t="str">
        <v>Yeah,</v>
      </c>
      <c r="L1211" t="str">
        <v xml:space="preserve">reach
</v>
      </c>
      <c r="M1211" s="4" t="str">
        <f t="shared" si="19"/>
        <v/>
      </c>
      <c r="N1211" s="4" cm="1">
        <f t="array" ref="N1211">SUM(--(_xlfn.TEXTSPLIT($J$1170,, " ") = L1211))</f>
        <v>2</v>
      </c>
    </row>
    <row r="1212" spans="5:14" x14ac:dyDescent="0.2">
      <c r="E1212" s="9" t="s">
        <v>20</v>
      </c>
      <c r="K1212" t="str">
        <v>yeah)</v>
      </c>
      <c r="L1212" t="str">
        <v>(Yeah,</v>
      </c>
      <c r="M1212" s="4" t="str">
        <f t="shared" si="19"/>
        <v/>
      </c>
      <c r="N1212" s="4" cm="1">
        <f t="array" ref="N1212">SUM(--(_xlfn.TEXTSPLIT($J$1170,, " ") = L1212))</f>
        <v>4</v>
      </c>
    </row>
    <row r="1213" spans="5:14" x14ac:dyDescent="0.2">
      <c r="E1213" s="9" t="s">
        <v>20</v>
      </c>
      <c r="K1213" t="str">
        <v>I'll</v>
      </c>
      <c r="L1213" t="str">
        <v>so</v>
      </c>
      <c r="M1213" s="4" t="str">
        <f t="shared" si="19"/>
        <v/>
      </c>
      <c r="N1213" s="4" cm="1">
        <f t="array" ref="N1213">SUM(--(_xlfn.TEXTSPLIT($J$1170,, " ") = L1213))</f>
        <v>2</v>
      </c>
    </row>
    <row r="1214" spans="5:14" x14ac:dyDescent="0.2">
      <c r="E1214" s="9" t="s">
        <v>20</v>
      </c>
      <c r="K1214" t="str">
        <v>lash</v>
      </c>
      <c r="L1214" t="str">
        <v>lost,</v>
      </c>
      <c r="M1214" s="4" t="str">
        <f t="shared" si="19"/>
        <v/>
      </c>
      <c r="N1214" s="4" cm="1">
        <f t="array" ref="N1214">SUM(--(_xlfn.TEXTSPLIT($J$1170,, " ") = L1214))</f>
        <v>2</v>
      </c>
    </row>
    <row r="1215" spans="5:14" x14ac:dyDescent="0.2">
      <c r="E1215" s="9" t="s">
        <v>20</v>
      </c>
      <c r="K1215" t="str">
        <v>out</v>
      </c>
      <c r="L1215" t="str">
        <v>like,</v>
      </c>
      <c r="M1215" s="4" t="str">
        <f t="shared" si="19"/>
        <v/>
      </c>
      <c r="N1215" s="4" cm="1">
        <f t="array" ref="N1215">SUM(--(_xlfn.TEXTSPLIT($J$1170,, " ") = L1215))</f>
        <v>5</v>
      </c>
    </row>
    <row r="1216" spans="5:14" x14ac:dyDescent="0.2">
      <c r="E1216" s="9" t="s">
        <v>20</v>
      </c>
      <c r="K1216" t="str">
        <v>if</v>
      </c>
      <c r="L1216" t="str">
        <v>what</v>
      </c>
      <c r="M1216" s="4" t="str">
        <f t="shared" si="19"/>
        <v/>
      </c>
      <c r="N1216" s="4" cm="1">
        <f t="array" ref="N1216">SUM(--(_xlfn.TEXTSPLIT($J$1170,, " ") = L1216))</f>
        <v>3</v>
      </c>
    </row>
    <row r="1217" spans="5:14" x14ac:dyDescent="0.2">
      <c r="E1217" s="9" t="s">
        <v>20</v>
      </c>
      <c r="K1217" t="str">
        <v>you're</v>
      </c>
      <c r="L1217" t="str">
        <v>is</v>
      </c>
      <c r="M1217" s="4" t="str">
        <f t="shared" si="19"/>
        <v/>
      </c>
      <c r="N1217" s="4" cm="1">
        <f t="array" ref="N1217">SUM(--(_xlfn.TEXTSPLIT($J$1170,, " ") = L1217))</f>
        <v>4</v>
      </c>
    </row>
    <row r="1218" spans="5:14" x14ac:dyDescent="0.2">
      <c r="E1218" s="9" t="s">
        <v>20</v>
      </c>
      <c r="K1218" t="str">
        <v>in</v>
      </c>
      <c r="L1218" t="str">
        <v xml:space="preserve">happening?
</v>
      </c>
      <c r="M1218" s="4" t="str">
        <f t="shared" si="19"/>
        <v/>
      </c>
      <c r="N1218" s="4" cm="1">
        <f t="array" ref="N1218">SUM(--(_xlfn.TEXTSPLIT($J$1170,, " ") = L1218))</f>
        <v>2</v>
      </c>
    </row>
    <row r="1219" spans="5:14" x14ac:dyDescent="0.2">
      <c r="E1219" s="9" t="s">
        <v>20</v>
      </c>
      <c r="K1219" t="str">
        <v>arm's</v>
      </c>
      <c r="L1219" t="str">
        <v xml:space="preserve">garbage
</v>
      </c>
      <c r="M1219" s="4" t="str">
        <f t="shared" si="19"/>
        <v/>
      </c>
      <c r="N1219" s="4" cm="1">
        <f t="array" ref="N1219">SUM(--(_xlfn.TEXTSPLIT($J$1170,, " ") = L1219))</f>
        <v>1</v>
      </c>
    </row>
    <row r="1220" spans="5:14" x14ac:dyDescent="0.2">
      <c r="E1220" s="9" t="s">
        <v>20</v>
      </c>
      <c r="K1220" t="str">
        <v xml:space="preserve">reach
</v>
      </c>
      <c r="L1220" t="str">
        <v>Ooh,</v>
      </c>
      <c r="M1220" s="4" t="str">
        <f t="shared" si="19"/>
        <v/>
      </c>
      <c r="N1220" s="4" cm="1">
        <f t="array" ref="N1220">SUM(--(_xlfn.TEXTSPLIT($J$1170,, " ") = L1220))</f>
        <v>1</v>
      </c>
    </row>
    <row r="1221" spans="5:14" x14ac:dyDescent="0.2">
      <c r="E1221" s="9" t="s">
        <v>20</v>
      </c>
      <c r="K1221" t="str">
        <v>(Yeah,</v>
      </c>
      <c r="L1221" t="str">
        <v xml:space="preserve">yeah
</v>
      </c>
      <c r="M1221" s="4" t="str">
        <f t="shared" si="19"/>
        <v/>
      </c>
      <c r="N1221" s="4" cm="1">
        <f t="array" ref="N1221">SUM(--(_xlfn.TEXTSPLIT($J$1170,, " ") = L1221))</f>
        <v>1</v>
      </c>
    </row>
    <row r="1222" spans="5:14" x14ac:dyDescent="0.2">
      <c r="E1222" s="9" t="s">
        <v>20</v>
      </c>
      <c r="K1222" t="str">
        <v>yeah)</v>
      </c>
      <c r="L1222" t="str">
        <v>can't</v>
      </c>
      <c r="M1222" s="4" t="str">
        <f t="shared" si="19"/>
        <v/>
      </c>
      <c r="N1222" s="4" cm="1">
        <f t="array" ref="N1222">SUM(--(_xlfn.TEXTSPLIT($J$1170,, " ") = L1222))</f>
        <v>1</v>
      </c>
    </row>
    <row r="1223" spans="5:14" x14ac:dyDescent="0.2">
      <c r="E1223" s="9" t="s">
        <v>20</v>
      </c>
      <c r="K1223" t="str">
        <v>I'm</v>
      </c>
      <c r="L1223" t="str">
        <v xml:space="preserve">decide
</v>
      </c>
      <c r="M1223" s="4" t="str">
        <f t="shared" si="19"/>
        <v/>
      </c>
      <c r="N1223" s="4" cm="1">
        <f t="array" ref="N1223">SUM(--(_xlfn.TEXTSPLIT($J$1170,, " ") = L1223))</f>
        <v>1</v>
      </c>
    </row>
    <row r="1224" spans="5:14" x14ac:dyDescent="0.2">
      <c r="E1224" s="9" t="s">
        <v>20</v>
      </c>
      <c r="K1224" t="str">
        <v>so</v>
      </c>
      <c r="L1224" t="str">
        <v>could</v>
      </c>
      <c r="M1224" s="4" t="str">
        <f t="shared" si="19"/>
        <v/>
      </c>
      <c r="N1224" s="4" cm="1">
        <f t="array" ref="N1224">SUM(--(_xlfn.TEXTSPLIT($J$1170,, " ") = L1224))</f>
        <v>1</v>
      </c>
    </row>
    <row r="1225" spans="5:14" x14ac:dyDescent="0.2">
      <c r="E1225" s="9" t="s">
        <v>20</v>
      </c>
      <c r="K1225" t="str">
        <v>lost,</v>
      </c>
      <c r="L1225" t="str">
        <v>more</v>
      </c>
      <c r="M1225" s="4" t="str">
        <f t="shared" si="19"/>
        <v/>
      </c>
      <c r="N1225" s="4" cm="1">
        <f t="array" ref="N1225">SUM(--(_xlfn.TEXTSPLIT($J$1170,, " ") = L1225))</f>
        <v>1</v>
      </c>
    </row>
    <row r="1226" spans="5:14" x14ac:dyDescent="0.2">
      <c r="E1226" s="9" t="s">
        <v>20</v>
      </c>
      <c r="K1226" t="str">
        <v>like,</v>
      </c>
      <c r="L1226" t="str">
        <v>just</v>
      </c>
      <c r="M1226" s="4" t="str">
        <f t="shared" si="19"/>
        <v/>
      </c>
      <c r="N1226" s="4" cm="1">
        <f t="array" ref="N1226">SUM(--(_xlfn.TEXTSPLIT($J$1170,, " ") = L1226))</f>
        <v>1</v>
      </c>
    </row>
    <row r="1227" spans="5:14" x14ac:dyDescent="0.2">
      <c r="E1227" s="9" t="s">
        <v>20</v>
      </c>
      <c r="K1227" t="str">
        <v>what</v>
      </c>
      <c r="L1227" t="str">
        <v>knew</v>
      </c>
      <c r="M1227" s="4" t="str">
        <f t="shared" si="19"/>
        <v/>
      </c>
      <c r="N1227" s="4" cm="1">
        <f t="array" ref="N1227">SUM(--(_xlfn.TEXTSPLIT($J$1170,, " ") = L1227))</f>
        <v>1</v>
      </c>
    </row>
    <row r="1228" spans="5:14" x14ac:dyDescent="0.2">
      <c r="E1228" s="9" t="s">
        <v>20</v>
      </c>
      <c r="K1228" t="str">
        <v>is</v>
      </c>
      <c r="L1228" t="str">
        <v>less
When</v>
      </c>
      <c r="M1228" s="4" t="str">
        <f t="shared" si="19"/>
        <v/>
      </c>
      <c r="N1228" s="4" cm="1">
        <f t="array" ref="N1228">SUM(--(_xlfn.TEXTSPLIT($J$1170,, " ") = L1228))</f>
        <v>1</v>
      </c>
    </row>
    <row r="1229" spans="5:14" x14ac:dyDescent="0.2">
      <c r="E1229" s="9" t="s">
        <v>20</v>
      </c>
      <c r="K1229" t="str">
        <v xml:space="preserve">happening?
</v>
      </c>
      <c r="L1229" t="str">
        <v>was</v>
      </c>
      <c r="M1229" s="4" t="str">
        <f t="shared" si="19"/>
        <v/>
      </c>
      <c r="N1229" s="4" cm="1">
        <f t="array" ref="N1229">SUM(--(_xlfn.TEXTSPLIT($J$1170,, " ") = L1229))</f>
        <v>1</v>
      </c>
    </row>
    <row r="1230" spans="5:14" x14ac:dyDescent="0.2">
      <c r="E1230" s="9" t="s">
        <v>20</v>
      </c>
      <c r="K1230" t="str">
        <v>Like,</v>
      </c>
      <c r="L1230" t="str">
        <v xml:space="preserve">younger
</v>
      </c>
      <c r="M1230" s="4" t="str">
        <f t="shared" si="19"/>
        <v/>
      </c>
      <c r="N1230" s="4" cm="1">
        <f t="array" ref="N1230">SUM(--(_xlfn.TEXTSPLIT($J$1170,, " ") = L1230))</f>
        <v>1</v>
      </c>
    </row>
    <row r="1231" spans="5:14" x14ac:dyDescent="0.2">
      <c r="E1231" s="9" t="s">
        <v>20</v>
      </c>
      <c r="K1231" t="str">
        <v xml:space="preserve">like
</v>
      </c>
      <c r="L1231" t="str">
        <v>Bright-eyed</v>
      </c>
      <c r="M1231" s="4" t="str">
        <f t="shared" si="19"/>
        <v/>
      </c>
      <c r="N1231" s="4" cm="1">
        <f t="array" ref="N1231">SUM(--(_xlfn.TEXTSPLIT($J$1170,, " ") = L1231))</f>
        <v>1</v>
      </c>
    </row>
    <row r="1232" spans="5:14" x14ac:dyDescent="0.2">
      <c r="E1232" s="9" t="s">
        <v>20</v>
      </c>
      <c r="K1232" t="str">
        <v>I</v>
      </c>
      <c r="L1232" t="str">
        <v>with</v>
      </c>
      <c r="M1232" s="4" t="str">
        <f t="shared" si="19"/>
        <v/>
      </c>
      <c r="N1232" s="4" cm="1">
        <f t="array" ref="N1232">SUM(--(_xlfn.TEXTSPLIT($J$1170,, " ") = L1232))</f>
        <v>1</v>
      </c>
    </row>
    <row r="1233" spans="5:14" x14ac:dyDescent="0.2">
      <c r="E1233" s="9" t="s">
        <v>20</v>
      </c>
      <c r="K1233" t="str">
        <v>feel</v>
      </c>
      <c r="L1233" t="str">
        <v xml:space="preserve">wonder
</v>
      </c>
      <c r="M1233" s="4" t="str">
        <f t="shared" si="19"/>
        <v/>
      </c>
      <c r="N1233" s="4" cm="1">
        <f t="array" ref="N1233">SUM(--(_xlfn.TEXTSPLIT($J$1170,, " ") = L1233))</f>
        <v>1</v>
      </c>
    </row>
    <row r="1234" spans="5:14" x14ac:dyDescent="0.2">
      <c r="E1234" s="9" t="s">
        <v>20</v>
      </c>
      <c r="K1234" t="str">
        <v>like</v>
      </c>
      <c r="L1234" t="str">
        <v>know</v>
      </c>
      <c r="M1234" s="4" t="str">
        <f t="shared" si="19"/>
        <v/>
      </c>
      <c r="N1234" s="4" cm="1">
        <f t="array" ref="N1234">SUM(--(_xlfn.TEXTSPLIT($J$1170,, " ") = L1234))</f>
        <v>1</v>
      </c>
    </row>
    <row r="1235" spans="5:14" x14ac:dyDescent="0.2">
      <c r="E1235" s="9" t="s">
        <v>20</v>
      </c>
      <c r="K1235" t="str">
        <v xml:space="preserve">garbage
</v>
      </c>
      <c r="L1235" t="str">
        <v>which</v>
      </c>
      <c r="M1235" s="4" t="str">
        <f t="shared" si="19"/>
        <v/>
      </c>
      <c r="N1235" s="4" cm="1">
        <f t="array" ref="N1235">SUM(--(_xlfn.TEXTSPLIT($J$1170,, " ") = L1235))</f>
        <v>1</v>
      </c>
    </row>
    <row r="1236" spans="5:14" x14ac:dyDescent="0.2">
      <c r="E1236" s="9" t="s">
        <v>20</v>
      </c>
      <c r="K1236" t="str">
        <v>Ooh,</v>
      </c>
      <c r="L1236" t="str">
        <v>name</v>
      </c>
      <c r="M1236" s="4" t="str">
        <f t="shared" si="19"/>
        <v/>
      </c>
      <c r="N1236" s="4" cm="1">
        <f t="array" ref="N1236">SUM(--(_xlfn.TEXTSPLIT($J$1170,, " ") = L1236))</f>
        <v>1</v>
      </c>
    </row>
    <row r="1237" spans="5:14" x14ac:dyDescent="0.2">
      <c r="E1237" s="9" t="s">
        <v>20</v>
      </c>
      <c r="K1237" t="str">
        <v xml:space="preserve">yeah
</v>
      </c>
      <c r="L1237" t="str">
        <v>it's</v>
      </c>
      <c r="M1237" s="4" t="str">
        <f t="shared" si="19"/>
        <v/>
      </c>
      <c r="N1237" s="4" cm="1">
        <f t="array" ref="N1237">SUM(--(_xlfn.TEXTSPLIT($J$1170,, " ") = L1237))</f>
        <v>1</v>
      </c>
    </row>
    <row r="1238" spans="5:14" x14ac:dyDescent="0.2">
      <c r="E1238" s="9" t="s">
        <v>20</v>
      </c>
      <c r="K1238" t="str">
        <v>I</v>
      </c>
      <c r="L1238" t="str">
        <v>under?</v>
      </c>
      <c r="M1238" s="4" t="str">
        <f t="shared" si="19"/>
        <v/>
      </c>
      <c r="N1238" s="4" cm="1">
        <f t="array" ref="N1238">SUM(--(_xlfn.TEXTSPLIT($J$1170,, " ") = L1238))</f>
        <v>1</v>
      </c>
    </row>
    <row r="1239" spans="5:14" x14ac:dyDescent="0.2">
      <c r="E1239" s="9" t="s">
        <v>20</v>
      </c>
      <c r="K1239" t="str">
        <v>can't</v>
      </c>
      <c r="L1239" t="str">
        <v xml:space="preserve">(Oh-oh-oh)
</v>
      </c>
      <c r="M1239" s="4" t="str">
        <f t="shared" si="19"/>
        <v/>
      </c>
      <c r="N1239" s="4" cm="1">
        <f t="array" ref="N1239">SUM(--(_xlfn.TEXTSPLIT($J$1170,, " ") = L1239))</f>
        <v>1</v>
      </c>
    </row>
    <row r="1240" spans="5:14" x14ac:dyDescent="0.2">
      <c r="E1240" s="9" t="s">
        <v>20</v>
      </c>
      <c r="K1240" t="str">
        <v xml:space="preserve">decide
</v>
      </c>
      <c r="L1240" t="str">
        <v xml:space="preserve">Oh-oh
</v>
      </c>
      <c r="M1240" s="4" t="str">
        <f t="shared" si="19"/>
        <v/>
      </c>
      <c r="N1240" s="4" cm="1">
        <f t="array" ref="N1240">SUM(--(_xlfn.TEXTSPLIT($J$1170,, " ") = L1240))</f>
        <v>1</v>
      </c>
    </row>
    <row r="1241" spans="5:14" x14ac:dyDescent="0.2">
      <c r="E1241" s="9" t="s">
        <v>20</v>
      </c>
      <c r="K1241" t="str">
        <v/>
      </c>
      <c r="L1241" t="str">
        <v>shirt</v>
      </c>
      <c r="M1241" s="4" t="str">
        <f t="shared" si="19"/>
        <v/>
      </c>
      <c r="N1241" s="4" cm="1">
        <f t="array" ref="N1241">SUM(--(_xlfn.TEXTSPLIT($J$1170,, " ") = L1241))</f>
        <v>2</v>
      </c>
    </row>
    <row r="1242" spans="5:14" x14ac:dyDescent="0.2">
      <c r="E1242" s="9" t="s">
        <v>20</v>
      </c>
      <c r="K1242" t="str">
        <v>If</v>
      </c>
      <c r="L1242" t="str">
        <v xml:space="preserve">sleeve
</v>
      </c>
      <c r="M1242" s="4" t="str">
        <f t="shared" ref="M1242:M1264" si="20">_xlfn.REGEXREPLACE(C1242, "[^A-Za-z ]", " ")</f>
        <v/>
      </c>
      <c r="N1242" s="4" cm="1">
        <f t="array" ref="N1242">SUM(--(_xlfn.TEXTSPLIT($J$1170,, " ") = L1242))</f>
        <v>2</v>
      </c>
    </row>
    <row r="1243" spans="5:14" x14ac:dyDescent="0.2">
      <c r="E1243" s="9" t="s">
        <v>20</v>
      </c>
      <c r="K1243" t="str">
        <v>I</v>
      </c>
      <c r="L1243" t="str">
        <v xml:space="preserve">happening?
</v>
      </c>
      <c r="M1243" s="4" t="str">
        <f t="shared" si="20"/>
        <v/>
      </c>
      <c r="N1243" s="4" cm="1">
        <f t="array" ref="N1243">SUM(--(_xlfn.TEXTSPLIT($J$1170,, " ") = L1243))</f>
        <v>1</v>
      </c>
    </row>
    <row r="1244" spans="5:14" x14ac:dyDescent="0.2">
      <c r="E1244" s="9" t="s">
        <v>20</v>
      </c>
      <c r="K1244" t="str">
        <v>could</v>
      </c>
      <c r="L1244" t="str">
        <v>Would</v>
      </c>
      <c r="M1244" s="4" t="str">
        <f t="shared" si="20"/>
        <v/>
      </c>
      <c r="N1244" s="4" cm="1">
        <f t="array" ref="N1244">SUM(--(_xlfn.TEXTSPLIT($J$1170,, " ") = L1244))</f>
        <v>1</v>
      </c>
    </row>
    <row r="1245" spans="5:14" x14ac:dyDescent="0.2">
      <c r="E1245" s="9" t="s">
        <v>20</v>
      </c>
      <c r="K1245" t="str">
        <v>feel</v>
      </c>
      <c r="L1245" t="str">
        <v>move</v>
      </c>
      <c r="M1245" s="4" t="str">
        <f t="shared" si="20"/>
        <v/>
      </c>
      <c r="N1245" s="4" cm="1">
        <f t="array" ref="N1245">SUM(--(_xlfn.TEXTSPLIT($J$1170,, " ") = L1245))</f>
        <v>1</v>
      </c>
    </row>
    <row r="1246" spans="5:14" x14ac:dyDescent="0.2">
      <c r="E1246" s="9" t="s">
        <v>20</v>
      </c>
      <c r="K1246" t="str">
        <v>more</v>
      </c>
      <c r="L1246" t="str">
        <v>closer</v>
      </c>
      <c r="M1246" s="4" t="str">
        <f t="shared" si="20"/>
        <v/>
      </c>
      <c r="N1246" s="4" cm="1">
        <f t="array" ref="N1246">SUM(--(_xlfn.TEXTSPLIT($J$1170,, " ") = L1246))</f>
        <v>1</v>
      </c>
    </row>
    <row r="1247" spans="5:14" x14ac:dyDescent="0.2">
      <c r="E1247" s="9" t="s">
        <v>20</v>
      </c>
      <c r="K1247" t="str">
        <v>or</v>
      </c>
      <c r="L1247" t="str">
        <v>grew</v>
      </c>
      <c r="M1247" s="4" t="str">
        <f t="shared" si="20"/>
        <v/>
      </c>
      <c r="N1247" s="4" cm="1">
        <f t="array" ref="N1247">SUM(--(_xlfn.TEXTSPLIT($J$1170,, " ") = L1247))</f>
        <v>1</v>
      </c>
    </row>
    <row r="1248" spans="5:14" x14ac:dyDescent="0.2">
      <c r="E1248" s="9" t="s">
        <v>20</v>
      </c>
      <c r="K1248" t="str">
        <v>I</v>
      </c>
      <c r="L1248" t="str">
        <v xml:space="preserve">quieter?
</v>
      </c>
      <c r="M1248" s="4" t="str">
        <f t="shared" si="20"/>
        <v/>
      </c>
      <c r="N1248" s="4" cm="1">
        <f t="array" ref="N1248">SUM(--(_xlfn.TEXTSPLIT($J$1170,, " ") = L1248))</f>
        <v>1</v>
      </c>
    </row>
    <row r="1249" spans="5:14" x14ac:dyDescent="0.2">
      <c r="E1249" s="9" t="s">
        <v>20</v>
      </c>
      <c r="K1249" t="str">
        <v>just</v>
      </c>
      <c r="L1249" t="str">
        <v>Maybe</v>
      </c>
      <c r="M1249" s="4" t="str">
        <f t="shared" si="20"/>
        <v/>
      </c>
      <c r="N1249" s="4" cm="1">
        <f t="array" ref="N1249">SUM(--(_xlfn.TEXTSPLIT($J$1170,, " ") = L1249))</f>
        <v>2</v>
      </c>
    </row>
    <row r="1250" spans="5:14" x14ac:dyDescent="0.2">
      <c r="E1250" s="9" t="s">
        <v>20</v>
      </c>
      <c r="K1250" t="str">
        <v>knew</v>
      </c>
      <c r="L1250" t="str">
        <v>this</v>
      </c>
      <c r="M1250" s="4" t="str">
        <f t="shared" si="20"/>
        <v/>
      </c>
      <c r="N1250" s="4" cm="1">
        <f t="array" ref="N1250">SUM(--(_xlfn.TEXTSPLIT($J$1170,, " ") = L1250))</f>
        <v>1</v>
      </c>
    </row>
    <row r="1251" spans="5:14" x14ac:dyDescent="0.2">
      <c r="E1251" s="9" t="s">
        <v>20</v>
      </c>
      <c r="K1251" t="str">
        <v>less
When</v>
      </c>
      <c r="L1251" t="str">
        <v xml:space="preserve">you
</v>
      </c>
      <c r="M1251" s="4" t="str">
        <f t="shared" si="20"/>
        <v/>
      </c>
      <c r="N1251" s="4" cm="1">
        <f t="array" ref="N1251">SUM(--(_xlfn.TEXTSPLIT($J$1170,, " ") = L1251))</f>
        <v>1</v>
      </c>
    </row>
    <row r="1252" spans="5:14" x14ac:dyDescent="0.2">
      <c r="E1252" s="9" t="s">
        <v>20</v>
      </c>
      <c r="K1252" t="str">
        <v>I</v>
      </c>
      <c r="L1252" t="str">
        <v>don't</v>
      </c>
      <c r="M1252" s="4" t="str">
        <f t="shared" si="20"/>
        <v/>
      </c>
      <c r="N1252" s="4" cm="1">
        <f t="array" ref="N1252">SUM(--(_xlfn.TEXTSPLIT($J$1170,, " ") = L1252))</f>
        <v>3</v>
      </c>
    </row>
    <row r="1253" spans="5:14" x14ac:dyDescent="0.2">
      <c r="E1253" s="9" t="s">
        <v>20</v>
      </c>
      <c r="K1253" t="str">
        <v>was</v>
      </c>
      <c r="L1253" t="str">
        <v>fix</v>
      </c>
      <c r="M1253" s="4" t="str">
        <f t="shared" si="20"/>
        <v/>
      </c>
      <c r="N1253" s="4" cm="1">
        <f t="array" ref="N1253">SUM(--(_xlfn.TEXTSPLIT($J$1170,, " ") = L1253))</f>
        <v>1</v>
      </c>
    </row>
    <row r="1254" spans="5:14" x14ac:dyDescent="0.2">
      <c r="E1254" s="9" t="s">
        <v>20</v>
      </c>
      <c r="K1254" t="str">
        <v xml:space="preserve">younger
</v>
      </c>
      <c r="L1254" t="str">
        <v>and</v>
      </c>
      <c r="M1254" s="4" t="str">
        <f t="shared" si="20"/>
        <v/>
      </c>
      <c r="N1254" s="4" cm="1">
        <f t="array" ref="N1254">SUM(--(_xlfn.TEXTSPLIT($J$1170,, " ") = L1254))</f>
        <v>1</v>
      </c>
    </row>
    <row r="1255" spans="5:14" x14ac:dyDescent="0.2">
      <c r="E1255" s="9" t="s">
        <v>20</v>
      </c>
      <c r="K1255" t="str">
        <v>Bright-eyed</v>
      </c>
      <c r="L1255" t="str">
        <v>it</v>
      </c>
      <c r="M1255" s="4" t="str">
        <f t="shared" si="20"/>
        <v/>
      </c>
      <c r="N1255" s="4" cm="1">
        <f t="array" ref="N1255">SUM(--(_xlfn.TEXTSPLIT($J$1170,, " ") = L1255))</f>
        <v>1</v>
      </c>
    </row>
    <row r="1256" spans="5:14" x14ac:dyDescent="0.2">
      <c r="E1256" s="9" t="s">
        <v>20</v>
      </c>
      <c r="K1256" t="str">
        <v>with</v>
      </c>
      <c r="L1256" t="str">
        <v xml:space="preserve">this
</v>
      </c>
      <c r="M1256" s="4" t="str">
        <f t="shared" si="20"/>
        <v/>
      </c>
      <c r="N1256" s="4" cm="1">
        <f t="array" ref="N1256">SUM(--(_xlfn.TEXTSPLIT($J$1170,, " ") = L1256))</f>
        <v>1</v>
      </c>
    </row>
    <row r="1257" spans="5:14" x14ac:dyDescent="0.2">
      <c r="E1257" s="9" t="s">
        <v>20</v>
      </c>
      <c r="K1257" t="str">
        <v xml:space="preserve">wonder
</v>
      </c>
      <c r="L1257" t="str">
        <v>garbage</v>
      </c>
      <c r="M1257" s="4" t="str">
        <f t="shared" si="20"/>
        <v/>
      </c>
      <c r="N1257" s="4" cm="1">
        <f t="array" ref="N1257">SUM(--(_xlfn.TEXTSPLIT($J$1170,, " ") = L1257))</f>
        <v>1</v>
      </c>
    </row>
    <row r="1258" spans="5:14" x14ac:dyDescent="0.2">
      <c r="E1258" s="9" t="s">
        <v>20</v>
      </c>
      <c r="K1258" t="str">
        <v>Do</v>
      </c>
      <c r="L1258" t="str">
        <v xml:space="preserve">(Yeah)
</v>
      </c>
      <c r="M1258" s="4" t="str">
        <f t="shared" si="20"/>
        <v/>
      </c>
      <c r="N1258" s="4" cm="1">
        <f t="array" ref="N1258">SUM(--(_xlfn.TEXTSPLIT($J$1170,, " ") = L1258))</f>
        <v>2</v>
      </c>
    </row>
    <row r="1259" spans="5:14" x14ac:dyDescent="0.2">
      <c r="E1259" s="9" t="s">
        <v>20</v>
      </c>
      <c r="K1259" t="str">
        <v>you</v>
      </c>
      <c r="L1259" t="str">
        <v xml:space="preserve">Like
</v>
      </c>
      <c r="M1259" s="4" t="str">
        <f t="shared" si="20"/>
        <v/>
      </c>
      <c r="N1259" s="4" cm="1">
        <f t="array" ref="N1259">SUM(--(_xlfn.TEXTSPLIT($J$1170,, " ") = L1259))</f>
        <v>1</v>
      </c>
    </row>
    <row r="1260" spans="5:14" x14ac:dyDescent="0.2">
      <c r="E1260" s="9" t="s">
        <v>20</v>
      </c>
      <c r="K1260" t="str">
        <v>know</v>
      </c>
      <c r="L1260" t="str">
        <v>out,</v>
      </c>
      <c r="M1260" s="4" t="str">
        <f t="shared" si="20"/>
        <v/>
      </c>
      <c r="N1260" s="4" cm="1">
        <f t="array" ref="N1260">SUM(--(_xlfn.TEXTSPLIT($J$1170,, " ") = L1260))</f>
        <v>4</v>
      </c>
    </row>
    <row r="1261" spans="5:14" x14ac:dyDescent="0.2">
      <c r="E1261" s="9" t="s">
        <v>20</v>
      </c>
      <c r="K1261" t="str">
        <v>which</v>
      </c>
      <c r="L1261" t="str">
        <v xml:space="preserve">(Hey)
</v>
      </c>
      <c r="M1261" s="4" t="str">
        <f t="shared" si="20"/>
        <v/>
      </c>
      <c r="N1261" s="4" cm="1">
        <f t="array" ref="N1261">SUM(--(_xlfn.TEXTSPLIT($J$1170,, " ") = L1261))</f>
        <v>1</v>
      </c>
    </row>
    <row r="1262" spans="5:14" x14ac:dyDescent="0.2">
      <c r="E1262" s="9" t="s">
        <v>20</v>
      </c>
      <c r="K1262" t="str">
        <v>name</v>
      </c>
      <c r="L1262" t="str">
        <v xml:space="preserve">out
</v>
      </c>
      <c r="M1262" s="4" t="str">
        <f t="shared" si="20"/>
        <v/>
      </c>
      <c r="N1262" s="4" cm="1">
        <f t="array" ref="N1262">SUM(--(_xlfn.TEXTSPLIT($J$1170,, " ") = L1262))</f>
        <v>1</v>
      </c>
    </row>
    <row r="1263" spans="5:14" x14ac:dyDescent="0.2">
      <c r="E1263" s="9" t="s">
        <v>20</v>
      </c>
      <c r="K1263" t="str">
        <v>it's</v>
      </c>
      <c r="L1263" t="str">
        <v>give</v>
      </c>
      <c r="M1263" s="4" t="str">
        <f t="shared" si="20"/>
        <v/>
      </c>
      <c r="N1263" s="4" cm="1">
        <f t="array" ref="N1263">SUM(--(_xlfn.TEXTSPLIT($J$1170,, " ") = L1263))</f>
        <v>2</v>
      </c>
    </row>
    <row r="1264" spans="5:14" x14ac:dyDescent="0.2">
      <c r="E1264" s="9" t="s">
        <v>20</v>
      </c>
      <c r="K1264" t="str">
        <v>under?</v>
      </c>
      <c r="L1264" t="str">
        <v>up</v>
      </c>
      <c r="M1264" s="4" t="str">
        <f t="shared" si="20"/>
        <v/>
      </c>
      <c r="N1264" s="4" cm="1">
        <f t="array" ref="N1264">SUM(--(_xlfn.TEXTSPLIT($J$1170,, " ") = L1264))</f>
        <v>2</v>
      </c>
    </row>
    <row r="1265" spans="5:14" x14ac:dyDescent="0.2">
      <c r="E1265" s="9" t="s">
        <v>20</v>
      </c>
      <c r="K1265" t="str">
        <v xml:space="preserve">(Oh-oh-oh)
</v>
      </c>
      <c r="L1265" t="str">
        <v xml:space="preserve">me
</v>
      </c>
      <c r="N1265" s="4" cm="1">
        <f t="array" ref="N1265">SUM(--(_xlfn.TEXTSPLIT($J$1170,, " ") = L1265))</f>
        <v>2</v>
      </c>
    </row>
    <row r="1266" spans="5:14" x14ac:dyDescent="0.2">
      <c r="E1266" s="9" t="s">
        <v>20</v>
      </c>
      <c r="K1266" t="str">
        <v>Or</v>
      </c>
      <c r="L1266" t="str">
        <v>No,</v>
      </c>
      <c r="N1266" s="4" cm="1">
        <f t="array" ref="N1266">SUM(--(_xlfn.TEXTSPLIT($J$1170,, " ") = L1266))</f>
        <v>3</v>
      </c>
    </row>
    <row r="1267" spans="5:14" x14ac:dyDescent="0.2">
      <c r="E1267" s="9" t="s">
        <v>20</v>
      </c>
      <c r="K1267" t="str">
        <v xml:space="preserve">less
</v>
      </c>
      <c r="L1267" t="str">
        <v>please,</v>
      </c>
      <c r="N1267" s="4" cm="1">
        <f t="array" ref="N1267">SUM(--(_xlfn.TEXTSPLIT($J$1170,, " ") = L1267))</f>
        <v>2</v>
      </c>
    </row>
    <row r="1268" spans="5:14" x14ac:dyDescent="0.2">
      <c r="E1268" s="9" t="s">
        <v>20</v>
      </c>
      <c r="K1268" t="str">
        <v>I'll</v>
      </c>
      <c r="L1268" t="str">
        <v>please</v>
      </c>
      <c r="N1268" s="4" cm="1">
        <f t="array" ref="N1268">SUM(--(_xlfn.TEXTSPLIT($J$1170,, " ") = L1268))</f>
        <v>1</v>
      </c>
    </row>
    <row r="1269" spans="5:14" x14ac:dyDescent="0.2">
      <c r="E1269" s="9" t="s">
        <v>20</v>
      </c>
      <c r="K1269" t="str">
        <v>walk</v>
      </c>
      <c r="N1269" s="4" cm="1">
        <f t="array" ref="N1269">SUM(--(_xlfn.TEXTSPLIT($J$1170,, " ") = L1269))</f>
        <v>2</v>
      </c>
    </row>
    <row r="1270" spans="5:14" x14ac:dyDescent="0.2">
      <c r="E1270" s="9" t="s">
        <v>20</v>
      </c>
      <c r="K1270" t="str">
        <v>you</v>
      </c>
      <c r="N1270" s="4" cm="1">
        <f t="array" ref="N1270">SUM(--(_xlfn.TEXTSPLIT($J$1170,, " ") = L1270))</f>
        <v>2</v>
      </c>
    </row>
    <row r="1271" spans="5:14" x14ac:dyDescent="0.2">
      <c r="E1271" s="9" t="s">
        <v>20</v>
      </c>
      <c r="K1271" t="str">
        <v>through</v>
      </c>
      <c r="N1271" s="4" cm="1">
        <f t="array" ref="N1271">SUM(--(_xlfn.TEXTSPLIT($J$1170,, " ") = L1271))</f>
        <v>2</v>
      </c>
    </row>
    <row r="1272" spans="5:14" x14ac:dyDescent="0.2">
      <c r="E1272" s="9" t="s">
        <v>20</v>
      </c>
      <c r="K1272" t="str">
        <v>the</v>
      </c>
      <c r="N1272" s="4" cm="1">
        <f t="array" ref="N1272">SUM(--(_xlfn.TEXTSPLIT($J$1170,, " ") = L1272))</f>
        <v>2</v>
      </c>
    </row>
    <row r="1273" spans="5:14" x14ac:dyDescent="0.2">
      <c r="E1273" s="9" t="s">
        <v>20</v>
      </c>
      <c r="K1273" t="str">
        <v xml:space="preserve">numbers
</v>
      </c>
      <c r="N1273" s="4" cm="1">
        <f t="array" ref="N1273">SUM(--(_xlfn.TEXTSPLIT($J$1170,, " ") = L1273))</f>
        <v>2</v>
      </c>
    </row>
    <row r="1274" spans="5:14" x14ac:dyDescent="0.2">
      <c r="E1274" s="9" t="s">
        <v>20</v>
      </c>
      <c r="K1274" t="str">
        <v>I'll</v>
      </c>
      <c r="N1274" s="4" cm="1">
        <f t="array" ref="N1274">SUM(--(_xlfn.TEXTSPLIT($J$1170,, " ") = L1274))</f>
        <v>2</v>
      </c>
    </row>
    <row r="1275" spans="5:14" x14ac:dyDescent="0.2">
      <c r="E1275" s="9" t="s">
        <v>20</v>
      </c>
      <c r="K1275" t="str">
        <v>show</v>
      </c>
      <c r="N1275" s="4" cm="1">
        <f t="array" ref="N1275">SUM(--(_xlfn.TEXTSPLIT($J$1170,, " ") = L1275))</f>
        <v>2</v>
      </c>
    </row>
    <row r="1276" spans="5:14" x14ac:dyDescent="0.2">
      <c r="E1276" s="9" t="s">
        <v>20</v>
      </c>
      <c r="K1276" t="str">
        <v>you</v>
      </c>
      <c r="N1276" s="4" cm="1">
        <f t="array" ref="N1276">SUM(--(_xlfn.TEXTSPLIT($J$1170,, " ") = L1276))</f>
        <v>2</v>
      </c>
    </row>
    <row r="1277" spans="5:14" x14ac:dyDescent="0.2">
      <c r="E1277" s="9" t="s">
        <v>20</v>
      </c>
      <c r="K1277" t="str">
        <v>nothing's</v>
      </c>
      <c r="N1277" s="4" cm="1">
        <f t="array" ref="N1277">SUM(--(_xlfn.TEXTSPLIT($J$1170,, " ") = L1277))</f>
        <v>2</v>
      </c>
    </row>
    <row r="1278" spans="5:14" x14ac:dyDescent="0.2">
      <c r="E1278" s="9" t="s">
        <v>20</v>
      </c>
      <c r="K1278" t="str">
        <v xml:space="preserve">left
</v>
      </c>
      <c r="N1278" s="4" cm="1">
        <f t="array" ref="N1278">SUM(--(_xlfn.TEXTSPLIT($J$1170,, " ") = L1278))</f>
        <v>2</v>
      </c>
    </row>
    <row r="1279" spans="5:14" x14ac:dyDescent="0.2">
      <c r="E1279" s="9" t="s">
        <v>20</v>
      </c>
      <c r="K1279" t="str">
        <v xml:space="preserve">Oh-oh
</v>
      </c>
      <c r="N1279" s="4" cm="1">
        <f t="array" ref="N1279">SUM(--(_xlfn.TEXTSPLIT($J$1170,, " ") = L1279))</f>
        <v>2</v>
      </c>
    </row>
    <row r="1280" spans="5:14" x14ac:dyDescent="0.2">
      <c r="E1280" s="9" t="s">
        <v>20</v>
      </c>
      <c r="K1280" t="str">
        <v>(Yeah,</v>
      </c>
      <c r="N1280" s="4" cm="1">
        <f t="array" ref="N1280">SUM(--(_xlfn.TEXTSPLIT($J$1170,, " ") = L1280))</f>
        <v>2</v>
      </c>
    </row>
    <row r="1281" spans="5:14" x14ac:dyDescent="0.2">
      <c r="E1281" s="9" t="s">
        <v>20</v>
      </c>
      <c r="K1281" t="str">
        <v>yeah)</v>
      </c>
      <c r="N1281" s="4" cm="1">
        <f t="array" ref="N1281">SUM(--(_xlfn.TEXTSPLIT($J$1170,, " ") = L1281))</f>
        <v>2</v>
      </c>
    </row>
    <row r="1282" spans="5:14" x14ac:dyDescent="0.2">
      <c r="E1282" s="9" t="s">
        <v>20</v>
      </c>
      <c r="K1282" t="str">
        <v>I'm</v>
      </c>
      <c r="N1282" s="4" cm="1">
        <f t="array" ref="N1282">SUM(--(_xlfn.TEXTSPLIT($J$1170,, " ") = L1282))</f>
        <v>2</v>
      </c>
    </row>
    <row r="1283" spans="5:14" x14ac:dyDescent="0.2">
      <c r="E1283" s="9" t="s">
        <v>20</v>
      </c>
      <c r="K1283" t="str">
        <v>biting</v>
      </c>
      <c r="N1283" s="4" cm="1">
        <f t="array" ref="N1283">SUM(--(_xlfn.TEXTSPLIT($J$1170,, " ") = L1283))</f>
        <v>2</v>
      </c>
    </row>
    <row r="1284" spans="5:14" x14ac:dyDescent="0.2">
      <c r="E1284" s="9" t="s">
        <v>20</v>
      </c>
      <c r="K1284" t="str">
        <v>down</v>
      </c>
      <c r="N1284" s="4" cm="1">
        <f t="array" ref="N1284">SUM(--(_xlfn.TEXTSPLIT($J$1170,, " ") = L1284))</f>
        <v>2</v>
      </c>
    </row>
    <row r="1285" spans="5:14" x14ac:dyDescent="0.2">
      <c r="E1285" s="9" t="s">
        <v>20</v>
      </c>
      <c r="K1285" t="str">
        <v>on</v>
      </c>
      <c r="N1285" s="4" cm="1">
        <f t="array" ref="N1285">SUM(--(_xlfn.TEXTSPLIT($J$1170,, " ") = L1285))</f>
        <v>2</v>
      </c>
    </row>
    <row r="1286" spans="5:14" x14ac:dyDescent="0.2">
      <c r="E1286" s="9" t="s">
        <v>20</v>
      </c>
      <c r="K1286" t="str">
        <v>my</v>
      </c>
      <c r="N1286" s="4" cm="1">
        <f t="array" ref="N1286">SUM(--(_xlfn.TEXTSPLIT($J$1170,, " ") = L1286))</f>
        <v>2</v>
      </c>
    </row>
    <row r="1287" spans="5:14" x14ac:dyDescent="0.2">
      <c r="E1287" s="9" t="s">
        <v>20</v>
      </c>
      <c r="K1287" t="str">
        <v>shirt</v>
      </c>
      <c r="N1287" s="4" cm="1">
        <f t="array" ref="N1287">SUM(--(_xlfn.TEXTSPLIT($J$1170,, " ") = L1287))</f>
        <v>2</v>
      </c>
    </row>
    <row r="1288" spans="5:14" x14ac:dyDescent="0.2">
      <c r="E1288" s="9" t="s">
        <v>20</v>
      </c>
      <c r="K1288" t="str">
        <v xml:space="preserve">sleeve
</v>
      </c>
      <c r="N1288" s="4" cm="1">
        <f t="array" ref="N1288">SUM(--(_xlfn.TEXTSPLIT($J$1170,, " ") = L1288))</f>
        <v>2</v>
      </c>
    </row>
    <row r="1289" spans="5:14" x14ac:dyDescent="0.2">
      <c r="E1289" s="9" t="s">
        <v>20</v>
      </c>
      <c r="K1289" t="str">
        <v>(Yeah,</v>
      </c>
      <c r="N1289" s="4" cm="1">
        <f t="array" ref="N1289">SUM(--(_xlfn.TEXTSPLIT($J$1170,, " ") = L1289))</f>
        <v>2</v>
      </c>
    </row>
    <row r="1290" spans="5:14" x14ac:dyDescent="0.2">
      <c r="E1290" s="9" t="s">
        <v>20</v>
      </c>
      <c r="K1290" t="str">
        <v>yeah)</v>
      </c>
      <c r="N1290" s="4" cm="1">
        <f t="array" ref="N1290">SUM(--(_xlfn.TEXTSPLIT($J$1170,, " ") = L1290))</f>
        <v>2</v>
      </c>
    </row>
    <row r="1291" spans="5:14" x14ac:dyDescent="0.2">
      <c r="E1291" s="9" t="s">
        <v>20</v>
      </c>
      <c r="K1291" t="str">
        <v>I'll</v>
      </c>
      <c r="N1291" s="4" cm="1">
        <f t="array" ref="N1291">SUM(--(_xlfn.TEXTSPLIT($J$1170,, " ") = L1291))</f>
        <v>2</v>
      </c>
    </row>
    <row r="1292" spans="5:14" x14ac:dyDescent="0.2">
      <c r="E1292" s="9" t="s">
        <v>20</v>
      </c>
      <c r="K1292" t="str">
        <v>lash</v>
      </c>
      <c r="N1292" s="4" cm="1">
        <f t="array" ref="N1292">SUM(--(_xlfn.TEXTSPLIT($J$1170,, " ") = L1292))</f>
        <v>2</v>
      </c>
    </row>
    <row r="1293" spans="5:14" x14ac:dyDescent="0.2">
      <c r="E1293" s="9" t="s">
        <v>20</v>
      </c>
      <c r="K1293" t="str">
        <v>out</v>
      </c>
      <c r="N1293" s="4" cm="1">
        <f t="array" ref="N1293">SUM(--(_xlfn.TEXTSPLIT($J$1170,, " ") = L1293))</f>
        <v>2</v>
      </c>
    </row>
    <row r="1294" spans="5:14" x14ac:dyDescent="0.2">
      <c r="E1294" s="9" t="s">
        <v>20</v>
      </c>
      <c r="K1294" t="str">
        <v>if</v>
      </c>
      <c r="N1294" s="4" cm="1">
        <f t="array" ref="N1294">SUM(--(_xlfn.TEXTSPLIT($J$1170,, " ") = L1294))</f>
        <v>2</v>
      </c>
    </row>
    <row r="1295" spans="5:14" x14ac:dyDescent="0.2">
      <c r="E1295" s="9" t="s">
        <v>20</v>
      </c>
      <c r="K1295" t="str">
        <v>you're</v>
      </c>
      <c r="N1295" s="4" cm="1">
        <f t="array" ref="N1295">SUM(--(_xlfn.TEXTSPLIT($J$1170,, " ") = L1295))</f>
        <v>2</v>
      </c>
    </row>
    <row r="1296" spans="5:14" x14ac:dyDescent="0.2">
      <c r="E1296" s="9" t="s">
        <v>20</v>
      </c>
      <c r="K1296" t="str">
        <v>in</v>
      </c>
      <c r="N1296" s="4" cm="1">
        <f t="array" ref="N1296">SUM(--(_xlfn.TEXTSPLIT($J$1170,, " ") = L1296))</f>
        <v>2</v>
      </c>
    </row>
    <row r="1297" spans="5:14" x14ac:dyDescent="0.2">
      <c r="E1297" s="9" t="s">
        <v>20</v>
      </c>
      <c r="K1297" t="str">
        <v>arm's</v>
      </c>
      <c r="N1297" s="4" cm="1">
        <f t="array" ref="N1297">SUM(--(_xlfn.TEXTSPLIT($J$1170,, " ") = L1297))</f>
        <v>2</v>
      </c>
    </row>
    <row r="1298" spans="5:14" x14ac:dyDescent="0.2">
      <c r="E1298" s="9" t="s">
        <v>20</v>
      </c>
      <c r="K1298" t="str">
        <v xml:space="preserve">reach
</v>
      </c>
      <c r="N1298" s="4" cm="1">
        <f t="array" ref="N1298">SUM(--(_xlfn.TEXTSPLIT($J$1170,, " ") = L1298))</f>
        <v>2</v>
      </c>
    </row>
    <row r="1299" spans="5:14" x14ac:dyDescent="0.2">
      <c r="E1299" s="9" t="s">
        <v>20</v>
      </c>
      <c r="K1299" t="str">
        <v>(Yeah,</v>
      </c>
      <c r="N1299" s="4" cm="1">
        <f t="array" ref="N1299">SUM(--(_xlfn.TEXTSPLIT($J$1170,, " ") = L1299))</f>
        <v>2</v>
      </c>
    </row>
    <row r="1300" spans="5:14" x14ac:dyDescent="0.2">
      <c r="E1300" s="9" t="s">
        <v>20</v>
      </c>
      <c r="K1300" t="str">
        <v>yeah)</v>
      </c>
      <c r="N1300" s="4" cm="1">
        <f t="array" ref="N1300">SUM(--(_xlfn.TEXTSPLIT($J$1170,, " ") = L1300))</f>
        <v>2</v>
      </c>
    </row>
    <row r="1301" spans="5:14" x14ac:dyDescent="0.2">
      <c r="E1301" s="9" t="s">
        <v>20</v>
      </c>
      <c r="K1301" t="str">
        <v>I'm</v>
      </c>
      <c r="N1301" s="4" cm="1">
        <f t="array" ref="N1301">SUM(--(_xlfn.TEXTSPLIT($J$1170,, " ") = L1301))</f>
        <v>2</v>
      </c>
    </row>
    <row r="1302" spans="5:14" x14ac:dyDescent="0.2">
      <c r="E1302" s="9" t="s">
        <v>20</v>
      </c>
      <c r="K1302" t="str">
        <v>so</v>
      </c>
      <c r="N1302" s="4" cm="1">
        <f t="array" ref="N1302">SUM(--(_xlfn.TEXTSPLIT($J$1170,, " ") = L1302))</f>
        <v>2</v>
      </c>
    </row>
    <row r="1303" spans="5:14" x14ac:dyDescent="0.2">
      <c r="E1303" s="9" t="s">
        <v>20</v>
      </c>
      <c r="K1303" t="str">
        <v>lost,</v>
      </c>
      <c r="N1303" s="4" cm="1">
        <f t="array" ref="N1303">SUM(--(_xlfn.TEXTSPLIT($J$1170,, " ") = L1303))</f>
        <v>2</v>
      </c>
    </row>
    <row r="1304" spans="5:14" x14ac:dyDescent="0.2">
      <c r="E1304" s="9" t="s">
        <v>20</v>
      </c>
      <c r="K1304" t="str">
        <v>like,</v>
      </c>
      <c r="N1304" s="4" cm="1">
        <f t="array" ref="N1304">SUM(--(_xlfn.TEXTSPLIT($J$1170,, " ") = L1304))</f>
        <v>2</v>
      </c>
    </row>
    <row r="1305" spans="5:14" x14ac:dyDescent="0.2">
      <c r="E1305" s="9" t="s">
        <v>20</v>
      </c>
      <c r="K1305" t="str">
        <v>what</v>
      </c>
      <c r="N1305" s="4" cm="1">
        <f t="array" ref="N1305">SUM(--(_xlfn.TEXTSPLIT($J$1170,, " ") = L1305))</f>
        <v>2</v>
      </c>
    </row>
    <row r="1306" spans="5:14" x14ac:dyDescent="0.2">
      <c r="E1306" s="9" t="s">
        <v>20</v>
      </c>
      <c r="K1306" t="str">
        <v>is</v>
      </c>
      <c r="N1306" s="4" cm="1">
        <f t="array" ref="N1306">SUM(--(_xlfn.TEXTSPLIT($J$1170,, " ") = L1306))</f>
        <v>2</v>
      </c>
    </row>
    <row r="1307" spans="5:14" x14ac:dyDescent="0.2">
      <c r="E1307" s="9" t="s">
        <v>20</v>
      </c>
      <c r="K1307" t="str">
        <v xml:space="preserve">happening?
</v>
      </c>
      <c r="N1307" s="4" cm="1">
        <f t="array" ref="N1307">SUM(--(_xlfn.TEXTSPLIT($J$1170,, " ") = L1307))</f>
        <v>2</v>
      </c>
    </row>
    <row r="1308" spans="5:14" x14ac:dyDescent="0.2">
      <c r="E1308" s="9" t="s">
        <v>20</v>
      </c>
      <c r="K1308" t="str">
        <v>Like,</v>
      </c>
      <c r="N1308" s="4" cm="1">
        <f t="array" ref="N1308">SUM(--(_xlfn.TEXTSPLIT($J$1170,, " ") = L1308))</f>
        <v>2</v>
      </c>
    </row>
    <row r="1309" spans="5:14" x14ac:dyDescent="0.2">
      <c r="E1309" s="9" t="s">
        <v>20</v>
      </c>
      <c r="K1309" t="str">
        <v>what</v>
      </c>
      <c r="N1309" s="4" cm="1">
        <f t="array" ref="N1309">SUM(--(_xlfn.TEXTSPLIT($J$1170,, " ") = L1309))</f>
        <v>2</v>
      </c>
    </row>
    <row r="1310" spans="5:14" x14ac:dyDescent="0.2">
      <c r="E1310" s="9" t="s">
        <v>20</v>
      </c>
      <c r="K1310" t="str">
        <v>is</v>
      </c>
      <c r="N1310" s="4" cm="1">
        <f t="array" ref="N1310">SUM(--(_xlfn.TEXTSPLIT($J$1170,, " ") = L1310))</f>
        <v>2</v>
      </c>
    </row>
    <row r="1311" spans="5:14" x14ac:dyDescent="0.2">
      <c r="E1311" s="9" t="s">
        <v>20</v>
      </c>
      <c r="K1311" t="str">
        <v xml:space="preserve">happening?
</v>
      </c>
      <c r="N1311" s="4" cm="1">
        <f t="array" ref="N1311">SUM(--(_xlfn.TEXTSPLIT($J$1170,, " ") = L1311))</f>
        <v>2</v>
      </c>
    </row>
    <row r="1312" spans="5:14" x14ac:dyDescent="0.2">
      <c r="E1312" s="9" t="s">
        <v>20</v>
      </c>
      <c r="K1312" t="str">
        <v>Would</v>
      </c>
      <c r="N1312" s="4" cm="1">
        <f t="array" ref="N1312">SUM(--(_xlfn.TEXTSPLIT($J$1170,, " ") = L1312))</f>
        <v>2</v>
      </c>
    </row>
    <row r="1313" spans="5:14" x14ac:dyDescent="0.2">
      <c r="E1313" s="9" t="s">
        <v>20</v>
      </c>
      <c r="K1313" t="str">
        <v>you</v>
      </c>
      <c r="N1313" s="4" cm="1">
        <f t="array" ref="N1313">SUM(--(_xlfn.TEXTSPLIT($J$1170,, " ") = L1313))</f>
        <v>2</v>
      </c>
    </row>
    <row r="1314" spans="5:14" x14ac:dyDescent="0.2">
      <c r="E1314" s="9" t="s">
        <v>20</v>
      </c>
      <c r="K1314" t="str">
        <v>move</v>
      </c>
      <c r="N1314" s="4" cm="1">
        <f t="array" ref="N1314">SUM(--(_xlfn.TEXTSPLIT($J$1170,, " ") = L1314))</f>
        <v>2</v>
      </c>
    </row>
    <row r="1315" spans="5:14" x14ac:dyDescent="0.2">
      <c r="E1315" s="9" t="s">
        <v>20</v>
      </c>
      <c r="K1315" t="str">
        <v>closer</v>
      </c>
      <c r="N1315" s="4" cm="1">
        <f t="array" ref="N1315">SUM(--(_xlfn.TEXTSPLIT($J$1170,, " ") = L1315))</f>
        <v>2</v>
      </c>
    </row>
    <row r="1316" spans="5:14" x14ac:dyDescent="0.2">
      <c r="E1316" s="9" t="s">
        <v>20</v>
      </c>
      <c r="K1316" t="str">
        <v>if</v>
      </c>
      <c r="N1316" s="4" cm="1">
        <f t="array" ref="N1316">SUM(--(_xlfn.TEXTSPLIT($J$1170,, " ") = L1316))</f>
        <v>2</v>
      </c>
    </row>
    <row r="1317" spans="5:14" x14ac:dyDescent="0.2">
      <c r="E1317" s="9" t="s">
        <v>20</v>
      </c>
      <c r="K1317" t="str">
        <v>I</v>
      </c>
      <c r="N1317" s="4" cm="1">
        <f t="array" ref="N1317">SUM(--(_xlfn.TEXTSPLIT($J$1170,, " ") = L1317))</f>
        <v>2</v>
      </c>
    </row>
    <row r="1318" spans="5:14" x14ac:dyDescent="0.2">
      <c r="E1318" s="9" t="s">
        <v>20</v>
      </c>
      <c r="K1318" t="str">
        <v>grew</v>
      </c>
      <c r="N1318" s="4" cm="1">
        <f t="array" ref="N1318">SUM(--(_xlfn.TEXTSPLIT($J$1170,, " ") = L1318))</f>
        <v>2</v>
      </c>
    </row>
    <row r="1319" spans="5:14" x14ac:dyDescent="0.2">
      <c r="E1319" s="9" t="s">
        <v>20</v>
      </c>
      <c r="K1319" t="str">
        <v xml:space="preserve">quieter?
</v>
      </c>
      <c r="N1319" s="4" cm="1">
        <f t="array" ref="N1319">SUM(--(_xlfn.TEXTSPLIT($J$1170,, " ") = L1319))</f>
        <v>2</v>
      </c>
    </row>
    <row r="1320" spans="5:14" x14ac:dyDescent="0.2">
      <c r="E1320" s="9" t="s">
        <v>20</v>
      </c>
      <c r="K1320" t="str">
        <v>Maybe</v>
      </c>
      <c r="N1320" s="4" cm="1">
        <f t="array" ref="N1320">SUM(--(_xlfn.TEXTSPLIT($J$1170,, " ") = L1320))</f>
        <v>2</v>
      </c>
    </row>
    <row r="1321" spans="5:14" x14ac:dyDescent="0.2">
      <c r="E1321" s="9" t="s">
        <v>20</v>
      </c>
      <c r="K1321" t="str">
        <v>this</v>
      </c>
      <c r="N1321" s="4" cm="1">
        <f t="array" ref="N1321">SUM(--(_xlfn.TEXTSPLIT($J$1170,, " ") = L1321))</f>
        <v>2</v>
      </c>
    </row>
    <row r="1322" spans="5:14" x14ac:dyDescent="0.2">
      <c r="E1322" s="9" t="s">
        <v>20</v>
      </c>
      <c r="K1322" t="str">
        <v>is</v>
      </c>
      <c r="N1322" s="4" cm="1">
        <f t="array" ref="N1322">SUM(--(_xlfn.TEXTSPLIT($J$1170,, " ") = L1322))</f>
        <v>2</v>
      </c>
    </row>
    <row r="1323" spans="5:14" x14ac:dyDescent="0.2">
      <c r="E1323" s="9" t="s">
        <v>20</v>
      </c>
      <c r="K1323" t="str">
        <v xml:space="preserve">you
</v>
      </c>
      <c r="N1323" s="4" cm="1">
        <f t="array" ref="N1323">SUM(--(_xlfn.TEXTSPLIT($J$1170,, " ") = L1323))</f>
        <v>2</v>
      </c>
    </row>
    <row r="1324" spans="5:14" x14ac:dyDescent="0.2">
      <c r="E1324" s="9" t="s">
        <v>20</v>
      </c>
      <c r="K1324" t="str">
        <v>Maybe</v>
      </c>
      <c r="N1324" s="4" cm="1">
        <f t="array" ref="N1324">SUM(--(_xlfn.TEXTSPLIT($J$1170,, " ") = L1324))</f>
        <v>2</v>
      </c>
    </row>
    <row r="1325" spans="5:14" x14ac:dyDescent="0.2">
      <c r="E1325" s="9" t="s">
        <v>20</v>
      </c>
      <c r="K1325" t="str">
        <v>you</v>
      </c>
      <c r="N1325" s="4" cm="1">
        <f t="array" ref="N1325">SUM(--(_xlfn.TEXTSPLIT($J$1170,, " ") = L1325))</f>
        <v>2</v>
      </c>
    </row>
    <row r="1326" spans="5:14" x14ac:dyDescent="0.2">
      <c r="E1326" s="9" t="s">
        <v>20</v>
      </c>
      <c r="K1326" t="str">
        <v>don't</v>
      </c>
      <c r="N1326" s="4" cm="1">
        <f t="array" ref="N1326">SUM(--(_xlfn.TEXTSPLIT($J$1170,, " ") = L1326))</f>
        <v>2</v>
      </c>
    </row>
    <row r="1327" spans="5:14" x14ac:dyDescent="0.2">
      <c r="E1327" s="9" t="s">
        <v>20</v>
      </c>
      <c r="K1327" t="str">
        <v>fix</v>
      </c>
      <c r="N1327" s="4" cm="1">
        <f t="array" ref="N1327">SUM(--(_xlfn.TEXTSPLIT($J$1170,, " ") = L1327))</f>
        <v>2</v>
      </c>
    </row>
    <row r="1328" spans="5:14" x14ac:dyDescent="0.2">
      <c r="E1328" s="9" t="s">
        <v>20</v>
      </c>
      <c r="K1328" t="str">
        <v>and</v>
      </c>
      <c r="N1328" s="4" cm="1">
        <f t="array" ref="N1328">SUM(--(_xlfn.TEXTSPLIT($J$1170,, " ") = L1328))</f>
        <v>2</v>
      </c>
    </row>
    <row r="1329" spans="5:14" x14ac:dyDescent="0.2">
      <c r="E1329" s="9" t="s">
        <v>20</v>
      </c>
      <c r="K1329" t="str">
        <v>you</v>
      </c>
      <c r="N1329" s="4" cm="1">
        <f t="array" ref="N1329">SUM(--(_xlfn.TEXTSPLIT($J$1170,, " ") = L1329))</f>
        <v>2</v>
      </c>
    </row>
    <row r="1330" spans="5:14" x14ac:dyDescent="0.2">
      <c r="E1330" s="9" t="s">
        <v>20</v>
      </c>
      <c r="K1330" t="str">
        <v>like</v>
      </c>
      <c r="N1330" s="4" cm="1">
        <f t="array" ref="N1330">SUM(--(_xlfn.TEXTSPLIT($J$1170,, " ") = L1330))</f>
        <v>2</v>
      </c>
    </row>
    <row r="1331" spans="5:14" x14ac:dyDescent="0.2">
      <c r="E1331" s="9" t="s">
        <v>20</v>
      </c>
      <c r="K1331" t="str">
        <v>it</v>
      </c>
      <c r="N1331" s="4" cm="1">
        <f t="array" ref="N1331">SUM(--(_xlfn.TEXTSPLIT($J$1170,, " ") = L1331))</f>
        <v>2</v>
      </c>
    </row>
    <row r="1332" spans="5:14" x14ac:dyDescent="0.2">
      <c r="E1332" s="9" t="s">
        <v>20</v>
      </c>
      <c r="K1332" t="str">
        <v>like</v>
      </c>
      <c r="N1332" s="4" cm="1">
        <f t="array" ref="N1332">SUM(--(_xlfn.TEXTSPLIT($J$1170,, " ") = L1332))</f>
        <v>2</v>
      </c>
    </row>
    <row r="1333" spans="5:14" x14ac:dyDescent="0.2">
      <c r="E1333" s="9" t="s">
        <v>20</v>
      </c>
      <c r="K1333" t="str">
        <v xml:space="preserve">this
</v>
      </c>
      <c r="N1333" s="4" cm="1">
        <f t="array" ref="N1333">SUM(--(_xlfn.TEXTSPLIT($J$1170,, " ") = L1333))</f>
        <v>2</v>
      </c>
    </row>
    <row r="1334" spans="5:14" x14ac:dyDescent="0.2">
      <c r="E1334" s="9" t="s">
        <v>20</v>
      </c>
      <c r="K1334" t="str">
        <v>I</v>
      </c>
      <c r="N1334" s="4" cm="1">
        <f t="array" ref="N1334">SUM(--(_xlfn.TEXTSPLIT($J$1170,, " ") = L1334))</f>
        <v>2</v>
      </c>
    </row>
    <row r="1335" spans="5:14" x14ac:dyDescent="0.2">
      <c r="E1335" s="9" t="s">
        <v>20</v>
      </c>
      <c r="K1335" t="str">
        <v>feel</v>
      </c>
      <c r="N1335" s="4" cm="1">
        <f t="array" ref="N1335">SUM(--(_xlfn.TEXTSPLIT($J$1170,, " ") = L1335))</f>
        <v>2</v>
      </c>
    </row>
    <row r="1336" spans="5:14" x14ac:dyDescent="0.2">
      <c r="E1336" s="9" t="s">
        <v>20</v>
      </c>
      <c r="K1336" t="str">
        <v>like</v>
      </c>
      <c r="N1336" s="4" cm="1">
        <f t="array" ref="N1336">SUM(--(_xlfn.TEXTSPLIT($J$1170,, " ") = L1336))</f>
        <v>2</v>
      </c>
    </row>
    <row r="1337" spans="5:14" x14ac:dyDescent="0.2">
      <c r="E1337" s="9" t="s">
        <v>20</v>
      </c>
      <c r="K1337" t="str">
        <v>garbage</v>
      </c>
      <c r="N1337" s="4" cm="1">
        <f t="array" ref="N1337">SUM(--(_xlfn.TEXTSPLIT($J$1170,, " ") = L1337))</f>
        <v>2</v>
      </c>
    </row>
    <row r="1338" spans="5:14" x14ac:dyDescent="0.2">
      <c r="E1338" s="9" t="s">
        <v>20</v>
      </c>
      <c r="K1338" t="str">
        <v xml:space="preserve">(Yeah)
</v>
      </c>
      <c r="N1338" s="4" cm="1">
        <f t="array" ref="N1338">SUM(--(_xlfn.TEXTSPLIT($J$1170,, " ") = L1338))</f>
        <v>2</v>
      </c>
    </row>
    <row r="1339" spans="5:14" x14ac:dyDescent="0.2">
      <c r="E1339" s="9" t="s">
        <v>20</v>
      </c>
      <c r="K1339" t="str">
        <v>I</v>
      </c>
      <c r="N1339" s="4" cm="1">
        <f t="array" ref="N1339">SUM(--(_xlfn.TEXTSPLIT($J$1170,, " ") = L1339))</f>
        <v>2</v>
      </c>
    </row>
    <row r="1340" spans="5:14" x14ac:dyDescent="0.2">
      <c r="E1340" s="9" t="s">
        <v>20</v>
      </c>
      <c r="K1340" t="str">
        <v>feel</v>
      </c>
      <c r="N1340" s="4" cm="1">
        <f t="array" ref="N1340">SUM(--(_xlfn.TEXTSPLIT($J$1170,, " ") = L1340))</f>
        <v>2</v>
      </c>
    </row>
    <row r="1341" spans="5:14" x14ac:dyDescent="0.2">
      <c r="E1341" s="9" t="s">
        <v>20</v>
      </c>
      <c r="K1341" t="str">
        <v>like</v>
      </c>
      <c r="N1341" s="4" cm="1">
        <f t="array" ref="N1341">SUM(--(_xlfn.TEXTSPLIT($J$1170,, " ") = L1341))</f>
        <v>2</v>
      </c>
    </row>
    <row r="1342" spans="5:14" x14ac:dyDescent="0.2">
      <c r="E1342" s="9" t="s">
        <v>20</v>
      </c>
      <c r="K1342" t="str">
        <v xml:space="preserve">garbage
</v>
      </c>
      <c r="N1342" s="4" cm="1">
        <f t="array" ref="N1342">SUM(--(_xlfn.TEXTSPLIT($J$1170,, " ") = L1342))</f>
        <v>2</v>
      </c>
    </row>
    <row r="1343" spans="5:14" x14ac:dyDescent="0.2">
      <c r="E1343" s="9" t="s">
        <v>20</v>
      </c>
      <c r="K1343" t="str">
        <v>I</v>
      </c>
      <c r="N1343" s="4" cm="1">
        <f t="array" ref="N1343">SUM(--(_xlfn.TEXTSPLIT($J$1170,, " ") = L1343))</f>
        <v>2</v>
      </c>
    </row>
    <row r="1344" spans="5:14" x14ac:dyDescent="0.2">
      <c r="E1344" s="9" t="s">
        <v>20</v>
      </c>
      <c r="K1344" t="str">
        <v>feel</v>
      </c>
      <c r="N1344" s="4" cm="1">
        <f t="array" ref="N1344">SUM(--(_xlfn.TEXTSPLIT($J$1170,, " ") = L1344))</f>
        <v>2</v>
      </c>
    </row>
    <row r="1345" spans="5:14" x14ac:dyDescent="0.2">
      <c r="E1345" s="9" t="s">
        <v>20</v>
      </c>
      <c r="K1345" t="str">
        <v>like</v>
      </c>
      <c r="N1345" s="4" cm="1">
        <f t="array" ref="N1345">SUM(--(_xlfn.TEXTSPLIT($J$1170,, " ") = L1345))</f>
        <v>2</v>
      </c>
    </row>
    <row r="1346" spans="5:14" x14ac:dyDescent="0.2">
      <c r="E1346" s="9" t="s">
        <v>20</v>
      </c>
      <c r="K1346" t="str">
        <v xml:space="preserve">(Yeah)
</v>
      </c>
      <c r="N1346" s="4" cm="1">
        <f t="array" ref="N1346">SUM(--(_xlfn.TEXTSPLIT($J$1170,, " ") = L1346))</f>
        <v>2</v>
      </c>
    </row>
    <row r="1347" spans="5:14" x14ac:dyDescent="0.2">
      <c r="E1347" s="9" t="s">
        <v>20</v>
      </c>
      <c r="K1347" t="str">
        <v xml:space="preserve">Like
</v>
      </c>
      <c r="N1347" s="4" cm="1">
        <f t="array" ref="N1347">SUM(--(_xlfn.TEXTSPLIT($J$1170,, " ") = L1347))</f>
        <v>2</v>
      </c>
    </row>
    <row r="1348" spans="5:14" x14ac:dyDescent="0.2">
      <c r="E1348" s="9" t="s">
        <v>20</v>
      </c>
      <c r="K1348" t="str">
        <v>I'll</v>
      </c>
      <c r="N1348" s="4" cm="1">
        <f t="array" ref="N1348">SUM(--(_xlfn.TEXTSPLIT($J$1170,, " ") = L1348))</f>
        <v>2</v>
      </c>
    </row>
    <row r="1349" spans="5:14" x14ac:dyDescent="0.2">
      <c r="E1349" s="9" t="s">
        <v>20</v>
      </c>
      <c r="K1349" t="str">
        <v>lash</v>
      </c>
      <c r="N1349" s="4" cm="1">
        <f t="array" ref="N1349">SUM(--(_xlfn.TEXTSPLIT($J$1170,, " ") = L1349))</f>
        <v>2</v>
      </c>
    </row>
    <row r="1350" spans="5:14" x14ac:dyDescent="0.2">
      <c r="E1350" s="9" t="s">
        <v>20</v>
      </c>
      <c r="K1350" t="str">
        <v>out,</v>
      </c>
      <c r="N1350" s="4" cm="1">
        <f t="array" ref="N1350">SUM(--(_xlfn.TEXTSPLIT($J$1170,, " ") = L1350))</f>
        <v>2</v>
      </c>
    </row>
    <row r="1351" spans="5:14" x14ac:dyDescent="0.2">
      <c r="E1351" s="9" t="s">
        <v>20</v>
      </c>
      <c r="K1351" t="str">
        <v>lash</v>
      </c>
      <c r="N1351" s="4" cm="1">
        <f t="array" ref="N1351">SUM(--(_xlfn.TEXTSPLIT($J$1170,, " ") = L1351))</f>
        <v>2</v>
      </c>
    </row>
    <row r="1352" spans="5:14" x14ac:dyDescent="0.2">
      <c r="E1352" s="9" t="s">
        <v>20</v>
      </c>
      <c r="K1352" t="str">
        <v>out,</v>
      </c>
      <c r="N1352" s="4" cm="1">
        <f t="array" ref="N1352">SUM(--(_xlfn.TEXTSPLIT($J$1170,, " ") = L1352))</f>
        <v>2</v>
      </c>
    </row>
    <row r="1353" spans="5:14" x14ac:dyDescent="0.2">
      <c r="E1353" s="9" t="s">
        <v>20</v>
      </c>
      <c r="K1353" t="str">
        <v>lash</v>
      </c>
      <c r="N1353" s="4" cm="1">
        <f t="array" ref="N1353">SUM(--(_xlfn.TEXTSPLIT($J$1170,, " ") = L1353))</f>
        <v>2</v>
      </c>
    </row>
    <row r="1354" spans="5:14" x14ac:dyDescent="0.2">
      <c r="E1354" s="9" t="s">
        <v>20</v>
      </c>
      <c r="K1354" t="str">
        <v>out</v>
      </c>
      <c r="N1354" s="4" cm="1">
        <f t="array" ref="N1354">SUM(--(_xlfn.TEXTSPLIT($J$1170,, " ") = L1354))</f>
        <v>2</v>
      </c>
    </row>
    <row r="1355" spans="5:14" x14ac:dyDescent="0.2">
      <c r="E1355" s="9" t="s">
        <v>20</v>
      </c>
      <c r="K1355" t="str">
        <v xml:space="preserve">(Hey)
</v>
      </c>
      <c r="N1355" s="4" cm="1">
        <f t="array" ref="N1355">SUM(--(_xlfn.TEXTSPLIT($J$1170,, " ") = L1355))</f>
        <v>2</v>
      </c>
    </row>
    <row r="1356" spans="5:14" x14ac:dyDescent="0.2">
      <c r="E1356" s="9" t="s">
        <v>20</v>
      </c>
      <c r="K1356" t="str">
        <v>I'm</v>
      </c>
      <c r="N1356" s="4" cm="1">
        <f t="array" ref="N1356">SUM(--(_xlfn.TEXTSPLIT($J$1170,, " ") = L1356))</f>
        <v>2</v>
      </c>
    </row>
    <row r="1357" spans="5:14" x14ac:dyDescent="0.2">
      <c r="E1357" s="9" t="s">
        <v>20</v>
      </c>
      <c r="K1357" t="str">
        <v>biting</v>
      </c>
      <c r="N1357" s="4" cm="1">
        <f t="array" ref="N1357">SUM(--(_xlfn.TEXTSPLIT($J$1170,, " ") = L1357))</f>
        <v>2</v>
      </c>
    </row>
    <row r="1358" spans="5:14" x14ac:dyDescent="0.2">
      <c r="E1358" s="9" t="s">
        <v>20</v>
      </c>
      <c r="K1358" t="str">
        <v>down</v>
      </c>
      <c r="N1358" s="4" cm="1">
        <f t="array" ref="N1358">SUM(--(_xlfn.TEXTSPLIT($J$1170,, " ") = L1358))</f>
        <v>2</v>
      </c>
    </row>
    <row r="1359" spans="5:14" x14ac:dyDescent="0.2">
      <c r="E1359" s="9" t="s">
        <v>20</v>
      </c>
      <c r="K1359" t="str">
        <v>on</v>
      </c>
      <c r="N1359" s="4" cm="1">
        <f t="array" ref="N1359">SUM(--(_xlfn.TEXTSPLIT($J$1170,, " ") = L1359))</f>
        <v>2</v>
      </c>
    </row>
    <row r="1360" spans="5:14" x14ac:dyDescent="0.2">
      <c r="E1360" s="9" t="s">
        <v>20</v>
      </c>
      <c r="K1360" t="str">
        <v>my</v>
      </c>
      <c r="N1360" s="4" cm="1">
        <f t="array" ref="N1360">SUM(--(_xlfn.TEXTSPLIT($J$1170,, " ") = L1360))</f>
        <v>2</v>
      </c>
    </row>
    <row r="1361" spans="5:14" x14ac:dyDescent="0.2">
      <c r="E1361" s="9" t="s">
        <v>20</v>
      </c>
      <c r="K1361" t="str">
        <v>shirt</v>
      </c>
      <c r="N1361" s="4" cm="1">
        <f t="array" ref="N1361">SUM(--(_xlfn.TEXTSPLIT($J$1170,, " ") = L1361))</f>
        <v>2</v>
      </c>
    </row>
    <row r="1362" spans="5:14" x14ac:dyDescent="0.2">
      <c r="E1362" s="9" t="s">
        <v>20</v>
      </c>
      <c r="K1362" t="str">
        <v xml:space="preserve">sleeve
</v>
      </c>
      <c r="N1362" s="4" cm="1">
        <f t="array" ref="N1362">SUM(--(_xlfn.TEXTSPLIT($J$1170,, " ") = L1362))</f>
        <v>2</v>
      </c>
    </row>
    <row r="1363" spans="5:14" x14ac:dyDescent="0.2">
      <c r="E1363" s="9" t="s">
        <v>20</v>
      </c>
      <c r="K1363" t="str">
        <v>Like,</v>
      </c>
      <c r="N1363" s="4" cm="1">
        <f t="array" ref="N1363">SUM(--(_xlfn.TEXTSPLIT($J$1170,, " ") = L1363))</f>
        <v>2</v>
      </c>
    </row>
    <row r="1364" spans="5:14" x14ac:dyDescent="0.2">
      <c r="E1364" s="9" t="s">
        <v>20</v>
      </c>
      <c r="K1364" t="str">
        <v>I'll</v>
      </c>
      <c r="N1364" s="4" cm="1">
        <f t="array" ref="N1364">SUM(--(_xlfn.TEXTSPLIT($J$1170,, " ") = L1364))</f>
        <v>2</v>
      </c>
    </row>
    <row r="1365" spans="5:14" x14ac:dyDescent="0.2">
      <c r="E1365" s="9" t="s">
        <v>20</v>
      </c>
      <c r="K1365" t="str">
        <v>lash</v>
      </c>
      <c r="N1365" s="4" cm="1">
        <f t="array" ref="N1365">SUM(--(_xlfn.TEXTSPLIT($J$1170,, " ") = L1365))</f>
        <v>2</v>
      </c>
    </row>
    <row r="1366" spans="5:14" x14ac:dyDescent="0.2">
      <c r="E1366" s="9" t="s">
        <v>20</v>
      </c>
      <c r="K1366" t="str">
        <v>out,</v>
      </c>
      <c r="N1366" s="4" cm="1">
        <f t="array" ref="N1366">SUM(--(_xlfn.TEXTSPLIT($J$1170,, " ") = L1366))</f>
        <v>2</v>
      </c>
    </row>
    <row r="1367" spans="5:14" x14ac:dyDescent="0.2">
      <c r="E1367" s="9" t="s">
        <v>20</v>
      </c>
      <c r="K1367" t="str">
        <v>lash</v>
      </c>
      <c r="N1367" s="4" cm="1">
        <f t="array" ref="N1367">SUM(--(_xlfn.TEXTSPLIT($J$1170,, " ") = L1367))</f>
        <v>2</v>
      </c>
    </row>
    <row r="1368" spans="5:14" x14ac:dyDescent="0.2">
      <c r="E1368" s="9" t="s">
        <v>20</v>
      </c>
      <c r="K1368" t="str">
        <v>out,</v>
      </c>
      <c r="N1368" s="4" cm="1">
        <f t="array" ref="N1368">SUM(--(_xlfn.TEXTSPLIT($J$1170,, " ") = L1368))</f>
        <v>2</v>
      </c>
    </row>
    <row r="1369" spans="5:14" x14ac:dyDescent="0.2">
      <c r="E1369" s="9" t="s">
        <v>20</v>
      </c>
      <c r="K1369" t="str">
        <v>lash</v>
      </c>
      <c r="N1369" s="4" cm="1">
        <f t="array" ref="N1369">SUM(--(_xlfn.TEXTSPLIT($J$1170,, " ") = L1369))</f>
        <v>2</v>
      </c>
    </row>
    <row r="1370" spans="5:14" x14ac:dyDescent="0.2">
      <c r="E1370" s="9" t="s">
        <v>20</v>
      </c>
      <c r="K1370" t="str">
        <v xml:space="preserve">out
</v>
      </c>
      <c r="N1370" s="4" cm="1">
        <f t="array" ref="N1370">SUM(--(_xlfn.TEXTSPLIT($J$1170,, " ") = L1370))</f>
        <v>2</v>
      </c>
    </row>
    <row r="1371" spans="5:14" x14ac:dyDescent="0.2">
      <c r="E1371" s="9" t="s">
        <v>20</v>
      </c>
      <c r="K1371" t="str">
        <v>Don't</v>
      </c>
      <c r="N1371" s="4" cm="1">
        <f t="array" ref="N1371">SUM(--(_xlfn.TEXTSPLIT($J$1170,, " ") = L1371))</f>
        <v>2</v>
      </c>
    </row>
    <row r="1372" spans="5:14" x14ac:dyDescent="0.2">
      <c r="E1372" s="9" t="s">
        <v>20</v>
      </c>
      <c r="K1372" t="str">
        <v>give</v>
      </c>
      <c r="N1372" s="4" cm="1">
        <f t="array" ref="N1372">SUM(--(_xlfn.TEXTSPLIT($J$1170,, " ") = L1372))</f>
        <v>2</v>
      </c>
    </row>
    <row r="1373" spans="5:14" x14ac:dyDescent="0.2">
      <c r="E1373" s="9" t="s">
        <v>20</v>
      </c>
      <c r="K1373" t="str">
        <v>up</v>
      </c>
      <c r="N1373" s="4" cm="1">
        <f t="array" ref="N1373">SUM(--(_xlfn.TEXTSPLIT($J$1170,, " ") = L1373))</f>
        <v>2</v>
      </c>
    </row>
    <row r="1374" spans="5:14" x14ac:dyDescent="0.2">
      <c r="E1374" s="9" t="s">
        <v>20</v>
      </c>
      <c r="K1374" t="str">
        <v>on</v>
      </c>
      <c r="N1374" s="4" cm="1">
        <f t="array" ref="N1374">SUM(--(_xlfn.TEXTSPLIT($J$1170,, " ") = L1374))</f>
        <v>2</v>
      </c>
    </row>
    <row r="1375" spans="5:14" x14ac:dyDescent="0.2">
      <c r="E1375" s="9" t="s">
        <v>20</v>
      </c>
      <c r="K1375" t="str">
        <v xml:space="preserve">me
</v>
      </c>
      <c r="N1375" s="4" cm="1">
        <f t="array" ref="N1375">SUM(--(_xlfn.TEXTSPLIT($J$1170,, " ") = L1375))</f>
        <v>2</v>
      </c>
    </row>
    <row r="1376" spans="5:14" x14ac:dyDescent="0.2">
      <c r="E1376" s="9" t="s">
        <v>20</v>
      </c>
      <c r="K1376" t="str">
        <v>Don't</v>
      </c>
      <c r="N1376" s="4" cm="1">
        <f t="array" ref="N1376">SUM(--(_xlfn.TEXTSPLIT($J$1170,, " ") = L1376))</f>
        <v>2</v>
      </c>
    </row>
    <row r="1377" spans="1:21" x14ac:dyDescent="0.2">
      <c r="E1377" s="9" t="s">
        <v>20</v>
      </c>
      <c r="K1377" t="str">
        <v>give</v>
      </c>
      <c r="N1377" s="4" cm="1">
        <f t="array" ref="N1377">SUM(--(_xlfn.TEXTSPLIT($J$1170,, " ") = L1377))</f>
        <v>2</v>
      </c>
    </row>
    <row r="1378" spans="1:21" x14ac:dyDescent="0.2">
      <c r="E1378" s="9" t="s">
        <v>20</v>
      </c>
      <c r="K1378" t="str">
        <v>up</v>
      </c>
      <c r="N1378" s="4" cm="1">
        <f t="array" ref="N1378">SUM(--(_xlfn.TEXTSPLIT($J$1170,, " ") = L1378))</f>
        <v>2</v>
      </c>
    </row>
    <row r="1379" spans="1:21" x14ac:dyDescent="0.2">
      <c r="E1379" s="9" t="s">
        <v>20</v>
      </c>
      <c r="K1379" t="str">
        <v>on</v>
      </c>
      <c r="N1379" s="4" cm="1">
        <f t="array" ref="N1379">SUM(--(_xlfn.TEXTSPLIT($J$1170,, " ") = L1379))</f>
        <v>2</v>
      </c>
    </row>
    <row r="1380" spans="1:21" x14ac:dyDescent="0.2">
      <c r="E1380" s="9" t="s">
        <v>20</v>
      </c>
      <c r="K1380" t="str">
        <v xml:space="preserve">me
</v>
      </c>
      <c r="N1380" s="4" cm="1">
        <f t="array" ref="N1380">SUM(--(_xlfn.TEXTSPLIT($J$1170,, " ") = L1380))</f>
        <v>2</v>
      </c>
    </row>
    <row r="1381" spans="1:21" x14ac:dyDescent="0.2">
      <c r="E1381" s="9" t="s">
        <v>20</v>
      </c>
      <c r="K1381" t="str">
        <v>No,</v>
      </c>
      <c r="N1381" s="4" cm="1">
        <f t="array" ref="N1381">SUM(--(_xlfn.TEXTSPLIT($J$1170,, " ") = L1381))</f>
        <v>2</v>
      </c>
    </row>
    <row r="1382" spans="1:21" x14ac:dyDescent="0.2">
      <c r="E1382" s="9" t="s">
        <v>20</v>
      </c>
      <c r="K1382" t="str">
        <v>no,</v>
      </c>
      <c r="N1382" s="4" cm="1">
        <f t="array" ref="N1382">SUM(--(_xlfn.TEXTSPLIT($J$1170,, " ") = L1382))</f>
        <v>2</v>
      </c>
    </row>
    <row r="1383" spans="1:21" x14ac:dyDescent="0.2">
      <c r="E1383" s="9" t="s">
        <v>20</v>
      </c>
      <c r="K1383" t="str">
        <v>no,</v>
      </c>
      <c r="N1383" s="4" cm="1">
        <f t="array" ref="N1383">SUM(--(_xlfn.TEXTSPLIT($J$1170,, " ") = L1383))</f>
        <v>2</v>
      </c>
    </row>
    <row r="1384" spans="1:21" x14ac:dyDescent="0.2">
      <c r="E1384" s="9" t="s">
        <v>20</v>
      </c>
      <c r="K1384" t="str">
        <v>please,</v>
      </c>
      <c r="N1384" s="4" cm="1">
        <f t="array" ref="N1384">SUM(--(_xlfn.TEXTSPLIT($J$1170,, " ") = L1384))</f>
        <v>2</v>
      </c>
    </row>
    <row r="1385" spans="1:21" x14ac:dyDescent="0.2">
      <c r="E1385" s="9" t="s">
        <v>20</v>
      </c>
      <c r="K1385" t="str">
        <v>please,</v>
      </c>
      <c r="N1385" s="4" cm="1">
        <f t="array" ref="N1385">SUM(--(_xlfn.TEXTSPLIT($J$1170,, " ") = L1385))</f>
        <v>2</v>
      </c>
    </row>
    <row r="1386" spans="1:21" x14ac:dyDescent="0.2">
      <c r="E1386" s="9" t="s">
        <v>20</v>
      </c>
      <c r="K1386" t="str">
        <v>please</v>
      </c>
      <c r="N1386" s="4" cm="1">
        <f t="array" ref="N1386">SUM(--(_xlfn.TEXTSPLIT($J$1170,, " ") = L1386))</f>
        <v>2</v>
      </c>
    </row>
    <row r="1387" spans="1:21" s="4" customFormat="1" x14ac:dyDescent="0.2">
      <c r="A1387" s="4">
        <v>5</v>
      </c>
      <c r="B1387" s="5">
        <v>45912</v>
      </c>
      <c r="C1387" s="6">
        <v>0.15625</v>
      </c>
      <c r="D1387" s="7">
        <v>225</v>
      </c>
      <c r="E1387" s="9" t="s">
        <v>24</v>
      </c>
      <c r="F1387" s="4">
        <v>5</v>
      </c>
      <c r="G1387" s="8" t="s">
        <v>15</v>
      </c>
      <c r="H1387" s="9" t="s">
        <v>25</v>
      </c>
      <c r="I1387" s="4">
        <v>1</v>
      </c>
      <c r="J1387" s="4" t="str">
        <f>_xlfn.TEXTJOIN(" ", TRUE, H1387:H1779)</f>
        <v xml:space="preserve">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Wake up and I find out, did a change up
 Wait, did it change up?
 Is it light out yet? Better find out, bet
 I'ma walk around the edge of the room and the bed
 Where I hide my face, pace around
 Better try to breathe, pace around, pace around
 I check the doors, check the windows, and pull the blinds
 I check the clock, wondering what he'll pull this time
 I have a feeling that necromancer's outside
 And I'm just tryin' to stay quiet
 I don't sleep much, that's crazy, how'd you know that? (That)
 Keep myself up, that's maybe how you know that (That, that)
 Ooh, promises and contracts I used to keep
 I don't sleep much, that's crazy, how'd you know that? (That)
 Keep myself up, that's maybe how you know that (That, that)
 Ooh, my hallucination I used to see
I  used to see
 Sleep I found
 (Oh-ooh) I wanna get out there
 (Oh-ooh) But I don't try
 (Oh-ooh) I wanna get out there
 (Oh-ooh) But I don't try
 I check the clock, wondering what he'll pull this time
 I have a feeling that necromancer's outside
 And I'm just tryin' to stay quiet
 I don't sleep much, that's crazy, how'd you know that? (That)
 I keep myself up, that's maybe how you know that (That, that)
 Ooh, promises and contracts I used to keep
 I don't sleep much, that's crazy, how'd you know that? (That)
 Keep myself up, that's maybe how you know that (That, that)
 Ooh, my hallucination I used to see
 I used to see
 I used to see
 Ooh, my hallucination I used to see
 I used to see, it felt so real
 But now I plead, just take the deal
 I promised you a contract
 I promised you a contract</v>
      </c>
      <c r="K1387" s="4" t="str" cm="1">
        <f t="array" ref="K1387:K1779">_xlfn.TEXTSPLIT(J1387, ," ")</f>
        <v/>
      </c>
      <c r="L1387" s="4" t="str" cm="1">
        <f t="array" ref="L1387:L1492">_xlfn.UNIQUE(_xlfn.TEXTSPLIT(J1387, , " "))</f>
        <v/>
      </c>
      <c r="M1387" s="4" t="str">
        <f t="shared" ref="M1387:M1450" si="21">_xlfn.REGEXREPLACE(K1387, "[^A-Za-z ]", " ")</f>
        <v/>
      </c>
      <c r="N1387" s="4" cm="1">
        <f t="array" ref="N1387">SUM(--(_xlfn.TEXTSPLIT($J$1387,, " ") = L1387))</f>
        <v>2</v>
      </c>
      <c r="O1387"/>
      <c r="P1387"/>
      <c r="Q1387"/>
      <c r="R1387"/>
      <c r="S1387"/>
      <c r="T1387"/>
      <c r="U1387"/>
    </row>
    <row r="1388" spans="1:21" x14ac:dyDescent="0.2">
      <c r="E1388" s="9" t="s">
        <v>24</v>
      </c>
      <c r="K1388" t="str">
        <v>I</v>
      </c>
      <c r="L1388" t="str">
        <v>I</v>
      </c>
      <c r="M1388" s="4" t="str">
        <f t="shared" si="21"/>
        <v>I</v>
      </c>
      <c r="N1388" s="4" cm="1">
        <f t="array" ref="N1388">SUM(--(_xlfn.TEXTSPLIT($J$1387,, " ") = L1388))</f>
        <v>35</v>
      </c>
    </row>
    <row r="1389" spans="1:21" x14ac:dyDescent="0.2">
      <c r="E1389" s="9" t="s">
        <v>24</v>
      </c>
      <c r="K1389" t="str">
        <v>check</v>
      </c>
      <c r="L1389" t="str">
        <v>check</v>
      </c>
      <c r="M1389" s="4" t="str">
        <f t="shared" si="21"/>
        <v>check</v>
      </c>
      <c r="N1389" s="4" cm="1">
        <f t="array" ref="N1389">SUM(--(_xlfn.TEXTSPLIT($J$1387,, " ") = L1389))</f>
        <v>7</v>
      </c>
    </row>
    <row r="1390" spans="1:21" x14ac:dyDescent="0.2">
      <c r="E1390" s="9" t="s">
        <v>24</v>
      </c>
      <c r="K1390" t="str">
        <v>the</v>
      </c>
      <c r="L1390" t="str">
        <v>the</v>
      </c>
      <c r="M1390" s="4" t="str">
        <f t="shared" si="21"/>
        <v>the</v>
      </c>
      <c r="N1390" s="4" cm="1">
        <f t="array" ref="N1390">SUM(--(_xlfn.TEXTSPLIT($J$1387,, " ") = L1390))</f>
        <v>13</v>
      </c>
    </row>
    <row r="1391" spans="1:21" x14ac:dyDescent="0.2">
      <c r="E1391" s="9" t="s">
        <v>24</v>
      </c>
      <c r="K1391" t="str">
        <v>doors,</v>
      </c>
      <c r="L1391" t="str">
        <v>doors,</v>
      </c>
      <c r="M1391" s="4" t="str">
        <f t="shared" si="21"/>
        <v xml:space="preserve">doors </v>
      </c>
      <c r="N1391" s="4" cm="1">
        <f t="array" ref="N1391">SUM(--(_xlfn.TEXTSPLIT($J$1387,, " ") = L1391))</f>
        <v>2</v>
      </c>
    </row>
    <row r="1392" spans="1:21" x14ac:dyDescent="0.2">
      <c r="E1392" s="9" t="s">
        <v>24</v>
      </c>
      <c r="K1392" t="str">
        <v>check</v>
      </c>
      <c r="L1392" t="str">
        <v>windows</v>
      </c>
      <c r="M1392" s="4" t="str">
        <f t="shared" si="21"/>
        <v>check</v>
      </c>
      <c r="N1392" s="4" cm="1">
        <f t="array" ref="N1392">SUM(--(_xlfn.TEXTSPLIT($J$1387,, " ") = L1392))</f>
        <v>1</v>
      </c>
    </row>
    <row r="1393" spans="5:14" x14ac:dyDescent="0.2">
      <c r="E1393" s="9" t="s">
        <v>24</v>
      </c>
      <c r="K1393" t="str">
        <v>the</v>
      </c>
      <c r="L1393" t="str">
        <v>and</v>
      </c>
      <c r="M1393" s="4" t="str">
        <f t="shared" si="21"/>
        <v>the</v>
      </c>
      <c r="N1393" s="4" cm="1">
        <f t="array" ref="N1393">SUM(--(_xlfn.TEXTSPLIT($J$1387,, " ") = L1393))</f>
        <v>10</v>
      </c>
    </row>
    <row r="1394" spans="5:14" x14ac:dyDescent="0.2">
      <c r="E1394" s="9" t="s">
        <v>24</v>
      </c>
      <c r="K1394" t="str">
        <v>windows</v>
      </c>
      <c r="L1394" t="str">
        <v>pull</v>
      </c>
      <c r="M1394" s="4" t="str">
        <f t="shared" si="21"/>
        <v>windows</v>
      </c>
      <c r="N1394" s="4" cm="1">
        <f t="array" ref="N1394">SUM(--(_xlfn.TEXTSPLIT($J$1387,, " ") = L1394))</f>
        <v>5</v>
      </c>
    </row>
    <row r="1395" spans="5:14" x14ac:dyDescent="0.2">
      <c r="E1395" s="9" t="s">
        <v>24</v>
      </c>
      <c r="K1395" t="str">
        <v>and</v>
      </c>
      <c r="L1395" t="str">
        <v xml:space="preserve">blinds
</v>
      </c>
      <c r="M1395" s="4" t="str">
        <f t="shared" si="21"/>
        <v>and</v>
      </c>
      <c r="N1395" s="4" cm="1">
        <f t="array" ref="N1395">SUM(--(_xlfn.TEXTSPLIT($J$1387,, " ") = L1395))</f>
        <v>2</v>
      </c>
    </row>
    <row r="1396" spans="5:14" x14ac:dyDescent="0.2">
      <c r="E1396" s="9" t="s">
        <v>24</v>
      </c>
      <c r="K1396" t="str">
        <v>pull</v>
      </c>
      <c r="L1396" t="str">
        <v>clock,</v>
      </c>
      <c r="M1396" s="4" t="str">
        <f t="shared" si="21"/>
        <v>pull</v>
      </c>
      <c r="N1396" s="4" cm="1">
        <f t="array" ref="N1396">SUM(--(_xlfn.TEXTSPLIT($J$1387,, " ") = L1396))</f>
        <v>3</v>
      </c>
    </row>
    <row r="1397" spans="5:14" x14ac:dyDescent="0.2">
      <c r="E1397" s="9" t="s">
        <v>24</v>
      </c>
      <c r="K1397" t="str">
        <v>the</v>
      </c>
      <c r="L1397" t="str">
        <v>wondering</v>
      </c>
      <c r="M1397" s="4" t="str">
        <f t="shared" si="21"/>
        <v>the</v>
      </c>
      <c r="N1397" s="4" cm="1">
        <f t="array" ref="N1397">SUM(--(_xlfn.TEXTSPLIT($J$1387,, " ") = L1397))</f>
        <v>3</v>
      </c>
    </row>
    <row r="1398" spans="5:14" x14ac:dyDescent="0.2">
      <c r="E1398" s="9" t="s">
        <v>24</v>
      </c>
      <c r="K1398" t="str">
        <v xml:space="preserve">blinds
</v>
      </c>
      <c r="L1398" t="str">
        <v>what</v>
      </c>
      <c r="M1398" s="4" t="str">
        <f t="shared" si="21"/>
        <v xml:space="preserve">blinds </v>
      </c>
      <c r="N1398" s="4" cm="1">
        <f t="array" ref="N1398">SUM(--(_xlfn.TEXTSPLIT($J$1387,, " ") = L1398))</f>
        <v>3</v>
      </c>
    </row>
    <row r="1399" spans="5:14" x14ac:dyDescent="0.2">
      <c r="E1399" s="9" t="s">
        <v>24</v>
      </c>
      <c r="K1399" t="str">
        <v>I</v>
      </c>
      <c r="L1399" t="str">
        <v>he'll</v>
      </c>
      <c r="M1399" s="4" t="str">
        <f t="shared" si="21"/>
        <v>I</v>
      </c>
      <c r="N1399" s="4" cm="1">
        <f t="array" ref="N1399">SUM(--(_xlfn.TEXTSPLIT($J$1387,, " ") = L1399))</f>
        <v>3</v>
      </c>
    </row>
    <row r="1400" spans="5:14" x14ac:dyDescent="0.2">
      <c r="E1400" s="9" t="s">
        <v>24</v>
      </c>
      <c r="K1400" t="str">
        <v>check</v>
      </c>
      <c r="L1400" t="str">
        <v>this</v>
      </c>
      <c r="M1400" s="4" t="str">
        <f t="shared" si="21"/>
        <v>check</v>
      </c>
      <c r="N1400" s="4" cm="1">
        <f t="array" ref="N1400">SUM(--(_xlfn.TEXTSPLIT($J$1387,, " ") = L1400))</f>
        <v>3</v>
      </c>
    </row>
    <row r="1401" spans="5:14" x14ac:dyDescent="0.2">
      <c r="E1401" s="9" t="s">
        <v>24</v>
      </c>
      <c r="K1401" t="str">
        <v>the</v>
      </c>
      <c r="L1401" t="str">
        <v xml:space="preserve">time
</v>
      </c>
      <c r="M1401" s="4" t="str">
        <f t="shared" si="21"/>
        <v>the</v>
      </c>
      <c r="N1401" s="4" cm="1">
        <f t="array" ref="N1401">SUM(--(_xlfn.TEXTSPLIT($J$1387,, " ") = L1401))</f>
        <v>3</v>
      </c>
    </row>
    <row r="1402" spans="5:14" x14ac:dyDescent="0.2">
      <c r="E1402" s="9" t="s">
        <v>24</v>
      </c>
      <c r="K1402" t="str">
        <v>clock,</v>
      </c>
      <c r="L1402" t="str">
        <v>have</v>
      </c>
      <c r="M1402" s="4" t="str">
        <f t="shared" si="21"/>
        <v xml:space="preserve">clock </v>
      </c>
      <c r="N1402" s="4" cm="1">
        <f t="array" ref="N1402">SUM(--(_xlfn.TEXTSPLIT($J$1387,, " ") = L1402))</f>
        <v>3</v>
      </c>
    </row>
    <row r="1403" spans="5:14" x14ac:dyDescent="0.2">
      <c r="E1403" s="9" t="s">
        <v>24</v>
      </c>
      <c r="K1403" t="str">
        <v>wondering</v>
      </c>
      <c r="L1403" t="str">
        <v>a</v>
      </c>
      <c r="M1403" s="4" t="str">
        <f t="shared" si="21"/>
        <v>wondering</v>
      </c>
      <c r="N1403" s="4" cm="1">
        <f t="array" ref="N1403">SUM(--(_xlfn.TEXTSPLIT($J$1387,, " ") = L1403))</f>
        <v>6</v>
      </c>
    </row>
    <row r="1404" spans="5:14" x14ac:dyDescent="0.2">
      <c r="E1404" s="9" t="s">
        <v>24</v>
      </c>
      <c r="K1404" t="str">
        <v>what</v>
      </c>
      <c r="L1404" t="str">
        <v>feeling</v>
      </c>
      <c r="M1404" s="4" t="str">
        <f t="shared" si="21"/>
        <v>what</v>
      </c>
      <c r="N1404" s="4" cm="1">
        <f t="array" ref="N1404">SUM(--(_xlfn.TEXTSPLIT($J$1387,, " ") = L1404))</f>
        <v>3</v>
      </c>
    </row>
    <row r="1405" spans="5:14" x14ac:dyDescent="0.2">
      <c r="E1405" s="9" t="s">
        <v>24</v>
      </c>
      <c r="K1405" t="str">
        <v>he'll</v>
      </c>
      <c r="L1405" t="str">
        <v>that</v>
      </c>
      <c r="M1405" s="4" t="str">
        <f t="shared" si="21"/>
        <v>he ll</v>
      </c>
      <c r="N1405" s="4" cm="1">
        <f t="array" ref="N1405">SUM(--(_xlfn.TEXTSPLIT($J$1387,, " ") = L1405))</f>
        <v>9</v>
      </c>
    </row>
    <row r="1406" spans="5:14" x14ac:dyDescent="0.2">
      <c r="E1406" s="9" t="s">
        <v>24</v>
      </c>
      <c r="K1406" t="str">
        <v>pull</v>
      </c>
      <c r="L1406" t="str">
        <v>necromancer's</v>
      </c>
      <c r="M1406" s="4" t="str">
        <f t="shared" si="21"/>
        <v>pull</v>
      </c>
      <c r="N1406" s="4" cm="1">
        <f t="array" ref="N1406">SUM(--(_xlfn.TEXTSPLIT($J$1387,, " ") = L1406))</f>
        <v>3</v>
      </c>
    </row>
    <row r="1407" spans="5:14" x14ac:dyDescent="0.2">
      <c r="E1407" s="9" t="s">
        <v>24</v>
      </c>
      <c r="K1407" t="str">
        <v>this</v>
      </c>
      <c r="L1407" t="str">
        <v xml:space="preserve">outside
</v>
      </c>
      <c r="M1407" s="4" t="str">
        <f t="shared" si="21"/>
        <v>this</v>
      </c>
      <c r="N1407" s="4" cm="1">
        <f t="array" ref="N1407">SUM(--(_xlfn.TEXTSPLIT($J$1387,, " ") = L1407))</f>
        <v>3</v>
      </c>
    </row>
    <row r="1408" spans="5:14" x14ac:dyDescent="0.2">
      <c r="E1408" s="9" t="s">
        <v>24</v>
      </c>
      <c r="K1408" t="str">
        <v xml:space="preserve">time
</v>
      </c>
      <c r="L1408" t="str">
        <v>I'm</v>
      </c>
      <c r="M1408" s="4" t="str">
        <f t="shared" si="21"/>
        <v xml:space="preserve">time </v>
      </c>
      <c r="N1408" s="4" cm="1">
        <f t="array" ref="N1408">SUM(--(_xlfn.TEXTSPLIT($J$1387,, " ") = L1408))</f>
        <v>3</v>
      </c>
    </row>
    <row r="1409" spans="5:14" x14ac:dyDescent="0.2">
      <c r="E1409" s="9" t="s">
        <v>24</v>
      </c>
      <c r="K1409" t="str">
        <v>I</v>
      </c>
      <c r="L1409" t="str">
        <v>just</v>
      </c>
      <c r="M1409" s="4" t="str">
        <f t="shared" si="21"/>
        <v>I</v>
      </c>
      <c r="N1409" s="4" cm="1">
        <f t="array" ref="N1409">SUM(--(_xlfn.TEXTSPLIT($J$1387,, " ") = L1409))</f>
        <v>4</v>
      </c>
    </row>
    <row r="1410" spans="5:14" x14ac:dyDescent="0.2">
      <c r="E1410" s="9" t="s">
        <v>24</v>
      </c>
      <c r="K1410" t="str">
        <v>have</v>
      </c>
      <c r="L1410" t="str">
        <v>tryin'</v>
      </c>
      <c r="M1410" s="4" t="str">
        <f t="shared" si="21"/>
        <v>have</v>
      </c>
      <c r="N1410" s="4" cm="1">
        <f t="array" ref="N1410">SUM(--(_xlfn.TEXTSPLIT($J$1387,, " ") = L1410))</f>
        <v>3</v>
      </c>
    </row>
    <row r="1411" spans="5:14" x14ac:dyDescent="0.2">
      <c r="E1411" s="9" t="s">
        <v>24</v>
      </c>
      <c r="K1411" t="str">
        <v>a</v>
      </c>
      <c r="L1411" t="str">
        <v>to</v>
      </c>
      <c r="M1411" s="4" t="str">
        <f t="shared" si="21"/>
        <v>a</v>
      </c>
      <c r="N1411" s="4" cm="1">
        <f t="array" ref="N1411">SUM(--(_xlfn.TEXTSPLIT($J$1387,, " ") = L1411))</f>
        <v>15</v>
      </c>
    </row>
    <row r="1412" spans="5:14" x14ac:dyDescent="0.2">
      <c r="E1412" s="9" t="s">
        <v>24</v>
      </c>
      <c r="K1412" t="str">
        <v>feeling</v>
      </c>
      <c r="L1412" t="str">
        <v>stay</v>
      </c>
      <c r="M1412" s="4" t="str">
        <f t="shared" si="21"/>
        <v>feeling</v>
      </c>
      <c r="N1412" s="4" cm="1">
        <f t="array" ref="N1412">SUM(--(_xlfn.TEXTSPLIT($J$1387,, " ") = L1412))</f>
        <v>3</v>
      </c>
    </row>
    <row r="1413" spans="5:14" x14ac:dyDescent="0.2">
      <c r="E1413" s="9" t="s">
        <v>24</v>
      </c>
      <c r="K1413" t="str">
        <v>that</v>
      </c>
      <c r="L1413" t="str">
        <v xml:space="preserve">quiet
</v>
      </c>
      <c r="M1413" s="4" t="str">
        <f t="shared" si="21"/>
        <v>that</v>
      </c>
      <c r="N1413" s="4" cm="1">
        <f t="array" ref="N1413">SUM(--(_xlfn.TEXTSPLIT($J$1387,, " ") = L1413))</f>
        <v>3</v>
      </c>
    </row>
    <row r="1414" spans="5:14" x14ac:dyDescent="0.2">
      <c r="E1414" s="9" t="s">
        <v>24</v>
      </c>
      <c r="K1414" t="str">
        <v>necromancer's</v>
      </c>
      <c r="L1414" t="str">
        <v>don't</v>
      </c>
      <c r="M1414" s="4" t="str">
        <f t="shared" si="21"/>
        <v>necromancer s</v>
      </c>
      <c r="N1414" s="4" cm="1">
        <f t="array" ref="N1414">SUM(--(_xlfn.TEXTSPLIT($J$1387,, " ") = L1414))</f>
        <v>8</v>
      </c>
    </row>
    <row r="1415" spans="5:14" x14ac:dyDescent="0.2">
      <c r="E1415" s="9" t="s">
        <v>24</v>
      </c>
      <c r="K1415" t="str">
        <v xml:space="preserve">outside
</v>
      </c>
      <c r="L1415" t="str">
        <v>sleep</v>
      </c>
      <c r="M1415" s="4" t="str">
        <f t="shared" si="21"/>
        <v xml:space="preserve">outside </v>
      </c>
      <c r="N1415" s="4" cm="1">
        <f t="array" ref="N1415">SUM(--(_xlfn.TEXTSPLIT($J$1387,, " ") = L1415))</f>
        <v>7</v>
      </c>
    </row>
    <row r="1416" spans="5:14" x14ac:dyDescent="0.2">
      <c r="E1416" s="9" t="s">
        <v>24</v>
      </c>
      <c r="K1416" t="str">
        <v>And</v>
      </c>
      <c r="L1416" t="str">
        <v>much,</v>
      </c>
      <c r="M1416" s="4" t="str">
        <f t="shared" si="21"/>
        <v>And</v>
      </c>
      <c r="N1416" s="4" cm="1">
        <f t="array" ref="N1416">SUM(--(_xlfn.TEXTSPLIT($J$1387,, " ") = L1416))</f>
        <v>6</v>
      </c>
    </row>
    <row r="1417" spans="5:14" x14ac:dyDescent="0.2">
      <c r="E1417" s="9" t="s">
        <v>24</v>
      </c>
      <c r="K1417" t="str">
        <v>I'm</v>
      </c>
      <c r="L1417" t="str">
        <v>that's</v>
      </c>
      <c r="M1417" s="4" t="str">
        <f t="shared" si="21"/>
        <v>I m</v>
      </c>
      <c r="N1417" s="4" cm="1">
        <f t="array" ref="N1417">SUM(--(_xlfn.TEXTSPLIT($J$1387,, " ") = L1417))</f>
        <v>12</v>
      </c>
    </row>
    <row r="1418" spans="5:14" x14ac:dyDescent="0.2">
      <c r="E1418" s="9" t="s">
        <v>24</v>
      </c>
      <c r="K1418" t="str">
        <v>just</v>
      </c>
      <c r="L1418" t="str">
        <v>crazy,</v>
      </c>
      <c r="M1418" s="4" t="str">
        <f t="shared" si="21"/>
        <v>just</v>
      </c>
      <c r="N1418" s="4" cm="1">
        <f t="array" ref="N1418">SUM(--(_xlfn.TEXTSPLIT($J$1387,, " ") = L1418))</f>
        <v>6</v>
      </c>
    </row>
    <row r="1419" spans="5:14" x14ac:dyDescent="0.2">
      <c r="E1419" s="9" t="s">
        <v>24</v>
      </c>
      <c r="K1419" t="str">
        <v>tryin'</v>
      </c>
      <c r="L1419" t="str">
        <v>how'd</v>
      </c>
      <c r="M1419" s="4" t="str">
        <f t="shared" si="21"/>
        <v xml:space="preserve">tryin </v>
      </c>
      <c r="N1419" s="4" cm="1">
        <f t="array" ref="N1419">SUM(--(_xlfn.TEXTSPLIT($J$1387,, " ") = L1419))</f>
        <v>6</v>
      </c>
    </row>
    <row r="1420" spans="5:14" x14ac:dyDescent="0.2">
      <c r="E1420" s="9" t="s">
        <v>24</v>
      </c>
      <c r="K1420" t="str">
        <v>to</v>
      </c>
      <c r="L1420" t="str">
        <v>you</v>
      </c>
      <c r="M1420" s="4" t="str">
        <f t="shared" si="21"/>
        <v>to</v>
      </c>
      <c r="N1420" s="4" cm="1">
        <f t="array" ref="N1420">SUM(--(_xlfn.TEXTSPLIT($J$1387,, " ") = L1420))</f>
        <v>14</v>
      </c>
    </row>
    <row r="1421" spans="5:14" x14ac:dyDescent="0.2">
      <c r="E1421" s="9" t="s">
        <v>24</v>
      </c>
      <c r="K1421" t="str">
        <v>stay</v>
      </c>
      <c r="L1421" t="str">
        <v>know</v>
      </c>
      <c r="M1421" s="4" t="str">
        <f t="shared" si="21"/>
        <v>stay</v>
      </c>
      <c r="N1421" s="4" cm="1">
        <f t="array" ref="N1421">SUM(--(_xlfn.TEXTSPLIT($J$1387,, " ") = L1421))</f>
        <v>12</v>
      </c>
    </row>
    <row r="1422" spans="5:14" x14ac:dyDescent="0.2">
      <c r="E1422" s="9" t="s">
        <v>24</v>
      </c>
      <c r="K1422" t="str">
        <v xml:space="preserve">quiet
</v>
      </c>
      <c r="L1422" t="str">
        <v>that?</v>
      </c>
      <c r="M1422" s="4" t="str">
        <f t="shared" si="21"/>
        <v xml:space="preserve">quiet  </v>
      </c>
      <c r="N1422" s="4" cm="1">
        <f t="array" ref="N1422">SUM(--(_xlfn.TEXTSPLIT($J$1387,, " ") = L1422))</f>
        <v>6</v>
      </c>
    </row>
    <row r="1423" spans="5:14" x14ac:dyDescent="0.2">
      <c r="E1423" s="9" t="s">
        <v>24</v>
      </c>
      <c r="K1423" t="str">
        <v>I</v>
      </c>
      <c r="L1423" t="str">
        <v xml:space="preserve">(That)
</v>
      </c>
      <c r="M1423" s="4" t="str">
        <f t="shared" si="21"/>
        <v>I</v>
      </c>
      <c r="N1423" s="4" cm="1">
        <f t="array" ref="N1423">SUM(--(_xlfn.TEXTSPLIT($J$1387,, " ") = L1423))</f>
        <v>6</v>
      </c>
    </row>
    <row r="1424" spans="5:14" x14ac:dyDescent="0.2">
      <c r="E1424" s="9" t="s">
        <v>24</v>
      </c>
      <c r="K1424" t="str">
        <v>don't</v>
      </c>
      <c r="L1424" t="str">
        <v>Keep</v>
      </c>
      <c r="M1424" s="4" t="str">
        <f t="shared" si="21"/>
        <v>don t</v>
      </c>
      <c r="N1424" s="4" cm="1">
        <f t="array" ref="N1424">SUM(--(_xlfn.TEXTSPLIT($J$1387,, " ") = L1424))</f>
        <v>6</v>
      </c>
    </row>
    <row r="1425" spans="5:14" x14ac:dyDescent="0.2">
      <c r="E1425" s="9" t="s">
        <v>24</v>
      </c>
      <c r="K1425" t="str">
        <v>sleep</v>
      </c>
      <c r="L1425" t="str">
        <v>myself</v>
      </c>
      <c r="M1425" s="4" t="str">
        <f t="shared" si="21"/>
        <v>sleep</v>
      </c>
      <c r="N1425" s="4" cm="1">
        <f t="array" ref="N1425">SUM(--(_xlfn.TEXTSPLIT($J$1387,, " ") = L1425))</f>
        <v>6</v>
      </c>
    </row>
    <row r="1426" spans="5:14" x14ac:dyDescent="0.2">
      <c r="E1426" s="9" t="s">
        <v>24</v>
      </c>
      <c r="K1426" t="str">
        <v>much,</v>
      </c>
      <c r="L1426" t="str">
        <v>up,</v>
      </c>
      <c r="M1426" s="4" t="str">
        <f t="shared" si="21"/>
        <v xml:space="preserve">much </v>
      </c>
      <c r="N1426" s="4" cm="1">
        <f t="array" ref="N1426">SUM(--(_xlfn.TEXTSPLIT($J$1387,, " ") = L1426))</f>
        <v>6</v>
      </c>
    </row>
    <row r="1427" spans="5:14" x14ac:dyDescent="0.2">
      <c r="E1427" s="9" t="s">
        <v>24</v>
      </c>
      <c r="K1427" t="str">
        <v>that's</v>
      </c>
      <c r="L1427" t="str">
        <v>maybe</v>
      </c>
      <c r="M1427" s="4" t="str">
        <f t="shared" si="21"/>
        <v>that s</v>
      </c>
      <c r="N1427" s="4" cm="1">
        <f t="array" ref="N1427">SUM(--(_xlfn.TEXTSPLIT($J$1387,, " ") = L1427))</f>
        <v>6</v>
      </c>
    </row>
    <row r="1428" spans="5:14" x14ac:dyDescent="0.2">
      <c r="E1428" s="9" t="s">
        <v>24</v>
      </c>
      <c r="K1428" t="str">
        <v>crazy,</v>
      </c>
      <c r="L1428" t="str">
        <v>how</v>
      </c>
      <c r="M1428" s="4" t="str">
        <f t="shared" si="21"/>
        <v xml:space="preserve">crazy </v>
      </c>
      <c r="N1428" s="4" cm="1">
        <f t="array" ref="N1428">SUM(--(_xlfn.TEXTSPLIT($J$1387,, " ") = L1428))</f>
        <v>6</v>
      </c>
    </row>
    <row r="1429" spans="5:14" x14ac:dyDescent="0.2">
      <c r="E1429" s="9" t="s">
        <v>24</v>
      </c>
      <c r="K1429" t="str">
        <v>how'd</v>
      </c>
      <c r="L1429" t="str">
        <v>(That,</v>
      </c>
      <c r="M1429" s="4" t="str">
        <f t="shared" si="21"/>
        <v>how d</v>
      </c>
      <c r="N1429" s="4" cm="1">
        <f t="array" ref="N1429">SUM(--(_xlfn.TEXTSPLIT($J$1387,, " ") = L1429))</f>
        <v>6</v>
      </c>
    </row>
    <row r="1430" spans="5:14" x14ac:dyDescent="0.2">
      <c r="E1430" s="9" t="s">
        <v>24</v>
      </c>
      <c r="K1430" t="str">
        <v>you</v>
      </c>
      <c r="L1430" t="str">
        <v xml:space="preserve">that)
</v>
      </c>
      <c r="M1430" s="4" t="str">
        <f t="shared" si="21"/>
        <v>you</v>
      </c>
      <c r="N1430" s="4" cm="1">
        <f t="array" ref="N1430">SUM(--(_xlfn.TEXTSPLIT($J$1387,, " ") = L1430))</f>
        <v>6</v>
      </c>
    </row>
    <row r="1431" spans="5:14" x14ac:dyDescent="0.2">
      <c r="E1431" s="9" t="s">
        <v>24</v>
      </c>
      <c r="K1431" t="str">
        <v>know</v>
      </c>
      <c r="L1431" t="str">
        <v>Ooh,</v>
      </c>
      <c r="M1431" s="4" t="str">
        <f t="shared" si="21"/>
        <v>know</v>
      </c>
      <c r="N1431" s="4" cm="1">
        <f t="array" ref="N1431">SUM(--(_xlfn.TEXTSPLIT($J$1387,, " ") = L1431))</f>
        <v>7</v>
      </c>
    </row>
    <row r="1432" spans="5:14" x14ac:dyDescent="0.2">
      <c r="E1432" s="9" t="s">
        <v>24</v>
      </c>
      <c r="K1432" t="str">
        <v>that?</v>
      </c>
      <c r="L1432" t="str">
        <v>promises</v>
      </c>
      <c r="M1432" s="4" t="str">
        <f t="shared" si="21"/>
        <v xml:space="preserve">that </v>
      </c>
      <c r="N1432" s="4" cm="1">
        <f t="array" ref="N1432">SUM(--(_xlfn.TEXTSPLIT($J$1387,, " ") = L1432))</f>
        <v>3</v>
      </c>
    </row>
    <row r="1433" spans="5:14" x14ac:dyDescent="0.2">
      <c r="E1433" s="9" t="s">
        <v>24</v>
      </c>
      <c r="K1433" t="str">
        <v xml:space="preserve">(That)
</v>
      </c>
      <c r="L1433" t="str">
        <v>contracts</v>
      </c>
      <c r="M1433" s="4" t="str">
        <f t="shared" si="21"/>
        <v xml:space="preserve"> That  </v>
      </c>
      <c r="N1433" s="4" cm="1">
        <f t="array" ref="N1433">SUM(--(_xlfn.TEXTSPLIT($J$1387,, " ") = L1433))</f>
        <v>3</v>
      </c>
    </row>
    <row r="1434" spans="5:14" x14ac:dyDescent="0.2">
      <c r="E1434" s="9" t="s">
        <v>24</v>
      </c>
      <c r="K1434" t="str">
        <v>Keep</v>
      </c>
      <c r="L1434" t="str">
        <v>used</v>
      </c>
      <c r="M1434" s="4" t="str">
        <f t="shared" si="21"/>
        <v>Keep</v>
      </c>
      <c r="N1434" s="4" cm="1">
        <f t="array" ref="N1434">SUM(--(_xlfn.TEXTSPLIT($J$1387,, " ") = L1434))</f>
        <v>11</v>
      </c>
    </row>
    <row r="1435" spans="5:14" x14ac:dyDescent="0.2">
      <c r="E1435" s="9" t="s">
        <v>24</v>
      </c>
      <c r="K1435" t="str">
        <v>myself</v>
      </c>
      <c r="L1435" t="str">
        <v xml:space="preserve">keep
</v>
      </c>
      <c r="M1435" s="4" t="str">
        <f t="shared" si="21"/>
        <v>myself</v>
      </c>
      <c r="N1435" s="4" cm="1">
        <f t="array" ref="N1435">SUM(--(_xlfn.TEXTSPLIT($J$1387,, " ") = L1435))</f>
        <v>3</v>
      </c>
    </row>
    <row r="1436" spans="5:14" x14ac:dyDescent="0.2">
      <c r="E1436" s="9" t="s">
        <v>24</v>
      </c>
      <c r="K1436" t="str">
        <v>up,</v>
      </c>
      <c r="L1436" t="str">
        <v>my</v>
      </c>
      <c r="M1436" s="4" t="str">
        <f t="shared" si="21"/>
        <v xml:space="preserve">up </v>
      </c>
      <c r="N1436" s="4" cm="1">
        <f t="array" ref="N1436">SUM(--(_xlfn.TEXTSPLIT($J$1387,, " ") = L1436))</f>
        <v>5</v>
      </c>
    </row>
    <row r="1437" spans="5:14" x14ac:dyDescent="0.2">
      <c r="E1437" s="9" t="s">
        <v>24</v>
      </c>
      <c r="K1437" t="str">
        <v>that's</v>
      </c>
      <c r="L1437" t="str">
        <v>hallucination</v>
      </c>
      <c r="M1437" s="4" t="str">
        <f t="shared" si="21"/>
        <v>that s</v>
      </c>
      <c r="N1437" s="4" cm="1">
        <f t="array" ref="N1437">SUM(--(_xlfn.TEXTSPLIT($J$1387,, " ") = L1437))</f>
        <v>4</v>
      </c>
    </row>
    <row r="1438" spans="5:14" x14ac:dyDescent="0.2">
      <c r="E1438" s="9" t="s">
        <v>24</v>
      </c>
      <c r="K1438" t="str">
        <v>maybe</v>
      </c>
      <c r="L1438" t="str">
        <v xml:space="preserve">see
</v>
      </c>
      <c r="M1438" s="4" t="str">
        <f t="shared" si="21"/>
        <v>maybe</v>
      </c>
      <c r="N1438" s="4" cm="1">
        <f t="array" ref="N1438">SUM(--(_xlfn.TEXTSPLIT($J$1387,, " ") = L1438))</f>
        <v>3</v>
      </c>
    </row>
    <row r="1439" spans="5:14" x14ac:dyDescent="0.2">
      <c r="E1439" s="9" t="s">
        <v>24</v>
      </c>
      <c r="K1439" t="str">
        <v>how</v>
      </c>
      <c r="L1439" t="str">
        <v>Wake</v>
      </c>
      <c r="M1439" s="4" t="str">
        <f t="shared" si="21"/>
        <v>how</v>
      </c>
      <c r="N1439" s="4" cm="1">
        <f t="array" ref="N1439">SUM(--(_xlfn.TEXTSPLIT($J$1387,, " ") = L1439))</f>
        <v>1</v>
      </c>
    </row>
    <row r="1440" spans="5:14" x14ac:dyDescent="0.2">
      <c r="E1440" s="9" t="s">
        <v>24</v>
      </c>
      <c r="K1440" t="str">
        <v>you</v>
      </c>
      <c r="L1440" t="str">
        <v>up</v>
      </c>
      <c r="M1440" s="4" t="str">
        <f t="shared" si="21"/>
        <v>you</v>
      </c>
      <c r="N1440" s="4" cm="1">
        <f t="array" ref="N1440">SUM(--(_xlfn.TEXTSPLIT($J$1387,, " ") = L1440))</f>
        <v>1</v>
      </c>
    </row>
    <row r="1441" spans="5:14" x14ac:dyDescent="0.2">
      <c r="E1441" s="9" t="s">
        <v>24</v>
      </c>
      <c r="K1441" t="str">
        <v>know</v>
      </c>
      <c r="L1441" t="str">
        <v>find</v>
      </c>
      <c r="M1441" s="4" t="str">
        <f t="shared" si="21"/>
        <v>know</v>
      </c>
      <c r="N1441" s="4" cm="1">
        <f t="array" ref="N1441">SUM(--(_xlfn.TEXTSPLIT($J$1387,, " ") = L1441))</f>
        <v>2</v>
      </c>
    </row>
    <row r="1442" spans="5:14" x14ac:dyDescent="0.2">
      <c r="E1442" s="9" t="s">
        <v>24</v>
      </c>
      <c r="K1442" t="str">
        <v>that</v>
      </c>
      <c r="L1442" t="str">
        <v>out,</v>
      </c>
      <c r="M1442" s="4" t="str">
        <f t="shared" si="21"/>
        <v>that</v>
      </c>
      <c r="N1442" s="4" cm="1">
        <f t="array" ref="N1442">SUM(--(_xlfn.TEXTSPLIT($J$1387,, " ") = L1442))</f>
        <v>2</v>
      </c>
    </row>
    <row r="1443" spans="5:14" x14ac:dyDescent="0.2">
      <c r="E1443" s="9" t="s">
        <v>24</v>
      </c>
      <c r="K1443" t="str">
        <v>(That,</v>
      </c>
      <c r="L1443" t="str">
        <v>did</v>
      </c>
      <c r="M1443" s="4" t="str">
        <f t="shared" si="21"/>
        <v xml:space="preserve"> That </v>
      </c>
      <c r="N1443" s="4" cm="1">
        <f t="array" ref="N1443">SUM(--(_xlfn.TEXTSPLIT($J$1387,, " ") = L1443))</f>
        <v>2</v>
      </c>
    </row>
    <row r="1444" spans="5:14" x14ac:dyDescent="0.2">
      <c r="E1444" s="9" t="s">
        <v>24</v>
      </c>
      <c r="K1444" t="str">
        <v xml:space="preserve">that)
</v>
      </c>
      <c r="L1444" t="str">
        <v>change</v>
      </c>
      <c r="M1444" s="4" t="str">
        <f t="shared" si="21"/>
        <v xml:space="preserve">that  </v>
      </c>
      <c r="N1444" s="4" cm="1">
        <f t="array" ref="N1444">SUM(--(_xlfn.TEXTSPLIT($J$1387,, " ") = L1444))</f>
        <v>2</v>
      </c>
    </row>
    <row r="1445" spans="5:14" x14ac:dyDescent="0.2">
      <c r="E1445" s="9" t="s">
        <v>24</v>
      </c>
      <c r="K1445" t="str">
        <v>Ooh,</v>
      </c>
      <c r="L1445" t="str">
        <v xml:space="preserve">up
</v>
      </c>
      <c r="M1445" s="4" t="str">
        <f t="shared" si="21"/>
        <v xml:space="preserve">Ooh </v>
      </c>
      <c r="N1445" s="4" cm="1">
        <f t="array" ref="N1445">SUM(--(_xlfn.TEXTSPLIT($J$1387,, " ") = L1445))</f>
        <v>1</v>
      </c>
    </row>
    <row r="1446" spans="5:14" x14ac:dyDescent="0.2">
      <c r="E1446" s="9" t="s">
        <v>24</v>
      </c>
      <c r="K1446" t="str">
        <v>promises</v>
      </c>
      <c r="L1446" t="str">
        <v>Wait,</v>
      </c>
      <c r="M1446" s="4" t="str">
        <f t="shared" si="21"/>
        <v>promises</v>
      </c>
      <c r="N1446" s="4" cm="1">
        <f t="array" ref="N1446">SUM(--(_xlfn.TEXTSPLIT($J$1387,, " ") = L1446))</f>
        <v>1</v>
      </c>
    </row>
    <row r="1447" spans="5:14" x14ac:dyDescent="0.2">
      <c r="E1447" s="9" t="s">
        <v>24</v>
      </c>
      <c r="K1447" t="str">
        <v>and</v>
      </c>
      <c r="L1447" t="str">
        <v>it</v>
      </c>
      <c r="M1447" s="4" t="str">
        <f t="shared" si="21"/>
        <v>and</v>
      </c>
      <c r="N1447" s="4" cm="1">
        <f t="array" ref="N1447">SUM(--(_xlfn.TEXTSPLIT($J$1387,, " ") = L1447))</f>
        <v>3</v>
      </c>
    </row>
    <row r="1448" spans="5:14" x14ac:dyDescent="0.2">
      <c r="E1448" s="9" t="s">
        <v>24</v>
      </c>
      <c r="K1448" t="str">
        <v>contracts</v>
      </c>
      <c r="L1448" t="str">
        <v xml:space="preserve">up?
</v>
      </c>
      <c r="M1448" s="4" t="str">
        <f t="shared" si="21"/>
        <v>contracts</v>
      </c>
      <c r="N1448" s="4" cm="1">
        <f t="array" ref="N1448">SUM(--(_xlfn.TEXTSPLIT($J$1387,, " ") = L1448))</f>
        <v>1</v>
      </c>
    </row>
    <row r="1449" spans="5:14" x14ac:dyDescent="0.2">
      <c r="E1449" s="9" t="s">
        <v>24</v>
      </c>
      <c r="K1449" t="str">
        <v>I</v>
      </c>
      <c r="L1449" t="str">
        <v>Is</v>
      </c>
      <c r="M1449" s="4" t="str">
        <f t="shared" si="21"/>
        <v>I</v>
      </c>
      <c r="N1449" s="4" cm="1">
        <f t="array" ref="N1449">SUM(--(_xlfn.TEXTSPLIT($J$1387,, " ") = L1449))</f>
        <v>1</v>
      </c>
    </row>
    <row r="1450" spans="5:14" x14ac:dyDescent="0.2">
      <c r="E1450" s="9" t="s">
        <v>24</v>
      </c>
      <c r="K1450" t="str">
        <v>used</v>
      </c>
      <c r="L1450" t="str">
        <v>light</v>
      </c>
      <c r="M1450" s="4" t="str">
        <f t="shared" si="21"/>
        <v>used</v>
      </c>
      <c r="N1450" s="4" cm="1">
        <f t="array" ref="N1450">SUM(--(_xlfn.TEXTSPLIT($J$1387,, " ") = L1450))</f>
        <v>1</v>
      </c>
    </row>
    <row r="1451" spans="5:14" x14ac:dyDescent="0.2">
      <c r="E1451" s="9" t="s">
        <v>24</v>
      </c>
      <c r="K1451" t="str">
        <v>to</v>
      </c>
      <c r="L1451" t="str">
        <v>out</v>
      </c>
      <c r="M1451" s="4" t="str">
        <f t="shared" ref="M1451:M1514" si="22">_xlfn.REGEXREPLACE(K1451, "[^A-Za-z ]", " ")</f>
        <v>to</v>
      </c>
      <c r="N1451" s="4" cm="1">
        <f t="array" ref="N1451">SUM(--(_xlfn.TEXTSPLIT($J$1387,, " ") = L1451))</f>
        <v>3</v>
      </c>
    </row>
    <row r="1452" spans="5:14" x14ac:dyDescent="0.2">
      <c r="E1452" s="9" t="s">
        <v>24</v>
      </c>
      <c r="K1452" t="str">
        <v xml:space="preserve">keep
</v>
      </c>
      <c r="L1452" t="str">
        <v>yet?</v>
      </c>
      <c r="M1452" s="4" t="str">
        <f t="shared" si="22"/>
        <v xml:space="preserve">keep </v>
      </c>
      <c r="N1452" s="4" cm="1">
        <f t="array" ref="N1452">SUM(--(_xlfn.TEXTSPLIT($J$1387,, " ") = L1452))</f>
        <v>1</v>
      </c>
    </row>
    <row r="1453" spans="5:14" x14ac:dyDescent="0.2">
      <c r="E1453" s="9" t="s">
        <v>24</v>
      </c>
      <c r="K1453" t="str">
        <v>I</v>
      </c>
      <c r="L1453" t="str">
        <v>Better</v>
      </c>
      <c r="M1453" s="4" t="str">
        <f t="shared" si="22"/>
        <v>I</v>
      </c>
      <c r="N1453" s="4" cm="1">
        <f t="array" ref="N1453">SUM(--(_xlfn.TEXTSPLIT($J$1387,, " ") = L1453))</f>
        <v>2</v>
      </c>
    </row>
    <row r="1454" spans="5:14" x14ac:dyDescent="0.2">
      <c r="E1454" s="9" t="s">
        <v>24</v>
      </c>
      <c r="K1454" t="str">
        <v>don't</v>
      </c>
      <c r="L1454" t="str">
        <v xml:space="preserve">bet
</v>
      </c>
      <c r="M1454" s="4" t="str">
        <f t="shared" si="22"/>
        <v>don t</v>
      </c>
      <c r="N1454" s="4" cm="1">
        <f t="array" ref="N1454">SUM(--(_xlfn.TEXTSPLIT($J$1387,, " ") = L1454))</f>
        <v>1</v>
      </c>
    </row>
    <row r="1455" spans="5:14" x14ac:dyDescent="0.2">
      <c r="E1455" s="9" t="s">
        <v>24</v>
      </c>
      <c r="K1455" t="str">
        <v>sleep</v>
      </c>
      <c r="L1455" t="str">
        <v>I'ma</v>
      </c>
      <c r="M1455" s="4" t="str">
        <f t="shared" si="22"/>
        <v>sleep</v>
      </c>
      <c r="N1455" s="4" cm="1">
        <f t="array" ref="N1455">SUM(--(_xlfn.TEXTSPLIT($J$1387,, " ") = L1455))</f>
        <v>1</v>
      </c>
    </row>
    <row r="1456" spans="5:14" x14ac:dyDescent="0.2">
      <c r="E1456" s="9" t="s">
        <v>24</v>
      </c>
      <c r="K1456" t="str">
        <v>much,</v>
      </c>
      <c r="L1456" t="str">
        <v>walk</v>
      </c>
      <c r="M1456" s="4" t="str">
        <f t="shared" si="22"/>
        <v xml:space="preserve">much </v>
      </c>
      <c r="N1456" s="4" cm="1">
        <f t="array" ref="N1456">SUM(--(_xlfn.TEXTSPLIT($J$1387,, " ") = L1456))</f>
        <v>1</v>
      </c>
    </row>
    <row r="1457" spans="5:14" x14ac:dyDescent="0.2">
      <c r="E1457" s="9" t="s">
        <v>24</v>
      </c>
      <c r="K1457" t="str">
        <v>that's</v>
      </c>
      <c r="L1457" t="str">
        <v>around</v>
      </c>
      <c r="M1457" s="4" t="str">
        <f t="shared" si="22"/>
        <v>that s</v>
      </c>
      <c r="N1457" s="4" cm="1">
        <f t="array" ref="N1457">SUM(--(_xlfn.TEXTSPLIT($J$1387,, " ") = L1457))</f>
        <v>1</v>
      </c>
    </row>
    <row r="1458" spans="5:14" x14ac:dyDescent="0.2">
      <c r="E1458" s="9" t="s">
        <v>24</v>
      </c>
      <c r="K1458" t="str">
        <v>crazy,</v>
      </c>
      <c r="L1458" t="str">
        <v>edge</v>
      </c>
      <c r="M1458" s="4" t="str">
        <f t="shared" si="22"/>
        <v xml:space="preserve">crazy </v>
      </c>
      <c r="N1458" s="4" cm="1">
        <f t="array" ref="N1458">SUM(--(_xlfn.TEXTSPLIT($J$1387,, " ") = L1458))</f>
        <v>1</v>
      </c>
    </row>
    <row r="1459" spans="5:14" x14ac:dyDescent="0.2">
      <c r="E1459" s="9" t="s">
        <v>24</v>
      </c>
      <c r="K1459" t="str">
        <v>how'd</v>
      </c>
      <c r="L1459" t="str">
        <v>of</v>
      </c>
      <c r="M1459" s="4" t="str">
        <f t="shared" si="22"/>
        <v>how d</v>
      </c>
      <c r="N1459" s="4" cm="1">
        <f t="array" ref="N1459">SUM(--(_xlfn.TEXTSPLIT($J$1387,, " ") = L1459))</f>
        <v>1</v>
      </c>
    </row>
    <row r="1460" spans="5:14" x14ac:dyDescent="0.2">
      <c r="E1460" s="9" t="s">
        <v>24</v>
      </c>
      <c r="K1460" t="str">
        <v>you</v>
      </c>
      <c r="L1460" t="str">
        <v>room</v>
      </c>
      <c r="M1460" s="4" t="str">
        <f t="shared" si="22"/>
        <v>you</v>
      </c>
      <c r="N1460" s="4" cm="1">
        <f t="array" ref="N1460">SUM(--(_xlfn.TEXTSPLIT($J$1387,, " ") = L1460))</f>
        <v>1</v>
      </c>
    </row>
    <row r="1461" spans="5:14" x14ac:dyDescent="0.2">
      <c r="E1461" s="9" t="s">
        <v>24</v>
      </c>
      <c r="K1461" t="str">
        <v>know</v>
      </c>
      <c r="L1461" t="str">
        <v xml:space="preserve">bed
</v>
      </c>
      <c r="M1461" s="4" t="str">
        <f t="shared" si="22"/>
        <v>know</v>
      </c>
      <c r="N1461" s="4" cm="1">
        <f t="array" ref="N1461">SUM(--(_xlfn.TEXTSPLIT($J$1387,, " ") = L1461))</f>
        <v>1</v>
      </c>
    </row>
    <row r="1462" spans="5:14" x14ac:dyDescent="0.2">
      <c r="E1462" s="9" t="s">
        <v>24</v>
      </c>
      <c r="K1462" t="str">
        <v>that?</v>
      </c>
      <c r="L1462" t="str">
        <v>Where</v>
      </c>
      <c r="M1462" s="4" t="str">
        <f t="shared" si="22"/>
        <v xml:space="preserve">that </v>
      </c>
      <c r="N1462" s="4" cm="1">
        <f t="array" ref="N1462">SUM(--(_xlfn.TEXTSPLIT($J$1387,, " ") = L1462))</f>
        <v>1</v>
      </c>
    </row>
    <row r="1463" spans="5:14" x14ac:dyDescent="0.2">
      <c r="E1463" s="9" t="s">
        <v>24</v>
      </c>
      <c r="K1463" t="str">
        <v xml:space="preserve">(That)
</v>
      </c>
      <c r="L1463" t="str">
        <v>hide</v>
      </c>
      <c r="M1463" s="4" t="str">
        <f t="shared" si="22"/>
        <v xml:space="preserve"> That  </v>
      </c>
      <c r="N1463" s="4" cm="1">
        <f t="array" ref="N1463">SUM(--(_xlfn.TEXTSPLIT($J$1387,, " ") = L1463))</f>
        <v>1</v>
      </c>
    </row>
    <row r="1464" spans="5:14" x14ac:dyDescent="0.2">
      <c r="E1464" s="9" t="s">
        <v>24</v>
      </c>
      <c r="K1464" t="str">
        <v>Keep</v>
      </c>
      <c r="L1464" t="str">
        <v>face,</v>
      </c>
      <c r="M1464" s="4" t="str">
        <f t="shared" si="22"/>
        <v>Keep</v>
      </c>
      <c r="N1464" s="4" cm="1">
        <f t="array" ref="N1464">SUM(--(_xlfn.TEXTSPLIT($J$1387,, " ") = L1464))</f>
        <v>1</v>
      </c>
    </row>
    <row r="1465" spans="5:14" x14ac:dyDescent="0.2">
      <c r="E1465" s="9" t="s">
        <v>24</v>
      </c>
      <c r="K1465" t="str">
        <v>myself</v>
      </c>
      <c r="L1465" t="str">
        <v>pace</v>
      </c>
      <c r="M1465" s="4" t="str">
        <f t="shared" si="22"/>
        <v>myself</v>
      </c>
      <c r="N1465" s="4" cm="1">
        <f t="array" ref="N1465">SUM(--(_xlfn.TEXTSPLIT($J$1387,, " ") = L1465))</f>
        <v>3</v>
      </c>
    </row>
    <row r="1466" spans="5:14" x14ac:dyDescent="0.2">
      <c r="E1466" s="9" t="s">
        <v>24</v>
      </c>
      <c r="K1466" t="str">
        <v>up,</v>
      </c>
      <c r="L1466" t="str">
        <v xml:space="preserve">around
</v>
      </c>
      <c r="M1466" s="4" t="str">
        <f t="shared" si="22"/>
        <v xml:space="preserve">up </v>
      </c>
      <c r="N1466" s="4" cm="1">
        <f t="array" ref="N1466">SUM(--(_xlfn.TEXTSPLIT($J$1387,, " ") = L1466))</f>
        <v>1</v>
      </c>
    </row>
    <row r="1467" spans="5:14" x14ac:dyDescent="0.2">
      <c r="E1467" s="9" t="s">
        <v>24</v>
      </c>
      <c r="K1467" t="str">
        <v>that's</v>
      </c>
      <c r="L1467" t="str">
        <v>try</v>
      </c>
      <c r="M1467" s="4" t="str">
        <f t="shared" si="22"/>
        <v>that s</v>
      </c>
      <c r="N1467" s="4" cm="1">
        <f t="array" ref="N1467">SUM(--(_xlfn.TEXTSPLIT($J$1387,, " ") = L1467))</f>
        <v>1</v>
      </c>
    </row>
    <row r="1468" spans="5:14" x14ac:dyDescent="0.2">
      <c r="E1468" s="9" t="s">
        <v>24</v>
      </c>
      <c r="K1468" t="str">
        <v>maybe</v>
      </c>
      <c r="L1468" t="str">
        <v>breathe,</v>
      </c>
      <c r="M1468" s="4" t="str">
        <f t="shared" si="22"/>
        <v>maybe</v>
      </c>
      <c r="N1468" s="4" cm="1">
        <f t="array" ref="N1468">SUM(--(_xlfn.TEXTSPLIT($J$1387,, " ") = L1468))</f>
        <v>1</v>
      </c>
    </row>
    <row r="1469" spans="5:14" x14ac:dyDescent="0.2">
      <c r="E1469" s="9" t="s">
        <v>24</v>
      </c>
      <c r="K1469" t="str">
        <v>how</v>
      </c>
      <c r="L1469" t="str">
        <v>around,</v>
      </c>
      <c r="M1469" s="4" t="str">
        <f t="shared" si="22"/>
        <v>how</v>
      </c>
      <c r="N1469" s="4" cm="1">
        <f t="array" ref="N1469">SUM(--(_xlfn.TEXTSPLIT($J$1387,, " ") = L1469))</f>
        <v>1</v>
      </c>
    </row>
    <row r="1470" spans="5:14" x14ac:dyDescent="0.2">
      <c r="E1470" s="9" t="s">
        <v>24</v>
      </c>
      <c r="K1470" t="str">
        <v>you</v>
      </c>
      <c r="L1470" t="str">
        <v xml:space="preserve">around
</v>
      </c>
      <c r="M1470" s="4" t="str">
        <f t="shared" si="22"/>
        <v>you</v>
      </c>
      <c r="N1470" s="4" cm="1">
        <f t="array" ref="N1470">SUM(--(_xlfn.TEXTSPLIT($J$1387,, " ") = L1470))</f>
        <v>1</v>
      </c>
    </row>
    <row r="1471" spans="5:14" x14ac:dyDescent="0.2">
      <c r="E1471" s="9" t="s">
        <v>24</v>
      </c>
      <c r="K1471" t="str">
        <v>know</v>
      </c>
      <c r="L1471" t="str">
        <v>windows,</v>
      </c>
      <c r="M1471" s="4" t="str">
        <f t="shared" si="22"/>
        <v>know</v>
      </c>
      <c r="N1471" s="4" cm="1">
        <f t="array" ref="N1471">SUM(--(_xlfn.TEXTSPLIT($J$1387,, " ") = L1471))</f>
        <v>1</v>
      </c>
    </row>
    <row r="1472" spans="5:14" x14ac:dyDescent="0.2">
      <c r="E1472" s="9" t="s">
        <v>24</v>
      </c>
      <c r="K1472" t="str">
        <v>that</v>
      </c>
      <c r="L1472" t="str">
        <v>see
I</v>
      </c>
      <c r="M1472" s="4" t="str">
        <f t="shared" si="22"/>
        <v>that</v>
      </c>
      <c r="N1472" s="4" cm="1">
        <f t="array" ref="N1472">SUM(--(_xlfn.TEXTSPLIT($J$1387,, " ") = L1472))</f>
        <v>1</v>
      </c>
    </row>
    <row r="1473" spans="5:14" x14ac:dyDescent="0.2">
      <c r="E1473" s="9" t="s">
        <v>24</v>
      </c>
      <c r="K1473" t="str">
        <v>(That,</v>
      </c>
      <c r="L1473" t="str">
        <v xml:space="preserve">see
</v>
      </c>
      <c r="M1473" s="4" t="str">
        <f t="shared" si="22"/>
        <v xml:space="preserve"> That </v>
      </c>
      <c r="N1473" s="4" cm="1">
        <f t="array" ref="N1473">SUM(--(_xlfn.TEXTSPLIT($J$1387,, " ") = L1473))</f>
        <v>3</v>
      </c>
    </row>
    <row r="1474" spans="5:14" x14ac:dyDescent="0.2">
      <c r="E1474" s="9" t="s">
        <v>24</v>
      </c>
      <c r="K1474" t="str">
        <v xml:space="preserve">that)
</v>
      </c>
      <c r="L1474" t="str">
        <v xml:space="preserve">found
</v>
      </c>
      <c r="M1474" s="4" t="str">
        <f t="shared" si="22"/>
        <v xml:space="preserve">that  </v>
      </c>
      <c r="N1474" s="4" cm="1">
        <f t="array" ref="N1474">SUM(--(_xlfn.TEXTSPLIT($J$1387,, " ") = L1474))</f>
        <v>1</v>
      </c>
    </row>
    <row r="1475" spans="5:14" x14ac:dyDescent="0.2">
      <c r="E1475" s="9" t="s">
        <v>24</v>
      </c>
      <c r="K1475" t="str">
        <v>Ooh,</v>
      </c>
      <c r="L1475" t="str">
        <v>(Oh-ooh)</v>
      </c>
      <c r="M1475" s="4" t="str">
        <f t="shared" si="22"/>
        <v xml:space="preserve">Ooh </v>
      </c>
      <c r="N1475" s="4" cm="1">
        <f t="array" ref="N1475">SUM(--(_xlfn.TEXTSPLIT($J$1387,, " ") = L1475))</f>
        <v>4</v>
      </c>
    </row>
    <row r="1476" spans="5:14" x14ac:dyDescent="0.2">
      <c r="E1476" s="9" t="s">
        <v>24</v>
      </c>
      <c r="K1476" t="str">
        <v>my</v>
      </c>
      <c r="L1476" t="str">
        <v>wanna</v>
      </c>
      <c r="M1476" s="4" t="str">
        <f t="shared" si="22"/>
        <v>my</v>
      </c>
      <c r="N1476" s="4" cm="1">
        <f t="array" ref="N1476">SUM(--(_xlfn.TEXTSPLIT($J$1387,, " ") = L1476))</f>
        <v>2</v>
      </c>
    </row>
    <row r="1477" spans="5:14" x14ac:dyDescent="0.2">
      <c r="E1477" s="9" t="s">
        <v>24</v>
      </c>
      <c r="K1477" t="str">
        <v>hallucination</v>
      </c>
      <c r="L1477" t="str">
        <v>get</v>
      </c>
      <c r="M1477" s="4" t="str">
        <f t="shared" si="22"/>
        <v>hallucination</v>
      </c>
      <c r="N1477" s="4" cm="1">
        <f t="array" ref="N1477">SUM(--(_xlfn.TEXTSPLIT($J$1387,, " ") = L1477))</f>
        <v>2</v>
      </c>
    </row>
    <row r="1478" spans="5:14" x14ac:dyDescent="0.2">
      <c r="E1478" s="9" t="s">
        <v>24</v>
      </c>
      <c r="K1478" t="str">
        <v>I</v>
      </c>
      <c r="L1478" t="str">
        <v xml:space="preserve">there
</v>
      </c>
      <c r="M1478" s="4" t="str">
        <f t="shared" si="22"/>
        <v>I</v>
      </c>
      <c r="N1478" s="4" cm="1">
        <f t="array" ref="N1478">SUM(--(_xlfn.TEXTSPLIT($J$1387,, " ") = L1478))</f>
        <v>2</v>
      </c>
    </row>
    <row r="1479" spans="5:14" x14ac:dyDescent="0.2">
      <c r="E1479" s="9" t="s">
        <v>24</v>
      </c>
      <c r="K1479" t="str">
        <v>used</v>
      </c>
      <c r="L1479" t="str">
        <v>But</v>
      </c>
      <c r="M1479" s="4" t="str">
        <f t="shared" si="22"/>
        <v>used</v>
      </c>
      <c r="N1479" s="4" cm="1">
        <f t="array" ref="N1479">SUM(--(_xlfn.TEXTSPLIT($J$1387,, " ") = L1479))</f>
        <v>3</v>
      </c>
    </row>
    <row r="1480" spans="5:14" x14ac:dyDescent="0.2">
      <c r="E1480" s="9" t="s">
        <v>24</v>
      </c>
      <c r="K1480" t="str">
        <v>to</v>
      </c>
      <c r="L1480" t="str">
        <v xml:space="preserve">try
</v>
      </c>
      <c r="M1480" s="4" t="str">
        <f t="shared" si="22"/>
        <v>to</v>
      </c>
      <c r="N1480" s="4" cm="1">
        <f t="array" ref="N1480">SUM(--(_xlfn.TEXTSPLIT($J$1387,, " ") = L1480))</f>
        <v>1</v>
      </c>
    </row>
    <row r="1481" spans="5:14" x14ac:dyDescent="0.2">
      <c r="E1481" s="9" t="s">
        <v>24</v>
      </c>
      <c r="K1481" t="str">
        <v xml:space="preserve">see
</v>
      </c>
      <c r="L1481" t="str">
        <v xml:space="preserve">try
</v>
      </c>
      <c r="M1481" s="4" t="str">
        <f t="shared" si="22"/>
        <v xml:space="preserve">see  </v>
      </c>
      <c r="N1481" s="4" cm="1">
        <f t="array" ref="N1481">SUM(--(_xlfn.TEXTSPLIT($J$1387,, " ") = L1481))</f>
        <v>1</v>
      </c>
    </row>
    <row r="1482" spans="5:14" x14ac:dyDescent="0.2">
      <c r="E1482" s="9" t="s">
        <v>24</v>
      </c>
      <c r="K1482" t="str">
        <v>Wake</v>
      </c>
      <c r="L1482" t="str">
        <v>see,</v>
      </c>
      <c r="M1482" s="4" t="str">
        <f t="shared" si="22"/>
        <v>Wake</v>
      </c>
      <c r="N1482" s="4" cm="1">
        <f t="array" ref="N1482">SUM(--(_xlfn.TEXTSPLIT($J$1387,, " ") = L1482))</f>
        <v>1</v>
      </c>
    </row>
    <row r="1483" spans="5:14" x14ac:dyDescent="0.2">
      <c r="E1483" s="9" t="s">
        <v>24</v>
      </c>
      <c r="K1483" t="str">
        <v>up</v>
      </c>
      <c r="L1483" t="str">
        <v>felt</v>
      </c>
      <c r="M1483" s="4" t="str">
        <f t="shared" si="22"/>
        <v>up</v>
      </c>
      <c r="N1483" s="4" cm="1">
        <f t="array" ref="N1483">SUM(--(_xlfn.TEXTSPLIT($J$1387,, " ") = L1483))</f>
        <v>1</v>
      </c>
    </row>
    <row r="1484" spans="5:14" x14ac:dyDescent="0.2">
      <c r="E1484" s="9" t="s">
        <v>24</v>
      </c>
      <c r="K1484" t="str">
        <v>and</v>
      </c>
      <c r="L1484" t="str">
        <v>so</v>
      </c>
      <c r="M1484" s="4" t="str">
        <f t="shared" si="22"/>
        <v>and</v>
      </c>
      <c r="N1484" s="4" cm="1">
        <f t="array" ref="N1484">SUM(--(_xlfn.TEXTSPLIT($J$1387,, " ") = L1484))</f>
        <v>1</v>
      </c>
    </row>
    <row r="1485" spans="5:14" x14ac:dyDescent="0.2">
      <c r="E1485" s="9" t="s">
        <v>24</v>
      </c>
      <c r="K1485" t="str">
        <v>I</v>
      </c>
      <c r="L1485" t="str">
        <v xml:space="preserve">real
</v>
      </c>
      <c r="M1485" s="4" t="str">
        <f t="shared" si="22"/>
        <v>I</v>
      </c>
      <c r="N1485" s="4" cm="1">
        <f t="array" ref="N1485">SUM(--(_xlfn.TEXTSPLIT($J$1387,, " ") = L1485))</f>
        <v>1</v>
      </c>
    </row>
    <row r="1486" spans="5:14" x14ac:dyDescent="0.2">
      <c r="E1486" s="9" t="s">
        <v>24</v>
      </c>
      <c r="K1486" t="str">
        <v>find</v>
      </c>
      <c r="L1486" t="str">
        <v>now</v>
      </c>
      <c r="M1486" s="4" t="str">
        <f t="shared" si="22"/>
        <v>find</v>
      </c>
      <c r="N1486" s="4" cm="1">
        <f t="array" ref="N1486">SUM(--(_xlfn.TEXTSPLIT($J$1387,, " ") = L1486))</f>
        <v>1</v>
      </c>
    </row>
    <row r="1487" spans="5:14" x14ac:dyDescent="0.2">
      <c r="E1487" s="9" t="s">
        <v>24</v>
      </c>
      <c r="K1487" t="str">
        <v>out,</v>
      </c>
      <c r="L1487" t="str">
        <v>plead,</v>
      </c>
      <c r="M1487" s="4" t="str">
        <f t="shared" si="22"/>
        <v xml:space="preserve">out </v>
      </c>
      <c r="N1487" s="4" cm="1">
        <f t="array" ref="N1487">SUM(--(_xlfn.TEXTSPLIT($J$1387,, " ") = L1487))</f>
        <v>1</v>
      </c>
    </row>
    <row r="1488" spans="5:14" x14ac:dyDescent="0.2">
      <c r="E1488" s="9" t="s">
        <v>24</v>
      </c>
      <c r="K1488" t="str">
        <v>did</v>
      </c>
      <c r="L1488" t="str">
        <v>take</v>
      </c>
      <c r="M1488" s="4" t="str">
        <f t="shared" si="22"/>
        <v>did</v>
      </c>
      <c r="N1488" s="4" cm="1">
        <f t="array" ref="N1488">SUM(--(_xlfn.TEXTSPLIT($J$1387,, " ") = L1488))</f>
        <v>1</v>
      </c>
    </row>
    <row r="1489" spans="5:14" x14ac:dyDescent="0.2">
      <c r="E1489" s="9" t="s">
        <v>24</v>
      </c>
      <c r="K1489" t="str">
        <v>a</v>
      </c>
      <c r="L1489" t="str">
        <v xml:space="preserve">deal
</v>
      </c>
      <c r="M1489" s="4" t="str">
        <f t="shared" si="22"/>
        <v>a</v>
      </c>
      <c r="N1489" s="4" cm="1">
        <f t="array" ref="N1489">SUM(--(_xlfn.TEXTSPLIT($J$1387,, " ") = L1489))</f>
        <v>1</v>
      </c>
    </row>
    <row r="1490" spans="5:14" x14ac:dyDescent="0.2">
      <c r="E1490" s="9" t="s">
        <v>24</v>
      </c>
      <c r="K1490" t="str">
        <v>change</v>
      </c>
      <c r="L1490" t="str">
        <v>promised</v>
      </c>
      <c r="M1490" s="4" t="str">
        <f t="shared" si="22"/>
        <v>change</v>
      </c>
      <c r="N1490" s="4" cm="1">
        <f t="array" ref="N1490">SUM(--(_xlfn.TEXTSPLIT($J$1387,, " ") = L1490))</f>
        <v>2</v>
      </c>
    </row>
    <row r="1491" spans="5:14" x14ac:dyDescent="0.2">
      <c r="E1491" s="9" t="s">
        <v>24</v>
      </c>
      <c r="K1491" t="str">
        <v xml:space="preserve">up
</v>
      </c>
      <c r="L1491" t="str">
        <v xml:space="preserve">contract
</v>
      </c>
      <c r="M1491" s="4" t="str">
        <f t="shared" si="22"/>
        <v xml:space="preserve">up </v>
      </c>
      <c r="N1491" s="4" cm="1">
        <f t="array" ref="N1491">SUM(--(_xlfn.TEXTSPLIT($J$1387,, " ") = L1491))</f>
        <v>1</v>
      </c>
    </row>
    <row r="1492" spans="5:14" x14ac:dyDescent="0.2">
      <c r="E1492" s="9" t="s">
        <v>24</v>
      </c>
      <c r="K1492" t="str">
        <v>Wait,</v>
      </c>
      <c r="L1492" t="str">
        <v>contract</v>
      </c>
      <c r="M1492" s="4" t="str">
        <f t="shared" si="22"/>
        <v xml:space="preserve">Wait </v>
      </c>
      <c r="N1492" s="4" cm="1">
        <f t="array" ref="N1492">SUM(--(_xlfn.TEXTSPLIT($J$1387,, " ") = L1492))</f>
        <v>1</v>
      </c>
    </row>
    <row r="1493" spans="5:14" x14ac:dyDescent="0.2">
      <c r="E1493" s="9" t="s">
        <v>24</v>
      </c>
      <c r="K1493" t="str">
        <v>did</v>
      </c>
      <c r="M1493" s="4" t="str">
        <f t="shared" si="22"/>
        <v>did</v>
      </c>
      <c r="N1493" s="4" cm="1">
        <f t="array" ref="N1493">SUM(--(_xlfn.TEXTSPLIT($J$1387,, " ") = L1493))</f>
        <v>2</v>
      </c>
    </row>
    <row r="1494" spans="5:14" x14ac:dyDescent="0.2">
      <c r="E1494" s="9" t="s">
        <v>24</v>
      </c>
      <c r="K1494" t="str">
        <v>it</v>
      </c>
      <c r="M1494" s="4" t="str">
        <f t="shared" si="22"/>
        <v>it</v>
      </c>
      <c r="N1494" s="4" cm="1">
        <f t="array" ref="N1494">SUM(--(_xlfn.TEXTSPLIT($J$1387,, " ") = L1494))</f>
        <v>2</v>
      </c>
    </row>
    <row r="1495" spans="5:14" x14ac:dyDescent="0.2">
      <c r="E1495" s="9" t="s">
        <v>24</v>
      </c>
      <c r="K1495" t="str">
        <v>change</v>
      </c>
      <c r="M1495" s="4" t="str">
        <f t="shared" si="22"/>
        <v>change</v>
      </c>
      <c r="N1495" s="4" cm="1">
        <f t="array" ref="N1495">SUM(--(_xlfn.TEXTSPLIT($J$1387,, " ") = L1495))</f>
        <v>2</v>
      </c>
    </row>
    <row r="1496" spans="5:14" x14ac:dyDescent="0.2">
      <c r="E1496" s="9" t="s">
        <v>24</v>
      </c>
      <c r="K1496" t="str">
        <v xml:space="preserve">up?
</v>
      </c>
      <c r="M1496" s="4" t="str">
        <f t="shared" si="22"/>
        <v xml:space="preserve">up  </v>
      </c>
      <c r="N1496" s="4" cm="1">
        <f t="array" ref="N1496">SUM(--(_xlfn.TEXTSPLIT($J$1387,, " ") = L1496))</f>
        <v>2</v>
      </c>
    </row>
    <row r="1497" spans="5:14" x14ac:dyDescent="0.2">
      <c r="E1497" s="9" t="s">
        <v>24</v>
      </c>
      <c r="K1497" t="str">
        <v>Is</v>
      </c>
      <c r="M1497" s="4" t="str">
        <f t="shared" si="22"/>
        <v>Is</v>
      </c>
      <c r="N1497" s="4" cm="1">
        <f t="array" ref="N1497">SUM(--(_xlfn.TEXTSPLIT($J$1387,, " ") = L1497))</f>
        <v>2</v>
      </c>
    </row>
    <row r="1498" spans="5:14" x14ac:dyDescent="0.2">
      <c r="E1498" s="9" t="s">
        <v>24</v>
      </c>
      <c r="K1498" t="str">
        <v>it</v>
      </c>
      <c r="M1498" s="4" t="str">
        <f t="shared" si="22"/>
        <v>it</v>
      </c>
      <c r="N1498" s="4" cm="1">
        <f t="array" ref="N1498">SUM(--(_xlfn.TEXTSPLIT($J$1387,, " ") = L1498))</f>
        <v>2</v>
      </c>
    </row>
    <row r="1499" spans="5:14" x14ac:dyDescent="0.2">
      <c r="E1499" s="9" t="s">
        <v>24</v>
      </c>
      <c r="K1499" t="str">
        <v>light</v>
      </c>
      <c r="M1499" s="4" t="str">
        <f t="shared" si="22"/>
        <v>light</v>
      </c>
      <c r="N1499" s="4" cm="1">
        <f t="array" ref="N1499">SUM(--(_xlfn.TEXTSPLIT($J$1387,, " ") = L1499))</f>
        <v>2</v>
      </c>
    </row>
    <row r="1500" spans="5:14" x14ac:dyDescent="0.2">
      <c r="E1500" s="9" t="s">
        <v>24</v>
      </c>
      <c r="K1500" t="str">
        <v>out</v>
      </c>
      <c r="M1500" s="4" t="str">
        <f t="shared" si="22"/>
        <v>out</v>
      </c>
      <c r="N1500" s="4" cm="1">
        <f t="array" ref="N1500">SUM(--(_xlfn.TEXTSPLIT($J$1387,, " ") = L1500))</f>
        <v>2</v>
      </c>
    </row>
    <row r="1501" spans="5:14" x14ac:dyDescent="0.2">
      <c r="E1501" s="9" t="s">
        <v>24</v>
      </c>
      <c r="K1501" t="str">
        <v>yet?</v>
      </c>
      <c r="M1501" s="4" t="str">
        <f t="shared" si="22"/>
        <v xml:space="preserve">yet </v>
      </c>
      <c r="N1501" s="4" cm="1">
        <f t="array" ref="N1501">SUM(--(_xlfn.TEXTSPLIT($J$1387,, " ") = L1501))</f>
        <v>2</v>
      </c>
    </row>
    <row r="1502" spans="5:14" x14ac:dyDescent="0.2">
      <c r="E1502" s="9" t="s">
        <v>24</v>
      </c>
      <c r="K1502" t="str">
        <v>Better</v>
      </c>
      <c r="M1502" s="4" t="str">
        <f t="shared" si="22"/>
        <v>Better</v>
      </c>
      <c r="N1502" s="4" cm="1">
        <f t="array" ref="N1502">SUM(--(_xlfn.TEXTSPLIT($J$1387,, " ") = L1502))</f>
        <v>2</v>
      </c>
    </row>
    <row r="1503" spans="5:14" x14ac:dyDescent="0.2">
      <c r="E1503" s="9" t="s">
        <v>24</v>
      </c>
      <c r="K1503" t="str">
        <v>find</v>
      </c>
      <c r="M1503" s="4" t="str">
        <f t="shared" si="22"/>
        <v>find</v>
      </c>
      <c r="N1503" s="4" cm="1">
        <f t="array" ref="N1503">SUM(--(_xlfn.TEXTSPLIT($J$1387,, " ") = L1503))</f>
        <v>2</v>
      </c>
    </row>
    <row r="1504" spans="5:14" x14ac:dyDescent="0.2">
      <c r="E1504" s="9" t="s">
        <v>24</v>
      </c>
      <c r="K1504" t="str">
        <v>out,</v>
      </c>
      <c r="M1504" s="4" t="str">
        <f t="shared" si="22"/>
        <v xml:space="preserve">out </v>
      </c>
      <c r="N1504" s="4" cm="1">
        <f t="array" ref="N1504">SUM(--(_xlfn.TEXTSPLIT($J$1387,, " ") = L1504))</f>
        <v>2</v>
      </c>
    </row>
    <row r="1505" spans="5:14" x14ac:dyDescent="0.2">
      <c r="E1505" s="9" t="s">
        <v>24</v>
      </c>
      <c r="K1505" t="str">
        <v xml:space="preserve">bet
</v>
      </c>
      <c r="M1505" s="4" t="str">
        <f t="shared" si="22"/>
        <v xml:space="preserve">bet </v>
      </c>
      <c r="N1505" s="4" cm="1">
        <f t="array" ref="N1505">SUM(--(_xlfn.TEXTSPLIT($J$1387,, " ") = L1505))</f>
        <v>2</v>
      </c>
    </row>
    <row r="1506" spans="5:14" x14ac:dyDescent="0.2">
      <c r="E1506" s="9" t="s">
        <v>24</v>
      </c>
      <c r="K1506" t="str">
        <v>I'ma</v>
      </c>
      <c r="M1506" s="4" t="str">
        <f t="shared" si="22"/>
        <v>I ma</v>
      </c>
      <c r="N1506" s="4" cm="1">
        <f t="array" ref="N1506">SUM(--(_xlfn.TEXTSPLIT($J$1387,, " ") = L1506))</f>
        <v>2</v>
      </c>
    </row>
    <row r="1507" spans="5:14" x14ac:dyDescent="0.2">
      <c r="E1507" s="9" t="s">
        <v>24</v>
      </c>
      <c r="K1507" t="str">
        <v>walk</v>
      </c>
      <c r="M1507" s="4" t="str">
        <f t="shared" si="22"/>
        <v>walk</v>
      </c>
      <c r="N1507" s="4" cm="1">
        <f t="array" ref="N1507">SUM(--(_xlfn.TEXTSPLIT($J$1387,, " ") = L1507))</f>
        <v>2</v>
      </c>
    </row>
    <row r="1508" spans="5:14" x14ac:dyDescent="0.2">
      <c r="E1508" s="9" t="s">
        <v>24</v>
      </c>
      <c r="K1508" t="str">
        <v>around</v>
      </c>
      <c r="M1508" s="4" t="str">
        <f t="shared" si="22"/>
        <v>around</v>
      </c>
      <c r="N1508" s="4" cm="1">
        <f t="array" ref="N1508">SUM(--(_xlfn.TEXTSPLIT($J$1387,, " ") = L1508))</f>
        <v>2</v>
      </c>
    </row>
    <row r="1509" spans="5:14" x14ac:dyDescent="0.2">
      <c r="E1509" s="9" t="s">
        <v>24</v>
      </c>
      <c r="K1509" t="str">
        <v>the</v>
      </c>
      <c r="M1509" s="4" t="str">
        <f t="shared" si="22"/>
        <v>the</v>
      </c>
      <c r="N1509" s="4" cm="1">
        <f t="array" ref="N1509">SUM(--(_xlfn.TEXTSPLIT($J$1387,, " ") = L1509))</f>
        <v>2</v>
      </c>
    </row>
    <row r="1510" spans="5:14" x14ac:dyDescent="0.2">
      <c r="E1510" s="9" t="s">
        <v>24</v>
      </c>
      <c r="K1510" t="str">
        <v>edge</v>
      </c>
      <c r="M1510" s="4" t="str">
        <f t="shared" si="22"/>
        <v>edge</v>
      </c>
      <c r="N1510" s="4" cm="1">
        <f t="array" ref="N1510">SUM(--(_xlfn.TEXTSPLIT($J$1387,, " ") = L1510))</f>
        <v>2</v>
      </c>
    </row>
    <row r="1511" spans="5:14" x14ac:dyDescent="0.2">
      <c r="E1511" s="9" t="s">
        <v>24</v>
      </c>
      <c r="K1511" t="str">
        <v>of</v>
      </c>
      <c r="M1511" s="4" t="str">
        <f t="shared" si="22"/>
        <v>of</v>
      </c>
      <c r="N1511" s="4" cm="1">
        <f t="array" ref="N1511">SUM(--(_xlfn.TEXTSPLIT($J$1387,, " ") = L1511))</f>
        <v>2</v>
      </c>
    </row>
    <row r="1512" spans="5:14" x14ac:dyDescent="0.2">
      <c r="E1512" s="9" t="s">
        <v>24</v>
      </c>
      <c r="K1512" t="str">
        <v>the</v>
      </c>
      <c r="M1512" s="4" t="str">
        <f t="shared" si="22"/>
        <v>the</v>
      </c>
      <c r="N1512" s="4" cm="1">
        <f t="array" ref="N1512">SUM(--(_xlfn.TEXTSPLIT($J$1387,, " ") = L1512))</f>
        <v>2</v>
      </c>
    </row>
    <row r="1513" spans="5:14" x14ac:dyDescent="0.2">
      <c r="E1513" s="9" t="s">
        <v>24</v>
      </c>
      <c r="K1513" t="str">
        <v>room</v>
      </c>
      <c r="M1513" s="4" t="str">
        <f t="shared" si="22"/>
        <v>room</v>
      </c>
      <c r="N1513" s="4" cm="1">
        <f t="array" ref="N1513">SUM(--(_xlfn.TEXTSPLIT($J$1387,, " ") = L1513))</f>
        <v>2</v>
      </c>
    </row>
    <row r="1514" spans="5:14" x14ac:dyDescent="0.2">
      <c r="E1514" s="9" t="s">
        <v>24</v>
      </c>
      <c r="K1514" t="str">
        <v>and</v>
      </c>
      <c r="M1514" s="4" t="str">
        <f t="shared" si="22"/>
        <v>and</v>
      </c>
      <c r="N1514" s="4" cm="1">
        <f t="array" ref="N1514">SUM(--(_xlfn.TEXTSPLIT($J$1387,, " ") = L1514))</f>
        <v>2</v>
      </c>
    </row>
    <row r="1515" spans="5:14" x14ac:dyDescent="0.2">
      <c r="E1515" s="9" t="s">
        <v>24</v>
      </c>
      <c r="K1515" t="str">
        <v>the</v>
      </c>
      <c r="M1515" s="4" t="str">
        <f t="shared" ref="M1515:M1578" si="23">_xlfn.REGEXREPLACE(K1515, "[^A-Za-z ]", " ")</f>
        <v>the</v>
      </c>
      <c r="N1515" s="4" cm="1">
        <f t="array" ref="N1515">SUM(--(_xlfn.TEXTSPLIT($J$1387,, " ") = L1515))</f>
        <v>2</v>
      </c>
    </row>
    <row r="1516" spans="5:14" x14ac:dyDescent="0.2">
      <c r="E1516" s="9" t="s">
        <v>24</v>
      </c>
      <c r="K1516" t="str">
        <v xml:space="preserve">bed
</v>
      </c>
      <c r="M1516" s="4" t="str">
        <f t="shared" si="23"/>
        <v xml:space="preserve">bed </v>
      </c>
      <c r="N1516" s="4" cm="1">
        <f t="array" ref="N1516">SUM(--(_xlfn.TEXTSPLIT($J$1387,, " ") = L1516))</f>
        <v>2</v>
      </c>
    </row>
    <row r="1517" spans="5:14" x14ac:dyDescent="0.2">
      <c r="E1517" s="9" t="s">
        <v>24</v>
      </c>
      <c r="K1517" t="str">
        <v>Where</v>
      </c>
      <c r="M1517" s="4" t="str">
        <f t="shared" si="23"/>
        <v>Where</v>
      </c>
      <c r="N1517" s="4" cm="1">
        <f t="array" ref="N1517">SUM(--(_xlfn.TEXTSPLIT($J$1387,, " ") = L1517))</f>
        <v>2</v>
      </c>
    </row>
    <row r="1518" spans="5:14" x14ac:dyDescent="0.2">
      <c r="E1518" s="9" t="s">
        <v>24</v>
      </c>
      <c r="K1518" t="str">
        <v>I</v>
      </c>
      <c r="M1518" s="4" t="str">
        <f t="shared" si="23"/>
        <v>I</v>
      </c>
      <c r="N1518" s="4" cm="1">
        <f t="array" ref="N1518">SUM(--(_xlfn.TEXTSPLIT($J$1387,, " ") = L1518))</f>
        <v>2</v>
      </c>
    </row>
    <row r="1519" spans="5:14" x14ac:dyDescent="0.2">
      <c r="E1519" s="9" t="s">
        <v>24</v>
      </c>
      <c r="K1519" t="str">
        <v>hide</v>
      </c>
      <c r="M1519" s="4" t="str">
        <f t="shared" si="23"/>
        <v>hide</v>
      </c>
      <c r="N1519" s="4" cm="1">
        <f t="array" ref="N1519">SUM(--(_xlfn.TEXTSPLIT($J$1387,, " ") = L1519))</f>
        <v>2</v>
      </c>
    </row>
    <row r="1520" spans="5:14" x14ac:dyDescent="0.2">
      <c r="E1520" s="9" t="s">
        <v>24</v>
      </c>
      <c r="K1520" t="str">
        <v>my</v>
      </c>
      <c r="M1520" s="4" t="str">
        <f t="shared" si="23"/>
        <v>my</v>
      </c>
      <c r="N1520" s="4" cm="1">
        <f t="array" ref="N1520">SUM(--(_xlfn.TEXTSPLIT($J$1387,, " ") = L1520))</f>
        <v>2</v>
      </c>
    </row>
    <row r="1521" spans="5:14" x14ac:dyDescent="0.2">
      <c r="E1521" s="9" t="s">
        <v>24</v>
      </c>
      <c r="K1521" t="str">
        <v>face,</v>
      </c>
      <c r="M1521" s="4" t="str">
        <f t="shared" si="23"/>
        <v xml:space="preserve">face </v>
      </c>
      <c r="N1521" s="4" cm="1">
        <f t="array" ref="N1521">SUM(--(_xlfn.TEXTSPLIT($J$1387,, " ") = L1521))</f>
        <v>2</v>
      </c>
    </row>
    <row r="1522" spans="5:14" x14ac:dyDescent="0.2">
      <c r="E1522" s="9" t="s">
        <v>24</v>
      </c>
      <c r="K1522" t="str">
        <v>pace</v>
      </c>
      <c r="M1522" s="4" t="str">
        <f t="shared" si="23"/>
        <v>pace</v>
      </c>
      <c r="N1522" s="4" cm="1">
        <f t="array" ref="N1522">SUM(--(_xlfn.TEXTSPLIT($J$1387,, " ") = L1522))</f>
        <v>2</v>
      </c>
    </row>
    <row r="1523" spans="5:14" x14ac:dyDescent="0.2">
      <c r="E1523" s="9" t="s">
        <v>24</v>
      </c>
      <c r="K1523" t="str">
        <v xml:space="preserve">around
</v>
      </c>
      <c r="M1523" s="4" t="str">
        <f t="shared" si="23"/>
        <v xml:space="preserve">around </v>
      </c>
      <c r="N1523" s="4" cm="1">
        <f t="array" ref="N1523">SUM(--(_xlfn.TEXTSPLIT($J$1387,, " ") = L1523))</f>
        <v>2</v>
      </c>
    </row>
    <row r="1524" spans="5:14" x14ac:dyDescent="0.2">
      <c r="E1524" s="9" t="s">
        <v>24</v>
      </c>
      <c r="K1524" t="str">
        <v>Better</v>
      </c>
      <c r="M1524" s="4" t="str">
        <f t="shared" si="23"/>
        <v>Better</v>
      </c>
      <c r="N1524" s="4" cm="1">
        <f t="array" ref="N1524">SUM(--(_xlfn.TEXTSPLIT($J$1387,, " ") = L1524))</f>
        <v>2</v>
      </c>
    </row>
    <row r="1525" spans="5:14" x14ac:dyDescent="0.2">
      <c r="E1525" s="9" t="s">
        <v>24</v>
      </c>
      <c r="K1525" t="str">
        <v>try</v>
      </c>
      <c r="M1525" s="4" t="str">
        <f t="shared" si="23"/>
        <v>try</v>
      </c>
      <c r="N1525" s="4" cm="1">
        <f t="array" ref="N1525">SUM(--(_xlfn.TEXTSPLIT($J$1387,, " ") = L1525))</f>
        <v>2</v>
      </c>
    </row>
    <row r="1526" spans="5:14" x14ac:dyDescent="0.2">
      <c r="E1526" s="9" t="s">
        <v>24</v>
      </c>
      <c r="K1526" t="str">
        <v>to</v>
      </c>
      <c r="M1526" s="4" t="str">
        <f t="shared" si="23"/>
        <v>to</v>
      </c>
      <c r="N1526" s="4" cm="1">
        <f t="array" ref="N1526">SUM(--(_xlfn.TEXTSPLIT($J$1387,, " ") = L1526))</f>
        <v>2</v>
      </c>
    </row>
    <row r="1527" spans="5:14" x14ac:dyDescent="0.2">
      <c r="E1527" s="9" t="s">
        <v>24</v>
      </c>
      <c r="K1527" t="str">
        <v>breathe,</v>
      </c>
      <c r="M1527" s="4" t="str">
        <f t="shared" si="23"/>
        <v xml:space="preserve">breathe </v>
      </c>
      <c r="N1527" s="4" cm="1">
        <f t="array" ref="N1527">SUM(--(_xlfn.TEXTSPLIT($J$1387,, " ") = L1527))</f>
        <v>2</v>
      </c>
    </row>
    <row r="1528" spans="5:14" x14ac:dyDescent="0.2">
      <c r="E1528" s="9" t="s">
        <v>24</v>
      </c>
      <c r="K1528" t="str">
        <v>pace</v>
      </c>
      <c r="M1528" s="4" t="str">
        <f t="shared" si="23"/>
        <v>pace</v>
      </c>
      <c r="N1528" s="4" cm="1">
        <f t="array" ref="N1528">SUM(--(_xlfn.TEXTSPLIT($J$1387,, " ") = L1528))</f>
        <v>2</v>
      </c>
    </row>
    <row r="1529" spans="5:14" x14ac:dyDescent="0.2">
      <c r="E1529" s="9" t="s">
        <v>24</v>
      </c>
      <c r="K1529" t="str">
        <v>around,</v>
      </c>
      <c r="M1529" s="4" t="str">
        <f t="shared" si="23"/>
        <v xml:space="preserve">around </v>
      </c>
      <c r="N1529" s="4" cm="1">
        <f t="array" ref="N1529">SUM(--(_xlfn.TEXTSPLIT($J$1387,, " ") = L1529))</f>
        <v>2</v>
      </c>
    </row>
    <row r="1530" spans="5:14" x14ac:dyDescent="0.2">
      <c r="E1530" s="9" t="s">
        <v>24</v>
      </c>
      <c r="K1530" t="str">
        <v>pace</v>
      </c>
      <c r="M1530" s="4" t="str">
        <f t="shared" si="23"/>
        <v>pace</v>
      </c>
      <c r="N1530" s="4" cm="1">
        <f t="array" ref="N1530">SUM(--(_xlfn.TEXTSPLIT($J$1387,, " ") = L1530))</f>
        <v>2</v>
      </c>
    </row>
    <row r="1531" spans="5:14" x14ac:dyDescent="0.2">
      <c r="E1531" s="9" t="s">
        <v>24</v>
      </c>
      <c r="K1531" t="str">
        <v xml:space="preserve">around
</v>
      </c>
      <c r="M1531" s="4" t="str">
        <f t="shared" si="23"/>
        <v xml:space="preserve">around  </v>
      </c>
      <c r="N1531" s="4" cm="1">
        <f t="array" ref="N1531">SUM(--(_xlfn.TEXTSPLIT($J$1387,, " ") = L1531))</f>
        <v>2</v>
      </c>
    </row>
    <row r="1532" spans="5:14" x14ac:dyDescent="0.2">
      <c r="E1532" s="9" t="s">
        <v>24</v>
      </c>
      <c r="K1532" t="str">
        <v>I</v>
      </c>
      <c r="M1532" s="4" t="str">
        <f t="shared" si="23"/>
        <v>I</v>
      </c>
      <c r="N1532" s="4" cm="1">
        <f t="array" ref="N1532">SUM(--(_xlfn.TEXTSPLIT($J$1387,, " ") = L1532))</f>
        <v>2</v>
      </c>
    </row>
    <row r="1533" spans="5:14" x14ac:dyDescent="0.2">
      <c r="E1533" s="9" t="s">
        <v>24</v>
      </c>
      <c r="K1533" t="str">
        <v>check</v>
      </c>
      <c r="M1533" s="4" t="str">
        <f t="shared" si="23"/>
        <v>check</v>
      </c>
      <c r="N1533" s="4" cm="1">
        <f t="array" ref="N1533">SUM(--(_xlfn.TEXTSPLIT($J$1387,, " ") = L1533))</f>
        <v>2</v>
      </c>
    </row>
    <row r="1534" spans="5:14" x14ac:dyDescent="0.2">
      <c r="E1534" s="9" t="s">
        <v>24</v>
      </c>
      <c r="K1534" t="str">
        <v>the</v>
      </c>
      <c r="M1534" s="4" t="str">
        <f t="shared" si="23"/>
        <v>the</v>
      </c>
      <c r="N1534" s="4" cm="1">
        <f t="array" ref="N1534">SUM(--(_xlfn.TEXTSPLIT($J$1387,, " ") = L1534))</f>
        <v>2</v>
      </c>
    </row>
    <row r="1535" spans="5:14" x14ac:dyDescent="0.2">
      <c r="E1535" s="9" t="s">
        <v>24</v>
      </c>
      <c r="K1535" t="str">
        <v>doors,</v>
      </c>
      <c r="M1535" s="4" t="str">
        <f t="shared" si="23"/>
        <v xml:space="preserve">doors </v>
      </c>
      <c r="N1535" s="4" cm="1">
        <f t="array" ref="N1535">SUM(--(_xlfn.TEXTSPLIT($J$1387,, " ") = L1535))</f>
        <v>2</v>
      </c>
    </row>
    <row r="1536" spans="5:14" x14ac:dyDescent="0.2">
      <c r="E1536" s="9" t="s">
        <v>24</v>
      </c>
      <c r="K1536" t="str">
        <v>check</v>
      </c>
      <c r="M1536" s="4" t="str">
        <f t="shared" si="23"/>
        <v>check</v>
      </c>
      <c r="N1536" s="4" cm="1">
        <f t="array" ref="N1536">SUM(--(_xlfn.TEXTSPLIT($J$1387,, " ") = L1536))</f>
        <v>2</v>
      </c>
    </row>
    <row r="1537" spans="5:14" x14ac:dyDescent="0.2">
      <c r="E1537" s="9" t="s">
        <v>24</v>
      </c>
      <c r="K1537" t="str">
        <v>the</v>
      </c>
      <c r="M1537" s="4" t="str">
        <f t="shared" si="23"/>
        <v>the</v>
      </c>
      <c r="N1537" s="4" cm="1">
        <f t="array" ref="N1537">SUM(--(_xlfn.TEXTSPLIT($J$1387,, " ") = L1537))</f>
        <v>2</v>
      </c>
    </row>
    <row r="1538" spans="5:14" x14ac:dyDescent="0.2">
      <c r="E1538" s="9" t="s">
        <v>24</v>
      </c>
      <c r="K1538" t="str">
        <v>windows,</v>
      </c>
      <c r="M1538" s="4" t="str">
        <f t="shared" si="23"/>
        <v xml:space="preserve">windows </v>
      </c>
      <c r="N1538" s="4" cm="1">
        <f t="array" ref="N1538">SUM(--(_xlfn.TEXTSPLIT($J$1387,, " ") = L1538))</f>
        <v>2</v>
      </c>
    </row>
    <row r="1539" spans="5:14" x14ac:dyDescent="0.2">
      <c r="E1539" s="9" t="s">
        <v>24</v>
      </c>
      <c r="K1539" t="str">
        <v>and</v>
      </c>
      <c r="M1539" s="4" t="str">
        <f t="shared" si="23"/>
        <v>and</v>
      </c>
      <c r="N1539" s="4" cm="1">
        <f t="array" ref="N1539">SUM(--(_xlfn.TEXTSPLIT($J$1387,, " ") = L1539))</f>
        <v>2</v>
      </c>
    </row>
    <row r="1540" spans="5:14" x14ac:dyDescent="0.2">
      <c r="E1540" s="9" t="s">
        <v>24</v>
      </c>
      <c r="K1540" t="str">
        <v>pull</v>
      </c>
      <c r="M1540" s="4" t="str">
        <f t="shared" si="23"/>
        <v>pull</v>
      </c>
      <c r="N1540" s="4" cm="1">
        <f t="array" ref="N1540">SUM(--(_xlfn.TEXTSPLIT($J$1387,, " ") = L1540))</f>
        <v>2</v>
      </c>
    </row>
    <row r="1541" spans="5:14" x14ac:dyDescent="0.2">
      <c r="E1541" s="9" t="s">
        <v>24</v>
      </c>
      <c r="K1541" t="str">
        <v>the</v>
      </c>
      <c r="M1541" s="4" t="str">
        <f t="shared" si="23"/>
        <v>the</v>
      </c>
      <c r="N1541" s="4" cm="1">
        <f t="array" ref="N1541">SUM(--(_xlfn.TEXTSPLIT($J$1387,, " ") = L1541))</f>
        <v>2</v>
      </c>
    </row>
    <row r="1542" spans="5:14" x14ac:dyDescent="0.2">
      <c r="E1542" s="9" t="s">
        <v>24</v>
      </c>
      <c r="K1542" t="str">
        <v xml:space="preserve">blinds
</v>
      </c>
      <c r="M1542" s="4" t="str">
        <f t="shared" si="23"/>
        <v xml:space="preserve">blinds </v>
      </c>
      <c r="N1542" s="4" cm="1">
        <f t="array" ref="N1542">SUM(--(_xlfn.TEXTSPLIT($J$1387,, " ") = L1542))</f>
        <v>2</v>
      </c>
    </row>
    <row r="1543" spans="5:14" x14ac:dyDescent="0.2">
      <c r="E1543" s="9" t="s">
        <v>24</v>
      </c>
      <c r="K1543" t="str">
        <v>I</v>
      </c>
      <c r="M1543" s="4" t="str">
        <f t="shared" si="23"/>
        <v>I</v>
      </c>
      <c r="N1543" s="4" cm="1">
        <f t="array" ref="N1543">SUM(--(_xlfn.TEXTSPLIT($J$1387,, " ") = L1543))</f>
        <v>2</v>
      </c>
    </row>
    <row r="1544" spans="5:14" x14ac:dyDescent="0.2">
      <c r="E1544" s="9" t="s">
        <v>24</v>
      </c>
      <c r="K1544" t="str">
        <v>check</v>
      </c>
      <c r="M1544" s="4" t="str">
        <f t="shared" si="23"/>
        <v>check</v>
      </c>
      <c r="N1544" s="4" cm="1">
        <f t="array" ref="N1544">SUM(--(_xlfn.TEXTSPLIT($J$1387,, " ") = L1544))</f>
        <v>2</v>
      </c>
    </row>
    <row r="1545" spans="5:14" x14ac:dyDescent="0.2">
      <c r="E1545" s="9" t="s">
        <v>24</v>
      </c>
      <c r="K1545" t="str">
        <v>the</v>
      </c>
      <c r="M1545" s="4" t="str">
        <f t="shared" si="23"/>
        <v>the</v>
      </c>
      <c r="N1545" s="4" cm="1">
        <f t="array" ref="N1545">SUM(--(_xlfn.TEXTSPLIT($J$1387,, " ") = L1545))</f>
        <v>2</v>
      </c>
    </row>
    <row r="1546" spans="5:14" x14ac:dyDescent="0.2">
      <c r="E1546" s="9" t="s">
        <v>24</v>
      </c>
      <c r="K1546" t="str">
        <v>clock,</v>
      </c>
      <c r="M1546" s="4" t="str">
        <f t="shared" si="23"/>
        <v xml:space="preserve">clock </v>
      </c>
      <c r="N1546" s="4" cm="1">
        <f t="array" ref="N1546">SUM(--(_xlfn.TEXTSPLIT($J$1387,, " ") = L1546))</f>
        <v>2</v>
      </c>
    </row>
    <row r="1547" spans="5:14" x14ac:dyDescent="0.2">
      <c r="E1547" s="9" t="s">
        <v>24</v>
      </c>
      <c r="K1547" t="str">
        <v>wondering</v>
      </c>
      <c r="M1547" s="4" t="str">
        <f t="shared" si="23"/>
        <v>wondering</v>
      </c>
      <c r="N1547" s="4" cm="1">
        <f t="array" ref="N1547">SUM(--(_xlfn.TEXTSPLIT($J$1387,, " ") = L1547))</f>
        <v>2</v>
      </c>
    </row>
    <row r="1548" spans="5:14" x14ac:dyDescent="0.2">
      <c r="E1548" s="9" t="s">
        <v>24</v>
      </c>
      <c r="K1548" t="str">
        <v>what</v>
      </c>
      <c r="M1548" s="4" t="str">
        <f t="shared" si="23"/>
        <v>what</v>
      </c>
      <c r="N1548" s="4" cm="1">
        <f t="array" ref="N1548">SUM(--(_xlfn.TEXTSPLIT($J$1387,, " ") = L1548))</f>
        <v>2</v>
      </c>
    </row>
    <row r="1549" spans="5:14" x14ac:dyDescent="0.2">
      <c r="E1549" s="9" t="s">
        <v>24</v>
      </c>
      <c r="K1549" t="str">
        <v>he'll</v>
      </c>
      <c r="M1549" s="4" t="str">
        <f t="shared" si="23"/>
        <v>he ll</v>
      </c>
      <c r="N1549" s="4" cm="1">
        <f t="array" ref="N1549">SUM(--(_xlfn.TEXTSPLIT($J$1387,, " ") = L1549))</f>
        <v>2</v>
      </c>
    </row>
    <row r="1550" spans="5:14" x14ac:dyDescent="0.2">
      <c r="E1550" s="9" t="s">
        <v>24</v>
      </c>
      <c r="K1550" t="str">
        <v>pull</v>
      </c>
      <c r="M1550" s="4" t="str">
        <f t="shared" si="23"/>
        <v>pull</v>
      </c>
      <c r="N1550" s="4" cm="1">
        <f t="array" ref="N1550">SUM(--(_xlfn.TEXTSPLIT($J$1387,, " ") = L1550))</f>
        <v>2</v>
      </c>
    </row>
    <row r="1551" spans="5:14" x14ac:dyDescent="0.2">
      <c r="E1551" s="9" t="s">
        <v>24</v>
      </c>
      <c r="K1551" t="str">
        <v>this</v>
      </c>
      <c r="M1551" s="4" t="str">
        <f t="shared" si="23"/>
        <v>this</v>
      </c>
      <c r="N1551" s="4" cm="1">
        <f t="array" ref="N1551">SUM(--(_xlfn.TEXTSPLIT($J$1387,, " ") = L1551))</f>
        <v>2</v>
      </c>
    </row>
    <row r="1552" spans="5:14" x14ac:dyDescent="0.2">
      <c r="E1552" s="9" t="s">
        <v>24</v>
      </c>
      <c r="K1552" t="str">
        <v xml:space="preserve">time
</v>
      </c>
      <c r="M1552" s="4" t="str">
        <f t="shared" si="23"/>
        <v xml:space="preserve">time </v>
      </c>
      <c r="N1552" s="4" cm="1">
        <f t="array" ref="N1552">SUM(--(_xlfn.TEXTSPLIT($J$1387,, " ") = L1552))</f>
        <v>2</v>
      </c>
    </row>
    <row r="1553" spans="5:14" x14ac:dyDescent="0.2">
      <c r="E1553" s="9" t="s">
        <v>24</v>
      </c>
      <c r="K1553" t="str">
        <v>I</v>
      </c>
      <c r="M1553" s="4" t="str">
        <f t="shared" si="23"/>
        <v>I</v>
      </c>
      <c r="N1553" s="4" cm="1">
        <f t="array" ref="N1553">SUM(--(_xlfn.TEXTSPLIT($J$1387,, " ") = L1553))</f>
        <v>2</v>
      </c>
    </row>
    <row r="1554" spans="5:14" x14ac:dyDescent="0.2">
      <c r="E1554" s="9" t="s">
        <v>24</v>
      </c>
      <c r="K1554" t="str">
        <v>have</v>
      </c>
      <c r="M1554" s="4" t="str">
        <f t="shared" si="23"/>
        <v>have</v>
      </c>
      <c r="N1554" s="4" cm="1">
        <f t="array" ref="N1554">SUM(--(_xlfn.TEXTSPLIT($J$1387,, " ") = L1554))</f>
        <v>2</v>
      </c>
    </row>
    <row r="1555" spans="5:14" x14ac:dyDescent="0.2">
      <c r="E1555" s="9" t="s">
        <v>24</v>
      </c>
      <c r="K1555" t="str">
        <v>a</v>
      </c>
      <c r="M1555" s="4" t="str">
        <f t="shared" si="23"/>
        <v>a</v>
      </c>
      <c r="N1555" s="4" cm="1">
        <f t="array" ref="N1555">SUM(--(_xlfn.TEXTSPLIT($J$1387,, " ") = L1555))</f>
        <v>2</v>
      </c>
    </row>
    <row r="1556" spans="5:14" x14ac:dyDescent="0.2">
      <c r="E1556" s="9" t="s">
        <v>24</v>
      </c>
      <c r="K1556" t="str">
        <v>feeling</v>
      </c>
      <c r="M1556" s="4" t="str">
        <f t="shared" si="23"/>
        <v>feeling</v>
      </c>
      <c r="N1556" s="4" cm="1">
        <f t="array" ref="N1556">SUM(--(_xlfn.TEXTSPLIT($J$1387,, " ") = L1556))</f>
        <v>2</v>
      </c>
    </row>
    <row r="1557" spans="5:14" x14ac:dyDescent="0.2">
      <c r="E1557" s="9" t="s">
        <v>24</v>
      </c>
      <c r="K1557" t="str">
        <v>that</v>
      </c>
      <c r="M1557" s="4" t="str">
        <f t="shared" si="23"/>
        <v>that</v>
      </c>
      <c r="N1557" s="4" cm="1">
        <f t="array" ref="N1557">SUM(--(_xlfn.TEXTSPLIT($J$1387,, " ") = L1557))</f>
        <v>2</v>
      </c>
    </row>
    <row r="1558" spans="5:14" x14ac:dyDescent="0.2">
      <c r="E1558" s="9" t="s">
        <v>24</v>
      </c>
      <c r="K1558" t="str">
        <v>necromancer's</v>
      </c>
      <c r="M1558" s="4" t="str">
        <f t="shared" si="23"/>
        <v>necromancer s</v>
      </c>
      <c r="N1558" s="4" cm="1">
        <f t="array" ref="N1558">SUM(--(_xlfn.TEXTSPLIT($J$1387,, " ") = L1558))</f>
        <v>2</v>
      </c>
    </row>
    <row r="1559" spans="5:14" x14ac:dyDescent="0.2">
      <c r="E1559" s="9" t="s">
        <v>24</v>
      </c>
      <c r="K1559" t="str">
        <v xml:space="preserve">outside
</v>
      </c>
      <c r="M1559" s="4" t="str">
        <f t="shared" si="23"/>
        <v xml:space="preserve">outside </v>
      </c>
      <c r="N1559" s="4" cm="1">
        <f t="array" ref="N1559">SUM(--(_xlfn.TEXTSPLIT($J$1387,, " ") = L1559))</f>
        <v>2</v>
      </c>
    </row>
    <row r="1560" spans="5:14" x14ac:dyDescent="0.2">
      <c r="E1560" s="9" t="s">
        <v>24</v>
      </c>
      <c r="K1560" t="str">
        <v>And</v>
      </c>
      <c r="M1560" s="4" t="str">
        <f t="shared" si="23"/>
        <v>And</v>
      </c>
      <c r="N1560" s="4" cm="1">
        <f t="array" ref="N1560">SUM(--(_xlfn.TEXTSPLIT($J$1387,, " ") = L1560))</f>
        <v>2</v>
      </c>
    </row>
    <row r="1561" spans="5:14" x14ac:dyDescent="0.2">
      <c r="E1561" s="9" t="s">
        <v>24</v>
      </c>
      <c r="K1561" t="str">
        <v>I'm</v>
      </c>
      <c r="M1561" s="4" t="str">
        <f t="shared" si="23"/>
        <v>I m</v>
      </c>
      <c r="N1561" s="4" cm="1">
        <f t="array" ref="N1561">SUM(--(_xlfn.TEXTSPLIT($J$1387,, " ") = L1561))</f>
        <v>2</v>
      </c>
    </row>
    <row r="1562" spans="5:14" x14ac:dyDescent="0.2">
      <c r="E1562" s="9" t="s">
        <v>24</v>
      </c>
      <c r="K1562" t="str">
        <v>just</v>
      </c>
      <c r="M1562" s="4" t="str">
        <f t="shared" si="23"/>
        <v>just</v>
      </c>
      <c r="N1562" s="4" cm="1">
        <f t="array" ref="N1562">SUM(--(_xlfn.TEXTSPLIT($J$1387,, " ") = L1562))</f>
        <v>2</v>
      </c>
    </row>
    <row r="1563" spans="5:14" x14ac:dyDescent="0.2">
      <c r="E1563" s="9" t="s">
        <v>24</v>
      </c>
      <c r="K1563" t="str">
        <v>tryin'</v>
      </c>
      <c r="M1563" s="4" t="str">
        <f t="shared" si="23"/>
        <v xml:space="preserve">tryin </v>
      </c>
      <c r="N1563" s="4" cm="1">
        <f t="array" ref="N1563">SUM(--(_xlfn.TEXTSPLIT($J$1387,, " ") = L1563))</f>
        <v>2</v>
      </c>
    </row>
    <row r="1564" spans="5:14" x14ac:dyDescent="0.2">
      <c r="E1564" s="9" t="s">
        <v>24</v>
      </c>
      <c r="K1564" t="str">
        <v>to</v>
      </c>
      <c r="M1564" s="4" t="str">
        <f t="shared" si="23"/>
        <v>to</v>
      </c>
      <c r="N1564" s="4" cm="1">
        <f t="array" ref="N1564">SUM(--(_xlfn.TEXTSPLIT($J$1387,, " ") = L1564))</f>
        <v>2</v>
      </c>
    </row>
    <row r="1565" spans="5:14" x14ac:dyDescent="0.2">
      <c r="E1565" s="9" t="s">
        <v>24</v>
      </c>
      <c r="K1565" t="str">
        <v>stay</v>
      </c>
      <c r="M1565" s="4" t="str">
        <f t="shared" si="23"/>
        <v>stay</v>
      </c>
      <c r="N1565" s="4" cm="1">
        <f t="array" ref="N1565">SUM(--(_xlfn.TEXTSPLIT($J$1387,, " ") = L1565))</f>
        <v>2</v>
      </c>
    </row>
    <row r="1566" spans="5:14" x14ac:dyDescent="0.2">
      <c r="E1566" s="9" t="s">
        <v>24</v>
      </c>
      <c r="K1566" t="str">
        <v xml:space="preserve">quiet
</v>
      </c>
      <c r="M1566" s="4" t="str">
        <f t="shared" si="23"/>
        <v xml:space="preserve">quiet  </v>
      </c>
      <c r="N1566" s="4" cm="1">
        <f t="array" ref="N1566">SUM(--(_xlfn.TEXTSPLIT($J$1387,, " ") = L1566))</f>
        <v>2</v>
      </c>
    </row>
    <row r="1567" spans="5:14" x14ac:dyDescent="0.2">
      <c r="E1567" s="9" t="s">
        <v>24</v>
      </c>
      <c r="K1567" t="str">
        <v>I</v>
      </c>
      <c r="M1567" s="4" t="str">
        <f t="shared" si="23"/>
        <v>I</v>
      </c>
      <c r="N1567" s="4" cm="1">
        <f t="array" ref="N1567">SUM(--(_xlfn.TEXTSPLIT($J$1387,, " ") = L1567))</f>
        <v>2</v>
      </c>
    </row>
    <row r="1568" spans="5:14" x14ac:dyDescent="0.2">
      <c r="E1568" s="9" t="s">
        <v>24</v>
      </c>
      <c r="K1568" t="str">
        <v>don't</v>
      </c>
      <c r="M1568" s="4" t="str">
        <f t="shared" si="23"/>
        <v>don t</v>
      </c>
      <c r="N1568" s="4" cm="1">
        <f t="array" ref="N1568">SUM(--(_xlfn.TEXTSPLIT($J$1387,, " ") = L1568))</f>
        <v>2</v>
      </c>
    </row>
    <row r="1569" spans="5:14" x14ac:dyDescent="0.2">
      <c r="E1569" s="9" t="s">
        <v>24</v>
      </c>
      <c r="K1569" t="str">
        <v>sleep</v>
      </c>
      <c r="M1569" s="4" t="str">
        <f t="shared" si="23"/>
        <v>sleep</v>
      </c>
      <c r="N1569" s="4" cm="1">
        <f t="array" ref="N1569">SUM(--(_xlfn.TEXTSPLIT($J$1387,, " ") = L1569))</f>
        <v>2</v>
      </c>
    </row>
    <row r="1570" spans="5:14" x14ac:dyDescent="0.2">
      <c r="E1570" s="9" t="s">
        <v>24</v>
      </c>
      <c r="K1570" t="str">
        <v>much,</v>
      </c>
      <c r="M1570" s="4" t="str">
        <f t="shared" si="23"/>
        <v xml:space="preserve">much </v>
      </c>
      <c r="N1570" s="4" cm="1">
        <f t="array" ref="N1570">SUM(--(_xlfn.TEXTSPLIT($J$1387,, " ") = L1570))</f>
        <v>2</v>
      </c>
    </row>
    <row r="1571" spans="5:14" x14ac:dyDescent="0.2">
      <c r="E1571" s="9" t="s">
        <v>24</v>
      </c>
      <c r="K1571" t="str">
        <v>that's</v>
      </c>
      <c r="M1571" s="4" t="str">
        <f t="shared" si="23"/>
        <v>that s</v>
      </c>
      <c r="N1571" s="4" cm="1">
        <f t="array" ref="N1571">SUM(--(_xlfn.TEXTSPLIT($J$1387,, " ") = L1571))</f>
        <v>2</v>
      </c>
    </row>
    <row r="1572" spans="5:14" x14ac:dyDescent="0.2">
      <c r="E1572" s="9" t="s">
        <v>24</v>
      </c>
      <c r="K1572" t="str">
        <v>crazy,</v>
      </c>
      <c r="M1572" s="4" t="str">
        <f t="shared" si="23"/>
        <v xml:space="preserve">crazy </v>
      </c>
      <c r="N1572" s="4" cm="1">
        <f t="array" ref="N1572">SUM(--(_xlfn.TEXTSPLIT($J$1387,, " ") = L1572))</f>
        <v>2</v>
      </c>
    </row>
    <row r="1573" spans="5:14" x14ac:dyDescent="0.2">
      <c r="E1573" s="9" t="s">
        <v>24</v>
      </c>
      <c r="K1573" t="str">
        <v>how'd</v>
      </c>
      <c r="M1573" s="4" t="str">
        <f t="shared" si="23"/>
        <v>how d</v>
      </c>
      <c r="N1573" s="4" cm="1">
        <f t="array" ref="N1573">SUM(--(_xlfn.TEXTSPLIT($J$1387,, " ") = L1573))</f>
        <v>2</v>
      </c>
    </row>
    <row r="1574" spans="5:14" x14ac:dyDescent="0.2">
      <c r="E1574" s="9" t="s">
        <v>24</v>
      </c>
      <c r="K1574" t="str">
        <v>you</v>
      </c>
      <c r="M1574" s="4" t="str">
        <f t="shared" si="23"/>
        <v>you</v>
      </c>
      <c r="N1574" s="4" cm="1">
        <f t="array" ref="N1574">SUM(--(_xlfn.TEXTSPLIT($J$1387,, " ") = L1574))</f>
        <v>2</v>
      </c>
    </row>
    <row r="1575" spans="5:14" x14ac:dyDescent="0.2">
      <c r="E1575" s="9" t="s">
        <v>24</v>
      </c>
      <c r="K1575" t="str">
        <v>know</v>
      </c>
      <c r="M1575" s="4" t="str">
        <f t="shared" si="23"/>
        <v>know</v>
      </c>
      <c r="N1575" s="4" cm="1">
        <f t="array" ref="N1575">SUM(--(_xlfn.TEXTSPLIT($J$1387,, " ") = L1575))</f>
        <v>2</v>
      </c>
    </row>
    <row r="1576" spans="5:14" x14ac:dyDescent="0.2">
      <c r="E1576" s="9" t="s">
        <v>24</v>
      </c>
      <c r="K1576" t="str">
        <v>that?</v>
      </c>
      <c r="M1576" s="4" t="str">
        <f t="shared" si="23"/>
        <v xml:space="preserve">that </v>
      </c>
      <c r="N1576" s="4" cm="1">
        <f t="array" ref="N1576">SUM(--(_xlfn.TEXTSPLIT($J$1387,, " ") = L1576))</f>
        <v>2</v>
      </c>
    </row>
    <row r="1577" spans="5:14" x14ac:dyDescent="0.2">
      <c r="E1577" s="9" t="s">
        <v>24</v>
      </c>
      <c r="K1577" t="str">
        <v xml:space="preserve">(That)
</v>
      </c>
      <c r="M1577" s="4" t="str">
        <f t="shared" si="23"/>
        <v xml:space="preserve"> That  </v>
      </c>
      <c r="N1577" s="4" cm="1">
        <f t="array" ref="N1577">SUM(--(_xlfn.TEXTSPLIT($J$1387,, " ") = L1577))</f>
        <v>2</v>
      </c>
    </row>
    <row r="1578" spans="5:14" x14ac:dyDescent="0.2">
      <c r="E1578" s="9" t="s">
        <v>24</v>
      </c>
      <c r="K1578" t="str">
        <v>Keep</v>
      </c>
      <c r="M1578" s="4" t="str">
        <f t="shared" si="23"/>
        <v>Keep</v>
      </c>
      <c r="N1578" s="4" cm="1">
        <f t="array" ref="N1578">SUM(--(_xlfn.TEXTSPLIT($J$1387,, " ") = L1578))</f>
        <v>2</v>
      </c>
    </row>
    <row r="1579" spans="5:14" x14ac:dyDescent="0.2">
      <c r="E1579" s="9" t="s">
        <v>24</v>
      </c>
      <c r="K1579" t="str">
        <v>myself</v>
      </c>
      <c r="M1579" s="4" t="str">
        <f t="shared" ref="M1579:M1642" si="24">_xlfn.REGEXREPLACE(K1579, "[^A-Za-z ]", " ")</f>
        <v>myself</v>
      </c>
      <c r="N1579" s="4" cm="1">
        <f t="array" ref="N1579">SUM(--(_xlfn.TEXTSPLIT($J$1387,, " ") = L1579))</f>
        <v>2</v>
      </c>
    </row>
    <row r="1580" spans="5:14" x14ac:dyDescent="0.2">
      <c r="E1580" s="9" t="s">
        <v>24</v>
      </c>
      <c r="K1580" t="str">
        <v>up,</v>
      </c>
      <c r="M1580" s="4" t="str">
        <f t="shared" si="24"/>
        <v xml:space="preserve">up </v>
      </c>
      <c r="N1580" s="4" cm="1">
        <f t="array" ref="N1580">SUM(--(_xlfn.TEXTSPLIT($J$1387,, " ") = L1580))</f>
        <v>2</v>
      </c>
    </row>
    <row r="1581" spans="5:14" x14ac:dyDescent="0.2">
      <c r="E1581" s="9" t="s">
        <v>24</v>
      </c>
      <c r="K1581" t="str">
        <v>that's</v>
      </c>
      <c r="M1581" s="4" t="str">
        <f t="shared" si="24"/>
        <v>that s</v>
      </c>
      <c r="N1581" s="4" cm="1">
        <f t="array" ref="N1581">SUM(--(_xlfn.TEXTSPLIT($J$1387,, " ") = L1581))</f>
        <v>2</v>
      </c>
    </row>
    <row r="1582" spans="5:14" x14ac:dyDescent="0.2">
      <c r="E1582" s="9" t="s">
        <v>24</v>
      </c>
      <c r="K1582" t="str">
        <v>maybe</v>
      </c>
      <c r="M1582" s="4" t="str">
        <f t="shared" si="24"/>
        <v>maybe</v>
      </c>
      <c r="N1582" s="4" cm="1">
        <f t="array" ref="N1582">SUM(--(_xlfn.TEXTSPLIT($J$1387,, " ") = L1582))</f>
        <v>2</v>
      </c>
    </row>
    <row r="1583" spans="5:14" x14ac:dyDescent="0.2">
      <c r="E1583" s="9" t="s">
        <v>24</v>
      </c>
      <c r="K1583" t="str">
        <v>how</v>
      </c>
      <c r="M1583" s="4" t="str">
        <f t="shared" si="24"/>
        <v>how</v>
      </c>
      <c r="N1583" s="4" cm="1">
        <f t="array" ref="N1583">SUM(--(_xlfn.TEXTSPLIT($J$1387,, " ") = L1583))</f>
        <v>2</v>
      </c>
    </row>
    <row r="1584" spans="5:14" x14ac:dyDescent="0.2">
      <c r="E1584" s="9" t="s">
        <v>24</v>
      </c>
      <c r="K1584" t="str">
        <v>you</v>
      </c>
      <c r="M1584" s="4" t="str">
        <f t="shared" si="24"/>
        <v>you</v>
      </c>
      <c r="N1584" s="4" cm="1">
        <f t="array" ref="N1584">SUM(--(_xlfn.TEXTSPLIT($J$1387,, " ") = L1584))</f>
        <v>2</v>
      </c>
    </row>
    <row r="1585" spans="5:14" x14ac:dyDescent="0.2">
      <c r="E1585" s="9" t="s">
        <v>24</v>
      </c>
      <c r="K1585" t="str">
        <v>know</v>
      </c>
      <c r="M1585" s="4" t="str">
        <f t="shared" si="24"/>
        <v>know</v>
      </c>
      <c r="N1585" s="4" cm="1">
        <f t="array" ref="N1585">SUM(--(_xlfn.TEXTSPLIT($J$1387,, " ") = L1585))</f>
        <v>2</v>
      </c>
    </row>
    <row r="1586" spans="5:14" x14ac:dyDescent="0.2">
      <c r="E1586" s="9" t="s">
        <v>24</v>
      </c>
      <c r="K1586" t="str">
        <v>that</v>
      </c>
      <c r="M1586" s="4" t="str">
        <f t="shared" si="24"/>
        <v>that</v>
      </c>
      <c r="N1586" s="4" cm="1">
        <f t="array" ref="N1586">SUM(--(_xlfn.TEXTSPLIT($J$1387,, " ") = L1586))</f>
        <v>2</v>
      </c>
    </row>
    <row r="1587" spans="5:14" x14ac:dyDescent="0.2">
      <c r="E1587" s="9" t="s">
        <v>24</v>
      </c>
      <c r="K1587" t="str">
        <v>(That,</v>
      </c>
      <c r="M1587" s="4" t="str">
        <f t="shared" si="24"/>
        <v xml:space="preserve"> That </v>
      </c>
      <c r="N1587" s="4" cm="1">
        <f t="array" ref="N1587">SUM(--(_xlfn.TEXTSPLIT($J$1387,, " ") = L1587))</f>
        <v>2</v>
      </c>
    </row>
    <row r="1588" spans="5:14" x14ac:dyDescent="0.2">
      <c r="E1588" s="9" t="s">
        <v>24</v>
      </c>
      <c r="K1588" t="str">
        <v xml:space="preserve">that)
</v>
      </c>
      <c r="M1588" s="4" t="str">
        <f t="shared" si="24"/>
        <v xml:space="preserve">that  </v>
      </c>
      <c r="N1588" s="4" cm="1">
        <f t="array" ref="N1588">SUM(--(_xlfn.TEXTSPLIT($J$1387,, " ") = L1588))</f>
        <v>2</v>
      </c>
    </row>
    <row r="1589" spans="5:14" x14ac:dyDescent="0.2">
      <c r="E1589" s="9" t="s">
        <v>24</v>
      </c>
      <c r="K1589" t="str">
        <v>Ooh,</v>
      </c>
      <c r="M1589" s="4" t="str">
        <f t="shared" si="24"/>
        <v xml:space="preserve">Ooh </v>
      </c>
      <c r="N1589" s="4" cm="1">
        <f t="array" ref="N1589">SUM(--(_xlfn.TEXTSPLIT($J$1387,, " ") = L1589))</f>
        <v>2</v>
      </c>
    </row>
    <row r="1590" spans="5:14" x14ac:dyDescent="0.2">
      <c r="E1590" s="9" t="s">
        <v>24</v>
      </c>
      <c r="K1590" t="str">
        <v>promises</v>
      </c>
      <c r="M1590" s="4" t="str">
        <f t="shared" si="24"/>
        <v>promises</v>
      </c>
      <c r="N1590" s="4" cm="1">
        <f t="array" ref="N1590">SUM(--(_xlfn.TEXTSPLIT($J$1387,, " ") = L1590))</f>
        <v>2</v>
      </c>
    </row>
    <row r="1591" spans="5:14" x14ac:dyDescent="0.2">
      <c r="E1591" s="9" t="s">
        <v>24</v>
      </c>
      <c r="K1591" t="str">
        <v>and</v>
      </c>
      <c r="M1591" s="4" t="str">
        <f t="shared" si="24"/>
        <v>and</v>
      </c>
      <c r="N1591" s="4" cm="1">
        <f t="array" ref="N1591">SUM(--(_xlfn.TEXTSPLIT($J$1387,, " ") = L1591))</f>
        <v>2</v>
      </c>
    </row>
    <row r="1592" spans="5:14" x14ac:dyDescent="0.2">
      <c r="E1592" s="9" t="s">
        <v>24</v>
      </c>
      <c r="K1592" t="str">
        <v>contracts</v>
      </c>
      <c r="M1592" s="4" t="str">
        <f t="shared" si="24"/>
        <v>contracts</v>
      </c>
      <c r="N1592" s="4" cm="1">
        <f t="array" ref="N1592">SUM(--(_xlfn.TEXTSPLIT($J$1387,, " ") = L1592))</f>
        <v>2</v>
      </c>
    </row>
    <row r="1593" spans="5:14" x14ac:dyDescent="0.2">
      <c r="E1593" s="9" t="s">
        <v>24</v>
      </c>
      <c r="K1593" t="str">
        <v>I</v>
      </c>
      <c r="M1593" s="4" t="str">
        <f t="shared" si="24"/>
        <v>I</v>
      </c>
      <c r="N1593" s="4" cm="1">
        <f t="array" ref="N1593">SUM(--(_xlfn.TEXTSPLIT($J$1387,, " ") = L1593))</f>
        <v>2</v>
      </c>
    </row>
    <row r="1594" spans="5:14" x14ac:dyDescent="0.2">
      <c r="E1594" s="9" t="s">
        <v>24</v>
      </c>
      <c r="K1594" t="str">
        <v>used</v>
      </c>
      <c r="M1594" s="4" t="str">
        <f t="shared" si="24"/>
        <v>used</v>
      </c>
      <c r="N1594" s="4" cm="1">
        <f t="array" ref="N1594">SUM(--(_xlfn.TEXTSPLIT($J$1387,, " ") = L1594))</f>
        <v>2</v>
      </c>
    </row>
    <row r="1595" spans="5:14" x14ac:dyDescent="0.2">
      <c r="E1595" s="9" t="s">
        <v>24</v>
      </c>
      <c r="K1595" t="str">
        <v>to</v>
      </c>
      <c r="M1595" s="4" t="str">
        <f t="shared" si="24"/>
        <v>to</v>
      </c>
      <c r="N1595" s="4" cm="1">
        <f t="array" ref="N1595">SUM(--(_xlfn.TEXTSPLIT($J$1387,, " ") = L1595))</f>
        <v>2</v>
      </c>
    </row>
    <row r="1596" spans="5:14" x14ac:dyDescent="0.2">
      <c r="E1596" s="9" t="s">
        <v>24</v>
      </c>
      <c r="K1596" t="str">
        <v xml:space="preserve">keep
</v>
      </c>
      <c r="M1596" s="4" t="str">
        <f t="shared" si="24"/>
        <v xml:space="preserve">keep </v>
      </c>
      <c r="N1596" s="4" cm="1">
        <f t="array" ref="N1596">SUM(--(_xlfn.TEXTSPLIT($J$1387,, " ") = L1596))</f>
        <v>2</v>
      </c>
    </row>
    <row r="1597" spans="5:14" x14ac:dyDescent="0.2">
      <c r="E1597" s="9" t="s">
        <v>24</v>
      </c>
      <c r="K1597" t="str">
        <v>I</v>
      </c>
      <c r="M1597" s="4" t="str">
        <f t="shared" si="24"/>
        <v>I</v>
      </c>
      <c r="N1597" s="4" cm="1">
        <f t="array" ref="N1597">SUM(--(_xlfn.TEXTSPLIT($J$1387,, " ") = L1597))</f>
        <v>2</v>
      </c>
    </row>
    <row r="1598" spans="5:14" x14ac:dyDescent="0.2">
      <c r="E1598" s="9" t="s">
        <v>24</v>
      </c>
      <c r="K1598" t="str">
        <v>don't</v>
      </c>
      <c r="M1598" s="4" t="str">
        <f t="shared" si="24"/>
        <v>don t</v>
      </c>
      <c r="N1598" s="4" cm="1">
        <f t="array" ref="N1598">SUM(--(_xlfn.TEXTSPLIT($J$1387,, " ") = L1598))</f>
        <v>2</v>
      </c>
    </row>
    <row r="1599" spans="5:14" x14ac:dyDescent="0.2">
      <c r="E1599" s="9" t="s">
        <v>24</v>
      </c>
      <c r="K1599" t="str">
        <v>sleep</v>
      </c>
      <c r="M1599" s="4" t="str">
        <f t="shared" si="24"/>
        <v>sleep</v>
      </c>
      <c r="N1599" s="4" cm="1">
        <f t="array" ref="N1599">SUM(--(_xlfn.TEXTSPLIT($J$1387,, " ") = L1599))</f>
        <v>2</v>
      </c>
    </row>
    <row r="1600" spans="5:14" x14ac:dyDescent="0.2">
      <c r="E1600" s="9" t="s">
        <v>24</v>
      </c>
      <c r="K1600" t="str">
        <v>much,</v>
      </c>
      <c r="M1600" s="4" t="str">
        <f t="shared" si="24"/>
        <v xml:space="preserve">much </v>
      </c>
      <c r="N1600" s="4" cm="1">
        <f t="array" ref="N1600">SUM(--(_xlfn.TEXTSPLIT($J$1387,, " ") = L1600))</f>
        <v>2</v>
      </c>
    </row>
    <row r="1601" spans="5:14" x14ac:dyDescent="0.2">
      <c r="E1601" s="9" t="s">
        <v>24</v>
      </c>
      <c r="K1601" t="str">
        <v>that's</v>
      </c>
      <c r="M1601" s="4" t="str">
        <f t="shared" si="24"/>
        <v>that s</v>
      </c>
      <c r="N1601" s="4" cm="1">
        <f t="array" ref="N1601">SUM(--(_xlfn.TEXTSPLIT($J$1387,, " ") = L1601))</f>
        <v>2</v>
      </c>
    </row>
    <row r="1602" spans="5:14" x14ac:dyDescent="0.2">
      <c r="E1602" s="9" t="s">
        <v>24</v>
      </c>
      <c r="K1602" t="str">
        <v>crazy,</v>
      </c>
      <c r="M1602" s="4" t="str">
        <f t="shared" si="24"/>
        <v xml:space="preserve">crazy </v>
      </c>
      <c r="N1602" s="4" cm="1">
        <f t="array" ref="N1602">SUM(--(_xlfn.TEXTSPLIT($J$1387,, " ") = L1602))</f>
        <v>2</v>
      </c>
    </row>
    <row r="1603" spans="5:14" x14ac:dyDescent="0.2">
      <c r="E1603" s="9" t="s">
        <v>24</v>
      </c>
      <c r="K1603" t="str">
        <v>how'd</v>
      </c>
      <c r="M1603" s="4" t="str">
        <f t="shared" si="24"/>
        <v>how d</v>
      </c>
      <c r="N1603" s="4" cm="1">
        <f t="array" ref="N1603">SUM(--(_xlfn.TEXTSPLIT($J$1387,, " ") = L1603))</f>
        <v>2</v>
      </c>
    </row>
    <row r="1604" spans="5:14" x14ac:dyDescent="0.2">
      <c r="E1604" s="9" t="s">
        <v>24</v>
      </c>
      <c r="K1604" t="str">
        <v>you</v>
      </c>
      <c r="M1604" s="4" t="str">
        <f t="shared" si="24"/>
        <v>you</v>
      </c>
      <c r="N1604" s="4" cm="1">
        <f t="array" ref="N1604">SUM(--(_xlfn.TEXTSPLIT($J$1387,, " ") = L1604))</f>
        <v>2</v>
      </c>
    </row>
    <row r="1605" spans="5:14" x14ac:dyDescent="0.2">
      <c r="E1605" s="9" t="s">
        <v>24</v>
      </c>
      <c r="K1605" t="str">
        <v>know</v>
      </c>
      <c r="M1605" s="4" t="str">
        <f t="shared" si="24"/>
        <v>know</v>
      </c>
      <c r="N1605" s="4" cm="1">
        <f t="array" ref="N1605">SUM(--(_xlfn.TEXTSPLIT($J$1387,, " ") = L1605))</f>
        <v>2</v>
      </c>
    </row>
    <row r="1606" spans="5:14" x14ac:dyDescent="0.2">
      <c r="E1606" s="9" t="s">
        <v>24</v>
      </c>
      <c r="K1606" t="str">
        <v>that?</v>
      </c>
      <c r="M1606" s="4" t="str">
        <f t="shared" si="24"/>
        <v xml:space="preserve">that </v>
      </c>
      <c r="N1606" s="4" cm="1">
        <f t="array" ref="N1606">SUM(--(_xlfn.TEXTSPLIT($J$1387,, " ") = L1606))</f>
        <v>2</v>
      </c>
    </row>
    <row r="1607" spans="5:14" x14ac:dyDescent="0.2">
      <c r="E1607" s="9" t="s">
        <v>24</v>
      </c>
      <c r="K1607" t="str">
        <v xml:space="preserve">(That)
</v>
      </c>
      <c r="M1607" s="4" t="str">
        <f t="shared" si="24"/>
        <v xml:space="preserve"> That  </v>
      </c>
      <c r="N1607" s="4" cm="1">
        <f t="array" ref="N1607">SUM(--(_xlfn.TEXTSPLIT($J$1387,, " ") = L1607))</f>
        <v>2</v>
      </c>
    </row>
    <row r="1608" spans="5:14" x14ac:dyDescent="0.2">
      <c r="E1608" s="9" t="s">
        <v>24</v>
      </c>
      <c r="K1608" t="str">
        <v>Keep</v>
      </c>
      <c r="M1608" s="4" t="str">
        <f t="shared" si="24"/>
        <v>Keep</v>
      </c>
      <c r="N1608" s="4" cm="1">
        <f t="array" ref="N1608">SUM(--(_xlfn.TEXTSPLIT($J$1387,, " ") = L1608))</f>
        <v>2</v>
      </c>
    </row>
    <row r="1609" spans="5:14" x14ac:dyDescent="0.2">
      <c r="E1609" s="9" t="s">
        <v>24</v>
      </c>
      <c r="K1609" t="str">
        <v>myself</v>
      </c>
      <c r="M1609" s="4" t="str">
        <f t="shared" si="24"/>
        <v>myself</v>
      </c>
      <c r="N1609" s="4" cm="1">
        <f t="array" ref="N1609">SUM(--(_xlfn.TEXTSPLIT($J$1387,, " ") = L1609))</f>
        <v>2</v>
      </c>
    </row>
    <row r="1610" spans="5:14" x14ac:dyDescent="0.2">
      <c r="E1610" s="9" t="s">
        <v>24</v>
      </c>
      <c r="K1610" t="str">
        <v>up,</v>
      </c>
      <c r="M1610" s="4" t="str">
        <f t="shared" si="24"/>
        <v xml:space="preserve">up </v>
      </c>
      <c r="N1610" s="4" cm="1">
        <f t="array" ref="N1610">SUM(--(_xlfn.TEXTSPLIT($J$1387,, " ") = L1610))</f>
        <v>2</v>
      </c>
    </row>
    <row r="1611" spans="5:14" x14ac:dyDescent="0.2">
      <c r="E1611" s="9" t="s">
        <v>24</v>
      </c>
      <c r="K1611" t="str">
        <v>that's</v>
      </c>
      <c r="M1611" s="4" t="str">
        <f t="shared" si="24"/>
        <v>that s</v>
      </c>
      <c r="N1611" s="4" cm="1">
        <f t="array" ref="N1611">SUM(--(_xlfn.TEXTSPLIT($J$1387,, " ") = L1611))</f>
        <v>2</v>
      </c>
    </row>
    <row r="1612" spans="5:14" x14ac:dyDescent="0.2">
      <c r="E1612" s="9" t="s">
        <v>24</v>
      </c>
      <c r="K1612" t="str">
        <v>maybe</v>
      </c>
      <c r="M1612" s="4" t="str">
        <f t="shared" si="24"/>
        <v>maybe</v>
      </c>
      <c r="N1612" s="4" cm="1">
        <f t="array" ref="N1612">SUM(--(_xlfn.TEXTSPLIT($J$1387,, " ") = L1612))</f>
        <v>2</v>
      </c>
    </row>
    <row r="1613" spans="5:14" x14ac:dyDescent="0.2">
      <c r="E1613" s="9" t="s">
        <v>24</v>
      </c>
      <c r="K1613" t="str">
        <v>how</v>
      </c>
      <c r="M1613" s="4" t="str">
        <f t="shared" si="24"/>
        <v>how</v>
      </c>
      <c r="N1613" s="4" cm="1">
        <f t="array" ref="N1613">SUM(--(_xlfn.TEXTSPLIT($J$1387,, " ") = L1613))</f>
        <v>2</v>
      </c>
    </row>
    <row r="1614" spans="5:14" x14ac:dyDescent="0.2">
      <c r="E1614" s="9" t="s">
        <v>24</v>
      </c>
      <c r="K1614" t="str">
        <v>you</v>
      </c>
      <c r="M1614" s="4" t="str">
        <f t="shared" si="24"/>
        <v>you</v>
      </c>
      <c r="N1614" s="4" cm="1">
        <f t="array" ref="N1614">SUM(--(_xlfn.TEXTSPLIT($J$1387,, " ") = L1614))</f>
        <v>2</v>
      </c>
    </row>
    <row r="1615" spans="5:14" x14ac:dyDescent="0.2">
      <c r="E1615" s="9" t="s">
        <v>24</v>
      </c>
      <c r="K1615" t="str">
        <v>know</v>
      </c>
      <c r="M1615" s="4" t="str">
        <f t="shared" si="24"/>
        <v>know</v>
      </c>
      <c r="N1615" s="4" cm="1">
        <f t="array" ref="N1615">SUM(--(_xlfn.TEXTSPLIT($J$1387,, " ") = L1615))</f>
        <v>2</v>
      </c>
    </row>
    <row r="1616" spans="5:14" x14ac:dyDescent="0.2">
      <c r="E1616" s="9" t="s">
        <v>24</v>
      </c>
      <c r="K1616" t="str">
        <v>that</v>
      </c>
      <c r="M1616" s="4" t="str">
        <f t="shared" si="24"/>
        <v>that</v>
      </c>
      <c r="N1616" s="4" cm="1">
        <f t="array" ref="N1616">SUM(--(_xlfn.TEXTSPLIT($J$1387,, " ") = L1616))</f>
        <v>2</v>
      </c>
    </row>
    <row r="1617" spans="5:14" x14ac:dyDescent="0.2">
      <c r="E1617" s="9" t="s">
        <v>24</v>
      </c>
      <c r="K1617" t="str">
        <v>(That,</v>
      </c>
      <c r="M1617" s="4" t="str">
        <f t="shared" si="24"/>
        <v xml:space="preserve"> That </v>
      </c>
      <c r="N1617" s="4" cm="1">
        <f t="array" ref="N1617">SUM(--(_xlfn.TEXTSPLIT($J$1387,, " ") = L1617))</f>
        <v>2</v>
      </c>
    </row>
    <row r="1618" spans="5:14" x14ac:dyDescent="0.2">
      <c r="E1618" s="9" t="s">
        <v>24</v>
      </c>
      <c r="K1618" t="str">
        <v xml:space="preserve">that)
</v>
      </c>
      <c r="M1618" s="4" t="str">
        <f t="shared" si="24"/>
        <v xml:space="preserve">that  </v>
      </c>
      <c r="N1618" s="4" cm="1">
        <f t="array" ref="N1618">SUM(--(_xlfn.TEXTSPLIT($J$1387,, " ") = L1618))</f>
        <v>2</v>
      </c>
    </row>
    <row r="1619" spans="5:14" x14ac:dyDescent="0.2">
      <c r="E1619" s="9" t="s">
        <v>24</v>
      </c>
      <c r="K1619" t="str">
        <v>Ooh,</v>
      </c>
      <c r="M1619" s="4" t="str">
        <f t="shared" si="24"/>
        <v xml:space="preserve">Ooh </v>
      </c>
      <c r="N1619" s="4" cm="1">
        <f t="array" ref="N1619">SUM(--(_xlfn.TEXTSPLIT($J$1387,, " ") = L1619))</f>
        <v>2</v>
      </c>
    </row>
    <row r="1620" spans="5:14" x14ac:dyDescent="0.2">
      <c r="E1620" s="9" t="s">
        <v>24</v>
      </c>
      <c r="K1620" t="str">
        <v>my</v>
      </c>
      <c r="M1620" s="4" t="str">
        <f t="shared" si="24"/>
        <v>my</v>
      </c>
      <c r="N1620" s="4" cm="1">
        <f t="array" ref="N1620">SUM(--(_xlfn.TEXTSPLIT($J$1387,, " ") = L1620))</f>
        <v>2</v>
      </c>
    </row>
    <row r="1621" spans="5:14" x14ac:dyDescent="0.2">
      <c r="E1621" s="9" t="s">
        <v>24</v>
      </c>
      <c r="K1621" t="str">
        <v>hallucination</v>
      </c>
      <c r="M1621" s="4" t="str">
        <f t="shared" si="24"/>
        <v>hallucination</v>
      </c>
      <c r="N1621" s="4" cm="1">
        <f t="array" ref="N1621">SUM(--(_xlfn.TEXTSPLIT($J$1387,, " ") = L1621))</f>
        <v>2</v>
      </c>
    </row>
    <row r="1622" spans="5:14" x14ac:dyDescent="0.2">
      <c r="E1622" s="9" t="s">
        <v>24</v>
      </c>
      <c r="K1622" t="str">
        <v>I</v>
      </c>
      <c r="M1622" s="4" t="str">
        <f t="shared" si="24"/>
        <v>I</v>
      </c>
      <c r="N1622" s="4" cm="1">
        <f t="array" ref="N1622">SUM(--(_xlfn.TEXTSPLIT($J$1387,, " ") = L1622))</f>
        <v>2</v>
      </c>
    </row>
    <row r="1623" spans="5:14" x14ac:dyDescent="0.2">
      <c r="E1623" s="9" t="s">
        <v>24</v>
      </c>
      <c r="K1623" t="str">
        <v>used</v>
      </c>
      <c r="M1623" s="4" t="str">
        <f t="shared" si="24"/>
        <v>used</v>
      </c>
      <c r="N1623" s="4" cm="1">
        <f t="array" ref="N1623">SUM(--(_xlfn.TEXTSPLIT($J$1387,, " ") = L1623))</f>
        <v>2</v>
      </c>
    </row>
    <row r="1624" spans="5:14" x14ac:dyDescent="0.2">
      <c r="E1624" s="9" t="s">
        <v>24</v>
      </c>
      <c r="K1624" t="str">
        <v>to</v>
      </c>
      <c r="M1624" s="4" t="str">
        <f t="shared" si="24"/>
        <v>to</v>
      </c>
      <c r="N1624" s="4" cm="1">
        <f t="array" ref="N1624">SUM(--(_xlfn.TEXTSPLIT($J$1387,, " ") = L1624))</f>
        <v>2</v>
      </c>
    </row>
    <row r="1625" spans="5:14" x14ac:dyDescent="0.2">
      <c r="E1625" s="9" t="s">
        <v>24</v>
      </c>
      <c r="K1625" t="str">
        <v>see
I</v>
      </c>
      <c r="M1625" s="4" t="str">
        <f t="shared" si="24"/>
        <v>see  I</v>
      </c>
      <c r="N1625" s="4" cm="1">
        <f t="array" ref="N1625">SUM(--(_xlfn.TEXTSPLIT($J$1387,, " ") = L1625))</f>
        <v>2</v>
      </c>
    </row>
    <row r="1626" spans="5:14" x14ac:dyDescent="0.2">
      <c r="E1626" s="9" t="s">
        <v>24</v>
      </c>
      <c r="K1626" t="str">
        <v/>
      </c>
      <c r="M1626" s="4" t="str">
        <f t="shared" si="24"/>
        <v/>
      </c>
      <c r="N1626" s="4" cm="1">
        <f t="array" ref="N1626">SUM(--(_xlfn.TEXTSPLIT($J$1387,, " ") = L1626))</f>
        <v>2</v>
      </c>
    </row>
    <row r="1627" spans="5:14" x14ac:dyDescent="0.2">
      <c r="E1627" s="9" t="s">
        <v>24</v>
      </c>
      <c r="K1627" t="str">
        <v>used</v>
      </c>
      <c r="M1627" s="4" t="str">
        <f t="shared" si="24"/>
        <v>used</v>
      </c>
      <c r="N1627" s="4" cm="1">
        <f t="array" ref="N1627">SUM(--(_xlfn.TEXTSPLIT($J$1387,, " ") = L1627))</f>
        <v>2</v>
      </c>
    </row>
    <row r="1628" spans="5:14" x14ac:dyDescent="0.2">
      <c r="E1628" s="9" t="s">
        <v>24</v>
      </c>
      <c r="K1628" t="str">
        <v>to</v>
      </c>
      <c r="M1628" s="4" t="str">
        <f t="shared" si="24"/>
        <v>to</v>
      </c>
      <c r="N1628" s="4" cm="1">
        <f t="array" ref="N1628">SUM(--(_xlfn.TEXTSPLIT($J$1387,, " ") = L1628))</f>
        <v>2</v>
      </c>
    </row>
    <row r="1629" spans="5:14" x14ac:dyDescent="0.2">
      <c r="E1629" s="9" t="s">
        <v>24</v>
      </c>
      <c r="K1629" t="str">
        <v xml:space="preserve">see
</v>
      </c>
      <c r="M1629" s="4" t="str">
        <f t="shared" si="24"/>
        <v xml:space="preserve">see </v>
      </c>
      <c r="N1629" s="4" cm="1">
        <f t="array" ref="N1629">SUM(--(_xlfn.TEXTSPLIT($J$1387,, " ") = L1629))</f>
        <v>2</v>
      </c>
    </row>
    <row r="1630" spans="5:14" x14ac:dyDescent="0.2">
      <c r="E1630" s="9" t="s">
        <v>24</v>
      </c>
      <c r="K1630" t="str">
        <v>Sleep</v>
      </c>
      <c r="M1630" s="4" t="str">
        <f t="shared" si="24"/>
        <v>Sleep</v>
      </c>
      <c r="N1630" s="4" cm="1">
        <f t="array" ref="N1630">SUM(--(_xlfn.TEXTSPLIT($J$1387,, " ") = L1630))</f>
        <v>2</v>
      </c>
    </row>
    <row r="1631" spans="5:14" x14ac:dyDescent="0.2">
      <c r="E1631" s="9" t="s">
        <v>24</v>
      </c>
      <c r="K1631" t="str">
        <v>I</v>
      </c>
      <c r="M1631" s="4" t="str">
        <f t="shared" si="24"/>
        <v>I</v>
      </c>
      <c r="N1631" s="4" cm="1">
        <f t="array" ref="N1631">SUM(--(_xlfn.TEXTSPLIT($J$1387,, " ") = L1631))</f>
        <v>2</v>
      </c>
    </row>
    <row r="1632" spans="5:14" x14ac:dyDescent="0.2">
      <c r="E1632" s="9" t="s">
        <v>24</v>
      </c>
      <c r="K1632" t="str">
        <v xml:space="preserve">found
</v>
      </c>
      <c r="M1632" s="4" t="str">
        <f t="shared" si="24"/>
        <v xml:space="preserve">found  </v>
      </c>
      <c r="N1632" s="4" cm="1">
        <f t="array" ref="N1632">SUM(--(_xlfn.TEXTSPLIT($J$1387,, " ") = L1632))</f>
        <v>2</v>
      </c>
    </row>
    <row r="1633" spans="5:14" x14ac:dyDescent="0.2">
      <c r="E1633" s="9" t="s">
        <v>24</v>
      </c>
      <c r="K1633" t="str">
        <v>(Oh-ooh)</v>
      </c>
      <c r="M1633" s="4" t="str">
        <f t="shared" si="24"/>
        <v xml:space="preserve"> Oh ooh </v>
      </c>
      <c r="N1633" s="4" cm="1">
        <f t="array" ref="N1633">SUM(--(_xlfn.TEXTSPLIT($J$1387,, " ") = L1633))</f>
        <v>2</v>
      </c>
    </row>
    <row r="1634" spans="5:14" x14ac:dyDescent="0.2">
      <c r="E1634" s="9" t="s">
        <v>24</v>
      </c>
      <c r="K1634" t="str">
        <v>I</v>
      </c>
      <c r="M1634" s="4" t="str">
        <f t="shared" si="24"/>
        <v>I</v>
      </c>
      <c r="N1634" s="4" cm="1">
        <f t="array" ref="N1634">SUM(--(_xlfn.TEXTSPLIT($J$1387,, " ") = L1634))</f>
        <v>2</v>
      </c>
    </row>
    <row r="1635" spans="5:14" x14ac:dyDescent="0.2">
      <c r="E1635" s="9" t="s">
        <v>24</v>
      </c>
      <c r="K1635" t="str">
        <v>wanna</v>
      </c>
      <c r="M1635" s="4" t="str">
        <f t="shared" si="24"/>
        <v>wanna</v>
      </c>
      <c r="N1635" s="4" cm="1">
        <f t="array" ref="N1635">SUM(--(_xlfn.TEXTSPLIT($J$1387,, " ") = L1635))</f>
        <v>2</v>
      </c>
    </row>
    <row r="1636" spans="5:14" x14ac:dyDescent="0.2">
      <c r="E1636" s="9" t="s">
        <v>24</v>
      </c>
      <c r="K1636" t="str">
        <v>get</v>
      </c>
      <c r="M1636" s="4" t="str">
        <f t="shared" si="24"/>
        <v>get</v>
      </c>
      <c r="N1636" s="4" cm="1">
        <f t="array" ref="N1636">SUM(--(_xlfn.TEXTSPLIT($J$1387,, " ") = L1636))</f>
        <v>2</v>
      </c>
    </row>
    <row r="1637" spans="5:14" x14ac:dyDescent="0.2">
      <c r="E1637" s="9" t="s">
        <v>24</v>
      </c>
      <c r="K1637" t="str">
        <v>out</v>
      </c>
      <c r="M1637" s="4" t="str">
        <f t="shared" si="24"/>
        <v>out</v>
      </c>
      <c r="N1637" s="4" cm="1">
        <f t="array" ref="N1637">SUM(--(_xlfn.TEXTSPLIT($J$1387,, " ") = L1637))</f>
        <v>2</v>
      </c>
    </row>
    <row r="1638" spans="5:14" x14ac:dyDescent="0.2">
      <c r="E1638" s="9" t="s">
        <v>24</v>
      </c>
      <c r="K1638" t="str">
        <v xml:space="preserve">there
</v>
      </c>
      <c r="M1638" s="4" t="str">
        <f t="shared" si="24"/>
        <v xml:space="preserve">there </v>
      </c>
      <c r="N1638" s="4" cm="1">
        <f t="array" ref="N1638">SUM(--(_xlfn.TEXTSPLIT($J$1387,, " ") = L1638))</f>
        <v>2</v>
      </c>
    </row>
    <row r="1639" spans="5:14" x14ac:dyDescent="0.2">
      <c r="E1639" s="9" t="s">
        <v>24</v>
      </c>
      <c r="K1639" t="str">
        <v>(Oh-ooh)</v>
      </c>
      <c r="M1639" s="4" t="str">
        <f t="shared" si="24"/>
        <v xml:space="preserve"> Oh ooh </v>
      </c>
      <c r="N1639" s="4" cm="1">
        <f t="array" ref="N1639">SUM(--(_xlfn.TEXTSPLIT($J$1387,, " ") = L1639))</f>
        <v>2</v>
      </c>
    </row>
    <row r="1640" spans="5:14" x14ac:dyDescent="0.2">
      <c r="E1640" s="9" t="s">
        <v>24</v>
      </c>
      <c r="K1640" t="str">
        <v>But</v>
      </c>
      <c r="M1640" s="4" t="str">
        <f t="shared" si="24"/>
        <v>But</v>
      </c>
      <c r="N1640" s="4" cm="1">
        <f t="array" ref="N1640">SUM(--(_xlfn.TEXTSPLIT($J$1387,, " ") = L1640))</f>
        <v>2</v>
      </c>
    </row>
    <row r="1641" spans="5:14" x14ac:dyDescent="0.2">
      <c r="E1641" s="9" t="s">
        <v>24</v>
      </c>
      <c r="K1641" t="str">
        <v>I</v>
      </c>
      <c r="M1641" s="4" t="str">
        <f t="shared" si="24"/>
        <v>I</v>
      </c>
      <c r="N1641" s="4" cm="1">
        <f t="array" ref="N1641">SUM(--(_xlfn.TEXTSPLIT($J$1387,, " ") = L1641))</f>
        <v>2</v>
      </c>
    </row>
    <row r="1642" spans="5:14" x14ac:dyDescent="0.2">
      <c r="E1642" s="9" t="s">
        <v>24</v>
      </c>
      <c r="K1642" t="str">
        <v>don't</v>
      </c>
      <c r="M1642" s="4" t="str">
        <f t="shared" si="24"/>
        <v>don t</v>
      </c>
      <c r="N1642" s="4" cm="1">
        <f t="array" ref="N1642">SUM(--(_xlfn.TEXTSPLIT($J$1387,, " ") = L1642))</f>
        <v>2</v>
      </c>
    </row>
    <row r="1643" spans="5:14" x14ac:dyDescent="0.2">
      <c r="E1643" s="9" t="s">
        <v>24</v>
      </c>
      <c r="K1643" t="str">
        <v xml:space="preserve">try
</v>
      </c>
      <c r="M1643" s="4" t="str">
        <f t="shared" ref="M1643:M1706" si="25">_xlfn.REGEXREPLACE(K1643, "[^A-Za-z ]", " ")</f>
        <v xml:space="preserve">try </v>
      </c>
      <c r="N1643" s="4" cm="1">
        <f t="array" ref="N1643">SUM(--(_xlfn.TEXTSPLIT($J$1387,, " ") = L1643))</f>
        <v>2</v>
      </c>
    </row>
    <row r="1644" spans="5:14" x14ac:dyDescent="0.2">
      <c r="E1644" s="9" t="s">
        <v>24</v>
      </c>
      <c r="K1644" t="str">
        <v>(Oh-ooh)</v>
      </c>
      <c r="M1644" s="4" t="str">
        <f t="shared" si="25"/>
        <v xml:space="preserve"> Oh ooh </v>
      </c>
      <c r="N1644" s="4" cm="1">
        <f t="array" ref="N1644">SUM(--(_xlfn.TEXTSPLIT($J$1387,, " ") = L1644))</f>
        <v>2</v>
      </c>
    </row>
    <row r="1645" spans="5:14" x14ac:dyDescent="0.2">
      <c r="E1645" s="9" t="s">
        <v>24</v>
      </c>
      <c r="K1645" t="str">
        <v>I</v>
      </c>
      <c r="M1645" s="4" t="str">
        <f t="shared" si="25"/>
        <v>I</v>
      </c>
      <c r="N1645" s="4" cm="1">
        <f t="array" ref="N1645">SUM(--(_xlfn.TEXTSPLIT($J$1387,, " ") = L1645))</f>
        <v>2</v>
      </c>
    </row>
    <row r="1646" spans="5:14" x14ac:dyDescent="0.2">
      <c r="E1646" s="9" t="s">
        <v>24</v>
      </c>
      <c r="K1646" t="str">
        <v>wanna</v>
      </c>
      <c r="M1646" s="4" t="str">
        <f t="shared" si="25"/>
        <v>wanna</v>
      </c>
      <c r="N1646" s="4" cm="1">
        <f t="array" ref="N1646">SUM(--(_xlfn.TEXTSPLIT($J$1387,, " ") = L1646))</f>
        <v>2</v>
      </c>
    </row>
    <row r="1647" spans="5:14" x14ac:dyDescent="0.2">
      <c r="E1647" s="9" t="s">
        <v>24</v>
      </c>
      <c r="K1647" t="str">
        <v>get</v>
      </c>
      <c r="M1647" s="4" t="str">
        <f t="shared" si="25"/>
        <v>get</v>
      </c>
      <c r="N1647" s="4" cm="1">
        <f t="array" ref="N1647">SUM(--(_xlfn.TEXTSPLIT($J$1387,, " ") = L1647))</f>
        <v>2</v>
      </c>
    </row>
    <row r="1648" spans="5:14" x14ac:dyDescent="0.2">
      <c r="E1648" s="9" t="s">
        <v>24</v>
      </c>
      <c r="K1648" t="str">
        <v>out</v>
      </c>
      <c r="M1648" s="4" t="str">
        <f t="shared" si="25"/>
        <v>out</v>
      </c>
      <c r="N1648" s="4" cm="1">
        <f t="array" ref="N1648">SUM(--(_xlfn.TEXTSPLIT($J$1387,, " ") = L1648))</f>
        <v>2</v>
      </c>
    </row>
    <row r="1649" spans="5:14" x14ac:dyDescent="0.2">
      <c r="E1649" s="9" t="s">
        <v>24</v>
      </c>
      <c r="K1649" t="str">
        <v xml:space="preserve">there
</v>
      </c>
      <c r="M1649" s="4" t="str">
        <f t="shared" si="25"/>
        <v xml:space="preserve">there </v>
      </c>
      <c r="N1649" s="4" cm="1">
        <f t="array" ref="N1649">SUM(--(_xlfn.TEXTSPLIT($J$1387,, " ") = L1649))</f>
        <v>2</v>
      </c>
    </row>
    <row r="1650" spans="5:14" x14ac:dyDescent="0.2">
      <c r="E1650" s="9" t="s">
        <v>24</v>
      </c>
      <c r="K1650" t="str">
        <v>(Oh-ooh)</v>
      </c>
      <c r="M1650" s="4" t="str">
        <f t="shared" si="25"/>
        <v xml:space="preserve"> Oh ooh </v>
      </c>
      <c r="N1650" s="4" cm="1">
        <f t="array" ref="N1650">SUM(--(_xlfn.TEXTSPLIT($J$1387,, " ") = L1650))</f>
        <v>2</v>
      </c>
    </row>
    <row r="1651" spans="5:14" x14ac:dyDescent="0.2">
      <c r="E1651" s="9" t="s">
        <v>24</v>
      </c>
      <c r="K1651" t="str">
        <v>But</v>
      </c>
      <c r="M1651" s="4" t="str">
        <f t="shared" si="25"/>
        <v>But</v>
      </c>
      <c r="N1651" s="4" cm="1">
        <f t="array" ref="N1651">SUM(--(_xlfn.TEXTSPLIT($J$1387,, " ") = L1651))</f>
        <v>2</v>
      </c>
    </row>
    <row r="1652" spans="5:14" x14ac:dyDescent="0.2">
      <c r="E1652" s="9" t="s">
        <v>24</v>
      </c>
      <c r="K1652" t="str">
        <v>I</v>
      </c>
      <c r="M1652" s="4" t="str">
        <f t="shared" si="25"/>
        <v>I</v>
      </c>
      <c r="N1652" s="4" cm="1">
        <f t="array" ref="N1652">SUM(--(_xlfn.TEXTSPLIT($J$1387,, " ") = L1652))</f>
        <v>2</v>
      </c>
    </row>
    <row r="1653" spans="5:14" x14ac:dyDescent="0.2">
      <c r="E1653" s="9" t="s">
        <v>24</v>
      </c>
      <c r="K1653" t="str">
        <v>don't</v>
      </c>
      <c r="M1653" s="4" t="str">
        <f t="shared" si="25"/>
        <v>don t</v>
      </c>
      <c r="N1653" s="4" cm="1">
        <f t="array" ref="N1653">SUM(--(_xlfn.TEXTSPLIT($J$1387,, " ") = L1653))</f>
        <v>2</v>
      </c>
    </row>
    <row r="1654" spans="5:14" x14ac:dyDescent="0.2">
      <c r="E1654" s="9" t="s">
        <v>24</v>
      </c>
      <c r="K1654" t="str">
        <v xml:space="preserve">try
</v>
      </c>
      <c r="M1654" s="4" t="str">
        <f t="shared" si="25"/>
        <v xml:space="preserve">try  </v>
      </c>
      <c r="N1654" s="4" cm="1">
        <f t="array" ref="N1654">SUM(--(_xlfn.TEXTSPLIT($J$1387,, " ") = L1654))</f>
        <v>2</v>
      </c>
    </row>
    <row r="1655" spans="5:14" x14ac:dyDescent="0.2">
      <c r="E1655" s="9" t="s">
        <v>24</v>
      </c>
      <c r="K1655" t="str">
        <v>I</v>
      </c>
      <c r="M1655" s="4" t="str">
        <f t="shared" si="25"/>
        <v>I</v>
      </c>
      <c r="N1655" s="4" cm="1">
        <f t="array" ref="N1655">SUM(--(_xlfn.TEXTSPLIT($J$1387,, " ") = L1655))</f>
        <v>2</v>
      </c>
    </row>
    <row r="1656" spans="5:14" x14ac:dyDescent="0.2">
      <c r="E1656" s="9" t="s">
        <v>24</v>
      </c>
      <c r="K1656" t="str">
        <v>check</v>
      </c>
      <c r="M1656" s="4" t="str">
        <f t="shared" si="25"/>
        <v>check</v>
      </c>
      <c r="N1656" s="4" cm="1">
        <f t="array" ref="N1656">SUM(--(_xlfn.TEXTSPLIT($J$1387,, " ") = L1656))</f>
        <v>2</v>
      </c>
    </row>
    <row r="1657" spans="5:14" x14ac:dyDescent="0.2">
      <c r="E1657" s="9" t="s">
        <v>24</v>
      </c>
      <c r="K1657" t="str">
        <v>the</v>
      </c>
      <c r="M1657" s="4" t="str">
        <f t="shared" si="25"/>
        <v>the</v>
      </c>
      <c r="N1657" s="4" cm="1">
        <f t="array" ref="N1657">SUM(--(_xlfn.TEXTSPLIT($J$1387,, " ") = L1657))</f>
        <v>2</v>
      </c>
    </row>
    <row r="1658" spans="5:14" x14ac:dyDescent="0.2">
      <c r="E1658" s="9" t="s">
        <v>24</v>
      </c>
      <c r="K1658" t="str">
        <v>clock,</v>
      </c>
      <c r="M1658" s="4" t="str">
        <f t="shared" si="25"/>
        <v xml:space="preserve">clock </v>
      </c>
      <c r="N1658" s="4" cm="1">
        <f t="array" ref="N1658">SUM(--(_xlfn.TEXTSPLIT($J$1387,, " ") = L1658))</f>
        <v>2</v>
      </c>
    </row>
    <row r="1659" spans="5:14" x14ac:dyDescent="0.2">
      <c r="E1659" s="9" t="s">
        <v>24</v>
      </c>
      <c r="K1659" t="str">
        <v>wondering</v>
      </c>
      <c r="M1659" s="4" t="str">
        <f t="shared" si="25"/>
        <v>wondering</v>
      </c>
      <c r="N1659" s="4" cm="1">
        <f t="array" ref="N1659">SUM(--(_xlfn.TEXTSPLIT($J$1387,, " ") = L1659))</f>
        <v>2</v>
      </c>
    </row>
    <row r="1660" spans="5:14" x14ac:dyDescent="0.2">
      <c r="E1660" s="9" t="s">
        <v>24</v>
      </c>
      <c r="K1660" t="str">
        <v>what</v>
      </c>
      <c r="M1660" s="4" t="str">
        <f t="shared" si="25"/>
        <v>what</v>
      </c>
      <c r="N1660" s="4" cm="1">
        <f t="array" ref="N1660">SUM(--(_xlfn.TEXTSPLIT($J$1387,, " ") = L1660))</f>
        <v>2</v>
      </c>
    </row>
    <row r="1661" spans="5:14" x14ac:dyDescent="0.2">
      <c r="E1661" s="9" t="s">
        <v>24</v>
      </c>
      <c r="K1661" t="str">
        <v>he'll</v>
      </c>
      <c r="M1661" s="4" t="str">
        <f t="shared" si="25"/>
        <v>he ll</v>
      </c>
      <c r="N1661" s="4" cm="1">
        <f t="array" ref="N1661">SUM(--(_xlfn.TEXTSPLIT($J$1387,, " ") = L1661))</f>
        <v>2</v>
      </c>
    </row>
    <row r="1662" spans="5:14" x14ac:dyDescent="0.2">
      <c r="E1662" s="9" t="s">
        <v>24</v>
      </c>
      <c r="K1662" t="str">
        <v>pull</v>
      </c>
      <c r="M1662" s="4" t="str">
        <f t="shared" si="25"/>
        <v>pull</v>
      </c>
      <c r="N1662" s="4" cm="1">
        <f t="array" ref="N1662">SUM(--(_xlfn.TEXTSPLIT($J$1387,, " ") = L1662))</f>
        <v>2</v>
      </c>
    </row>
    <row r="1663" spans="5:14" x14ac:dyDescent="0.2">
      <c r="E1663" s="9" t="s">
        <v>24</v>
      </c>
      <c r="K1663" t="str">
        <v>this</v>
      </c>
      <c r="M1663" s="4" t="str">
        <f t="shared" si="25"/>
        <v>this</v>
      </c>
      <c r="N1663" s="4" cm="1">
        <f t="array" ref="N1663">SUM(--(_xlfn.TEXTSPLIT($J$1387,, " ") = L1663))</f>
        <v>2</v>
      </c>
    </row>
    <row r="1664" spans="5:14" x14ac:dyDescent="0.2">
      <c r="E1664" s="9" t="s">
        <v>24</v>
      </c>
      <c r="K1664" t="str">
        <v xml:space="preserve">time
</v>
      </c>
      <c r="M1664" s="4" t="str">
        <f t="shared" si="25"/>
        <v xml:space="preserve">time </v>
      </c>
      <c r="N1664" s="4" cm="1">
        <f t="array" ref="N1664">SUM(--(_xlfn.TEXTSPLIT($J$1387,, " ") = L1664))</f>
        <v>2</v>
      </c>
    </row>
    <row r="1665" spans="5:14" x14ac:dyDescent="0.2">
      <c r="E1665" s="9" t="s">
        <v>24</v>
      </c>
      <c r="K1665" t="str">
        <v>I</v>
      </c>
      <c r="M1665" s="4" t="str">
        <f t="shared" si="25"/>
        <v>I</v>
      </c>
      <c r="N1665" s="4" cm="1">
        <f t="array" ref="N1665">SUM(--(_xlfn.TEXTSPLIT($J$1387,, " ") = L1665))</f>
        <v>2</v>
      </c>
    </row>
    <row r="1666" spans="5:14" x14ac:dyDescent="0.2">
      <c r="E1666" s="9" t="s">
        <v>24</v>
      </c>
      <c r="K1666" t="str">
        <v>have</v>
      </c>
      <c r="M1666" s="4" t="str">
        <f t="shared" si="25"/>
        <v>have</v>
      </c>
      <c r="N1666" s="4" cm="1">
        <f t="array" ref="N1666">SUM(--(_xlfn.TEXTSPLIT($J$1387,, " ") = L1666))</f>
        <v>2</v>
      </c>
    </row>
    <row r="1667" spans="5:14" x14ac:dyDescent="0.2">
      <c r="E1667" s="9" t="s">
        <v>24</v>
      </c>
      <c r="K1667" t="str">
        <v>a</v>
      </c>
      <c r="M1667" s="4" t="str">
        <f t="shared" si="25"/>
        <v>a</v>
      </c>
      <c r="N1667" s="4" cm="1">
        <f t="array" ref="N1667">SUM(--(_xlfn.TEXTSPLIT($J$1387,, " ") = L1667))</f>
        <v>2</v>
      </c>
    </row>
    <row r="1668" spans="5:14" x14ac:dyDescent="0.2">
      <c r="E1668" s="9" t="s">
        <v>24</v>
      </c>
      <c r="K1668" t="str">
        <v>feeling</v>
      </c>
      <c r="M1668" s="4" t="str">
        <f t="shared" si="25"/>
        <v>feeling</v>
      </c>
      <c r="N1668" s="4" cm="1">
        <f t="array" ref="N1668">SUM(--(_xlfn.TEXTSPLIT($J$1387,, " ") = L1668))</f>
        <v>2</v>
      </c>
    </row>
    <row r="1669" spans="5:14" x14ac:dyDescent="0.2">
      <c r="E1669" s="9" t="s">
        <v>24</v>
      </c>
      <c r="K1669" t="str">
        <v>that</v>
      </c>
      <c r="M1669" s="4" t="str">
        <f t="shared" si="25"/>
        <v>that</v>
      </c>
      <c r="N1669" s="4" cm="1">
        <f t="array" ref="N1669">SUM(--(_xlfn.TEXTSPLIT($J$1387,, " ") = L1669))</f>
        <v>2</v>
      </c>
    </row>
    <row r="1670" spans="5:14" x14ac:dyDescent="0.2">
      <c r="E1670" s="9" t="s">
        <v>24</v>
      </c>
      <c r="K1670" t="str">
        <v>necromancer's</v>
      </c>
      <c r="M1670" s="4" t="str">
        <f t="shared" si="25"/>
        <v>necromancer s</v>
      </c>
      <c r="N1670" s="4" cm="1">
        <f t="array" ref="N1670">SUM(--(_xlfn.TEXTSPLIT($J$1387,, " ") = L1670))</f>
        <v>2</v>
      </c>
    </row>
    <row r="1671" spans="5:14" x14ac:dyDescent="0.2">
      <c r="E1671" s="9" t="s">
        <v>24</v>
      </c>
      <c r="K1671" t="str">
        <v xml:space="preserve">outside
</v>
      </c>
      <c r="M1671" s="4" t="str">
        <f t="shared" si="25"/>
        <v xml:space="preserve">outside </v>
      </c>
      <c r="N1671" s="4" cm="1">
        <f t="array" ref="N1671">SUM(--(_xlfn.TEXTSPLIT($J$1387,, " ") = L1671))</f>
        <v>2</v>
      </c>
    </row>
    <row r="1672" spans="5:14" x14ac:dyDescent="0.2">
      <c r="E1672" s="9" t="s">
        <v>24</v>
      </c>
      <c r="K1672" t="str">
        <v>And</v>
      </c>
      <c r="M1672" s="4" t="str">
        <f t="shared" si="25"/>
        <v>And</v>
      </c>
      <c r="N1672" s="4" cm="1">
        <f t="array" ref="N1672">SUM(--(_xlfn.TEXTSPLIT($J$1387,, " ") = L1672))</f>
        <v>2</v>
      </c>
    </row>
    <row r="1673" spans="5:14" x14ac:dyDescent="0.2">
      <c r="E1673" s="9" t="s">
        <v>24</v>
      </c>
      <c r="K1673" t="str">
        <v>I'm</v>
      </c>
      <c r="M1673" s="4" t="str">
        <f t="shared" si="25"/>
        <v>I m</v>
      </c>
      <c r="N1673" s="4" cm="1">
        <f t="array" ref="N1673">SUM(--(_xlfn.TEXTSPLIT($J$1387,, " ") = L1673))</f>
        <v>2</v>
      </c>
    </row>
    <row r="1674" spans="5:14" x14ac:dyDescent="0.2">
      <c r="E1674" s="9" t="s">
        <v>24</v>
      </c>
      <c r="K1674" t="str">
        <v>just</v>
      </c>
      <c r="M1674" s="4" t="str">
        <f t="shared" si="25"/>
        <v>just</v>
      </c>
      <c r="N1674" s="4" cm="1">
        <f t="array" ref="N1674">SUM(--(_xlfn.TEXTSPLIT($J$1387,, " ") = L1674))</f>
        <v>2</v>
      </c>
    </row>
    <row r="1675" spans="5:14" x14ac:dyDescent="0.2">
      <c r="E1675" s="9" t="s">
        <v>24</v>
      </c>
      <c r="K1675" t="str">
        <v>tryin'</v>
      </c>
      <c r="M1675" s="4" t="str">
        <f t="shared" si="25"/>
        <v xml:space="preserve">tryin </v>
      </c>
      <c r="N1675" s="4" cm="1">
        <f t="array" ref="N1675">SUM(--(_xlfn.TEXTSPLIT($J$1387,, " ") = L1675))</f>
        <v>2</v>
      </c>
    </row>
    <row r="1676" spans="5:14" x14ac:dyDescent="0.2">
      <c r="E1676" s="9" t="s">
        <v>24</v>
      </c>
      <c r="K1676" t="str">
        <v>to</v>
      </c>
      <c r="M1676" s="4" t="str">
        <f t="shared" si="25"/>
        <v>to</v>
      </c>
      <c r="N1676" s="4" cm="1">
        <f t="array" ref="N1676">SUM(--(_xlfn.TEXTSPLIT($J$1387,, " ") = L1676))</f>
        <v>2</v>
      </c>
    </row>
    <row r="1677" spans="5:14" x14ac:dyDescent="0.2">
      <c r="E1677" s="9" t="s">
        <v>24</v>
      </c>
      <c r="K1677" t="str">
        <v>stay</v>
      </c>
      <c r="M1677" s="4" t="str">
        <f t="shared" si="25"/>
        <v>stay</v>
      </c>
      <c r="N1677" s="4" cm="1">
        <f t="array" ref="N1677">SUM(--(_xlfn.TEXTSPLIT($J$1387,, " ") = L1677))</f>
        <v>2</v>
      </c>
    </row>
    <row r="1678" spans="5:14" x14ac:dyDescent="0.2">
      <c r="E1678" s="9" t="s">
        <v>24</v>
      </c>
      <c r="K1678" t="str">
        <v xml:space="preserve">quiet
</v>
      </c>
      <c r="M1678" s="4" t="str">
        <f t="shared" si="25"/>
        <v xml:space="preserve">quiet  </v>
      </c>
      <c r="N1678" s="4" cm="1">
        <f t="array" ref="N1678">SUM(--(_xlfn.TEXTSPLIT($J$1387,, " ") = L1678))</f>
        <v>2</v>
      </c>
    </row>
    <row r="1679" spans="5:14" x14ac:dyDescent="0.2">
      <c r="E1679" s="9" t="s">
        <v>24</v>
      </c>
      <c r="K1679" t="str">
        <v>I</v>
      </c>
      <c r="M1679" s="4" t="str">
        <f t="shared" si="25"/>
        <v>I</v>
      </c>
      <c r="N1679" s="4" cm="1">
        <f t="array" ref="N1679">SUM(--(_xlfn.TEXTSPLIT($J$1387,, " ") = L1679))</f>
        <v>2</v>
      </c>
    </row>
    <row r="1680" spans="5:14" x14ac:dyDescent="0.2">
      <c r="E1680" s="9" t="s">
        <v>24</v>
      </c>
      <c r="K1680" t="str">
        <v>don't</v>
      </c>
      <c r="M1680" s="4" t="str">
        <f t="shared" si="25"/>
        <v>don t</v>
      </c>
      <c r="N1680" s="4" cm="1">
        <f t="array" ref="N1680">SUM(--(_xlfn.TEXTSPLIT($J$1387,, " ") = L1680))</f>
        <v>2</v>
      </c>
    </row>
    <row r="1681" spans="5:14" x14ac:dyDescent="0.2">
      <c r="E1681" s="9" t="s">
        <v>24</v>
      </c>
      <c r="K1681" t="str">
        <v>sleep</v>
      </c>
      <c r="M1681" s="4" t="str">
        <f t="shared" si="25"/>
        <v>sleep</v>
      </c>
      <c r="N1681" s="4" cm="1">
        <f t="array" ref="N1681">SUM(--(_xlfn.TEXTSPLIT($J$1387,, " ") = L1681))</f>
        <v>2</v>
      </c>
    </row>
    <row r="1682" spans="5:14" x14ac:dyDescent="0.2">
      <c r="E1682" s="9" t="s">
        <v>24</v>
      </c>
      <c r="K1682" t="str">
        <v>much,</v>
      </c>
      <c r="M1682" s="4" t="str">
        <f t="shared" si="25"/>
        <v xml:space="preserve">much </v>
      </c>
      <c r="N1682" s="4" cm="1">
        <f t="array" ref="N1682">SUM(--(_xlfn.TEXTSPLIT($J$1387,, " ") = L1682))</f>
        <v>2</v>
      </c>
    </row>
    <row r="1683" spans="5:14" x14ac:dyDescent="0.2">
      <c r="E1683" s="9" t="s">
        <v>24</v>
      </c>
      <c r="K1683" t="str">
        <v>that's</v>
      </c>
      <c r="M1683" s="4" t="str">
        <f t="shared" si="25"/>
        <v>that s</v>
      </c>
      <c r="N1683" s="4" cm="1">
        <f t="array" ref="N1683">SUM(--(_xlfn.TEXTSPLIT($J$1387,, " ") = L1683))</f>
        <v>2</v>
      </c>
    </row>
    <row r="1684" spans="5:14" x14ac:dyDescent="0.2">
      <c r="E1684" s="9" t="s">
        <v>24</v>
      </c>
      <c r="K1684" t="str">
        <v>crazy,</v>
      </c>
      <c r="M1684" s="4" t="str">
        <f t="shared" si="25"/>
        <v xml:space="preserve">crazy </v>
      </c>
      <c r="N1684" s="4" cm="1">
        <f t="array" ref="N1684">SUM(--(_xlfn.TEXTSPLIT($J$1387,, " ") = L1684))</f>
        <v>2</v>
      </c>
    </row>
    <row r="1685" spans="5:14" x14ac:dyDescent="0.2">
      <c r="E1685" s="9" t="s">
        <v>24</v>
      </c>
      <c r="K1685" t="str">
        <v>how'd</v>
      </c>
      <c r="M1685" s="4" t="str">
        <f t="shared" si="25"/>
        <v>how d</v>
      </c>
      <c r="N1685" s="4" cm="1">
        <f t="array" ref="N1685">SUM(--(_xlfn.TEXTSPLIT($J$1387,, " ") = L1685))</f>
        <v>2</v>
      </c>
    </row>
    <row r="1686" spans="5:14" x14ac:dyDescent="0.2">
      <c r="E1686" s="9" t="s">
        <v>24</v>
      </c>
      <c r="K1686" t="str">
        <v>you</v>
      </c>
      <c r="M1686" s="4" t="str">
        <f t="shared" si="25"/>
        <v>you</v>
      </c>
      <c r="N1686" s="4" cm="1">
        <f t="array" ref="N1686">SUM(--(_xlfn.TEXTSPLIT($J$1387,, " ") = L1686))</f>
        <v>2</v>
      </c>
    </row>
    <row r="1687" spans="5:14" x14ac:dyDescent="0.2">
      <c r="E1687" s="9" t="s">
        <v>24</v>
      </c>
      <c r="K1687" t="str">
        <v>know</v>
      </c>
      <c r="M1687" s="4" t="str">
        <f t="shared" si="25"/>
        <v>know</v>
      </c>
      <c r="N1687" s="4" cm="1">
        <f t="array" ref="N1687">SUM(--(_xlfn.TEXTSPLIT($J$1387,, " ") = L1687))</f>
        <v>2</v>
      </c>
    </row>
    <row r="1688" spans="5:14" x14ac:dyDescent="0.2">
      <c r="E1688" s="9" t="s">
        <v>24</v>
      </c>
      <c r="K1688" t="str">
        <v>that?</v>
      </c>
      <c r="M1688" s="4" t="str">
        <f t="shared" si="25"/>
        <v xml:space="preserve">that </v>
      </c>
      <c r="N1688" s="4" cm="1">
        <f t="array" ref="N1688">SUM(--(_xlfn.TEXTSPLIT($J$1387,, " ") = L1688))</f>
        <v>2</v>
      </c>
    </row>
    <row r="1689" spans="5:14" x14ac:dyDescent="0.2">
      <c r="E1689" s="9" t="s">
        <v>24</v>
      </c>
      <c r="K1689" t="str">
        <v xml:space="preserve">(That)
</v>
      </c>
      <c r="M1689" s="4" t="str">
        <f t="shared" si="25"/>
        <v xml:space="preserve"> That  </v>
      </c>
      <c r="N1689" s="4" cm="1">
        <f t="array" ref="N1689">SUM(--(_xlfn.TEXTSPLIT($J$1387,, " ") = L1689))</f>
        <v>2</v>
      </c>
    </row>
    <row r="1690" spans="5:14" x14ac:dyDescent="0.2">
      <c r="E1690" s="9" t="s">
        <v>24</v>
      </c>
      <c r="K1690" t="str">
        <v>I</v>
      </c>
      <c r="M1690" s="4" t="str">
        <f t="shared" si="25"/>
        <v>I</v>
      </c>
      <c r="N1690" s="4" cm="1">
        <f t="array" ref="N1690">SUM(--(_xlfn.TEXTSPLIT($J$1387,, " ") = L1690))</f>
        <v>2</v>
      </c>
    </row>
    <row r="1691" spans="5:14" x14ac:dyDescent="0.2">
      <c r="E1691" s="9" t="s">
        <v>24</v>
      </c>
      <c r="K1691" t="str">
        <v>keep</v>
      </c>
      <c r="M1691" s="4" t="str">
        <f t="shared" si="25"/>
        <v>keep</v>
      </c>
      <c r="N1691" s="4" cm="1">
        <f t="array" ref="N1691">SUM(--(_xlfn.TEXTSPLIT($J$1387,, " ") = L1691))</f>
        <v>2</v>
      </c>
    </row>
    <row r="1692" spans="5:14" x14ac:dyDescent="0.2">
      <c r="E1692" s="9" t="s">
        <v>24</v>
      </c>
      <c r="K1692" t="str">
        <v>myself</v>
      </c>
      <c r="M1692" s="4" t="str">
        <f t="shared" si="25"/>
        <v>myself</v>
      </c>
      <c r="N1692" s="4" cm="1">
        <f t="array" ref="N1692">SUM(--(_xlfn.TEXTSPLIT($J$1387,, " ") = L1692))</f>
        <v>2</v>
      </c>
    </row>
    <row r="1693" spans="5:14" x14ac:dyDescent="0.2">
      <c r="E1693" s="9" t="s">
        <v>24</v>
      </c>
      <c r="K1693" t="str">
        <v>up,</v>
      </c>
      <c r="M1693" s="4" t="str">
        <f t="shared" si="25"/>
        <v xml:space="preserve">up </v>
      </c>
      <c r="N1693" s="4" cm="1">
        <f t="array" ref="N1693">SUM(--(_xlfn.TEXTSPLIT($J$1387,, " ") = L1693))</f>
        <v>2</v>
      </c>
    </row>
    <row r="1694" spans="5:14" x14ac:dyDescent="0.2">
      <c r="E1694" s="9" t="s">
        <v>24</v>
      </c>
      <c r="K1694" t="str">
        <v>that's</v>
      </c>
      <c r="M1694" s="4" t="str">
        <f t="shared" si="25"/>
        <v>that s</v>
      </c>
      <c r="N1694" s="4" cm="1">
        <f t="array" ref="N1694">SUM(--(_xlfn.TEXTSPLIT($J$1387,, " ") = L1694))</f>
        <v>2</v>
      </c>
    </row>
    <row r="1695" spans="5:14" x14ac:dyDescent="0.2">
      <c r="E1695" s="9" t="s">
        <v>24</v>
      </c>
      <c r="K1695" t="str">
        <v>maybe</v>
      </c>
      <c r="M1695" s="4" t="str">
        <f t="shared" si="25"/>
        <v>maybe</v>
      </c>
      <c r="N1695" s="4" cm="1">
        <f t="array" ref="N1695">SUM(--(_xlfn.TEXTSPLIT($J$1387,, " ") = L1695))</f>
        <v>2</v>
      </c>
    </row>
    <row r="1696" spans="5:14" x14ac:dyDescent="0.2">
      <c r="E1696" s="9" t="s">
        <v>24</v>
      </c>
      <c r="K1696" t="str">
        <v>how</v>
      </c>
      <c r="M1696" s="4" t="str">
        <f t="shared" si="25"/>
        <v>how</v>
      </c>
      <c r="N1696" s="4" cm="1">
        <f t="array" ref="N1696">SUM(--(_xlfn.TEXTSPLIT($J$1387,, " ") = L1696))</f>
        <v>2</v>
      </c>
    </row>
    <row r="1697" spans="5:14" x14ac:dyDescent="0.2">
      <c r="E1697" s="9" t="s">
        <v>24</v>
      </c>
      <c r="K1697" t="str">
        <v>you</v>
      </c>
      <c r="M1697" s="4" t="str">
        <f t="shared" si="25"/>
        <v>you</v>
      </c>
      <c r="N1697" s="4" cm="1">
        <f t="array" ref="N1697">SUM(--(_xlfn.TEXTSPLIT($J$1387,, " ") = L1697))</f>
        <v>2</v>
      </c>
    </row>
    <row r="1698" spans="5:14" x14ac:dyDescent="0.2">
      <c r="E1698" s="9" t="s">
        <v>24</v>
      </c>
      <c r="K1698" t="str">
        <v>know</v>
      </c>
      <c r="M1698" s="4" t="str">
        <f t="shared" si="25"/>
        <v>know</v>
      </c>
      <c r="N1698" s="4" cm="1">
        <f t="array" ref="N1698">SUM(--(_xlfn.TEXTSPLIT($J$1387,, " ") = L1698))</f>
        <v>2</v>
      </c>
    </row>
    <row r="1699" spans="5:14" x14ac:dyDescent="0.2">
      <c r="E1699" s="9" t="s">
        <v>24</v>
      </c>
      <c r="K1699" t="str">
        <v>that</v>
      </c>
      <c r="M1699" s="4" t="str">
        <f t="shared" si="25"/>
        <v>that</v>
      </c>
      <c r="N1699" s="4" cm="1">
        <f t="array" ref="N1699">SUM(--(_xlfn.TEXTSPLIT($J$1387,, " ") = L1699))</f>
        <v>2</v>
      </c>
    </row>
    <row r="1700" spans="5:14" x14ac:dyDescent="0.2">
      <c r="E1700" s="9" t="s">
        <v>24</v>
      </c>
      <c r="K1700" t="str">
        <v>(That,</v>
      </c>
      <c r="M1700" s="4" t="str">
        <f t="shared" si="25"/>
        <v xml:space="preserve"> That </v>
      </c>
      <c r="N1700" s="4" cm="1">
        <f t="array" ref="N1700">SUM(--(_xlfn.TEXTSPLIT($J$1387,, " ") = L1700))</f>
        <v>2</v>
      </c>
    </row>
    <row r="1701" spans="5:14" x14ac:dyDescent="0.2">
      <c r="E1701" s="9" t="s">
        <v>24</v>
      </c>
      <c r="K1701" t="str">
        <v xml:space="preserve">that)
</v>
      </c>
      <c r="M1701" s="4" t="str">
        <f t="shared" si="25"/>
        <v xml:space="preserve">that  </v>
      </c>
      <c r="N1701" s="4" cm="1">
        <f t="array" ref="N1701">SUM(--(_xlfn.TEXTSPLIT($J$1387,, " ") = L1701))</f>
        <v>2</v>
      </c>
    </row>
    <row r="1702" spans="5:14" x14ac:dyDescent="0.2">
      <c r="E1702" s="9" t="s">
        <v>24</v>
      </c>
      <c r="K1702" t="str">
        <v>Ooh,</v>
      </c>
      <c r="M1702" s="4" t="str">
        <f t="shared" si="25"/>
        <v xml:space="preserve">Ooh </v>
      </c>
      <c r="N1702" s="4" cm="1">
        <f t="array" ref="N1702">SUM(--(_xlfn.TEXTSPLIT($J$1387,, " ") = L1702))</f>
        <v>2</v>
      </c>
    </row>
    <row r="1703" spans="5:14" x14ac:dyDescent="0.2">
      <c r="E1703" s="9" t="s">
        <v>24</v>
      </c>
      <c r="K1703" t="str">
        <v>promises</v>
      </c>
      <c r="M1703" s="4" t="str">
        <f t="shared" si="25"/>
        <v>promises</v>
      </c>
      <c r="N1703" s="4" cm="1">
        <f t="array" ref="N1703">SUM(--(_xlfn.TEXTSPLIT($J$1387,, " ") = L1703))</f>
        <v>2</v>
      </c>
    </row>
    <row r="1704" spans="5:14" x14ac:dyDescent="0.2">
      <c r="E1704" s="9" t="s">
        <v>24</v>
      </c>
      <c r="K1704" t="str">
        <v>and</v>
      </c>
      <c r="M1704" s="4" t="str">
        <f t="shared" si="25"/>
        <v>and</v>
      </c>
      <c r="N1704" s="4" cm="1">
        <f t="array" ref="N1704">SUM(--(_xlfn.TEXTSPLIT($J$1387,, " ") = L1704))</f>
        <v>2</v>
      </c>
    </row>
    <row r="1705" spans="5:14" x14ac:dyDescent="0.2">
      <c r="E1705" s="9" t="s">
        <v>24</v>
      </c>
      <c r="K1705" t="str">
        <v>contracts</v>
      </c>
      <c r="M1705" s="4" t="str">
        <f t="shared" si="25"/>
        <v>contracts</v>
      </c>
      <c r="N1705" s="4" cm="1">
        <f t="array" ref="N1705">SUM(--(_xlfn.TEXTSPLIT($J$1387,, " ") = L1705))</f>
        <v>2</v>
      </c>
    </row>
    <row r="1706" spans="5:14" x14ac:dyDescent="0.2">
      <c r="E1706" s="9" t="s">
        <v>24</v>
      </c>
      <c r="K1706" t="str">
        <v>I</v>
      </c>
      <c r="M1706" s="4" t="str">
        <f t="shared" si="25"/>
        <v>I</v>
      </c>
      <c r="N1706" s="4" cm="1">
        <f t="array" ref="N1706">SUM(--(_xlfn.TEXTSPLIT($J$1387,, " ") = L1706))</f>
        <v>2</v>
      </c>
    </row>
    <row r="1707" spans="5:14" x14ac:dyDescent="0.2">
      <c r="E1707" s="9" t="s">
        <v>24</v>
      </c>
      <c r="K1707" t="str">
        <v>used</v>
      </c>
      <c r="M1707" s="4" t="str">
        <f t="shared" ref="M1707:M1770" si="26">_xlfn.REGEXREPLACE(K1707, "[^A-Za-z ]", " ")</f>
        <v>used</v>
      </c>
      <c r="N1707" s="4" cm="1">
        <f t="array" ref="N1707">SUM(--(_xlfn.TEXTSPLIT($J$1387,, " ") = L1707))</f>
        <v>2</v>
      </c>
    </row>
    <row r="1708" spans="5:14" x14ac:dyDescent="0.2">
      <c r="E1708" s="9" t="s">
        <v>24</v>
      </c>
      <c r="K1708" t="str">
        <v>to</v>
      </c>
      <c r="M1708" s="4" t="str">
        <f t="shared" si="26"/>
        <v>to</v>
      </c>
      <c r="N1708" s="4" cm="1">
        <f t="array" ref="N1708">SUM(--(_xlfn.TEXTSPLIT($J$1387,, " ") = L1708))</f>
        <v>2</v>
      </c>
    </row>
    <row r="1709" spans="5:14" x14ac:dyDescent="0.2">
      <c r="E1709" s="9" t="s">
        <v>24</v>
      </c>
      <c r="K1709" t="str">
        <v xml:space="preserve">keep
</v>
      </c>
      <c r="M1709" s="4" t="str">
        <f t="shared" si="26"/>
        <v xml:space="preserve">keep </v>
      </c>
      <c r="N1709" s="4" cm="1">
        <f t="array" ref="N1709">SUM(--(_xlfn.TEXTSPLIT($J$1387,, " ") = L1709))</f>
        <v>2</v>
      </c>
    </row>
    <row r="1710" spans="5:14" x14ac:dyDescent="0.2">
      <c r="E1710" s="9" t="s">
        <v>24</v>
      </c>
      <c r="K1710" t="str">
        <v>I</v>
      </c>
      <c r="M1710" s="4" t="str">
        <f t="shared" si="26"/>
        <v>I</v>
      </c>
      <c r="N1710" s="4" cm="1">
        <f t="array" ref="N1710">SUM(--(_xlfn.TEXTSPLIT($J$1387,, " ") = L1710))</f>
        <v>2</v>
      </c>
    </row>
    <row r="1711" spans="5:14" x14ac:dyDescent="0.2">
      <c r="E1711" s="9" t="s">
        <v>24</v>
      </c>
      <c r="K1711" t="str">
        <v>don't</v>
      </c>
      <c r="M1711" s="4" t="str">
        <f t="shared" si="26"/>
        <v>don t</v>
      </c>
      <c r="N1711" s="4" cm="1">
        <f t="array" ref="N1711">SUM(--(_xlfn.TEXTSPLIT($J$1387,, " ") = L1711))</f>
        <v>2</v>
      </c>
    </row>
    <row r="1712" spans="5:14" x14ac:dyDescent="0.2">
      <c r="E1712" s="9" t="s">
        <v>24</v>
      </c>
      <c r="K1712" t="str">
        <v>sleep</v>
      </c>
      <c r="M1712" s="4" t="str">
        <f t="shared" si="26"/>
        <v>sleep</v>
      </c>
      <c r="N1712" s="4" cm="1">
        <f t="array" ref="N1712">SUM(--(_xlfn.TEXTSPLIT($J$1387,, " ") = L1712))</f>
        <v>2</v>
      </c>
    </row>
    <row r="1713" spans="5:14" x14ac:dyDescent="0.2">
      <c r="E1713" s="9" t="s">
        <v>24</v>
      </c>
      <c r="K1713" t="str">
        <v>much,</v>
      </c>
      <c r="M1713" s="4" t="str">
        <f t="shared" si="26"/>
        <v xml:space="preserve">much </v>
      </c>
      <c r="N1713" s="4" cm="1">
        <f t="array" ref="N1713">SUM(--(_xlfn.TEXTSPLIT($J$1387,, " ") = L1713))</f>
        <v>2</v>
      </c>
    </row>
    <row r="1714" spans="5:14" x14ac:dyDescent="0.2">
      <c r="E1714" s="9" t="s">
        <v>24</v>
      </c>
      <c r="K1714" t="str">
        <v>that's</v>
      </c>
      <c r="M1714" s="4" t="str">
        <f t="shared" si="26"/>
        <v>that s</v>
      </c>
      <c r="N1714" s="4" cm="1">
        <f t="array" ref="N1714">SUM(--(_xlfn.TEXTSPLIT($J$1387,, " ") = L1714))</f>
        <v>2</v>
      </c>
    </row>
    <row r="1715" spans="5:14" x14ac:dyDescent="0.2">
      <c r="E1715" s="9" t="s">
        <v>24</v>
      </c>
      <c r="K1715" t="str">
        <v>crazy,</v>
      </c>
      <c r="M1715" s="4" t="str">
        <f t="shared" si="26"/>
        <v xml:space="preserve">crazy </v>
      </c>
      <c r="N1715" s="4" cm="1">
        <f t="array" ref="N1715">SUM(--(_xlfn.TEXTSPLIT($J$1387,, " ") = L1715))</f>
        <v>2</v>
      </c>
    </row>
    <row r="1716" spans="5:14" x14ac:dyDescent="0.2">
      <c r="E1716" s="9" t="s">
        <v>24</v>
      </c>
      <c r="K1716" t="str">
        <v>how'd</v>
      </c>
      <c r="M1716" s="4" t="str">
        <f t="shared" si="26"/>
        <v>how d</v>
      </c>
      <c r="N1716" s="4" cm="1">
        <f t="array" ref="N1716">SUM(--(_xlfn.TEXTSPLIT($J$1387,, " ") = L1716))</f>
        <v>2</v>
      </c>
    </row>
    <row r="1717" spans="5:14" x14ac:dyDescent="0.2">
      <c r="E1717" s="9" t="s">
        <v>24</v>
      </c>
      <c r="K1717" t="str">
        <v>you</v>
      </c>
      <c r="M1717" s="4" t="str">
        <f t="shared" si="26"/>
        <v>you</v>
      </c>
      <c r="N1717" s="4" cm="1">
        <f t="array" ref="N1717">SUM(--(_xlfn.TEXTSPLIT($J$1387,, " ") = L1717))</f>
        <v>2</v>
      </c>
    </row>
    <row r="1718" spans="5:14" x14ac:dyDescent="0.2">
      <c r="E1718" s="9" t="s">
        <v>24</v>
      </c>
      <c r="K1718" t="str">
        <v>know</v>
      </c>
      <c r="M1718" s="4" t="str">
        <f t="shared" si="26"/>
        <v>know</v>
      </c>
      <c r="N1718" s="4" cm="1">
        <f t="array" ref="N1718">SUM(--(_xlfn.TEXTSPLIT($J$1387,, " ") = L1718))</f>
        <v>2</v>
      </c>
    </row>
    <row r="1719" spans="5:14" x14ac:dyDescent="0.2">
      <c r="E1719" s="9" t="s">
        <v>24</v>
      </c>
      <c r="K1719" t="str">
        <v>that?</v>
      </c>
      <c r="M1719" s="4" t="str">
        <f t="shared" si="26"/>
        <v xml:space="preserve">that </v>
      </c>
      <c r="N1719" s="4" cm="1">
        <f t="array" ref="N1719">SUM(--(_xlfn.TEXTSPLIT($J$1387,, " ") = L1719))</f>
        <v>2</v>
      </c>
    </row>
    <row r="1720" spans="5:14" x14ac:dyDescent="0.2">
      <c r="E1720" s="9" t="s">
        <v>24</v>
      </c>
      <c r="K1720" t="str">
        <v xml:space="preserve">(That)
</v>
      </c>
      <c r="M1720" s="4" t="str">
        <f t="shared" si="26"/>
        <v xml:space="preserve"> That  </v>
      </c>
      <c r="N1720" s="4" cm="1">
        <f t="array" ref="N1720">SUM(--(_xlfn.TEXTSPLIT($J$1387,, " ") = L1720))</f>
        <v>2</v>
      </c>
    </row>
    <row r="1721" spans="5:14" x14ac:dyDescent="0.2">
      <c r="E1721" s="9" t="s">
        <v>24</v>
      </c>
      <c r="K1721" t="str">
        <v>Keep</v>
      </c>
      <c r="M1721" s="4" t="str">
        <f t="shared" si="26"/>
        <v>Keep</v>
      </c>
      <c r="N1721" s="4" cm="1">
        <f t="array" ref="N1721">SUM(--(_xlfn.TEXTSPLIT($J$1387,, " ") = L1721))</f>
        <v>2</v>
      </c>
    </row>
    <row r="1722" spans="5:14" x14ac:dyDescent="0.2">
      <c r="E1722" s="9" t="s">
        <v>24</v>
      </c>
      <c r="K1722" t="str">
        <v>myself</v>
      </c>
      <c r="M1722" s="4" t="str">
        <f t="shared" si="26"/>
        <v>myself</v>
      </c>
      <c r="N1722" s="4" cm="1">
        <f t="array" ref="N1722">SUM(--(_xlfn.TEXTSPLIT($J$1387,, " ") = L1722))</f>
        <v>2</v>
      </c>
    </row>
    <row r="1723" spans="5:14" x14ac:dyDescent="0.2">
      <c r="E1723" s="9" t="s">
        <v>24</v>
      </c>
      <c r="K1723" t="str">
        <v>up,</v>
      </c>
      <c r="M1723" s="4" t="str">
        <f t="shared" si="26"/>
        <v xml:space="preserve">up </v>
      </c>
      <c r="N1723" s="4" cm="1">
        <f t="array" ref="N1723">SUM(--(_xlfn.TEXTSPLIT($J$1387,, " ") = L1723))</f>
        <v>2</v>
      </c>
    </row>
    <row r="1724" spans="5:14" x14ac:dyDescent="0.2">
      <c r="E1724" s="9" t="s">
        <v>24</v>
      </c>
      <c r="K1724" t="str">
        <v>that's</v>
      </c>
      <c r="M1724" s="4" t="str">
        <f t="shared" si="26"/>
        <v>that s</v>
      </c>
      <c r="N1724" s="4" cm="1">
        <f t="array" ref="N1724">SUM(--(_xlfn.TEXTSPLIT($J$1387,, " ") = L1724))</f>
        <v>2</v>
      </c>
    </row>
    <row r="1725" spans="5:14" x14ac:dyDescent="0.2">
      <c r="E1725" s="9" t="s">
        <v>24</v>
      </c>
      <c r="K1725" t="str">
        <v>maybe</v>
      </c>
      <c r="M1725" s="4" t="str">
        <f t="shared" si="26"/>
        <v>maybe</v>
      </c>
      <c r="N1725" s="4" cm="1">
        <f t="array" ref="N1725">SUM(--(_xlfn.TEXTSPLIT($J$1387,, " ") = L1725))</f>
        <v>2</v>
      </c>
    </row>
    <row r="1726" spans="5:14" x14ac:dyDescent="0.2">
      <c r="E1726" s="9" t="s">
        <v>24</v>
      </c>
      <c r="K1726" t="str">
        <v>how</v>
      </c>
      <c r="M1726" s="4" t="str">
        <f t="shared" si="26"/>
        <v>how</v>
      </c>
      <c r="N1726" s="4" cm="1">
        <f t="array" ref="N1726">SUM(--(_xlfn.TEXTSPLIT($J$1387,, " ") = L1726))</f>
        <v>2</v>
      </c>
    </row>
    <row r="1727" spans="5:14" x14ac:dyDescent="0.2">
      <c r="E1727" s="9" t="s">
        <v>24</v>
      </c>
      <c r="K1727" t="str">
        <v>you</v>
      </c>
      <c r="M1727" s="4" t="str">
        <f t="shared" si="26"/>
        <v>you</v>
      </c>
      <c r="N1727" s="4" cm="1">
        <f t="array" ref="N1727">SUM(--(_xlfn.TEXTSPLIT($J$1387,, " ") = L1727))</f>
        <v>2</v>
      </c>
    </row>
    <row r="1728" spans="5:14" x14ac:dyDescent="0.2">
      <c r="E1728" s="9" t="s">
        <v>24</v>
      </c>
      <c r="K1728" t="str">
        <v>know</v>
      </c>
      <c r="M1728" s="4" t="str">
        <f t="shared" si="26"/>
        <v>know</v>
      </c>
      <c r="N1728" s="4" cm="1">
        <f t="array" ref="N1728">SUM(--(_xlfn.TEXTSPLIT($J$1387,, " ") = L1728))</f>
        <v>2</v>
      </c>
    </row>
    <row r="1729" spans="5:14" x14ac:dyDescent="0.2">
      <c r="E1729" s="9" t="s">
        <v>24</v>
      </c>
      <c r="K1729" t="str">
        <v>that</v>
      </c>
      <c r="M1729" s="4" t="str">
        <f t="shared" si="26"/>
        <v>that</v>
      </c>
      <c r="N1729" s="4" cm="1">
        <f t="array" ref="N1729">SUM(--(_xlfn.TEXTSPLIT($J$1387,, " ") = L1729))</f>
        <v>2</v>
      </c>
    </row>
    <row r="1730" spans="5:14" x14ac:dyDescent="0.2">
      <c r="E1730" s="9" t="s">
        <v>24</v>
      </c>
      <c r="K1730" t="str">
        <v>(That,</v>
      </c>
      <c r="M1730" s="4" t="str">
        <f t="shared" si="26"/>
        <v xml:space="preserve"> That </v>
      </c>
      <c r="N1730" s="4" cm="1">
        <f t="array" ref="N1730">SUM(--(_xlfn.TEXTSPLIT($J$1387,, " ") = L1730))</f>
        <v>2</v>
      </c>
    </row>
    <row r="1731" spans="5:14" x14ac:dyDescent="0.2">
      <c r="E1731" s="9" t="s">
        <v>24</v>
      </c>
      <c r="K1731" t="str">
        <v xml:space="preserve">that)
</v>
      </c>
      <c r="M1731" s="4" t="str">
        <f t="shared" si="26"/>
        <v xml:space="preserve">that  </v>
      </c>
      <c r="N1731" s="4" cm="1">
        <f t="array" ref="N1731">SUM(--(_xlfn.TEXTSPLIT($J$1387,, " ") = L1731))</f>
        <v>2</v>
      </c>
    </row>
    <row r="1732" spans="5:14" x14ac:dyDescent="0.2">
      <c r="E1732" s="9" t="s">
        <v>24</v>
      </c>
      <c r="K1732" t="str">
        <v>Ooh,</v>
      </c>
      <c r="M1732" s="4" t="str">
        <f t="shared" si="26"/>
        <v xml:space="preserve">Ooh </v>
      </c>
      <c r="N1732" s="4" cm="1">
        <f t="array" ref="N1732">SUM(--(_xlfn.TEXTSPLIT($J$1387,, " ") = L1732))</f>
        <v>2</v>
      </c>
    </row>
    <row r="1733" spans="5:14" x14ac:dyDescent="0.2">
      <c r="E1733" s="9" t="s">
        <v>24</v>
      </c>
      <c r="K1733" t="str">
        <v>my</v>
      </c>
      <c r="M1733" s="4" t="str">
        <f t="shared" si="26"/>
        <v>my</v>
      </c>
      <c r="N1733" s="4" cm="1">
        <f t="array" ref="N1733">SUM(--(_xlfn.TEXTSPLIT($J$1387,, " ") = L1733))</f>
        <v>2</v>
      </c>
    </row>
    <row r="1734" spans="5:14" x14ac:dyDescent="0.2">
      <c r="E1734" s="9" t="s">
        <v>24</v>
      </c>
      <c r="K1734" t="str">
        <v>hallucination</v>
      </c>
      <c r="M1734" s="4" t="str">
        <f t="shared" si="26"/>
        <v>hallucination</v>
      </c>
      <c r="N1734" s="4" cm="1">
        <f t="array" ref="N1734">SUM(--(_xlfn.TEXTSPLIT($J$1387,, " ") = L1734))</f>
        <v>2</v>
      </c>
    </row>
    <row r="1735" spans="5:14" x14ac:dyDescent="0.2">
      <c r="E1735" s="9" t="s">
        <v>24</v>
      </c>
      <c r="K1735" t="str">
        <v>I</v>
      </c>
      <c r="M1735" s="4" t="str">
        <f t="shared" si="26"/>
        <v>I</v>
      </c>
      <c r="N1735" s="4" cm="1">
        <f t="array" ref="N1735">SUM(--(_xlfn.TEXTSPLIT($J$1387,, " ") = L1735))</f>
        <v>2</v>
      </c>
    </row>
    <row r="1736" spans="5:14" x14ac:dyDescent="0.2">
      <c r="E1736" s="9" t="s">
        <v>24</v>
      </c>
      <c r="K1736" t="str">
        <v>used</v>
      </c>
      <c r="M1736" s="4" t="str">
        <f t="shared" si="26"/>
        <v>used</v>
      </c>
      <c r="N1736" s="4" cm="1">
        <f t="array" ref="N1736">SUM(--(_xlfn.TEXTSPLIT($J$1387,, " ") = L1736))</f>
        <v>2</v>
      </c>
    </row>
    <row r="1737" spans="5:14" x14ac:dyDescent="0.2">
      <c r="E1737" s="9" t="s">
        <v>24</v>
      </c>
      <c r="K1737" t="str">
        <v>to</v>
      </c>
      <c r="M1737" s="4" t="str">
        <f t="shared" si="26"/>
        <v>to</v>
      </c>
      <c r="N1737" s="4" cm="1">
        <f t="array" ref="N1737">SUM(--(_xlfn.TEXTSPLIT($J$1387,, " ") = L1737))</f>
        <v>2</v>
      </c>
    </row>
    <row r="1738" spans="5:14" x14ac:dyDescent="0.2">
      <c r="E1738" s="9" t="s">
        <v>24</v>
      </c>
      <c r="K1738" t="str">
        <v xml:space="preserve">see
</v>
      </c>
      <c r="M1738" s="4" t="str">
        <f t="shared" si="26"/>
        <v xml:space="preserve">see  </v>
      </c>
      <c r="N1738" s="4" cm="1">
        <f t="array" ref="N1738">SUM(--(_xlfn.TEXTSPLIT($J$1387,, " ") = L1738))</f>
        <v>2</v>
      </c>
    </row>
    <row r="1739" spans="5:14" x14ac:dyDescent="0.2">
      <c r="E1739" s="9" t="s">
        <v>24</v>
      </c>
      <c r="K1739" t="str">
        <v>I</v>
      </c>
      <c r="M1739" s="4" t="str">
        <f t="shared" si="26"/>
        <v>I</v>
      </c>
      <c r="N1739" s="4" cm="1">
        <f t="array" ref="N1739">SUM(--(_xlfn.TEXTSPLIT($J$1387,, " ") = L1739))</f>
        <v>2</v>
      </c>
    </row>
    <row r="1740" spans="5:14" x14ac:dyDescent="0.2">
      <c r="E1740" s="9" t="s">
        <v>24</v>
      </c>
      <c r="K1740" t="str">
        <v>used</v>
      </c>
      <c r="M1740" s="4" t="str">
        <f t="shared" si="26"/>
        <v>used</v>
      </c>
      <c r="N1740" s="4" cm="1">
        <f t="array" ref="N1740">SUM(--(_xlfn.TEXTSPLIT($J$1387,, " ") = L1740))</f>
        <v>2</v>
      </c>
    </row>
    <row r="1741" spans="5:14" x14ac:dyDescent="0.2">
      <c r="E1741" s="9" t="s">
        <v>24</v>
      </c>
      <c r="K1741" t="str">
        <v>to</v>
      </c>
      <c r="M1741" s="4" t="str">
        <f t="shared" si="26"/>
        <v>to</v>
      </c>
      <c r="N1741" s="4" cm="1">
        <f t="array" ref="N1741">SUM(--(_xlfn.TEXTSPLIT($J$1387,, " ") = L1741))</f>
        <v>2</v>
      </c>
    </row>
    <row r="1742" spans="5:14" x14ac:dyDescent="0.2">
      <c r="E1742" s="9" t="s">
        <v>24</v>
      </c>
      <c r="K1742" t="str">
        <v xml:space="preserve">see
</v>
      </c>
      <c r="M1742" s="4" t="str">
        <f t="shared" si="26"/>
        <v xml:space="preserve">see </v>
      </c>
      <c r="N1742" s="4" cm="1">
        <f t="array" ref="N1742">SUM(--(_xlfn.TEXTSPLIT($J$1387,, " ") = L1742))</f>
        <v>2</v>
      </c>
    </row>
    <row r="1743" spans="5:14" x14ac:dyDescent="0.2">
      <c r="E1743" s="9" t="s">
        <v>24</v>
      </c>
      <c r="K1743" t="str">
        <v>I</v>
      </c>
      <c r="M1743" s="4" t="str">
        <f t="shared" si="26"/>
        <v>I</v>
      </c>
      <c r="N1743" s="4" cm="1">
        <f t="array" ref="N1743">SUM(--(_xlfn.TEXTSPLIT($J$1387,, " ") = L1743))</f>
        <v>2</v>
      </c>
    </row>
    <row r="1744" spans="5:14" x14ac:dyDescent="0.2">
      <c r="E1744" s="9" t="s">
        <v>24</v>
      </c>
      <c r="K1744" t="str">
        <v>used</v>
      </c>
      <c r="M1744" s="4" t="str">
        <f t="shared" si="26"/>
        <v>used</v>
      </c>
      <c r="N1744" s="4" cm="1">
        <f t="array" ref="N1744">SUM(--(_xlfn.TEXTSPLIT($J$1387,, " ") = L1744))</f>
        <v>2</v>
      </c>
    </row>
    <row r="1745" spans="5:14" x14ac:dyDescent="0.2">
      <c r="E1745" s="9" t="s">
        <v>24</v>
      </c>
      <c r="K1745" t="str">
        <v>to</v>
      </c>
      <c r="M1745" s="4" t="str">
        <f t="shared" si="26"/>
        <v>to</v>
      </c>
      <c r="N1745" s="4" cm="1">
        <f t="array" ref="N1745">SUM(--(_xlfn.TEXTSPLIT($J$1387,, " ") = L1745))</f>
        <v>2</v>
      </c>
    </row>
    <row r="1746" spans="5:14" x14ac:dyDescent="0.2">
      <c r="E1746" s="9" t="s">
        <v>24</v>
      </c>
      <c r="K1746" t="str">
        <v xml:space="preserve">see
</v>
      </c>
      <c r="M1746" s="4" t="str">
        <f t="shared" si="26"/>
        <v xml:space="preserve">see </v>
      </c>
      <c r="N1746" s="4" cm="1">
        <f t="array" ref="N1746">SUM(--(_xlfn.TEXTSPLIT($J$1387,, " ") = L1746))</f>
        <v>2</v>
      </c>
    </row>
    <row r="1747" spans="5:14" x14ac:dyDescent="0.2">
      <c r="E1747" s="9" t="s">
        <v>24</v>
      </c>
      <c r="K1747" t="str">
        <v>Ooh,</v>
      </c>
      <c r="M1747" s="4" t="str">
        <f t="shared" si="26"/>
        <v xml:space="preserve">Ooh </v>
      </c>
      <c r="N1747" s="4" cm="1">
        <f t="array" ref="N1747">SUM(--(_xlfn.TEXTSPLIT($J$1387,, " ") = L1747))</f>
        <v>2</v>
      </c>
    </row>
    <row r="1748" spans="5:14" x14ac:dyDescent="0.2">
      <c r="E1748" s="9" t="s">
        <v>24</v>
      </c>
      <c r="K1748" t="str">
        <v>my</v>
      </c>
      <c r="M1748" s="4" t="str">
        <f t="shared" si="26"/>
        <v>my</v>
      </c>
      <c r="N1748" s="4" cm="1">
        <f t="array" ref="N1748">SUM(--(_xlfn.TEXTSPLIT($J$1387,, " ") = L1748))</f>
        <v>2</v>
      </c>
    </row>
    <row r="1749" spans="5:14" x14ac:dyDescent="0.2">
      <c r="E1749" s="9" t="s">
        <v>24</v>
      </c>
      <c r="K1749" t="str">
        <v>hallucination</v>
      </c>
      <c r="M1749" s="4" t="str">
        <f t="shared" si="26"/>
        <v>hallucination</v>
      </c>
      <c r="N1749" s="4" cm="1">
        <f t="array" ref="N1749">SUM(--(_xlfn.TEXTSPLIT($J$1387,, " ") = L1749))</f>
        <v>2</v>
      </c>
    </row>
    <row r="1750" spans="5:14" x14ac:dyDescent="0.2">
      <c r="E1750" s="9" t="s">
        <v>24</v>
      </c>
      <c r="K1750" t="str">
        <v>I</v>
      </c>
      <c r="M1750" s="4" t="str">
        <f t="shared" si="26"/>
        <v>I</v>
      </c>
      <c r="N1750" s="4" cm="1">
        <f t="array" ref="N1750">SUM(--(_xlfn.TEXTSPLIT($J$1387,, " ") = L1750))</f>
        <v>2</v>
      </c>
    </row>
    <row r="1751" spans="5:14" x14ac:dyDescent="0.2">
      <c r="E1751" s="9" t="s">
        <v>24</v>
      </c>
      <c r="K1751" t="str">
        <v>used</v>
      </c>
      <c r="M1751" s="4" t="str">
        <f t="shared" si="26"/>
        <v>used</v>
      </c>
      <c r="N1751" s="4" cm="1">
        <f t="array" ref="N1751">SUM(--(_xlfn.TEXTSPLIT($J$1387,, " ") = L1751))</f>
        <v>2</v>
      </c>
    </row>
    <row r="1752" spans="5:14" x14ac:dyDescent="0.2">
      <c r="E1752" s="9" t="s">
        <v>24</v>
      </c>
      <c r="K1752" t="str">
        <v>to</v>
      </c>
      <c r="M1752" s="4" t="str">
        <f t="shared" si="26"/>
        <v>to</v>
      </c>
      <c r="N1752" s="4" cm="1">
        <f t="array" ref="N1752">SUM(--(_xlfn.TEXTSPLIT($J$1387,, " ") = L1752))</f>
        <v>2</v>
      </c>
    </row>
    <row r="1753" spans="5:14" x14ac:dyDescent="0.2">
      <c r="E1753" s="9" t="s">
        <v>24</v>
      </c>
      <c r="K1753" t="str">
        <v xml:space="preserve">see
</v>
      </c>
      <c r="M1753" s="4" t="str">
        <f t="shared" si="26"/>
        <v xml:space="preserve">see  </v>
      </c>
      <c r="N1753" s="4" cm="1">
        <f t="array" ref="N1753">SUM(--(_xlfn.TEXTSPLIT($J$1387,, " ") = L1753))</f>
        <v>2</v>
      </c>
    </row>
    <row r="1754" spans="5:14" x14ac:dyDescent="0.2">
      <c r="E1754" s="9" t="s">
        <v>24</v>
      </c>
      <c r="K1754" t="str">
        <v>I</v>
      </c>
      <c r="M1754" s="4" t="str">
        <f t="shared" si="26"/>
        <v>I</v>
      </c>
      <c r="N1754" s="4" cm="1">
        <f t="array" ref="N1754">SUM(--(_xlfn.TEXTSPLIT($J$1387,, " ") = L1754))</f>
        <v>2</v>
      </c>
    </row>
    <row r="1755" spans="5:14" x14ac:dyDescent="0.2">
      <c r="E1755" s="9" t="s">
        <v>24</v>
      </c>
      <c r="K1755" t="str">
        <v>used</v>
      </c>
      <c r="M1755" s="4" t="str">
        <f t="shared" si="26"/>
        <v>used</v>
      </c>
      <c r="N1755" s="4" cm="1">
        <f t="array" ref="N1755">SUM(--(_xlfn.TEXTSPLIT($J$1387,, " ") = L1755))</f>
        <v>2</v>
      </c>
    </row>
    <row r="1756" spans="5:14" x14ac:dyDescent="0.2">
      <c r="E1756" s="9" t="s">
        <v>24</v>
      </c>
      <c r="K1756" t="str">
        <v>to</v>
      </c>
      <c r="M1756" s="4" t="str">
        <f t="shared" si="26"/>
        <v>to</v>
      </c>
      <c r="N1756" s="4" cm="1">
        <f t="array" ref="N1756">SUM(--(_xlfn.TEXTSPLIT($J$1387,, " ") = L1756))</f>
        <v>2</v>
      </c>
    </row>
    <row r="1757" spans="5:14" x14ac:dyDescent="0.2">
      <c r="E1757" s="9" t="s">
        <v>24</v>
      </c>
      <c r="K1757" t="str">
        <v>see,</v>
      </c>
      <c r="M1757" s="4" t="str">
        <f t="shared" si="26"/>
        <v xml:space="preserve">see </v>
      </c>
      <c r="N1757" s="4" cm="1">
        <f t="array" ref="N1757">SUM(--(_xlfn.TEXTSPLIT($J$1387,, " ") = L1757))</f>
        <v>2</v>
      </c>
    </row>
    <row r="1758" spans="5:14" x14ac:dyDescent="0.2">
      <c r="E1758" s="9" t="s">
        <v>24</v>
      </c>
      <c r="K1758" t="str">
        <v>it</v>
      </c>
      <c r="M1758" s="4" t="str">
        <f t="shared" si="26"/>
        <v>it</v>
      </c>
      <c r="N1758" s="4" cm="1">
        <f t="array" ref="N1758">SUM(--(_xlfn.TEXTSPLIT($J$1387,, " ") = L1758))</f>
        <v>2</v>
      </c>
    </row>
    <row r="1759" spans="5:14" x14ac:dyDescent="0.2">
      <c r="E1759" s="9" t="s">
        <v>24</v>
      </c>
      <c r="K1759" t="str">
        <v>felt</v>
      </c>
      <c r="M1759" s="4" t="str">
        <f t="shared" si="26"/>
        <v>felt</v>
      </c>
      <c r="N1759" s="4" cm="1">
        <f t="array" ref="N1759">SUM(--(_xlfn.TEXTSPLIT($J$1387,, " ") = L1759))</f>
        <v>2</v>
      </c>
    </row>
    <row r="1760" spans="5:14" x14ac:dyDescent="0.2">
      <c r="E1760" s="9" t="s">
        <v>24</v>
      </c>
      <c r="K1760" t="str">
        <v>so</v>
      </c>
      <c r="M1760" s="4" t="str">
        <f t="shared" si="26"/>
        <v>so</v>
      </c>
      <c r="N1760" s="4" cm="1">
        <f t="array" ref="N1760">SUM(--(_xlfn.TEXTSPLIT($J$1387,, " ") = L1760))</f>
        <v>2</v>
      </c>
    </row>
    <row r="1761" spans="5:14" x14ac:dyDescent="0.2">
      <c r="E1761" s="9" t="s">
        <v>24</v>
      </c>
      <c r="K1761" t="str">
        <v xml:space="preserve">real
</v>
      </c>
      <c r="M1761" s="4" t="str">
        <f t="shared" si="26"/>
        <v xml:space="preserve">real </v>
      </c>
      <c r="N1761" s="4" cm="1">
        <f t="array" ref="N1761">SUM(--(_xlfn.TEXTSPLIT($J$1387,, " ") = L1761))</f>
        <v>2</v>
      </c>
    </row>
    <row r="1762" spans="5:14" x14ac:dyDescent="0.2">
      <c r="E1762" s="9" t="s">
        <v>24</v>
      </c>
      <c r="K1762" t="str">
        <v>But</v>
      </c>
      <c r="M1762" s="4" t="str">
        <f t="shared" si="26"/>
        <v>But</v>
      </c>
      <c r="N1762" s="4" cm="1">
        <f t="array" ref="N1762">SUM(--(_xlfn.TEXTSPLIT($J$1387,, " ") = L1762))</f>
        <v>2</v>
      </c>
    </row>
    <row r="1763" spans="5:14" x14ac:dyDescent="0.2">
      <c r="E1763" s="9" t="s">
        <v>24</v>
      </c>
      <c r="K1763" t="str">
        <v>now</v>
      </c>
      <c r="M1763" s="4" t="str">
        <f t="shared" si="26"/>
        <v>now</v>
      </c>
      <c r="N1763" s="4" cm="1">
        <f t="array" ref="N1763">SUM(--(_xlfn.TEXTSPLIT($J$1387,, " ") = L1763))</f>
        <v>2</v>
      </c>
    </row>
    <row r="1764" spans="5:14" x14ac:dyDescent="0.2">
      <c r="E1764" s="9" t="s">
        <v>24</v>
      </c>
      <c r="K1764" t="str">
        <v>I</v>
      </c>
      <c r="M1764" s="4" t="str">
        <f t="shared" si="26"/>
        <v>I</v>
      </c>
      <c r="N1764" s="4" cm="1">
        <f t="array" ref="N1764">SUM(--(_xlfn.TEXTSPLIT($J$1387,, " ") = L1764))</f>
        <v>2</v>
      </c>
    </row>
    <row r="1765" spans="5:14" x14ac:dyDescent="0.2">
      <c r="E1765" s="9" t="s">
        <v>24</v>
      </c>
      <c r="K1765" t="str">
        <v>plead,</v>
      </c>
      <c r="M1765" s="4" t="str">
        <f t="shared" si="26"/>
        <v xml:space="preserve">plead </v>
      </c>
      <c r="N1765" s="4" cm="1">
        <f t="array" ref="N1765">SUM(--(_xlfn.TEXTSPLIT($J$1387,, " ") = L1765))</f>
        <v>2</v>
      </c>
    </row>
    <row r="1766" spans="5:14" x14ac:dyDescent="0.2">
      <c r="E1766" s="9" t="s">
        <v>24</v>
      </c>
      <c r="K1766" t="str">
        <v>just</v>
      </c>
      <c r="M1766" s="4" t="str">
        <f t="shared" si="26"/>
        <v>just</v>
      </c>
      <c r="N1766" s="4" cm="1">
        <f t="array" ref="N1766">SUM(--(_xlfn.TEXTSPLIT($J$1387,, " ") = L1766))</f>
        <v>2</v>
      </c>
    </row>
    <row r="1767" spans="5:14" x14ac:dyDescent="0.2">
      <c r="E1767" s="9" t="s">
        <v>24</v>
      </c>
      <c r="K1767" t="str">
        <v>take</v>
      </c>
      <c r="M1767" s="4" t="str">
        <f t="shared" si="26"/>
        <v>take</v>
      </c>
      <c r="N1767" s="4" cm="1">
        <f t="array" ref="N1767">SUM(--(_xlfn.TEXTSPLIT($J$1387,, " ") = L1767))</f>
        <v>2</v>
      </c>
    </row>
    <row r="1768" spans="5:14" x14ac:dyDescent="0.2">
      <c r="E1768" s="9" t="s">
        <v>24</v>
      </c>
      <c r="K1768" t="str">
        <v>the</v>
      </c>
      <c r="M1768" s="4" t="str">
        <f t="shared" si="26"/>
        <v>the</v>
      </c>
      <c r="N1768" s="4" cm="1">
        <f t="array" ref="N1768">SUM(--(_xlfn.TEXTSPLIT($J$1387,, " ") = L1768))</f>
        <v>2</v>
      </c>
    </row>
    <row r="1769" spans="5:14" x14ac:dyDescent="0.2">
      <c r="E1769" s="9" t="s">
        <v>24</v>
      </c>
      <c r="K1769" t="str">
        <v xml:space="preserve">deal
</v>
      </c>
      <c r="M1769" s="4" t="str">
        <f t="shared" si="26"/>
        <v xml:space="preserve">deal </v>
      </c>
      <c r="N1769" s="4" cm="1">
        <f t="array" ref="N1769">SUM(--(_xlfn.TEXTSPLIT($J$1387,, " ") = L1769))</f>
        <v>2</v>
      </c>
    </row>
    <row r="1770" spans="5:14" x14ac:dyDescent="0.2">
      <c r="E1770" s="9" t="s">
        <v>24</v>
      </c>
      <c r="K1770" t="str">
        <v>I</v>
      </c>
      <c r="M1770" s="4" t="str">
        <f t="shared" si="26"/>
        <v>I</v>
      </c>
      <c r="N1770" s="4" cm="1">
        <f t="array" ref="N1770">SUM(--(_xlfn.TEXTSPLIT($J$1387,, " ") = L1770))</f>
        <v>2</v>
      </c>
    </row>
    <row r="1771" spans="5:14" x14ac:dyDescent="0.2">
      <c r="E1771" s="9" t="s">
        <v>24</v>
      </c>
      <c r="K1771" t="str">
        <v>promised</v>
      </c>
      <c r="M1771" s="4" t="str">
        <f t="shared" ref="M1771:M1834" si="27">_xlfn.REGEXREPLACE(K1771, "[^A-Za-z ]", " ")</f>
        <v>promised</v>
      </c>
      <c r="N1771" s="4" cm="1">
        <f t="array" ref="N1771">SUM(--(_xlfn.TEXTSPLIT($J$1387,, " ") = L1771))</f>
        <v>2</v>
      </c>
    </row>
    <row r="1772" spans="5:14" x14ac:dyDescent="0.2">
      <c r="E1772" s="9" t="s">
        <v>24</v>
      </c>
      <c r="K1772" t="str">
        <v>you</v>
      </c>
      <c r="M1772" s="4" t="str">
        <f t="shared" si="27"/>
        <v>you</v>
      </c>
      <c r="N1772" s="4" cm="1">
        <f t="array" ref="N1772">SUM(--(_xlfn.TEXTSPLIT($J$1387,, " ") = L1772))</f>
        <v>2</v>
      </c>
    </row>
    <row r="1773" spans="5:14" x14ac:dyDescent="0.2">
      <c r="E1773" s="9" t="s">
        <v>24</v>
      </c>
      <c r="K1773" t="str">
        <v>a</v>
      </c>
      <c r="M1773" s="4" t="str">
        <f t="shared" si="27"/>
        <v>a</v>
      </c>
      <c r="N1773" s="4" cm="1">
        <f t="array" ref="N1773">SUM(--(_xlfn.TEXTSPLIT($J$1387,, " ") = L1773))</f>
        <v>2</v>
      </c>
    </row>
    <row r="1774" spans="5:14" x14ac:dyDescent="0.2">
      <c r="E1774" s="9" t="s">
        <v>24</v>
      </c>
      <c r="K1774" t="str">
        <v xml:space="preserve">contract
</v>
      </c>
      <c r="M1774" s="4" t="str">
        <f t="shared" si="27"/>
        <v xml:space="preserve">contract </v>
      </c>
      <c r="N1774" s="4" cm="1">
        <f t="array" ref="N1774">SUM(--(_xlfn.TEXTSPLIT($J$1387,, " ") = L1774))</f>
        <v>2</v>
      </c>
    </row>
    <row r="1775" spans="5:14" x14ac:dyDescent="0.2">
      <c r="E1775" s="9" t="s">
        <v>24</v>
      </c>
      <c r="K1775" t="str">
        <v>I</v>
      </c>
      <c r="M1775" s="4" t="str">
        <f t="shared" si="27"/>
        <v>I</v>
      </c>
      <c r="N1775" s="4" cm="1">
        <f t="array" ref="N1775">SUM(--(_xlfn.TEXTSPLIT($J$1387,, " ") = L1775))</f>
        <v>2</v>
      </c>
    </row>
    <row r="1776" spans="5:14" x14ac:dyDescent="0.2">
      <c r="E1776" s="9" t="s">
        <v>24</v>
      </c>
      <c r="K1776" t="str">
        <v>promised</v>
      </c>
      <c r="M1776" s="4" t="str">
        <f t="shared" si="27"/>
        <v>promised</v>
      </c>
      <c r="N1776" s="4" cm="1">
        <f t="array" ref="N1776">SUM(--(_xlfn.TEXTSPLIT($J$1387,, " ") = L1776))</f>
        <v>2</v>
      </c>
    </row>
    <row r="1777" spans="1:21" x14ac:dyDescent="0.2">
      <c r="E1777" s="9" t="s">
        <v>24</v>
      </c>
      <c r="K1777" t="str">
        <v>you</v>
      </c>
      <c r="M1777" s="4" t="str">
        <f t="shared" si="27"/>
        <v>you</v>
      </c>
      <c r="N1777" s="4" cm="1">
        <f t="array" ref="N1777">SUM(--(_xlfn.TEXTSPLIT($J$1387,, " ") = L1777))</f>
        <v>2</v>
      </c>
    </row>
    <row r="1778" spans="1:21" x14ac:dyDescent="0.2">
      <c r="E1778" s="9" t="s">
        <v>24</v>
      </c>
      <c r="K1778" t="str">
        <v>a</v>
      </c>
      <c r="M1778" s="4" t="str">
        <f t="shared" si="27"/>
        <v>a</v>
      </c>
      <c r="N1778" s="4" cm="1">
        <f t="array" ref="N1778">SUM(--(_xlfn.TEXTSPLIT($J$1387,, " ") = L1778))</f>
        <v>2</v>
      </c>
    </row>
    <row r="1779" spans="1:21" x14ac:dyDescent="0.2">
      <c r="E1779" s="9" t="s">
        <v>24</v>
      </c>
      <c r="K1779" t="str">
        <v>contract</v>
      </c>
      <c r="M1779" s="4" t="str">
        <f t="shared" si="27"/>
        <v>contract</v>
      </c>
      <c r="N1779" s="4" cm="1">
        <f t="array" ref="N1779">SUM(--(_xlfn.TEXTSPLIT($J$1387,, " ") = L1779))</f>
        <v>2</v>
      </c>
    </row>
    <row r="1780" spans="1:21" s="4" customFormat="1" x14ac:dyDescent="0.2">
      <c r="A1780" s="4">
        <v>6</v>
      </c>
      <c r="B1780" s="5">
        <v>45912</v>
      </c>
      <c r="C1780" s="6">
        <v>0.22638888888888889</v>
      </c>
      <c r="D1780" s="7">
        <v>326</v>
      </c>
      <c r="E1780" s="9" t="s">
        <v>26</v>
      </c>
      <c r="F1780" s="4">
        <v>6</v>
      </c>
      <c r="G1780" s="8" t="s">
        <v>15</v>
      </c>
      <c r="H1780" s="9" t="s">
        <v>27</v>
      </c>
      <c r="I1780" s="4">
        <v>1</v>
      </c>
      <c r="J1780" s="4" t="str">
        <f>_xlfn.TEXTJOIN(" ", TRUE, H1780:H2230)</f>
        <v xml:space="preserve"> You-ooh-ooh can have all I've made and all I've ever known
 You-ooh-ooh can have both my lungs if you ask me so
 Cause I-I-I want to be the one after your own heart
 And I-I-I might doubt the process like I doubted the start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Feeling like I'm nothing
 Feeling like I'm run down
 Was afraid of nothing
 Now I'm just ashamed how
 I hide my face from you
 So I'm begging oh, oh-oh, oh-oh, mercy
 I'm begging oh, oh-oh, oh-oh, mercy
 Downstairs, I feel better in the cellar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Oh, what have I become?
 Dirty and wretched one
 Am I unholy man?
 Have I forced your hand?
 Oh, woah-oh, woah-oh, mercy, yeah
 Oh, woah-oh, woah-oh, mercy, yeah
 Down there, it's some shelter from the weather
 I wear all of my heart on my sleeve
 I'll take what I believe, and I'm hiding it
 Downstairs, I feel better in the cellar
 Down there, it's some shelter from the weather
 I wear all of my heart on my sleeve
 I'll take what I believe, and I'm hiding it
 Downstairs (You can have), I feel better in the cellar (All I've made)
 Down there, need some shelter from the weather (All I've ever known)
 I wear (You can have) all of my heart on my sleeve (Both my lungs)
 I'll take what I believe, and I'm hiding it, yeah (If you ask me so, oh)
 And I'm hiding it, yeah ('Cause I want to be the one)
 And I'm hiding it, yeah (After your own heart)
 And I'm hiding it, yeah, oh (And I might doubt the process like I doubted the start)
 You can have all I've made and all I've ever known
 You can have both my lungs if you ask me so
 Cause I want to be the one after your own heart
 And I might doubt the process like I doubt the start</v>
      </c>
      <c r="K1780" s="4" t="str" cm="1">
        <f t="array" ref="K1780:K2231">_xlfn.TEXTSPLIT(J1780, ," ")</f>
        <v/>
      </c>
      <c r="L1780" s="4" t="str" cm="1">
        <f t="array" ref="L1780:L1899">_xlfn.UNIQUE(_xlfn.TEXTSPLIT(J1780, , " "))</f>
        <v/>
      </c>
      <c r="M1780" s="4" t="str">
        <f t="shared" si="27"/>
        <v/>
      </c>
      <c r="N1780" s="4" cm="1">
        <f t="array" ref="N1780">SUM(--(_xlfn.TEXTSPLIT($J$1780,, " ") = L1780))</f>
        <v>1</v>
      </c>
      <c r="O1780"/>
      <c r="P1780"/>
      <c r="Q1780"/>
      <c r="R1780"/>
      <c r="S1780"/>
      <c r="T1780"/>
      <c r="U1780"/>
    </row>
    <row r="1781" spans="1:21" x14ac:dyDescent="0.2">
      <c r="E1781" s="9" t="s">
        <v>26</v>
      </c>
      <c r="K1781" t="str">
        <v>You-ooh-ooh</v>
      </c>
      <c r="L1781" t="str">
        <v>You-ooh-ooh</v>
      </c>
      <c r="M1781" s="4" t="str">
        <f t="shared" si="27"/>
        <v>You ooh ooh</v>
      </c>
      <c r="N1781" s="4" cm="1">
        <f t="array" ref="N1781">SUM(--(_xlfn.TEXTSPLIT($J$1780,, " ") = L1781))</f>
        <v>2</v>
      </c>
    </row>
    <row r="1782" spans="1:21" x14ac:dyDescent="0.2">
      <c r="E1782" s="9" t="s">
        <v>26</v>
      </c>
      <c r="K1782" t="str">
        <v>can</v>
      </c>
      <c r="L1782" t="str">
        <v>can</v>
      </c>
      <c r="M1782" s="4" t="str">
        <f t="shared" si="27"/>
        <v>can</v>
      </c>
      <c r="N1782" s="4" cm="1">
        <f t="array" ref="N1782">SUM(--(_xlfn.TEXTSPLIT($J$1780,, " ") = L1782))</f>
        <v>6</v>
      </c>
    </row>
    <row r="1783" spans="1:21" x14ac:dyDescent="0.2">
      <c r="E1783" s="9" t="s">
        <v>26</v>
      </c>
      <c r="K1783" t="str">
        <v>have</v>
      </c>
      <c r="L1783" t="str">
        <v>have</v>
      </c>
      <c r="M1783" s="4" t="str">
        <f t="shared" si="27"/>
        <v>have</v>
      </c>
      <c r="N1783" s="4" cm="1">
        <f t="array" ref="N1783">SUM(--(_xlfn.TEXTSPLIT($J$1780,, " ") = L1783))</f>
        <v>6</v>
      </c>
    </row>
    <row r="1784" spans="1:21" x14ac:dyDescent="0.2">
      <c r="E1784" s="9" t="s">
        <v>26</v>
      </c>
      <c r="K1784" t="str">
        <v>all</v>
      </c>
      <c r="L1784" t="str">
        <v>all</v>
      </c>
      <c r="M1784" s="4" t="str">
        <f t="shared" si="27"/>
        <v>all</v>
      </c>
      <c r="N1784" s="4" cm="1">
        <f t="array" ref="N1784">SUM(--(_xlfn.TEXTSPLIT($J$1780,, " ") = L1784))</f>
        <v>11</v>
      </c>
    </row>
    <row r="1785" spans="1:21" x14ac:dyDescent="0.2">
      <c r="E1785" s="9" t="s">
        <v>26</v>
      </c>
      <c r="K1785" t="str">
        <v>I've</v>
      </c>
      <c r="L1785" t="str">
        <v>I've</v>
      </c>
      <c r="M1785" s="4" t="str">
        <f t="shared" si="27"/>
        <v>I ve</v>
      </c>
      <c r="N1785" s="4" cm="1">
        <f t="array" ref="N1785">SUM(--(_xlfn.TEXTSPLIT($J$1780,, " ") = L1785))</f>
        <v>6</v>
      </c>
    </row>
    <row r="1786" spans="1:21" x14ac:dyDescent="0.2">
      <c r="E1786" s="9" t="s">
        <v>26</v>
      </c>
      <c r="K1786" t="str">
        <v>made</v>
      </c>
      <c r="L1786" t="str">
        <v>made</v>
      </c>
      <c r="M1786" s="4" t="str">
        <f t="shared" si="27"/>
        <v>made</v>
      </c>
      <c r="N1786" s="4" cm="1">
        <f t="array" ref="N1786">SUM(--(_xlfn.TEXTSPLIT($J$1780,, " ") = L1786))</f>
        <v>2</v>
      </c>
    </row>
    <row r="1787" spans="1:21" x14ac:dyDescent="0.2">
      <c r="E1787" s="9" t="s">
        <v>26</v>
      </c>
      <c r="K1787" t="str">
        <v>and</v>
      </c>
      <c r="L1787" t="str">
        <v>and</v>
      </c>
      <c r="M1787" s="4" t="str">
        <f t="shared" si="27"/>
        <v>and</v>
      </c>
      <c r="N1787" s="4" cm="1">
        <f t="array" ref="N1787">SUM(--(_xlfn.TEXTSPLIT($J$1780,, " ") = L1787))</f>
        <v>15</v>
      </c>
    </row>
    <row r="1788" spans="1:21" x14ac:dyDescent="0.2">
      <c r="E1788" s="9" t="s">
        <v>26</v>
      </c>
      <c r="K1788" t="str">
        <v>all</v>
      </c>
      <c r="L1788" t="str">
        <v>ever</v>
      </c>
      <c r="M1788" s="4" t="str">
        <f t="shared" si="27"/>
        <v>all</v>
      </c>
      <c r="N1788" s="4" cm="1">
        <f t="array" ref="N1788">SUM(--(_xlfn.TEXTSPLIT($J$1780,, " ") = L1788))</f>
        <v>3</v>
      </c>
    </row>
    <row r="1789" spans="1:21" x14ac:dyDescent="0.2">
      <c r="E1789" s="9" t="s">
        <v>26</v>
      </c>
      <c r="K1789" t="str">
        <v>I've</v>
      </c>
      <c r="L1789" t="str">
        <v xml:space="preserve">known
</v>
      </c>
      <c r="M1789" s="4" t="str">
        <f t="shared" si="27"/>
        <v>I ve</v>
      </c>
      <c r="N1789" s="4" cm="1">
        <f t="array" ref="N1789">SUM(--(_xlfn.TEXTSPLIT($J$1780,, " ") = L1789))</f>
        <v>2</v>
      </c>
    </row>
    <row r="1790" spans="1:21" x14ac:dyDescent="0.2">
      <c r="E1790" s="9" t="s">
        <v>26</v>
      </c>
      <c r="K1790" t="str">
        <v>ever</v>
      </c>
      <c r="L1790" t="str">
        <v>both</v>
      </c>
      <c r="M1790" s="4" t="str">
        <f t="shared" si="27"/>
        <v>ever</v>
      </c>
      <c r="N1790" s="4" cm="1">
        <f t="array" ref="N1790">SUM(--(_xlfn.TEXTSPLIT($J$1780,, " ") = L1790))</f>
        <v>2</v>
      </c>
    </row>
    <row r="1791" spans="1:21" x14ac:dyDescent="0.2">
      <c r="E1791" s="9" t="s">
        <v>26</v>
      </c>
      <c r="K1791" t="str">
        <v xml:space="preserve">known
</v>
      </c>
      <c r="L1791" t="str">
        <v>my</v>
      </c>
      <c r="M1791" s="4" t="str">
        <f t="shared" si="27"/>
        <v xml:space="preserve">known </v>
      </c>
      <c r="N1791" s="4" cm="1">
        <f t="array" ref="N1791">SUM(--(_xlfn.TEXTSPLIT($J$1780,, " ") = L1791))</f>
        <v>18</v>
      </c>
    </row>
    <row r="1792" spans="1:21" x14ac:dyDescent="0.2">
      <c r="E1792" s="9" t="s">
        <v>26</v>
      </c>
      <c r="K1792" t="str">
        <v>You-ooh-ooh</v>
      </c>
      <c r="L1792" t="str">
        <v>lungs</v>
      </c>
      <c r="M1792" s="4" t="str">
        <f t="shared" si="27"/>
        <v>You ooh ooh</v>
      </c>
      <c r="N1792" s="4" cm="1">
        <f t="array" ref="N1792">SUM(--(_xlfn.TEXTSPLIT($J$1780,, " ") = L1792))</f>
        <v>2</v>
      </c>
    </row>
    <row r="1793" spans="5:14" x14ac:dyDescent="0.2">
      <c r="E1793" s="9" t="s">
        <v>26</v>
      </c>
      <c r="K1793" t="str">
        <v>can</v>
      </c>
      <c r="L1793" t="str">
        <v>if</v>
      </c>
      <c r="M1793" s="4" t="str">
        <f t="shared" si="27"/>
        <v>can</v>
      </c>
      <c r="N1793" s="4" cm="1">
        <f t="array" ref="N1793">SUM(--(_xlfn.TEXTSPLIT($J$1780,, " ") = L1793))</f>
        <v>2</v>
      </c>
    </row>
    <row r="1794" spans="5:14" x14ac:dyDescent="0.2">
      <c r="E1794" s="9" t="s">
        <v>26</v>
      </c>
      <c r="K1794" t="str">
        <v>have</v>
      </c>
      <c r="L1794" t="str">
        <v>you</v>
      </c>
      <c r="M1794" s="4" t="str">
        <f t="shared" si="27"/>
        <v>have</v>
      </c>
      <c r="N1794" s="4" cm="1">
        <f t="array" ref="N1794">SUM(--(_xlfn.TEXTSPLIT($J$1780,, " ") = L1794))</f>
        <v>5</v>
      </c>
    </row>
    <row r="1795" spans="5:14" x14ac:dyDescent="0.2">
      <c r="E1795" s="9" t="s">
        <v>26</v>
      </c>
      <c r="K1795" t="str">
        <v>both</v>
      </c>
      <c r="L1795" t="str">
        <v>ask</v>
      </c>
      <c r="M1795" s="4" t="str">
        <f t="shared" si="27"/>
        <v>both</v>
      </c>
      <c r="N1795" s="4" cm="1">
        <f t="array" ref="N1795">SUM(--(_xlfn.TEXTSPLIT($J$1780,, " ") = L1795))</f>
        <v>3</v>
      </c>
    </row>
    <row r="1796" spans="5:14" x14ac:dyDescent="0.2">
      <c r="E1796" s="9" t="s">
        <v>26</v>
      </c>
      <c r="K1796" t="str">
        <v>my</v>
      </c>
      <c r="L1796" t="str">
        <v>me</v>
      </c>
      <c r="M1796" s="4" t="str">
        <f t="shared" si="27"/>
        <v>my</v>
      </c>
      <c r="N1796" s="4" cm="1">
        <f t="array" ref="N1796">SUM(--(_xlfn.TEXTSPLIT($J$1780,, " ") = L1796))</f>
        <v>3</v>
      </c>
    </row>
    <row r="1797" spans="5:14" x14ac:dyDescent="0.2">
      <c r="E1797" s="9" t="s">
        <v>26</v>
      </c>
      <c r="K1797" t="str">
        <v>lungs</v>
      </c>
      <c r="L1797" t="str">
        <v xml:space="preserve">so
</v>
      </c>
      <c r="M1797" s="4" t="str">
        <f t="shared" si="27"/>
        <v>lungs</v>
      </c>
      <c r="N1797" s="4" cm="1">
        <f t="array" ref="N1797">SUM(--(_xlfn.TEXTSPLIT($J$1780,, " ") = L1797))</f>
        <v>2</v>
      </c>
    </row>
    <row r="1798" spans="5:14" x14ac:dyDescent="0.2">
      <c r="E1798" s="9" t="s">
        <v>26</v>
      </c>
      <c r="K1798" t="str">
        <v>if</v>
      </c>
      <c r="L1798" t="str">
        <v>Cause</v>
      </c>
      <c r="M1798" s="4" t="str">
        <f t="shared" si="27"/>
        <v>if</v>
      </c>
      <c r="N1798" s="4" cm="1">
        <f t="array" ref="N1798">SUM(--(_xlfn.TEXTSPLIT($J$1780,, " ") = L1798))</f>
        <v>2</v>
      </c>
    </row>
    <row r="1799" spans="5:14" x14ac:dyDescent="0.2">
      <c r="E1799" s="9" t="s">
        <v>26</v>
      </c>
      <c r="K1799" t="str">
        <v>you</v>
      </c>
      <c r="L1799" t="str">
        <v>I-I-I</v>
      </c>
      <c r="M1799" s="4" t="str">
        <f t="shared" si="27"/>
        <v>you</v>
      </c>
      <c r="N1799" s="4" cm="1">
        <f t="array" ref="N1799">SUM(--(_xlfn.TEXTSPLIT($J$1780,, " ") = L1799))</f>
        <v>2</v>
      </c>
    </row>
    <row r="1800" spans="5:14" x14ac:dyDescent="0.2">
      <c r="E1800" s="9" t="s">
        <v>26</v>
      </c>
      <c r="K1800" t="str">
        <v>ask</v>
      </c>
      <c r="L1800" t="str">
        <v>want</v>
      </c>
      <c r="M1800" s="4" t="str">
        <f t="shared" si="27"/>
        <v>ask</v>
      </c>
      <c r="N1800" s="4" cm="1">
        <f t="array" ref="N1800">SUM(--(_xlfn.TEXTSPLIT($J$1780,, " ") = L1800))</f>
        <v>3</v>
      </c>
    </row>
    <row r="1801" spans="5:14" x14ac:dyDescent="0.2">
      <c r="E1801" s="9" t="s">
        <v>26</v>
      </c>
      <c r="K1801" t="str">
        <v>me</v>
      </c>
      <c r="L1801" t="str">
        <v>to</v>
      </c>
      <c r="M1801" s="4" t="str">
        <f t="shared" si="27"/>
        <v>me</v>
      </c>
      <c r="N1801" s="4" cm="1">
        <f t="array" ref="N1801">SUM(--(_xlfn.TEXTSPLIT($J$1780,, " ") = L1801))</f>
        <v>3</v>
      </c>
    </row>
    <row r="1802" spans="5:14" x14ac:dyDescent="0.2">
      <c r="E1802" s="9" t="s">
        <v>26</v>
      </c>
      <c r="K1802" t="str">
        <v xml:space="preserve">so
</v>
      </c>
      <c r="L1802" t="str">
        <v>be</v>
      </c>
      <c r="M1802" s="4" t="str">
        <f t="shared" si="27"/>
        <v xml:space="preserve">so </v>
      </c>
      <c r="N1802" s="4" cm="1">
        <f t="array" ref="N1802">SUM(--(_xlfn.TEXTSPLIT($J$1780,, " ") = L1802))</f>
        <v>3</v>
      </c>
    </row>
    <row r="1803" spans="5:14" x14ac:dyDescent="0.2">
      <c r="E1803" s="9" t="s">
        <v>26</v>
      </c>
      <c r="K1803" t="str">
        <v>Cause</v>
      </c>
      <c r="L1803" t="str">
        <v>the</v>
      </c>
      <c r="M1803" s="4" t="str">
        <f t="shared" si="27"/>
        <v>Cause</v>
      </c>
      <c r="N1803" s="4" cm="1">
        <f t="array" ref="N1803">SUM(--(_xlfn.TEXTSPLIT($J$1780,, " ") = L1803))</f>
        <v>22</v>
      </c>
    </row>
    <row r="1804" spans="5:14" x14ac:dyDescent="0.2">
      <c r="E1804" s="9" t="s">
        <v>26</v>
      </c>
      <c r="K1804" t="str">
        <v>I-I-I</v>
      </c>
      <c r="L1804" t="str">
        <v>one</v>
      </c>
      <c r="M1804" s="4" t="str">
        <f t="shared" si="27"/>
        <v>I I I</v>
      </c>
      <c r="N1804" s="4" cm="1">
        <f t="array" ref="N1804">SUM(--(_xlfn.TEXTSPLIT($J$1780,, " ") = L1804))</f>
        <v>2</v>
      </c>
    </row>
    <row r="1805" spans="5:14" x14ac:dyDescent="0.2">
      <c r="E1805" s="9" t="s">
        <v>26</v>
      </c>
      <c r="K1805" t="str">
        <v>want</v>
      </c>
      <c r="L1805" t="str">
        <v>after</v>
      </c>
      <c r="M1805" s="4" t="str">
        <f t="shared" si="27"/>
        <v>want</v>
      </c>
      <c r="N1805" s="4" cm="1">
        <f t="array" ref="N1805">SUM(--(_xlfn.TEXTSPLIT($J$1780,, " ") = L1805))</f>
        <v>2</v>
      </c>
    </row>
    <row r="1806" spans="5:14" x14ac:dyDescent="0.2">
      <c r="E1806" s="9" t="s">
        <v>26</v>
      </c>
      <c r="K1806" t="str">
        <v>to</v>
      </c>
      <c r="L1806" t="str">
        <v>your</v>
      </c>
      <c r="M1806" s="4" t="str">
        <f t="shared" si="27"/>
        <v>to</v>
      </c>
      <c r="N1806" s="4" cm="1">
        <f t="array" ref="N1806">SUM(--(_xlfn.TEXTSPLIT($J$1780,, " ") = L1806))</f>
        <v>4</v>
      </c>
    </row>
    <row r="1807" spans="5:14" x14ac:dyDescent="0.2">
      <c r="E1807" s="9" t="s">
        <v>26</v>
      </c>
      <c r="K1807" t="str">
        <v>be</v>
      </c>
      <c r="L1807" t="str">
        <v>own</v>
      </c>
      <c r="M1807" s="4" t="str">
        <f t="shared" si="27"/>
        <v>be</v>
      </c>
      <c r="N1807" s="4" cm="1">
        <f t="array" ref="N1807">SUM(--(_xlfn.TEXTSPLIT($J$1780,, " ") = L1807))</f>
        <v>3</v>
      </c>
    </row>
    <row r="1808" spans="5:14" x14ac:dyDescent="0.2">
      <c r="E1808" s="9" t="s">
        <v>26</v>
      </c>
      <c r="K1808" t="str">
        <v>the</v>
      </c>
      <c r="L1808" t="str">
        <v xml:space="preserve">heart
</v>
      </c>
      <c r="M1808" s="4" t="str">
        <f t="shared" si="27"/>
        <v>the</v>
      </c>
      <c r="N1808" s="4" cm="1">
        <f t="array" ref="N1808">SUM(--(_xlfn.TEXTSPLIT($J$1780,, " ") = L1808))</f>
        <v>2</v>
      </c>
    </row>
    <row r="1809" spans="5:14" x14ac:dyDescent="0.2">
      <c r="E1809" s="9" t="s">
        <v>26</v>
      </c>
      <c r="K1809" t="str">
        <v>one</v>
      </c>
      <c r="L1809" t="str">
        <v>might</v>
      </c>
      <c r="M1809" s="4" t="str">
        <f t="shared" si="27"/>
        <v>one</v>
      </c>
      <c r="N1809" s="4" cm="1">
        <f t="array" ref="N1809">SUM(--(_xlfn.TEXTSPLIT($J$1780,, " ") = L1809))</f>
        <v>3</v>
      </c>
    </row>
    <row r="1810" spans="5:14" x14ac:dyDescent="0.2">
      <c r="E1810" s="9" t="s">
        <v>26</v>
      </c>
      <c r="K1810" t="str">
        <v>after</v>
      </c>
      <c r="L1810" t="str">
        <v>doubt</v>
      </c>
      <c r="M1810" s="4" t="str">
        <f t="shared" si="27"/>
        <v>after</v>
      </c>
      <c r="N1810" s="4" cm="1">
        <f t="array" ref="N1810">SUM(--(_xlfn.TEXTSPLIT($J$1780,, " ") = L1810))</f>
        <v>4</v>
      </c>
    </row>
    <row r="1811" spans="5:14" x14ac:dyDescent="0.2">
      <c r="E1811" s="9" t="s">
        <v>26</v>
      </c>
      <c r="K1811" t="str">
        <v>your</v>
      </c>
      <c r="L1811" t="str">
        <v>process</v>
      </c>
      <c r="M1811" s="4" t="str">
        <f t="shared" si="27"/>
        <v>your</v>
      </c>
      <c r="N1811" s="4" cm="1">
        <f t="array" ref="N1811">SUM(--(_xlfn.TEXTSPLIT($J$1780,, " ") = L1811))</f>
        <v>3</v>
      </c>
    </row>
    <row r="1812" spans="5:14" x14ac:dyDescent="0.2">
      <c r="E1812" s="9" t="s">
        <v>26</v>
      </c>
      <c r="K1812" t="str">
        <v>own</v>
      </c>
      <c r="L1812" t="str">
        <v>like</v>
      </c>
      <c r="M1812" s="4" t="str">
        <f t="shared" si="27"/>
        <v>own</v>
      </c>
      <c r="N1812" s="4" cm="1">
        <f t="array" ref="N1812">SUM(--(_xlfn.TEXTSPLIT($J$1780,, " ") = L1812))</f>
        <v>5</v>
      </c>
    </row>
    <row r="1813" spans="5:14" x14ac:dyDescent="0.2">
      <c r="E1813" s="9" t="s">
        <v>26</v>
      </c>
      <c r="K1813" t="str">
        <v xml:space="preserve">heart
</v>
      </c>
      <c r="L1813" t="str">
        <v>I</v>
      </c>
      <c r="M1813" s="4" t="str">
        <f t="shared" si="27"/>
        <v xml:space="preserve">heart </v>
      </c>
      <c r="N1813" s="4" cm="1">
        <f t="array" ref="N1813">SUM(--(_xlfn.TEXTSPLIT($J$1780,, " ") = L1813))</f>
        <v>31</v>
      </c>
    </row>
    <row r="1814" spans="5:14" x14ac:dyDescent="0.2">
      <c r="E1814" s="9" t="s">
        <v>26</v>
      </c>
      <c r="K1814" t="str">
        <v>And</v>
      </c>
      <c r="L1814" t="str">
        <v>doubted</v>
      </c>
      <c r="M1814" s="4" t="str">
        <f t="shared" si="27"/>
        <v>And</v>
      </c>
      <c r="N1814" s="4" cm="1">
        <f t="array" ref="N1814">SUM(--(_xlfn.TEXTSPLIT($J$1780,, " ") = L1814))</f>
        <v>2</v>
      </c>
    </row>
    <row r="1815" spans="5:14" x14ac:dyDescent="0.2">
      <c r="E1815" s="9" t="s">
        <v>26</v>
      </c>
      <c r="K1815" t="str">
        <v>I-I-I</v>
      </c>
      <c r="L1815" t="str">
        <v xml:space="preserve">start
</v>
      </c>
      <c r="M1815" s="4" t="str">
        <f t="shared" si="27"/>
        <v>I I I</v>
      </c>
      <c r="N1815" s="4" cm="1">
        <f t="array" ref="N1815">SUM(--(_xlfn.TEXTSPLIT($J$1780,, " ") = L1815))</f>
        <v>1</v>
      </c>
    </row>
    <row r="1816" spans="5:14" x14ac:dyDescent="0.2">
      <c r="E1816" s="9" t="s">
        <v>26</v>
      </c>
      <c r="K1816" t="str">
        <v>might</v>
      </c>
      <c r="L1816" t="str">
        <v>So</v>
      </c>
      <c r="M1816" s="4" t="str">
        <f t="shared" si="27"/>
        <v>might</v>
      </c>
      <c r="N1816" s="4" cm="1">
        <f t="array" ref="N1816">SUM(--(_xlfn.TEXTSPLIT($J$1780,, " ") = L1816))</f>
        <v>2</v>
      </c>
    </row>
    <row r="1817" spans="5:14" x14ac:dyDescent="0.2">
      <c r="E1817" s="9" t="s">
        <v>26</v>
      </c>
      <c r="K1817" t="str">
        <v>doubt</v>
      </c>
      <c r="L1817" t="str">
        <v>I'm</v>
      </c>
      <c r="M1817" s="4" t="str">
        <f t="shared" si="27"/>
        <v>doubt</v>
      </c>
      <c r="N1817" s="4" cm="1">
        <f t="array" ref="N1817">SUM(--(_xlfn.TEXTSPLIT($J$1780,, " ") = L1817))</f>
        <v>17</v>
      </c>
    </row>
    <row r="1818" spans="5:14" x14ac:dyDescent="0.2">
      <c r="E1818" s="9" t="s">
        <v>26</v>
      </c>
      <c r="K1818" t="str">
        <v>the</v>
      </c>
      <c r="L1818" t="str">
        <v>begging</v>
      </c>
      <c r="M1818" s="4" t="str">
        <f t="shared" si="27"/>
        <v>the</v>
      </c>
      <c r="N1818" s="4" cm="1">
        <f t="array" ref="N1818">SUM(--(_xlfn.TEXTSPLIT($J$1780,, " ") = L1818))</f>
        <v>4</v>
      </c>
    </row>
    <row r="1819" spans="5:14" x14ac:dyDescent="0.2">
      <c r="E1819" s="9" t="s">
        <v>26</v>
      </c>
      <c r="K1819" t="str">
        <v>process</v>
      </c>
      <c r="L1819" t="str">
        <v>oh,</v>
      </c>
      <c r="M1819" s="4" t="str">
        <f t="shared" si="27"/>
        <v>process</v>
      </c>
      <c r="N1819" s="4" cm="1">
        <f t="array" ref="N1819">SUM(--(_xlfn.TEXTSPLIT($J$1780,, " ") = L1819))</f>
        <v>7</v>
      </c>
    </row>
    <row r="1820" spans="5:14" x14ac:dyDescent="0.2">
      <c r="E1820" s="9" t="s">
        <v>26</v>
      </c>
      <c r="K1820" t="str">
        <v>like</v>
      </c>
      <c r="L1820" t="str">
        <v>oh-oh,</v>
      </c>
      <c r="M1820" s="4" t="str">
        <f t="shared" si="27"/>
        <v>like</v>
      </c>
      <c r="N1820" s="4" cm="1">
        <f t="array" ref="N1820">SUM(--(_xlfn.TEXTSPLIT($J$1780,, " ") = L1820))</f>
        <v>8</v>
      </c>
    </row>
    <row r="1821" spans="5:14" x14ac:dyDescent="0.2">
      <c r="E1821" s="9" t="s">
        <v>26</v>
      </c>
      <c r="K1821" t="str">
        <v>I</v>
      </c>
      <c r="L1821" t="str">
        <v xml:space="preserve">mercy
</v>
      </c>
      <c r="M1821" s="4" t="str">
        <f t="shared" si="27"/>
        <v>I</v>
      </c>
      <c r="N1821" s="4" cm="1">
        <f t="array" ref="N1821">SUM(--(_xlfn.TEXTSPLIT($J$1780,, " ") = L1821))</f>
        <v>2</v>
      </c>
    </row>
    <row r="1822" spans="5:14" x14ac:dyDescent="0.2">
      <c r="E1822" s="9" t="s">
        <v>26</v>
      </c>
      <c r="K1822" t="str">
        <v>doubted</v>
      </c>
      <c r="L1822" t="str">
        <v xml:space="preserve">mercy
</v>
      </c>
      <c r="M1822" s="4" t="str">
        <f t="shared" si="27"/>
        <v>doubted</v>
      </c>
      <c r="N1822" s="4" cm="1">
        <f t="array" ref="N1822">SUM(--(_xlfn.TEXTSPLIT($J$1780,, " ") = L1822))</f>
        <v>2</v>
      </c>
    </row>
    <row r="1823" spans="5:14" x14ac:dyDescent="0.2">
      <c r="E1823" s="9" t="s">
        <v>26</v>
      </c>
      <c r="K1823" t="str">
        <v>the</v>
      </c>
      <c r="L1823" t="str">
        <v>Downstairs,</v>
      </c>
      <c r="M1823" s="4" t="str">
        <f t="shared" si="27"/>
        <v>the</v>
      </c>
      <c r="N1823" s="4" cm="1">
        <f t="array" ref="N1823">SUM(--(_xlfn.TEXTSPLIT($J$1780,, " ") = L1823))</f>
        <v>5</v>
      </c>
    </row>
    <row r="1824" spans="5:14" x14ac:dyDescent="0.2">
      <c r="E1824" s="9" t="s">
        <v>26</v>
      </c>
      <c r="K1824" t="str">
        <v xml:space="preserve">start
</v>
      </c>
      <c r="L1824" t="str">
        <v>feel</v>
      </c>
      <c r="M1824" s="4" t="str">
        <f t="shared" si="27"/>
        <v xml:space="preserve">start  </v>
      </c>
      <c r="N1824" s="4" cm="1">
        <f t="array" ref="N1824">SUM(--(_xlfn.TEXTSPLIT($J$1780,, " ") = L1824))</f>
        <v>6</v>
      </c>
    </row>
    <row r="1825" spans="5:14" x14ac:dyDescent="0.2">
      <c r="E1825" s="9" t="s">
        <v>26</v>
      </c>
      <c r="K1825" t="str">
        <v>So</v>
      </c>
      <c r="L1825" t="str">
        <v>better</v>
      </c>
      <c r="M1825" s="4" t="str">
        <f t="shared" si="27"/>
        <v>So</v>
      </c>
      <c r="N1825" s="4" cm="1">
        <f t="array" ref="N1825">SUM(--(_xlfn.TEXTSPLIT($J$1780,, " ") = L1825))</f>
        <v>6</v>
      </c>
    </row>
    <row r="1826" spans="5:14" x14ac:dyDescent="0.2">
      <c r="E1826" s="9" t="s">
        <v>26</v>
      </c>
      <c r="K1826" t="str">
        <v>I'm</v>
      </c>
      <c r="L1826" t="str">
        <v>in</v>
      </c>
      <c r="M1826" s="4" t="str">
        <f t="shared" si="27"/>
        <v>I m</v>
      </c>
      <c r="N1826" s="4" cm="1">
        <f t="array" ref="N1826">SUM(--(_xlfn.TEXTSPLIT($J$1780,, " ") = L1826))</f>
        <v>6</v>
      </c>
    </row>
    <row r="1827" spans="5:14" x14ac:dyDescent="0.2">
      <c r="E1827" s="9" t="s">
        <v>26</v>
      </c>
      <c r="K1827" t="str">
        <v>begging</v>
      </c>
      <c r="L1827" t="str">
        <v xml:space="preserve">cellar
</v>
      </c>
      <c r="M1827" s="4" t="str">
        <f t="shared" si="27"/>
        <v>begging</v>
      </c>
      <c r="N1827" s="4" cm="1">
        <f t="array" ref="N1827">SUM(--(_xlfn.TEXTSPLIT($J$1780,, " ") = L1827))</f>
        <v>5</v>
      </c>
    </row>
    <row r="1828" spans="5:14" x14ac:dyDescent="0.2">
      <c r="E1828" s="9" t="s">
        <v>26</v>
      </c>
      <c r="K1828" t="str">
        <v>oh,</v>
      </c>
      <c r="L1828" t="str">
        <v>Down</v>
      </c>
      <c r="M1828" s="4" t="str">
        <f t="shared" si="27"/>
        <v xml:space="preserve">oh </v>
      </c>
      <c r="N1828" s="4" cm="1">
        <f t="array" ref="N1828">SUM(--(_xlfn.TEXTSPLIT($J$1780,, " ") = L1828))</f>
        <v>7</v>
      </c>
    </row>
    <row r="1829" spans="5:14" x14ac:dyDescent="0.2">
      <c r="E1829" s="9" t="s">
        <v>26</v>
      </c>
      <c r="K1829" t="str">
        <v>oh-oh,</v>
      </c>
      <c r="L1829" t="str">
        <v>there,</v>
      </c>
      <c r="M1829" s="4" t="str">
        <f t="shared" si="27"/>
        <v xml:space="preserve">oh oh </v>
      </c>
      <c r="N1829" s="4" cm="1">
        <f t="array" ref="N1829">SUM(--(_xlfn.TEXTSPLIT($J$1780,, " ") = L1829))</f>
        <v>7</v>
      </c>
    </row>
    <row r="1830" spans="5:14" x14ac:dyDescent="0.2">
      <c r="E1830" s="9" t="s">
        <v>26</v>
      </c>
      <c r="K1830" t="str">
        <v>oh-oh,</v>
      </c>
      <c r="L1830" t="str">
        <v>it's</v>
      </c>
      <c r="M1830" s="4" t="str">
        <f t="shared" si="27"/>
        <v xml:space="preserve">oh oh </v>
      </c>
      <c r="N1830" s="4" cm="1">
        <f t="array" ref="N1830">SUM(--(_xlfn.TEXTSPLIT($J$1780,, " ") = L1830))</f>
        <v>6</v>
      </c>
    </row>
    <row r="1831" spans="5:14" x14ac:dyDescent="0.2">
      <c r="E1831" s="9" t="s">
        <v>26</v>
      </c>
      <c r="K1831" t="str">
        <v xml:space="preserve">mercy
</v>
      </c>
      <c r="L1831" t="str">
        <v>some</v>
      </c>
      <c r="M1831" s="4" t="str">
        <f t="shared" si="27"/>
        <v xml:space="preserve">mercy </v>
      </c>
      <c r="N1831" s="4" cm="1">
        <f t="array" ref="N1831">SUM(--(_xlfn.TEXTSPLIT($J$1780,, " ") = L1831))</f>
        <v>7</v>
      </c>
    </row>
    <row r="1832" spans="5:14" x14ac:dyDescent="0.2">
      <c r="E1832" s="9" t="s">
        <v>26</v>
      </c>
      <c r="K1832" t="str">
        <v>I'm</v>
      </c>
      <c r="L1832" t="str">
        <v>shelter</v>
      </c>
      <c r="M1832" s="4" t="str">
        <f t="shared" si="27"/>
        <v>I m</v>
      </c>
      <c r="N1832" s="4" cm="1">
        <f t="array" ref="N1832">SUM(--(_xlfn.TEXTSPLIT($J$1780,, " ") = L1832))</f>
        <v>7</v>
      </c>
    </row>
    <row r="1833" spans="5:14" x14ac:dyDescent="0.2">
      <c r="E1833" s="9" t="s">
        <v>26</v>
      </c>
      <c r="K1833" t="str">
        <v>begging</v>
      </c>
      <c r="L1833" t="str">
        <v>from</v>
      </c>
      <c r="M1833" s="4" t="str">
        <f t="shared" si="27"/>
        <v>begging</v>
      </c>
      <c r="N1833" s="4" cm="1">
        <f t="array" ref="N1833">SUM(--(_xlfn.TEXTSPLIT($J$1780,, " ") = L1833))</f>
        <v>8</v>
      </c>
    </row>
    <row r="1834" spans="5:14" x14ac:dyDescent="0.2">
      <c r="E1834" s="9" t="s">
        <v>26</v>
      </c>
      <c r="K1834" t="str">
        <v>oh,</v>
      </c>
      <c r="L1834" t="str">
        <v xml:space="preserve">weather
</v>
      </c>
      <c r="M1834" s="4" t="str">
        <f t="shared" si="27"/>
        <v xml:space="preserve">oh </v>
      </c>
      <c r="N1834" s="4" cm="1">
        <f t="array" ref="N1834">SUM(--(_xlfn.TEXTSPLIT($J$1780,, " ") = L1834))</f>
        <v>6</v>
      </c>
    </row>
    <row r="1835" spans="5:14" x14ac:dyDescent="0.2">
      <c r="E1835" s="9" t="s">
        <v>26</v>
      </c>
      <c r="K1835" t="str">
        <v>oh-oh,</v>
      </c>
      <c r="L1835" t="str">
        <v>wear</v>
      </c>
      <c r="M1835" s="4" t="str">
        <f t="shared" ref="M1835:M1898" si="28">_xlfn.REGEXREPLACE(K1835, "[^A-Za-z ]", " ")</f>
        <v xml:space="preserve">oh oh </v>
      </c>
      <c r="N1835" s="4" cm="1">
        <f t="array" ref="N1835">SUM(--(_xlfn.TEXTSPLIT($J$1780,, " ") = L1835))</f>
        <v>7</v>
      </c>
    </row>
    <row r="1836" spans="5:14" x14ac:dyDescent="0.2">
      <c r="E1836" s="9" t="s">
        <v>26</v>
      </c>
      <c r="K1836" t="str">
        <v>oh-oh,</v>
      </c>
      <c r="L1836" t="str">
        <v>of</v>
      </c>
      <c r="M1836" s="4" t="str">
        <f t="shared" si="28"/>
        <v xml:space="preserve">oh oh </v>
      </c>
      <c r="N1836" s="4" cm="1">
        <f t="array" ref="N1836">SUM(--(_xlfn.TEXTSPLIT($J$1780,, " ") = L1836))</f>
        <v>8</v>
      </c>
    </row>
    <row r="1837" spans="5:14" x14ac:dyDescent="0.2">
      <c r="E1837" s="9" t="s">
        <v>26</v>
      </c>
      <c r="K1837" t="str">
        <v xml:space="preserve">mercy
</v>
      </c>
      <c r="L1837" t="str">
        <v>heart</v>
      </c>
      <c r="M1837" s="4" t="str">
        <f t="shared" si="28"/>
        <v xml:space="preserve">mercy  </v>
      </c>
      <c r="N1837" s="4" cm="1">
        <f t="array" ref="N1837">SUM(--(_xlfn.TEXTSPLIT($J$1780,, " ") = L1837))</f>
        <v>7</v>
      </c>
    </row>
    <row r="1838" spans="5:14" x14ac:dyDescent="0.2">
      <c r="E1838" s="9" t="s">
        <v>26</v>
      </c>
      <c r="K1838" t="str">
        <v>Downstairs,</v>
      </c>
      <c r="L1838" t="str">
        <v>on</v>
      </c>
      <c r="M1838" s="4" t="str">
        <f t="shared" si="28"/>
        <v xml:space="preserve">Downstairs </v>
      </c>
      <c r="N1838" s="4" cm="1">
        <f t="array" ref="N1838">SUM(--(_xlfn.TEXTSPLIT($J$1780,, " ") = L1838))</f>
        <v>7</v>
      </c>
    </row>
    <row r="1839" spans="5:14" x14ac:dyDescent="0.2">
      <c r="E1839" s="9" t="s">
        <v>26</v>
      </c>
      <c r="K1839" t="str">
        <v>I</v>
      </c>
      <c r="L1839" t="str">
        <v xml:space="preserve">sleeve
</v>
      </c>
      <c r="M1839" s="4" t="str">
        <f t="shared" si="28"/>
        <v>I</v>
      </c>
      <c r="N1839" s="4" cm="1">
        <f t="array" ref="N1839">SUM(--(_xlfn.TEXTSPLIT($J$1780,, " ") = L1839))</f>
        <v>6</v>
      </c>
    </row>
    <row r="1840" spans="5:14" x14ac:dyDescent="0.2">
      <c r="E1840" s="9" t="s">
        <v>26</v>
      </c>
      <c r="K1840" t="str">
        <v>feel</v>
      </c>
      <c r="L1840" t="str">
        <v>I'll</v>
      </c>
      <c r="M1840" s="4" t="str">
        <f t="shared" si="28"/>
        <v>feel</v>
      </c>
      <c r="N1840" s="4" cm="1">
        <f t="array" ref="N1840">SUM(--(_xlfn.TEXTSPLIT($J$1780,, " ") = L1840))</f>
        <v>7</v>
      </c>
    </row>
    <row r="1841" spans="5:14" x14ac:dyDescent="0.2">
      <c r="E1841" s="9" t="s">
        <v>26</v>
      </c>
      <c r="K1841" t="str">
        <v>better</v>
      </c>
      <c r="L1841" t="str">
        <v>take</v>
      </c>
      <c r="M1841" s="4" t="str">
        <f t="shared" si="28"/>
        <v>better</v>
      </c>
      <c r="N1841" s="4" cm="1">
        <f t="array" ref="N1841">SUM(--(_xlfn.TEXTSPLIT($J$1780,, " ") = L1841))</f>
        <v>7</v>
      </c>
    </row>
    <row r="1842" spans="5:14" x14ac:dyDescent="0.2">
      <c r="E1842" s="9" t="s">
        <v>26</v>
      </c>
      <c r="K1842" t="str">
        <v>in</v>
      </c>
      <c r="L1842" t="str">
        <v>what</v>
      </c>
      <c r="M1842" s="4" t="str">
        <f t="shared" si="28"/>
        <v>in</v>
      </c>
      <c r="N1842" s="4" cm="1">
        <f t="array" ref="N1842">SUM(--(_xlfn.TEXTSPLIT($J$1780,, " ") = L1842))</f>
        <v>8</v>
      </c>
    </row>
    <row r="1843" spans="5:14" x14ac:dyDescent="0.2">
      <c r="E1843" s="9" t="s">
        <v>26</v>
      </c>
      <c r="K1843" t="str">
        <v>the</v>
      </c>
      <c r="L1843" t="str">
        <v>believe,</v>
      </c>
      <c r="M1843" s="4" t="str">
        <f t="shared" si="28"/>
        <v>the</v>
      </c>
      <c r="N1843" s="4" cm="1">
        <f t="array" ref="N1843">SUM(--(_xlfn.TEXTSPLIT($J$1780,, " ") = L1843))</f>
        <v>7</v>
      </c>
    </row>
    <row r="1844" spans="5:14" x14ac:dyDescent="0.2">
      <c r="E1844" s="9" t="s">
        <v>26</v>
      </c>
      <c r="K1844" t="str">
        <v xml:space="preserve">cellar
</v>
      </c>
      <c r="L1844" t="str">
        <v>hiding</v>
      </c>
      <c r="M1844" s="4" t="str">
        <f t="shared" si="28"/>
        <v xml:space="preserve">cellar </v>
      </c>
      <c r="N1844" s="4" cm="1">
        <f t="array" ref="N1844">SUM(--(_xlfn.TEXTSPLIT($J$1780,, " ") = L1844))</f>
        <v>10</v>
      </c>
    </row>
    <row r="1845" spans="5:14" x14ac:dyDescent="0.2">
      <c r="E1845" s="9" t="s">
        <v>26</v>
      </c>
      <c r="K1845" t="str">
        <v>Down</v>
      </c>
      <c r="L1845" t="str">
        <v xml:space="preserve">it
</v>
      </c>
      <c r="M1845" s="4" t="str">
        <f t="shared" si="28"/>
        <v>Down</v>
      </c>
      <c r="N1845" s="4" cm="1">
        <f t="array" ref="N1845">SUM(--(_xlfn.TEXTSPLIT($J$1780,, " ") = L1845))</f>
        <v>4</v>
      </c>
    </row>
    <row r="1846" spans="5:14" x14ac:dyDescent="0.2">
      <c r="E1846" s="9" t="s">
        <v>26</v>
      </c>
      <c r="K1846" t="str">
        <v>there,</v>
      </c>
      <c r="L1846" t="str">
        <v xml:space="preserve">it
</v>
      </c>
      <c r="M1846" s="4" t="str">
        <f t="shared" si="28"/>
        <v xml:space="preserve">there </v>
      </c>
      <c r="N1846" s="4" cm="1">
        <f t="array" ref="N1846">SUM(--(_xlfn.TEXTSPLIT($J$1780,, " ") = L1846))</f>
        <v>2</v>
      </c>
    </row>
    <row r="1847" spans="5:14" x14ac:dyDescent="0.2">
      <c r="E1847" s="9" t="s">
        <v>26</v>
      </c>
      <c r="K1847" t="str">
        <v>it's</v>
      </c>
      <c r="L1847" t="str">
        <v>Feeling</v>
      </c>
      <c r="M1847" s="4" t="str">
        <f t="shared" si="28"/>
        <v>it s</v>
      </c>
      <c r="N1847" s="4" cm="1">
        <f t="array" ref="N1847">SUM(--(_xlfn.TEXTSPLIT($J$1780,, " ") = L1847))</f>
        <v>2</v>
      </c>
    </row>
    <row r="1848" spans="5:14" x14ac:dyDescent="0.2">
      <c r="E1848" s="9" t="s">
        <v>26</v>
      </c>
      <c r="K1848" t="str">
        <v>some</v>
      </c>
      <c r="L1848" t="str">
        <v xml:space="preserve">nothing
</v>
      </c>
      <c r="M1848" s="4" t="str">
        <f t="shared" si="28"/>
        <v>some</v>
      </c>
      <c r="N1848" s="4" cm="1">
        <f t="array" ref="N1848">SUM(--(_xlfn.TEXTSPLIT($J$1780,, " ") = L1848))</f>
        <v>2</v>
      </c>
    </row>
    <row r="1849" spans="5:14" x14ac:dyDescent="0.2">
      <c r="E1849" s="9" t="s">
        <v>26</v>
      </c>
      <c r="K1849" t="str">
        <v>shelter</v>
      </c>
      <c r="L1849" t="str">
        <v>run</v>
      </c>
      <c r="M1849" s="4" t="str">
        <f t="shared" si="28"/>
        <v>shelter</v>
      </c>
      <c r="N1849" s="4" cm="1">
        <f t="array" ref="N1849">SUM(--(_xlfn.TEXTSPLIT($J$1780,, " ") = L1849))</f>
        <v>1</v>
      </c>
    </row>
    <row r="1850" spans="5:14" x14ac:dyDescent="0.2">
      <c r="E1850" s="9" t="s">
        <v>26</v>
      </c>
      <c r="K1850" t="str">
        <v>from</v>
      </c>
      <c r="L1850" t="str">
        <v xml:space="preserve">down
</v>
      </c>
      <c r="M1850" s="4" t="str">
        <f t="shared" si="28"/>
        <v>from</v>
      </c>
      <c r="N1850" s="4" cm="1">
        <f t="array" ref="N1850">SUM(--(_xlfn.TEXTSPLIT($J$1780,, " ") = L1850))</f>
        <v>1</v>
      </c>
    </row>
    <row r="1851" spans="5:14" x14ac:dyDescent="0.2">
      <c r="E1851" s="9" t="s">
        <v>26</v>
      </c>
      <c r="K1851" t="str">
        <v>the</v>
      </c>
      <c r="L1851" t="str">
        <v>Was</v>
      </c>
      <c r="M1851" s="4" t="str">
        <f t="shared" si="28"/>
        <v>the</v>
      </c>
      <c r="N1851" s="4" cm="1">
        <f t="array" ref="N1851">SUM(--(_xlfn.TEXTSPLIT($J$1780,, " ") = L1851))</f>
        <v>1</v>
      </c>
    </row>
    <row r="1852" spans="5:14" x14ac:dyDescent="0.2">
      <c r="E1852" s="9" t="s">
        <v>26</v>
      </c>
      <c r="K1852" t="str">
        <v xml:space="preserve">weather
</v>
      </c>
      <c r="L1852" t="str">
        <v>afraid</v>
      </c>
      <c r="M1852" s="4" t="str">
        <f t="shared" si="28"/>
        <v xml:space="preserve">weather </v>
      </c>
      <c r="N1852" s="4" cm="1">
        <f t="array" ref="N1852">SUM(--(_xlfn.TEXTSPLIT($J$1780,, " ") = L1852))</f>
        <v>1</v>
      </c>
    </row>
    <row r="1853" spans="5:14" x14ac:dyDescent="0.2">
      <c r="E1853" s="9" t="s">
        <v>26</v>
      </c>
      <c r="K1853" t="str">
        <v>I</v>
      </c>
      <c r="L1853" t="str">
        <v>Now</v>
      </c>
      <c r="M1853" s="4" t="str">
        <f t="shared" si="28"/>
        <v>I</v>
      </c>
      <c r="N1853" s="4" cm="1">
        <f t="array" ref="N1853">SUM(--(_xlfn.TEXTSPLIT($J$1780,, " ") = L1853))</f>
        <v>1</v>
      </c>
    </row>
    <row r="1854" spans="5:14" x14ac:dyDescent="0.2">
      <c r="E1854" s="9" t="s">
        <v>26</v>
      </c>
      <c r="K1854" t="str">
        <v>wear</v>
      </c>
      <c r="L1854" t="str">
        <v>just</v>
      </c>
      <c r="M1854" s="4" t="str">
        <f t="shared" si="28"/>
        <v>wear</v>
      </c>
      <c r="N1854" s="4" cm="1">
        <f t="array" ref="N1854">SUM(--(_xlfn.TEXTSPLIT($J$1780,, " ") = L1854))</f>
        <v>1</v>
      </c>
    </row>
    <row r="1855" spans="5:14" x14ac:dyDescent="0.2">
      <c r="E1855" s="9" t="s">
        <v>26</v>
      </c>
      <c r="K1855" t="str">
        <v>all</v>
      </c>
      <c r="L1855" t="str">
        <v>ashamed</v>
      </c>
      <c r="M1855" s="4" t="str">
        <f t="shared" si="28"/>
        <v>all</v>
      </c>
      <c r="N1855" s="4" cm="1">
        <f t="array" ref="N1855">SUM(--(_xlfn.TEXTSPLIT($J$1780,, " ") = L1855))</f>
        <v>1</v>
      </c>
    </row>
    <row r="1856" spans="5:14" x14ac:dyDescent="0.2">
      <c r="E1856" s="9" t="s">
        <v>26</v>
      </c>
      <c r="K1856" t="str">
        <v>of</v>
      </c>
      <c r="L1856" t="str">
        <v xml:space="preserve">how
</v>
      </c>
      <c r="M1856" s="4" t="str">
        <f t="shared" si="28"/>
        <v>of</v>
      </c>
      <c r="N1856" s="4" cm="1">
        <f t="array" ref="N1856">SUM(--(_xlfn.TEXTSPLIT($J$1780,, " ") = L1856))</f>
        <v>1</v>
      </c>
    </row>
    <row r="1857" spans="5:14" x14ac:dyDescent="0.2">
      <c r="E1857" s="9" t="s">
        <v>26</v>
      </c>
      <c r="K1857" t="str">
        <v>my</v>
      </c>
      <c r="L1857" t="str">
        <v>hide</v>
      </c>
      <c r="M1857" s="4" t="str">
        <f t="shared" si="28"/>
        <v>my</v>
      </c>
      <c r="N1857" s="4" cm="1">
        <f t="array" ref="N1857">SUM(--(_xlfn.TEXTSPLIT($J$1780,, " ") = L1857))</f>
        <v>1</v>
      </c>
    </row>
    <row r="1858" spans="5:14" x14ac:dyDescent="0.2">
      <c r="E1858" s="9" t="s">
        <v>26</v>
      </c>
      <c r="K1858" t="str">
        <v>heart</v>
      </c>
      <c r="L1858" t="str">
        <v>face</v>
      </c>
      <c r="M1858" s="4" t="str">
        <f t="shared" si="28"/>
        <v>heart</v>
      </c>
      <c r="N1858" s="4" cm="1">
        <f t="array" ref="N1858">SUM(--(_xlfn.TEXTSPLIT($J$1780,, " ") = L1858))</f>
        <v>1</v>
      </c>
    </row>
    <row r="1859" spans="5:14" x14ac:dyDescent="0.2">
      <c r="E1859" s="9" t="s">
        <v>26</v>
      </c>
      <c r="K1859" t="str">
        <v>on</v>
      </c>
      <c r="L1859" t="str">
        <v xml:space="preserve">you
</v>
      </c>
      <c r="M1859" s="4" t="str">
        <f t="shared" si="28"/>
        <v>on</v>
      </c>
      <c r="N1859" s="4" cm="1">
        <f t="array" ref="N1859">SUM(--(_xlfn.TEXTSPLIT($J$1780,, " ") = L1859))</f>
        <v>1</v>
      </c>
    </row>
    <row r="1860" spans="5:14" x14ac:dyDescent="0.2">
      <c r="E1860" s="9" t="s">
        <v>26</v>
      </c>
      <c r="K1860" t="str">
        <v>my</v>
      </c>
      <c r="L1860" t="str">
        <v xml:space="preserve">become?
</v>
      </c>
      <c r="M1860" s="4" t="str">
        <f t="shared" si="28"/>
        <v>my</v>
      </c>
      <c r="N1860" s="4" cm="1">
        <f t="array" ref="N1860">SUM(--(_xlfn.TEXTSPLIT($J$1780,, " ") = L1860))</f>
        <v>1</v>
      </c>
    </row>
    <row r="1861" spans="5:14" x14ac:dyDescent="0.2">
      <c r="E1861" s="9" t="s">
        <v>26</v>
      </c>
      <c r="K1861" t="str">
        <v xml:space="preserve">sleeve
</v>
      </c>
      <c r="L1861" t="str">
        <v>Dirty</v>
      </c>
      <c r="M1861" s="4" t="str">
        <f t="shared" si="28"/>
        <v xml:space="preserve">sleeve </v>
      </c>
      <c r="N1861" s="4" cm="1">
        <f t="array" ref="N1861">SUM(--(_xlfn.TEXTSPLIT($J$1780,, " ") = L1861))</f>
        <v>1</v>
      </c>
    </row>
    <row r="1862" spans="5:14" x14ac:dyDescent="0.2">
      <c r="E1862" s="9" t="s">
        <v>26</v>
      </c>
      <c r="K1862" t="str">
        <v>I'll</v>
      </c>
      <c r="L1862" t="str">
        <v>wretched</v>
      </c>
      <c r="M1862" s="4" t="str">
        <f t="shared" si="28"/>
        <v>I ll</v>
      </c>
      <c r="N1862" s="4" cm="1">
        <f t="array" ref="N1862">SUM(--(_xlfn.TEXTSPLIT($J$1780,, " ") = L1862))</f>
        <v>1</v>
      </c>
    </row>
    <row r="1863" spans="5:14" x14ac:dyDescent="0.2">
      <c r="E1863" s="9" t="s">
        <v>26</v>
      </c>
      <c r="K1863" t="str">
        <v>take</v>
      </c>
      <c r="L1863" t="str">
        <v xml:space="preserve">one
</v>
      </c>
      <c r="M1863" s="4" t="str">
        <f t="shared" si="28"/>
        <v>take</v>
      </c>
      <c r="N1863" s="4" cm="1">
        <f t="array" ref="N1863">SUM(--(_xlfn.TEXTSPLIT($J$1780,, " ") = L1863))</f>
        <v>1</v>
      </c>
    </row>
    <row r="1864" spans="5:14" x14ac:dyDescent="0.2">
      <c r="E1864" s="9" t="s">
        <v>26</v>
      </c>
      <c r="K1864" t="str">
        <v>what</v>
      </c>
      <c r="L1864" t="str">
        <v>Am</v>
      </c>
      <c r="M1864" s="4" t="str">
        <f t="shared" si="28"/>
        <v>what</v>
      </c>
      <c r="N1864" s="4" cm="1">
        <f t="array" ref="N1864">SUM(--(_xlfn.TEXTSPLIT($J$1780,, " ") = L1864))</f>
        <v>1</v>
      </c>
    </row>
    <row r="1865" spans="5:14" x14ac:dyDescent="0.2">
      <c r="E1865" s="9" t="s">
        <v>26</v>
      </c>
      <c r="K1865" t="str">
        <v>I</v>
      </c>
      <c r="L1865" t="str">
        <v>unholy</v>
      </c>
      <c r="M1865" s="4" t="str">
        <f t="shared" si="28"/>
        <v>I</v>
      </c>
      <c r="N1865" s="4" cm="1">
        <f t="array" ref="N1865">SUM(--(_xlfn.TEXTSPLIT($J$1780,, " ") = L1865))</f>
        <v>1</v>
      </c>
    </row>
    <row r="1866" spans="5:14" x14ac:dyDescent="0.2">
      <c r="E1866" s="9" t="s">
        <v>26</v>
      </c>
      <c r="K1866" t="str">
        <v>believe,</v>
      </c>
      <c r="L1866" t="str">
        <v xml:space="preserve">man?
</v>
      </c>
      <c r="M1866" s="4" t="str">
        <f t="shared" si="28"/>
        <v xml:space="preserve">believe </v>
      </c>
      <c r="N1866" s="4" cm="1">
        <f t="array" ref="N1866">SUM(--(_xlfn.TEXTSPLIT($J$1780,, " ") = L1866))</f>
        <v>1</v>
      </c>
    </row>
    <row r="1867" spans="5:14" x14ac:dyDescent="0.2">
      <c r="E1867" s="9" t="s">
        <v>26</v>
      </c>
      <c r="K1867" t="str">
        <v>and</v>
      </c>
      <c r="L1867" t="str">
        <v>forced</v>
      </c>
      <c r="M1867" s="4" t="str">
        <f t="shared" si="28"/>
        <v>and</v>
      </c>
      <c r="N1867" s="4" cm="1">
        <f t="array" ref="N1867">SUM(--(_xlfn.TEXTSPLIT($J$1780,, " ") = L1867))</f>
        <v>1</v>
      </c>
    </row>
    <row r="1868" spans="5:14" x14ac:dyDescent="0.2">
      <c r="E1868" s="9" t="s">
        <v>26</v>
      </c>
      <c r="K1868" t="str">
        <v>I'm</v>
      </c>
      <c r="L1868" t="str">
        <v xml:space="preserve">hand?
</v>
      </c>
      <c r="M1868" s="4" t="str">
        <f t="shared" si="28"/>
        <v>I m</v>
      </c>
      <c r="N1868" s="4" cm="1">
        <f t="array" ref="N1868">SUM(--(_xlfn.TEXTSPLIT($J$1780,, " ") = L1868))</f>
        <v>1</v>
      </c>
    </row>
    <row r="1869" spans="5:14" x14ac:dyDescent="0.2">
      <c r="E1869" s="9" t="s">
        <v>26</v>
      </c>
      <c r="K1869" t="str">
        <v>hiding</v>
      </c>
      <c r="L1869" t="str">
        <v>woah-oh,</v>
      </c>
      <c r="M1869" s="4" t="str">
        <f t="shared" si="28"/>
        <v>hiding</v>
      </c>
      <c r="N1869" s="4" cm="1">
        <f t="array" ref="N1869">SUM(--(_xlfn.TEXTSPLIT($J$1780,, " ") = L1869))</f>
        <v>4</v>
      </c>
    </row>
    <row r="1870" spans="5:14" x14ac:dyDescent="0.2">
      <c r="E1870" s="9" t="s">
        <v>26</v>
      </c>
      <c r="K1870" t="str">
        <v xml:space="preserve">it
</v>
      </c>
      <c r="L1870" t="str">
        <v>mercy,</v>
      </c>
      <c r="M1870" s="4" t="str">
        <f t="shared" si="28"/>
        <v xml:space="preserve">it </v>
      </c>
      <c r="N1870" s="4" cm="1">
        <f t="array" ref="N1870">SUM(--(_xlfn.TEXTSPLIT($J$1780,, " ") = L1870))</f>
        <v>2</v>
      </c>
    </row>
    <row r="1871" spans="5:14" x14ac:dyDescent="0.2">
      <c r="E1871" s="9" t="s">
        <v>26</v>
      </c>
      <c r="K1871" t="str">
        <v>Downstairs,</v>
      </c>
      <c r="L1871" t="str">
        <v xml:space="preserve">yeah
</v>
      </c>
      <c r="M1871" s="4" t="str">
        <f t="shared" si="28"/>
        <v xml:space="preserve">Downstairs </v>
      </c>
      <c r="N1871" s="4" cm="1">
        <f t="array" ref="N1871">SUM(--(_xlfn.TEXTSPLIT($J$1780,, " ") = L1871))</f>
        <v>1</v>
      </c>
    </row>
    <row r="1872" spans="5:14" x14ac:dyDescent="0.2">
      <c r="E1872" s="9" t="s">
        <v>26</v>
      </c>
      <c r="K1872" t="str">
        <v>I</v>
      </c>
      <c r="L1872" t="str">
        <v xml:space="preserve">yeah
</v>
      </c>
      <c r="M1872" s="4" t="str">
        <f t="shared" si="28"/>
        <v>I</v>
      </c>
      <c r="N1872" s="4" cm="1">
        <f t="array" ref="N1872">SUM(--(_xlfn.TEXTSPLIT($J$1780,, " ") = L1872))</f>
        <v>1</v>
      </c>
    </row>
    <row r="1873" spans="5:14" x14ac:dyDescent="0.2">
      <c r="E1873" s="9" t="s">
        <v>26</v>
      </c>
      <c r="K1873" t="str">
        <v>feel</v>
      </c>
      <c r="L1873" t="str">
        <v>Downstairs</v>
      </c>
      <c r="M1873" s="4" t="str">
        <f t="shared" si="28"/>
        <v>feel</v>
      </c>
      <c r="N1873" s="4" cm="1">
        <f t="array" ref="N1873">SUM(--(_xlfn.TEXTSPLIT($J$1780,, " ") = L1873))</f>
        <v>1</v>
      </c>
    </row>
    <row r="1874" spans="5:14" x14ac:dyDescent="0.2">
      <c r="E1874" s="9" t="s">
        <v>26</v>
      </c>
      <c r="K1874" t="str">
        <v>better</v>
      </c>
      <c r="L1874" t="str">
        <v>(You</v>
      </c>
      <c r="M1874" s="4" t="str">
        <f t="shared" si="28"/>
        <v>better</v>
      </c>
      <c r="N1874" s="4" cm="1">
        <f t="array" ref="N1874">SUM(--(_xlfn.TEXTSPLIT($J$1780,, " ") = L1874))</f>
        <v>2</v>
      </c>
    </row>
    <row r="1875" spans="5:14" x14ac:dyDescent="0.2">
      <c r="E1875" s="9" t="s">
        <v>26</v>
      </c>
      <c r="K1875" t="str">
        <v>in</v>
      </c>
      <c r="L1875" t="str">
        <v>have),</v>
      </c>
      <c r="M1875" s="4" t="str">
        <f t="shared" si="28"/>
        <v>in</v>
      </c>
      <c r="N1875" s="4" cm="1">
        <f t="array" ref="N1875">SUM(--(_xlfn.TEXTSPLIT($J$1780,, " ") = L1875))</f>
        <v>1</v>
      </c>
    </row>
    <row r="1876" spans="5:14" x14ac:dyDescent="0.2">
      <c r="E1876" s="9" t="s">
        <v>26</v>
      </c>
      <c r="K1876" t="str">
        <v>the</v>
      </c>
      <c r="L1876" t="str">
        <v>cellar</v>
      </c>
      <c r="M1876" s="4" t="str">
        <f t="shared" si="28"/>
        <v>the</v>
      </c>
      <c r="N1876" s="4" cm="1">
        <f t="array" ref="N1876">SUM(--(_xlfn.TEXTSPLIT($J$1780,, " ") = L1876))</f>
        <v>1</v>
      </c>
    </row>
    <row r="1877" spans="5:14" x14ac:dyDescent="0.2">
      <c r="E1877" s="9" t="s">
        <v>26</v>
      </c>
      <c r="K1877" t="str">
        <v xml:space="preserve">cellar
</v>
      </c>
      <c r="L1877" t="str">
        <v>(All</v>
      </c>
      <c r="M1877" s="4" t="str">
        <f t="shared" si="28"/>
        <v xml:space="preserve">cellar </v>
      </c>
      <c r="N1877" s="4" cm="1">
        <f t="array" ref="N1877">SUM(--(_xlfn.TEXTSPLIT($J$1780,, " ") = L1877))</f>
        <v>2</v>
      </c>
    </row>
    <row r="1878" spans="5:14" x14ac:dyDescent="0.2">
      <c r="E1878" s="9" t="s">
        <v>26</v>
      </c>
      <c r="K1878" t="str">
        <v>Down</v>
      </c>
      <c r="L1878" t="str">
        <v xml:space="preserve">made)
</v>
      </c>
      <c r="M1878" s="4" t="str">
        <f t="shared" si="28"/>
        <v>Down</v>
      </c>
      <c r="N1878" s="4" cm="1">
        <f t="array" ref="N1878">SUM(--(_xlfn.TEXTSPLIT($J$1780,, " ") = L1878))</f>
        <v>1</v>
      </c>
    </row>
    <row r="1879" spans="5:14" x14ac:dyDescent="0.2">
      <c r="E1879" s="9" t="s">
        <v>26</v>
      </c>
      <c r="K1879" t="str">
        <v>there,</v>
      </c>
      <c r="L1879" t="str">
        <v>need</v>
      </c>
      <c r="M1879" s="4" t="str">
        <f t="shared" si="28"/>
        <v xml:space="preserve">there </v>
      </c>
      <c r="N1879" s="4" cm="1">
        <f t="array" ref="N1879">SUM(--(_xlfn.TEXTSPLIT($J$1780,, " ") = L1879))</f>
        <v>1</v>
      </c>
    </row>
    <row r="1880" spans="5:14" x14ac:dyDescent="0.2">
      <c r="E1880" s="9" t="s">
        <v>26</v>
      </c>
      <c r="K1880" t="str">
        <v>it's</v>
      </c>
      <c r="L1880" t="str">
        <v>weather</v>
      </c>
      <c r="M1880" s="4" t="str">
        <f t="shared" si="28"/>
        <v>it s</v>
      </c>
      <c r="N1880" s="4" cm="1">
        <f t="array" ref="N1880">SUM(--(_xlfn.TEXTSPLIT($J$1780,, " ") = L1880))</f>
        <v>1</v>
      </c>
    </row>
    <row r="1881" spans="5:14" x14ac:dyDescent="0.2">
      <c r="E1881" s="9" t="s">
        <v>26</v>
      </c>
      <c r="K1881" t="str">
        <v>some</v>
      </c>
      <c r="L1881" t="str">
        <v xml:space="preserve">known)
</v>
      </c>
      <c r="M1881" s="4" t="str">
        <f t="shared" si="28"/>
        <v>some</v>
      </c>
      <c r="N1881" s="4" cm="1">
        <f t="array" ref="N1881">SUM(--(_xlfn.TEXTSPLIT($J$1780,, " ") = L1881))</f>
        <v>1</v>
      </c>
    </row>
    <row r="1882" spans="5:14" x14ac:dyDescent="0.2">
      <c r="E1882" s="9" t="s">
        <v>26</v>
      </c>
      <c r="K1882" t="str">
        <v>shelter</v>
      </c>
      <c r="L1882" t="str">
        <v>have)</v>
      </c>
      <c r="M1882" s="4" t="str">
        <f t="shared" si="28"/>
        <v>shelter</v>
      </c>
      <c r="N1882" s="4" cm="1">
        <f t="array" ref="N1882">SUM(--(_xlfn.TEXTSPLIT($J$1780,, " ") = L1882))</f>
        <v>1</v>
      </c>
    </row>
    <row r="1883" spans="5:14" x14ac:dyDescent="0.2">
      <c r="E1883" s="9" t="s">
        <v>26</v>
      </c>
      <c r="K1883" t="str">
        <v>from</v>
      </c>
      <c r="L1883" t="str">
        <v>sleeve</v>
      </c>
      <c r="M1883" s="4" t="str">
        <f t="shared" si="28"/>
        <v>from</v>
      </c>
      <c r="N1883" s="4" cm="1">
        <f t="array" ref="N1883">SUM(--(_xlfn.TEXTSPLIT($J$1780,, " ") = L1883))</f>
        <v>1</v>
      </c>
    </row>
    <row r="1884" spans="5:14" x14ac:dyDescent="0.2">
      <c r="E1884" s="9" t="s">
        <v>26</v>
      </c>
      <c r="K1884" t="str">
        <v>the</v>
      </c>
      <c r="L1884" t="str">
        <v>(Both</v>
      </c>
      <c r="M1884" s="4" t="str">
        <f t="shared" si="28"/>
        <v>the</v>
      </c>
      <c r="N1884" s="4" cm="1">
        <f t="array" ref="N1884">SUM(--(_xlfn.TEXTSPLIT($J$1780,, " ") = L1884))</f>
        <v>1</v>
      </c>
    </row>
    <row r="1885" spans="5:14" x14ac:dyDescent="0.2">
      <c r="E1885" s="9" t="s">
        <v>26</v>
      </c>
      <c r="K1885" t="str">
        <v xml:space="preserve">weather
</v>
      </c>
      <c r="L1885" t="str">
        <v xml:space="preserve">lungs)
</v>
      </c>
      <c r="M1885" s="4" t="str">
        <f t="shared" si="28"/>
        <v xml:space="preserve">weather </v>
      </c>
      <c r="N1885" s="4" cm="1">
        <f t="array" ref="N1885">SUM(--(_xlfn.TEXTSPLIT($J$1780,, " ") = L1885))</f>
        <v>1</v>
      </c>
    </row>
    <row r="1886" spans="5:14" x14ac:dyDescent="0.2">
      <c r="E1886" s="9" t="s">
        <v>26</v>
      </c>
      <c r="K1886" t="str">
        <v>I</v>
      </c>
      <c r="L1886" t="str">
        <v>it,</v>
      </c>
      <c r="M1886" s="4" t="str">
        <f t="shared" si="28"/>
        <v>I</v>
      </c>
      <c r="N1886" s="4" cm="1">
        <f t="array" ref="N1886">SUM(--(_xlfn.TEXTSPLIT($J$1780,, " ") = L1886))</f>
        <v>4</v>
      </c>
    </row>
    <row r="1887" spans="5:14" x14ac:dyDescent="0.2">
      <c r="E1887" s="9" t="s">
        <v>26</v>
      </c>
      <c r="K1887" t="str">
        <v>wear</v>
      </c>
      <c r="L1887" t="str">
        <v>yeah</v>
      </c>
      <c r="M1887" s="4" t="str">
        <f t="shared" si="28"/>
        <v>wear</v>
      </c>
      <c r="N1887" s="4" cm="1">
        <f t="array" ref="N1887">SUM(--(_xlfn.TEXTSPLIT($J$1780,, " ") = L1887))</f>
        <v>3</v>
      </c>
    </row>
    <row r="1888" spans="5:14" x14ac:dyDescent="0.2">
      <c r="E1888" s="9" t="s">
        <v>26</v>
      </c>
      <c r="K1888" t="str">
        <v>all</v>
      </c>
      <c r="L1888" t="str">
        <v>(If</v>
      </c>
      <c r="M1888" s="4" t="str">
        <f t="shared" si="28"/>
        <v>all</v>
      </c>
      <c r="N1888" s="4" cm="1">
        <f t="array" ref="N1888">SUM(--(_xlfn.TEXTSPLIT($J$1780,, " ") = L1888))</f>
        <v>1</v>
      </c>
    </row>
    <row r="1889" spans="5:14" x14ac:dyDescent="0.2">
      <c r="E1889" s="9" t="s">
        <v>26</v>
      </c>
      <c r="K1889" t="str">
        <v>of</v>
      </c>
      <c r="L1889" t="str">
        <v>so,</v>
      </c>
      <c r="M1889" s="4" t="str">
        <f t="shared" si="28"/>
        <v>of</v>
      </c>
      <c r="N1889" s="4" cm="1">
        <f t="array" ref="N1889">SUM(--(_xlfn.TEXTSPLIT($J$1780,, " ") = L1889))</f>
        <v>1</v>
      </c>
    </row>
    <row r="1890" spans="5:14" x14ac:dyDescent="0.2">
      <c r="E1890" s="9" t="s">
        <v>26</v>
      </c>
      <c r="K1890" t="str">
        <v>my</v>
      </c>
      <c r="L1890" t="str">
        <v xml:space="preserve">oh)
</v>
      </c>
      <c r="M1890" s="4" t="str">
        <f t="shared" si="28"/>
        <v>my</v>
      </c>
      <c r="N1890" s="4" cm="1">
        <f t="array" ref="N1890">SUM(--(_xlfn.TEXTSPLIT($J$1780,, " ") = L1890))</f>
        <v>1</v>
      </c>
    </row>
    <row r="1891" spans="5:14" x14ac:dyDescent="0.2">
      <c r="E1891" s="9" t="s">
        <v>26</v>
      </c>
      <c r="K1891" t="str">
        <v>heart</v>
      </c>
      <c r="L1891" t="str">
        <v>('Cause</v>
      </c>
      <c r="M1891" s="4" t="str">
        <f t="shared" si="28"/>
        <v>heart</v>
      </c>
      <c r="N1891" s="4" cm="1">
        <f t="array" ref="N1891">SUM(--(_xlfn.TEXTSPLIT($J$1780,, " ") = L1891))</f>
        <v>1</v>
      </c>
    </row>
    <row r="1892" spans="5:14" x14ac:dyDescent="0.2">
      <c r="E1892" s="9" t="s">
        <v>26</v>
      </c>
      <c r="K1892" t="str">
        <v>on</v>
      </c>
      <c r="L1892" t="str">
        <v xml:space="preserve">one)
</v>
      </c>
      <c r="M1892" s="4" t="str">
        <f t="shared" si="28"/>
        <v>on</v>
      </c>
      <c r="N1892" s="4" cm="1">
        <f t="array" ref="N1892">SUM(--(_xlfn.TEXTSPLIT($J$1780,, " ") = L1892))</f>
        <v>1</v>
      </c>
    </row>
    <row r="1893" spans="5:14" x14ac:dyDescent="0.2">
      <c r="E1893" s="9" t="s">
        <v>26</v>
      </c>
      <c r="K1893" t="str">
        <v>my</v>
      </c>
      <c r="L1893" t="str">
        <v>(After</v>
      </c>
      <c r="M1893" s="4" t="str">
        <f t="shared" si="28"/>
        <v>my</v>
      </c>
      <c r="N1893" s="4" cm="1">
        <f t="array" ref="N1893">SUM(--(_xlfn.TEXTSPLIT($J$1780,, " ") = L1893))</f>
        <v>1</v>
      </c>
    </row>
    <row r="1894" spans="5:14" x14ac:dyDescent="0.2">
      <c r="E1894" s="9" t="s">
        <v>26</v>
      </c>
      <c r="K1894" t="str">
        <v xml:space="preserve">sleeve
</v>
      </c>
      <c r="L1894" t="str">
        <v xml:space="preserve">heart)
</v>
      </c>
      <c r="M1894" s="4" t="str">
        <f t="shared" si="28"/>
        <v xml:space="preserve">sleeve </v>
      </c>
      <c r="N1894" s="4" cm="1">
        <f t="array" ref="N1894">SUM(--(_xlfn.TEXTSPLIT($J$1780,, " ") = L1894))</f>
        <v>1</v>
      </c>
    </row>
    <row r="1895" spans="5:14" x14ac:dyDescent="0.2">
      <c r="E1895" s="9" t="s">
        <v>26</v>
      </c>
      <c r="K1895" t="str">
        <v>I'll</v>
      </c>
      <c r="L1895" t="str">
        <v>yeah,</v>
      </c>
      <c r="M1895" s="4" t="str">
        <f t="shared" si="28"/>
        <v>I ll</v>
      </c>
      <c r="N1895" s="4" cm="1">
        <f t="array" ref="N1895">SUM(--(_xlfn.TEXTSPLIT($J$1780,, " ") = L1895))</f>
        <v>1</v>
      </c>
    </row>
    <row r="1896" spans="5:14" x14ac:dyDescent="0.2">
      <c r="E1896" s="9" t="s">
        <v>26</v>
      </c>
      <c r="K1896" t="str">
        <v>take</v>
      </c>
      <c r="L1896" t="str">
        <v>oh</v>
      </c>
      <c r="M1896" s="4" t="str">
        <f t="shared" si="28"/>
        <v>take</v>
      </c>
      <c r="N1896" s="4" cm="1">
        <f t="array" ref="N1896">SUM(--(_xlfn.TEXTSPLIT($J$1780,, " ") = L1896))</f>
        <v>1</v>
      </c>
    </row>
    <row r="1897" spans="5:14" x14ac:dyDescent="0.2">
      <c r="E1897" s="9" t="s">
        <v>26</v>
      </c>
      <c r="K1897" t="str">
        <v>what</v>
      </c>
      <c r="L1897" t="str">
        <v>(And</v>
      </c>
      <c r="M1897" s="4" t="str">
        <f t="shared" si="28"/>
        <v>what</v>
      </c>
      <c r="N1897" s="4" cm="1">
        <f t="array" ref="N1897">SUM(--(_xlfn.TEXTSPLIT($J$1780,, " ") = L1897))</f>
        <v>1</v>
      </c>
    </row>
    <row r="1898" spans="5:14" x14ac:dyDescent="0.2">
      <c r="E1898" s="9" t="s">
        <v>26</v>
      </c>
      <c r="K1898" t="str">
        <v>I</v>
      </c>
      <c r="L1898" t="str">
        <v xml:space="preserve">start)
</v>
      </c>
      <c r="M1898" s="4" t="str">
        <f t="shared" si="28"/>
        <v>I</v>
      </c>
      <c r="N1898" s="4" cm="1">
        <f t="array" ref="N1898">SUM(--(_xlfn.TEXTSPLIT($J$1780,, " ") = L1898))</f>
        <v>1</v>
      </c>
    </row>
    <row r="1899" spans="5:14" x14ac:dyDescent="0.2">
      <c r="E1899" s="9" t="s">
        <v>26</v>
      </c>
      <c r="K1899" t="str">
        <v>believe,</v>
      </c>
      <c r="L1899" t="str">
        <v>start</v>
      </c>
      <c r="M1899" s="4" t="str">
        <f t="shared" ref="M1899:M1962" si="29">_xlfn.REGEXREPLACE(K1899, "[^A-Za-z ]", " ")</f>
        <v xml:space="preserve">believe </v>
      </c>
      <c r="N1899" s="4" cm="1">
        <f t="array" ref="N1899">SUM(--(_xlfn.TEXTSPLIT($J$1780,, " ") = L1899))</f>
        <v>1</v>
      </c>
    </row>
    <row r="1900" spans="5:14" x14ac:dyDescent="0.2">
      <c r="E1900" s="9" t="s">
        <v>26</v>
      </c>
      <c r="K1900" t="str">
        <v>and</v>
      </c>
      <c r="M1900" s="4" t="str">
        <f t="shared" si="29"/>
        <v>and</v>
      </c>
      <c r="N1900" s="4" cm="1">
        <f t="array" ref="N1900">SUM(--(_xlfn.TEXTSPLIT($J$1780,, " ") = L1900))</f>
        <v>1</v>
      </c>
    </row>
    <row r="1901" spans="5:14" x14ac:dyDescent="0.2">
      <c r="E1901" s="9" t="s">
        <v>26</v>
      </c>
      <c r="K1901" t="str">
        <v>I'm</v>
      </c>
      <c r="M1901" s="4" t="str">
        <f t="shared" si="29"/>
        <v>I m</v>
      </c>
      <c r="N1901" s="4" cm="1">
        <f t="array" ref="N1901">SUM(--(_xlfn.TEXTSPLIT($J$1780,, " ") = L1901))</f>
        <v>1</v>
      </c>
    </row>
    <row r="1902" spans="5:14" x14ac:dyDescent="0.2">
      <c r="E1902" s="9" t="s">
        <v>26</v>
      </c>
      <c r="K1902" t="str">
        <v>hiding</v>
      </c>
      <c r="M1902" s="4" t="str">
        <f t="shared" si="29"/>
        <v>hiding</v>
      </c>
      <c r="N1902" s="4" cm="1">
        <f t="array" ref="N1902">SUM(--(_xlfn.TEXTSPLIT($J$1780,, " ") = L1902))</f>
        <v>1</v>
      </c>
    </row>
    <row r="1903" spans="5:14" x14ac:dyDescent="0.2">
      <c r="E1903" s="9" t="s">
        <v>26</v>
      </c>
      <c r="K1903" t="str">
        <v xml:space="preserve">it
</v>
      </c>
      <c r="M1903" s="4" t="str">
        <f t="shared" si="29"/>
        <v xml:space="preserve">it  </v>
      </c>
      <c r="N1903" s="4" cm="1">
        <f t="array" ref="N1903">SUM(--(_xlfn.TEXTSPLIT($J$1780,, " ") = L1903))</f>
        <v>1</v>
      </c>
    </row>
    <row r="1904" spans="5:14" x14ac:dyDescent="0.2">
      <c r="E1904" s="9" t="s">
        <v>26</v>
      </c>
      <c r="K1904" t="str">
        <v>Feeling</v>
      </c>
      <c r="M1904" s="4" t="str">
        <f t="shared" si="29"/>
        <v>Feeling</v>
      </c>
      <c r="N1904" s="4" cm="1">
        <f t="array" ref="N1904">SUM(--(_xlfn.TEXTSPLIT($J$1780,, " ") = L1904))</f>
        <v>1</v>
      </c>
    </row>
    <row r="1905" spans="5:14" x14ac:dyDescent="0.2">
      <c r="E1905" s="9" t="s">
        <v>26</v>
      </c>
      <c r="K1905" t="str">
        <v>like</v>
      </c>
      <c r="M1905" s="4" t="str">
        <f t="shared" si="29"/>
        <v>like</v>
      </c>
      <c r="N1905" s="4" cm="1">
        <f t="array" ref="N1905">SUM(--(_xlfn.TEXTSPLIT($J$1780,, " ") = L1905))</f>
        <v>1</v>
      </c>
    </row>
    <row r="1906" spans="5:14" x14ac:dyDescent="0.2">
      <c r="E1906" s="9" t="s">
        <v>26</v>
      </c>
      <c r="K1906" t="str">
        <v>I'm</v>
      </c>
      <c r="M1906" s="4" t="str">
        <f t="shared" si="29"/>
        <v>I m</v>
      </c>
      <c r="N1906" s="4" cm="1">
        <f t="array" ref="N1906">SUM(--(_xlfn.TEXTSPLIT($J$1780,, " ") = L1906))</f>
        <v>1</v>
      </c>
    </row>
    <row r="1907" spans="5:14" x14ac:dyDescent="0.2">
      <c r="E1907" s="9" t="s">
        <v>26</v>
      </c>
      <c r="K1907" t="str">
        <v xml:space="preserve">nothing
</v>
      </c>
      <c r="M1907" s="4" t="str">
        <f t="shared" si="29"/>
        <v xml:space="preserve">nothing </v>
      </c>
      <c r="N1907" s="4" cm="1">
        <f t="array" ref="N1907">SUM(--(_xlfn.TEXTSPLIT($J$1780,, " ") = L1907))</f>
        <v>1</v>
      </c>
    </row>
    <row r="1908" spans="5:14" x14ac:dyDescent="0.2">
      <c r="E1908" s="9" t="s">
        <v>26</v>
      </c>
      <c r="K1908" t="str">
        <v>Feeling</v>
      </c>
      <c r="M1908" s="4" t="str">
        <f t="shared" si="29"/>
        <v>Feeling</v>
      </c>
      <c r="N1908" s="4" cm="1">
        <f t="array" ref="N1908">SUM(--(_xlfn.TEXTSPLIT($J$1780,, " ") = L1908))</f>
        <v>1</v>
      </c>
    </row>
    <row r="1909" spans="5:14" x14ac:dyDescent="0.2">
      <c r="E1909" s="9" t="s">
        <v>26</v>
      </c>
      <c r="K1909" t="str">
        <v>like</v>
      </c>
      <c r="M1909" s="4" t="str">
        <f t="shared" si="29"/>
        <v>like</v>
      </c>
      <c r="N1909" s="4" cm="1">
        <f t="array" ref="N1909">SUM(--(_xlfn.TEXTSPLIT($J$1780,, " ") = L1909))</f>
        <v>1</v>
      </c>
    </row>
    <row r="1910" spans="5:14" x14ac:dyDescent="0.2">
      <c r="E1910" s="9" t="s">
        <v>26</v>
      </c>
      <c r="K1910" t="str">
        <v>I'm</v>
      </c>
      <c r="M1910" s="4" t="str">
        <f t="shared" si="29"/>
        <v>I m</v>
      </c>
      <c r="N1910" s="4" cm="1">
        <f t="array" ref="N1910">SUM(--(_xlfn.TEXTSPLIT($J$1780,, " ") = L1910))</f>
        <v>1</v>
      </c>
    </row>
    <row r="1911" spans="5:14" x14ac:dyDescent="0.2">
      <c r="E1911" s="9" t="s">
        <v>26</v>
      </c>
      <c r="K1911" t="str">
        <v>run</v>
      </c>
      <c r="M1911" s="4" t="str">
        <f t="shared" si="29"/>
        <v>run</v>
      </c>
      <c r="N1911" s="4" cm="1">
        <f t="array" ref="N1911">SUM(--(_xlfn.TEXTSPLIT($J$1780,, " ") = L1911))</f>
        <v>1</v>
      </c>
    </row>
    <row r="1912" spans="5:14" x14ac:dyDescent="0.2">
      <c r="E1912" s="9" t="s">
        <v>26</v>
      </c>
      <c r="K1912" t="str">
        <v xml:space="preserve">down
</v>
      </c>
      <c r="M1912" s="4" t="str">
        <f t="shared" si="29"/>
        <v xml:space="preserve">down </v>
      </c>
      <c r="N1912" s="4" cm="1">
        <f t="array" ref="N1912">SUM(--(_xlfn.TEXTSPLIT($J$1780,, " ") = L1912))</f>
        <v>1</v>
      </c>
    </row>
    <row r="1913" spans="5:14" x14ac:dyDescent="0.2">
      <c r="E1913" s="9" t="s">
        <v>26</v>
      </c>
      <c r="K1913" t="str">
        <v>Was</v>
      </c>
      <c r="M1913" s="4" t="str">
        <f t="shared" si="29"/>
        <v>Was</v>
      </c>
      <c r="N1913" s="4" cm="1">
        <f t="array" ref="N1913">SUM(--(_xlfn.TEXTSPLIT($J$1780,, " ") = L1913))</f>
        <v>1</v>
      </c>
    </row>
    <row r="1914" spans="5:14" x14ac:dyDescent="0.2">
      <c r="E1914" s="9" t="s">
        <v>26</v>
      </c>
      <c r="K1914" t="str">
        <v>afraid</v>
      </c>
      <c r="M1914" s="4" t="str">
        <f t="shared" si="29"/>
        <v>afraid</v>
      </c>
      <c r="N1914" s="4" cm="1">
        <f t="array" ref="N1914">SUM(--(_xlfn.TEXTSPLIT($J$1780,, " ") = L1914))</f>
        <v>1</v>
      </c>
    </row>
    <row r="1915" spans="5:14" x14ac:dyDescent="0.2">
      <c r="E1915" s="9" t="s">
        <v>26</v>
      </c>
      <c r="K1915" t="str">
        <v>of</v>
      </c>
      <c r="M1915" s="4" t="str">
        <f t="shared" si="29"/>
        <v>of</v>
      </c>
      <c r="N1915" s="4" cm="1">
        <f t="array" ref="N1915">SUM(--(_xlfn.TEXTSPLIT($J$1780,, " ") = L1915))</f>
        <v>1</v>
      </c>
    </row>
    <row r="1916" spans="5:14" x14ac:dyDescent="0.2">
      <c r="E1916" s="9" t="s">
        <v>26</v>
      </c>
      <c r="K1916" t="str">
        <v xml:space="preserve">nothing
</v>
      </c>
      <c r="M1916" s="4" t="str">
        <f t="shared" si="29"/>
        <v xml:space="preserve">nothing </v>
      </c>
      <c r="N1916" s="4" cm="1">
        <f t="array" ref="N1916">SUM(--(_xlfn.TEXTSPLIT($J$1780,, " ") = L1916))</f>
        <v>1</v>
      </c>
    </row>
    <row r="1917" spans="5:14" x14ac:dyDescent="0.2">
      <c r="E1917" s="9" t="s">
        <v>26</v>
      </c>
      <c r="K1917" t="str">
        <v>Now</v>
      </c>
      <c r="M1917" s="4" t="str">
        <f t="shared" si="29"/>
        <v>Now</v>
      </c>
      <c r="N1917" s="4" cm="1">
        <f t="array" ref="N1917">SUM(--(_xlfn.TEXTSPLIT($J$1780,, " ") = L1917))</f>
        <v>1</v>
      </c>
    </row>
    <row r="1918" spans="5:14" x14ac:dyDescent="0.2">
      <c r="E1918" s="9" t="s">
        <v>26</v>
      </c>
      <c r="K1918" t="str">
        <v>I'm</v>
      </c>
      <c r="M1918" s="4" t="str">
        <f t="shared" si="29"/>
        <v>I m</v>
      </c>
      <c r="N1918" s="4" cm="1">
        <f t="array" ref="N1918">SUM(--(_xlfn.TEXTSPLIT($J$1780,, " ") = L1918))</f>
        <v>1</v>
      </c>
    </row>
    <row r="1919" spans="5:14" x14ac:dyDescent="0.2">
      <c r="E1919" s="9" t="s">
        <v>26</v>
      </c>
      <c r="K1919" t="str">
        <v>just</v>
      </c>
      <c r="M1919" s="4" t="str">
        <f t="shared" si="29"/>
        <v>just</v>
      </c>
      <c r="N1919" s="4" cm="1">
        <f t="array" ref="N1919">SUM(--(_xlfn.TEXTSPLIT($J$1780,, " ") = L1919))</f>
        <v>1</v>
      </c>
    </row>
    <row r="1920" spans="5:14" x14ac:dyDescent="0.2">
      <c r="E1920" s="9" t="s">
        <v>26</v>
      </c>
      <c r="K1920" t="str">
        <v>ashamed</v>
      </c>
      <c r="M1920" s="4" t="str">
        <f t="shared" si="29"/>
        <v>ashamed</v>
      </c>
      <c r="N1920" s="4" cm="1">
        <f t="array" ref="N1920">SUM(--(_xlfn.TEXTSPLIT($J$1780,, " ") = L1920))</f>
        <v>1</v>
      </c>
    </row>
    <row r="1921" spans="5:14" x14ac:dyDescent="0.2">
      <c r="E1921" s="9" t="s">
        <v>26</v>
      </c>
      <c r="K1921" t="str">
        <v xml:space="preserve">how
</v>
      </c>
      <c r="M1921" s="4" t="str">
        <f t="shared" si="29"/>
        <v xml:space="preserve">how </v>
      </c>
      <c r="N1921" s="4" cm="1">
        <f t="array" ref="N1921">SUM(--(_xlfn.TEXTSPLIT($J$1780,, " ") = L1921))</f>
        <v>1</v>
      </c>
    </row>
    <row r="1922" spans="5:14" x14ac:dyDescent="0.2">
      <c r="E1922" s="9" t="s">
        <v>26</v>
      </c>
      <c r="K1922" t="str">
        <v>I</v>
      </c>
      <c r="M1922" s="4" t="str">
        <f t="shared" si="29"/>
        <v>I</v>
      </c>
      <c r="N1922" s="4" cm="1">
        <f t="array" ref="N1922">SUM(--(_xlfn.TEXTSPLIT($J$1780,, " ") = L1922))</f>
        <v>1</v>
      </c>
    </row>
    <row r="1923" spans="5:14" x14ac:dyDescent="0.2">
      <c r="E1923" s="9" t="s">
        <v>26</v>
      </c>
      <c r="K1923" t="str">
        <v>hide</v>
      </c>
      <c r="M1923" s="4" t="str">
        <f t="shared" si="29"/>
        <v>hide</v>
      </c>
      <c r="N1923" s="4" cm="1">
        <f t="array" ref="N1923">SUM(--(_xlfn.TEXTSPLIT($J$1780,, " ") = L1923))</f>
        <v>1</v>
      </c>
    </row>
    <row r="1924" spans="5:14" x14ac:dyDescent="0.2">
      <c r="E1924" s="9" t="s">
        <v>26</v>
      </c>
      <c r="K1924" t="str">
        <v>my</v>
      </c>
      <c r="M1924" s="4" t="str">
        <f t="shared" si="29"/>
        <v>my</v>
      </c>
      <c r="N1924" s="4" cm="1">
        <f t="array" ref="N1924">SUM(--(_xlfn.TEXTSPLIT($J$1780,, " ") = L1924))</f>
        <v>1</v>
      </c>
    </row>
    <row r="1925" spans="5:14" x14ac:dyDescent="0.2">
      <c r="E1925" s="9" t="s">
        <v>26</v>
      </c>
      <c r="K1925" t="str">
        <v>face</v>
      </c>
      <c r="M1925" s="4" t="str">
        <f t="shared" si="29"/>
        <v>face</v>
      </c>
      <c r="N1925" s="4" cm="1">
        <f t="array" ref="N1925">SUM(--(_xlfn.TEXTSPLIT($J$1780,, " ") = L1925))</f>
        <v>1</v>
      </c>
    </row>
    <row r="1926" spans="5:14" x14ac:dyDescent="0.2">
      <c r="E1926" s="9" t="s">
        <v>26</v>
      </c>
      <c r="K1926" t="str">
        <v>from</v>
      </c>
      <c r="M1926" s="4" t="str">
        <f t="shared" si="29"/>
        <v>from</v>
      </c>
      <c r="N1926" s="4" cm="1">
        <f t="array" ref="N1926">SUM(--(_xlfn.TEXTSPLIT($J$1780,, " ") = L1926))</f>
        <v>1</v>
      </c>
    </row>
    <row r="1927" spans="5:14" x14ac:dyDescent="0.2">
      <c r="E1927" s="9" t="s">
        <v>26</v>
      </c>
      <c r="K1927" t="str">
        <v xml:space="preserve">you
</v>
      </c>
      <c r="M1927" s="4" t="str">
        <f t="shared" si="29"/>
        <v xml:space="preserve">you  </v>
      </c>
      <c r="N1927" s="4" cm="1">
        <f t="array" ref="N1927">SUM(--(_xlfn.TEXTSPLIT($J$1780,, " ") = L1927))</f>
        <v>1</v>
      </c>
    </row>
    <row r="1928" spans="5:14" x14ac:dyDescent="0.2">
      <c r="E1928" s="9" t="s">
        <v>26</v>
      </c>
      <c r="K1928" t="str">
        <v>So</v>
      </c>
      <c r="M1928" s="4" t="str">
        <f t="shared" si="29"/>
        <v>So</v>
      </c>
      <c r="N1928" s="4" cm="1">
        <f t="array" ref="N1928">SUM(--(_xlfn.TEXTSPLIT($J$1780,, " ") = L1928))</f>
        <v>1</v>
      </c>
    </row>
    <row r="1929" spans="5:14" x14ac:dyDescent="0.2">
      <c r="E1929" s="9" t="s">
        <v>26</v>
      </c>
      <c r="K1929" t="str">
        <v>I'm</v>
      </c>
      <c r="M1929" s="4" t="str">
        <f t="shared" si="29"/>
        <v>I m</v>
      </c>
      <c r="N1929" s="4" cm="1">
        <f t="array" ref="N1929">SUM(--(_xlfn.TEXTSPLIT($J$1780,, " ") = L1929))</f>
        <v>1</v>
      </c>
    </row>
    <row r="1930" spans="5:14" x14ac:dyDescent="0.2">
      <c r="E1930" s="9" t="s">
        <v>26</v>
      </c>
      <c r="K1930" t="str">
        <v>begging</v>
      </c>
      <c r="M1930" s="4" t="str">
        <f t="shared" si="29"/>
        <v>begging</v>
      </c>
      <c r="N1930" s="4" cm="1">
        <f t="array" ref="N1930">SUM(--(_xlfn.TEXTSPLIT($J$1780,, " ") = L1930))</f>
        <v>1</v>
      </c>
    </row>
    <row r="1931" spans="5:14" x14ac:dyDescent="0.2">
      <c r="E1931" s="9" t="s">
        <v>26</v>
      </c>
      <c r="K1931" t="str">
        <v>oh,</v>
      </c>
      <c r="M1931" s="4" t="str">
        <f t="shared" si="29"/>
        <v xml:space="preserve">oh </v>
      </c>
      <c r="N1931" s="4" cm="1">
        <f t="array" ref="N1931">SUM(--(_xlfn.TEXTSPLIT($J$1780,, " ") = L1931))</f>
        <v>1</v>
      </c>
    </row>
    <row r="1932" spans="5:14" x14ac:dyDescent="0.2">
      <c r="E1932" s="9" t="s">
        <v>26</v>
      </c>
      <c r="K1932" t="str">
        <v>oh-oh,</v>
      </c>
      <c r="M1932" s="4" t="str">
        <f t="shared" si="29"/>
        <v xml:space="preserve">oh oh </v>
      </c>
      <c r="N1932" s="4" cm="1">
        <f t="array" ref="N1932">SUM(--(_xlfn.TEXTSPLIT($J$1780,, " ") = L1932))</f>
        <v>1</v>
      </c>
    </row>
    <row r="1933" spans="5:14" x14ac:dyDescent="0.2">
      <c r="E1933" s="9" t="s">
        <v>26</v>
      </c>
      <c r="K1933" t="str">
        <v>oh-oh,</v>
      </c>
      <c r="M1933" s="4" t="str">
        <f t="shared" si="29"/>
        <v xml:space="preserve">oh oh </v>
      </c>
      <c r="N1933" s="4" cm="1">
        <f t="array" ref="N1933">SUM(--(_xlfn.TEXTSPLIT($J$1780,, " ") = L1933))</f>
        <v>1</v>
      </c>
    </row>
    <row r="1934" spans="5:14" x14ac:dyDescent="0.2">
      <c r="E1934" s="9" t="s">
        <v>26</v>
      </c>
      <c r="K1934" t="str">
        <v xml:space="preserve">mercy
</v>
      </c>
      <c r="M1934" s="4" t="str">
        <f t="shared" si="29"/>
        <v xml:space="preserve">mercy </v>
      </c>
      <c r="N1934" s="4" cm="1">
        <f t="array" ref="N1934">SUM(--(_xlfn.TEXTSPLIT($J$1780,, " ") = L1934))</f>
        <v>1</v>
      </c>
    </row>
    <row r="1935" spans="5:14" x14ac:dyDescent="0.2">
      <c r="E1935" s="9" t="s">
        <v>26</v>
      </c>
      <c r="K1935" t="str">
        <v>I'm</v>
      </c>
      <c r="M1935" s="4" t="str">
        <f t="shared" si="29"/>
        <v>I m</v>
      </c>
      <c r="N1935" s="4" cm="1">
        <f t="array" ref="N1935">SUM(--(_xlfn.TEXTSPLIT($J$1780,, " ") = L1935))</f>
        <v>1</v>
      </c>
    </row>
    <row r="1936" spans="5:14" x14ac:dyDescent="0.2">
      <c r="E1936" s="9" t="s">
        <v>26</v>
      </c>
      <c r="K1936" t="str">
        <v>begging</v>
      </c>
      <c r="M1936" s="4" t="str">
        <f t="shared" si="29"/>
        <v>begging</v>
      </c>
      <c r="N1936" s="4" cm="1">
        <f t="array" ref="N1936">SUM(--(_xlfn.TEXTSPLIT($J$1780,, " ") = L1936))</f>
        <v>1</v>
      </c>
    </row>
    <row r="1937" spans="5:14" x14ac:dyDescent="0.2">
      <c r="E1937" s="9" t="s">
        <v>26</v>
      </c>
      <c r="K1937" t="str">
        <v>oh,</v>
      </c>
      <c r="M1937" s="4" t="str">
        <f t="shared" si="29"/>
        <v xml:space="preserve">oh </v>
      </c>
      <c r="N1937" s="4" cm="1">
        <f t="array" ref="N1937">SUM(--(_xlfn.TEXTSPLIT($J$1780,, " ") = L1937))</f>
        <v>1</v>
      </c>
    </row>
    <row r="1938" spans="5:14" x14ac:dyDescent="0.2">
      <c r="E1938" s="9" t="s">
        <v>26</v>
      </c>
      <c r="K1938" t="str">
        <v>oh-oh,</v>
      </c>
      <c r="M1938" s="4" t="str">
        <f t="shared" si="29"/>
        <v xml:space="preserve">oh oh </v>
      </c>
      <c r="N1938" s="4" cm="1">
        <f t="array" ref="N1938">SUM(--(_xlfn.TEXTSPLIT($J$1780,, " ") = L1938))</f>
        <v>1</v>
      </c>
    </row>
    <row r="1939" spans="5:14" x14ac:dyDescent="0.2">
      <c r="E1939" s="9" t="s">
        <v>26</v>
      </c>
      <c r="K1939" t="str">
        <v>oh-oh,</v>
      </c>
      <c r="M1939" s="4" t="str">
        <f t="shared" si="29"/>
        <v xml:space="preserve">oh oh </v>
      </c>
      <c r="N1939" s="4" cm="1">
        <f t="array" ref="N1939">SUM(--(_xlfn.TEXTSPLIT($J$1780,, " ") = L1939))</f>
        <v>1</v>
      </c>
    </row>
    <row r="1940" spans="5:14" x14ac:dyDescent="0.2">
      <c r="E1940" s="9" t="s">
        <v>26</v>
      </c>
      <c r="K1940" t="str">
        <v xml:space="preserve">mercy
</v>
      </c>
      <c r="M1940" s="4" t="str">
        <f t="shared" si="29"/>
        <v xml:space="preserve">mercy  </v>
      </c>
      <c r="N1940" s="4" cm="1">
        <f t="array" ref="N1940">SUM(--(_xlfn.TEXTSPLIT($J$1780,, " ") = L1940))</f>
        <v>1</v>
      </c>
    </row>
    <row r="1941" spans="5:14" x14ac:dyDescent="0.2">
      <c r="E1941" s="9" t="s">
        <v>26</v>
      </c>
      <c r="K1941" t="str">
        <v>Downstairs,</v>
      </c>
      <c r="M1941" s="4" t="str">
        <f t="shared" si="29"/>
        <v xml:space="preserve">Downstairs </v>
      </c>
      <c r="N1941" s="4" cm="1">
        <f t="array" ref="N1941">SUM(--(_xlfn.TEXTSPLIT($J$1780,, " ") = L1941))</f>
        <v>1</v>
      </c>
    </row>
    <row r="1942" spans="5:14" x14ac:dyDescent="0.2">
      <c r="E1942" s="9" t="s">
        <v>26</v>
      </c>
      <c r="K1942" t="str">
        <v>I</v>
      </c>
      <c r="M1942" s="4" t="str">
        <f t="shared" si="29"/>
        <v>I</v>
      </c>
      <c r="N1942" s="4" cm="1">
        <f t="array" ref="N1942">SUM(--(_xlfn.TEXTSPLIT($J$1780,, " ") = L1942))</f>
        <v>1</v>
      </c>
    </row>
    <row r="1943" spans="5:14" x14ac:dyDescent="0.2">
      <c r="E1943" s="9" t="s">
        <v>26</v>
      </c>
      <c r="K1943" t="str">
        <v>feel</v>
      </c>
      <c r="M1943" s="4" t="str">
        <f t="shared" si="29"/>
        <v>feel</v>
      </c>
      <c r="N1943" s="4" cm="1">
        <f t="array" ref="N1943">SUM(--(_xlfn.TEXTSPLIT($J$1780,, " ") = L1943))</f>
        <v>1</v>
      </c>
    </row>
    <row r="1944" spans="5:14" x14ac:dyDescent="0.2">
      <c r="E1944" s="9" t="s">
        <v>26</v>
      </c>
      <c r="K1944" t="str">
        <v>better</v>
      </c>
      <c r="M1944" s="4" t="str">
        <f t="shared" si="29"/>
        <v>better</v>
      </c>
      <c r="N1944" s="4" cm="1">
        <f t="array" ref="N1944">SUM(--(_xlfn.TEXTSPLIT($J$1780,, " ") = L1944))</f>
        <v>1</v>
      </c>
    </row>
    <row r="1945" spans="5:14" x14ac:dyDescent="0.2">
      <c r="E1945" s="9" t="s">
        <v>26</v>
      </c>
      <c r="K1945" t="str">
        <v>in</v>
      </c>
      <c r="M1945" s="4" t="str">
        <f t="shared" si="29"/>
        <v>in</v>
      </c>
      <c r="N1945" s="4" cm="1">
        <f t="array" ref="N1945">SUM(--(_xlfn.TEXTSPLIT($J$1780,, " ") = L1945))</f>
        <v>1</v>
      </c>
    </row>
    <row r="1946" spans="5:14" x14ac:dyDescent="0.2">
      <c r="E1946" s="9" t="s">
        <v>26</v>
      </c>
      <c r="K1946" t="str">
        <v>the</v>
      </c>
      <c r="M1946" s="4" t="str">
        <f t="shared" si="29"/>
        <v>the</v>
      </c>
      <c r="N1946" s="4" cm="1">
        <f t="array" ref="N1946">SUM(--(_xlfn.TEXTSPLIT($J$1780,, " ") = L1946))</f>
        <v>1</v>
      </c>
    </row>
    <row r="1947" spans="5:14" x14ac:dyDescent="0.2">
      <c r="E1947" s="9" t="s">
        <v>26</v>
      </c>
      <c r="K1947" t="str">
        <v xml:space="preserve">cellar
</v>
      </c>
      <c r="M1947" s="4" t="str">
        <f t="shared" si="29"/>
        <v xml:space="preserve">cellar </v>
      </c>
      <c r="N1947" s="4" cm="1">
        <f t="array" ref="N1947">SUM(--(_xlfn.TEXTSPLIT($J$1780,, " ") = L1947))</f>
        <v>1</v>
      </c>
    </row>
    <row r="1948" spans="5:14" x14ac:dyDescent="0.2">
      <c r="E1948" s="9" t="s">
        <v>26</v>
      </c>
      <c r="K1948" t="str">
        <v>Down</v>
      </c>
      <c r="M1948" s="4" t="str">
        <f t="shared" si="29"/>
        <v>Down</v>
      </c>
      <c r="N1948" s="4" cm="1">
        <f t="array" ref="N1948">SUM(--(_xlfn.TEXTSPLIT($J$1780,, " ") = L1948))</f>
        <v>1</v>
      </c>
    </row>
    <row r="1949" spans="5:14" x14ac:dyDescent="0.2">
      <c r="E1949" s="9" t="s">
        <v>26</v>
      </c>
      <c r="K1949" t="str">
        <v>there,</v>
      </c>
      <c r="M1949" s="4" t="str">
        <f t="shared" si="29"/>
        <v xml:space="preserve">there </v>
      </c>
      <c r="N1949" s="4" cm="1">
        <f t="array" ref="N1949">SUM(--(_xlfn.TEXTSPLIT($J$1780,, " ") = L1949))</f>
        <v>1</v>
      </c>
    </row>
    <row r="1950" spans="5:14" x14ac:dyDescent="0.2">
      <c r="E1950" s="9" t="s">
        <v>26</v>
      </c>
      <c r="K1950" t="str">
        <v>it's</v>
      </c>
      <c r="M1950" s="4" t="str">
        <f t="shared" si="29"/>
        <v>it s</v>
      </c>
      <c r="N1950" s="4" cm="1">
        <f t="array" ref="N1950">SUM(--(_xlfn.TEXTSPLIT($J$1780,, " ") = L1950))</f>
        <v>1</v>
      </c>
    </row>
    <row r="1951" spans="5:14" x14ac:dyDescent="0.2">
      <c r="E1951" s="9" t="s">
        <v>26</v>
      </c>
      <c r="K1951" t="str">
        <v>some</v>
      </c>
      <c r="M1951" s="4" t="str">
        <f t="shared" si="29"/>
        <v>some</v>
      </c>
      <c r="N1951" s="4" cm="1">
        <f t="array" ref="N1951">SUM(--(_xlfn.TEXTSPLIT($J$1780,, " ") = L1951))</f>
        <v>1</v>
      </c>
    </row>
    <row r="1952" spans="5:14" x14ac:dyDescent="0.2">
      <c r="E1952" s="9" t="s">
        <v>26</v>
      </c>
      <c r="K1952" t="str">
        <v>shelter</v>
      </c>
      <c r="M1952" s="4" t="str">
        <f t="shared" si="29"/>
        <v>shelter</v>
      </c>
      <c r="N1952" s="4" cm="1">
        <f t="array" ref="N1952">SUM(--(_xlfn.TEXTSPLIT($J$1780,, " ") = L1952))</f>
        <v>1</v>
      </c>
    </row>
    <row r="1953" spans="5:14" x14ac:dyDescent="0.2">
      <c r="E1953" s="9" t="s">
        <v>26</v>
      </c>
      <c r="K1953" t="str">
        <v>from</v>
      </c>
      <c r="M1953" s="4" t="str">
        <f t="shared" si="29"/>
        <v>from</v>
      </c>
      <c r="N1953" s="4" cm="1">
        <f t="array" ref="N1953">SUM(--(_xlfn.TEXTSPLIT($J$1780,, " ") = L1953))</f>
        <v>1</v>
      </c>
    </row>
    <row r="1954" spans="5:14" x14ac:dyDescent="0.2">
      <c r="E1954" s="9" t="s">
        <v>26</v>
      </c>
      <c r="K1954" t="str">
        <v>the</v>
      </c>
      <c r="M1954" s="4" t="str">
        <f t="shared" si="29"/>
        <v>the</v>
      </c>
      <c r="N1954" s="4" cm="1">
        <f t="array" ref="N1954">SUM(--(_xlfn.TEXTSPLIT($J$1780,, " ") = L1954))</f>
        <v>1</v>
      </c>
    </row>
    <row r="1955" spans="5:14" x14ac:dyDescent="0.2">
      <c r="E1955" s="9" t="s">
        <v>26</v>
      </c>
      <c r="K1955" t="str">
        <v xml:space="preserve">weather
</v>
      </c>
      <c r="M1955" s="4" t="str">
        <f t="shared" si="29"/>
        <v xml:space="preserve">weather </v>
      </c>
      <c r="N1955" s="4" cm="1">
        <f t="array" ref="N1955">SUM(--(_xlfn.TEXTSPLIT($J$1780,, " ") = L1955))</f>
        <v>1</v>
      </c>
    </row>
    <row r="1956" spans="5:14" x14ac:dyDescent="0.2">
      <c r="E1956" s="9" t="s">
        <v>26</v>
      </c>
      <c r="K1956" t="str">
        <v>I</v>
      </c>
      <c r="M1956" s="4" t="str">
        <f t="shared" si="29"/>
        <v>I</v>
      </c>
      <c r="N1956" s="4" cm="1">
        <f t="array" ref="N1956">SUM(--(_xlfn.TEXTSPLIT($J$1780,, " ") = L1956))</f>
        <v>1</v>
      </c>
    </row>
    <row r="1957" spans="5:14" x14ac:dyDescent="0.2">
      <c r="E1957" s="9" t="s">
        <v>26</v>
      </c>
      <c r="K1957" t="str">
        <v>wear</v>
      </c>
      <c r="M1957" s="4" t="str">
        <f t="shared" si="29"/>
        <v>wear</v>
      </c>
      <c r="N1957" s="4" cm="1">
        <f t="array" ref="N1957">SUM(--(_xlfn.TEXTSPLIT($J$1780,, " ") = L1957))</f>
        <v>1</v>
      </c>
    </row>
    <row r="1958" spans="5:14" x14ac:dyDescent="0.2">
      <c r="E1958" s="9" t="s">
        <v>26</v>
      </c>
      <c r="K1958" t="str">
        <v>all</v>
      </c>
      <c r="M1958" s="4" t="str">
        <f t="shared" si="29"/>
        <v>all</v>
      </c>
      <c r="N1958" s="4" cm="1">
        <f t="array" ref="N1958">SUM(--(_xlfn.TEXTSPLIT($J$1780,, " ") = L1958))</f>
        <v>1</v>
      </c>
    </row>
    <row r="1959" spans="5:14" x14ac:dyDescent="0.2">
      <c r="E1959" s="9" t="s">
        <v>26</v>
      </c>
      <c r="K1959" t="str">
        <v>of</v>
      </c>
      <c r="M1959" s="4" t="str">
        <f t="shared" si="29"/>
        <v>of</v>
      </c>
      <c r="N1959" s="4" cm="1">
        <f t="array" ref="N1959">SUM(--(_xlfn.TEXTSPLIT($J$1780,, " ") = L1959))</f>
        <v>1</v>
      </c>
    </row>
    <row r="1960" spans="5:14" x14ac:dyDescent="0.2">
      <c r="E1960" s="9" t="s">
        <v>26</v>
      </c>
      <c r="K1960" t="str">
        <v>my</v>
      </c>
      <c r="M1960" s="4" t="str">
        <f t="shared" si="29"/>
        <v>my</v>
      </c>
      <c r="N1960" s="4" cm="1">
        <f t="array" ref="N1960">SUM(--(_xlfn.TEXTSPLIT($J$1780,, " ") = L1960))</f>
        <v>1</v>
      </c>
    </row>
    <row r="1961" spans="5:14" x14ac:dyDescent="0.2">
      <c r="E1961" s="9" t="s">
        <v>26</v>
      </c>
      <c r="K1961" t="str">
        <v>heart</v>
      </c>
      <c r="M1961" s="4" t="str">
        <f t="shared" si="29"/>
        <v>heart</v>
      </c>
      <c r="N1961" s="4" cm="1">
        <f t="array" ref="N1961">SUM(--(_xlfn.TEXTSPLIT($J$1780,, " ") = L1961))</f>
        <v>1</v>
      </c>
    </row>
    <row r="1962" spans="5:14" x14ac:dyDescent="0.2">
      <c r="E1962" s="9" t="s">
        <v>26</v>
      </c>
      <c r="K1962" t="str">
        <v>on</v>
      </c>
      <c r="M1962" s="4" t="str">
        <f t="shared" si="29"/>
        <v>on</v>
      </c>
      <c r="N1962" s="4" cm="1">
        <f t="array" ref="N1962">SUM(--(_xlfn.TEXTSPLIT($J$1780,, " ") = L1962))</f>
        <v>1</v>
      </c>
    </row>
    <row r="1963" spans="5:14" x14ac:dyDescent="0.2">
      <c r="E1963" s="9" t="s">
        <v>26</v>
      </c>
      <c r="K1963" t="str">
        <v>my</v>
      </c>
      <c r="M1963" s="4" t="str">
        <f t="shared" ref="M1963:M2026" si="30">_xlfn.REGEXREPLACE(K1963, "[^A-Za-z ]", " ")</f>
        <v>my</v>
      </c>
      <c r="N1963" s="4" cm="1">
        <f t="array" ref="N1963">SUM(--(_xlfn.TEXTSPLIT($J$1780,, " ") = L1963))</f>
        <v>1</v>
      </c>
    </row>
    <row r="1964" spans="5:14" x14ac:dyDescent="0.2">
      <c r="E1964" s="9" t="s">
        <v>26</v>
      </c>
      <c r="K1964" t="str">
        <v xml:space="preserve">sleeve
</v>
      </c>
      <c r="M1964" s="4" t="str">
        <f t="shared" si="30"/>
        <v xml:space="preserve">sleeve </v>
      </c>
      <c r="N1964" s="4" cm="1">
        <f t="array" ref="N1964">SUM(--(_xlfn.TEXTSPLIT($J$1780,, " ") = L1964))</f>
        <v>1</v>
      </c>
    </row>
    <row r="1965" spans="5:14" x14ac:dyDescent="0.2">
      <c r="E1965" s="9" t="s">
        <v>26</v>
      </c>
      <c r="K1965" t="str">
        <v>I'll</v>
      </c>
      <c r="M1965" s="4" t="str">
        <f t="shared" si="30"/>
        <v>I ll</v>
      </c>
      <c r="N1965" s="4" cm="1">
        <f t="array" ref="N1965">SUM(--(_xlfn.TEXTSPLIT($J$1780,, " ") = L1965))</f>
        <v>1</v>
      </c>
    </row>
    <row r="1966" spans="5:14" x14ac:dyDescent="0.2">
      <c r="E1966" s="9" t="s">
        <v>26</v>
      </c>
      <c r="K1966" t="str">
        <v>take</v>
      </c>
      <c r="M1966" s="4" t="str">
        <f t="shared" si="30"/>
        <v>take</v>
      </c>
      <c r="N1966" s="4" cm="1">
        <f t="array" ref="N1966">SUM(--(_xlfn.TEXTSPLIT($J$1780,, " ") = L1966))</f>
        <v>1</v>
      </c>
    </row>
    <row r="1967" spans="5:14" x14ac:dyDescent="0.2">
      <c r="E1967" s="9" t="s">
        <v>26</v>
      </c>
      <c r="K1967" t="str">
        <v>what</v>
      </c>
      <c r="M1967" s="4" t="str">
        <f t="shared" si="30"/>
        <v>what</v>
      </c>
      <c r="N1967" s="4" cm="1">
        <f t="array" ref="N1967">SUM(--(_xlfn.TEXTSPLIT($J$1780,, " ") = L1967))</f>
        <v>1</v>
      </c>
    </row>
    <row r="1968" spans="5:14" x14ac:dyDescent="0.2">
      <c r="E1968" s="9" t="s">
        <v>26</v>
      </c>
      <c r="K1968" t="str">
        <v>I</v>
      </c>
      <c r="M1968" s="4" t="str">
        <f t="shared" si="30"/>
        <v>I</v>
      </c>
      <c r="N1968" s="4" cm="1">
        <f t="array" ref="N1968">SUM(--(_xlfn.TEXTSPLIT($J$1780,, " ") = L1968))</f>
        <v>1</v>
      </c>
    </row>
    <row r="1969" spans="5:14" x14ac:dyDescent="0.2">
      <c r="E1969" s="9" t="s">
        <v>26</v>
      </c>
      <c r="K1969" t="str">
        <v>believe,</v>
      </c>
      <c r="M1969" s="4" t="str">
        <f t="shared" si="30"/>
        <v xml:space="preserve">believe </v>
      </c>
      <c r="N1969" s="4" cm="1">
        <f t="array" ref="N1969">SUM(--(_xlfn.TEXTSPLIT($J$1780,, " ") = L1969))</f>
        <v>1</v>
      </c>
    </row>
    <row r="1970" spans="5:14" x14ac:dyDescent="0.2">
      <c r="E1970" s="9" t="s">
        <v>26</v>
      </c>
      <c r="K1970" t="str">
        <v>and</v>
      </c>
      <c r="M1970" s="4" t="str">
        <f t="shared" si="30"/>
        <v>and</v>
      </c>
      <c r="N1970" s="4" cm="1">
        <f t="array" ref="N1970">SUM(--(_xlfn.TEXTSPLIT($J$1780,, " ") = L1970))</f>
        <v>1</v>
      </c>
    </row>
    <row r="1971" spans="5:14" x14ac:dyDescent="0.2">
      <c r="E1971" s="9" t="s">
        <v>26</v>
      </c>
      <c r="K1971" t="str">
        <v>I'm</v>
      </c>
      <c r="M1971" s="4" t="str">
        <f t="shared" si="30"/>
        <v>I m</v>
      </c>
      <c r="N1971" s="4" cm="1">
        <f t="array" ref="N1971">SUM(--(_xlfn.TEXTSPLIT($J$1780,, " ") = L1971))</f>
        <v>1</v>
      </c>
    </row>
    <row r="1972" spans="5:14" x14ac:dyDescent="0.2">
      <c r="E1972" s="9" t="s">
        <v>26</v>
      </c>
      <c r="K1972" t="str">
        <v>hiding</v>
      </c>
      <c r="M1972" s="4" t="str">
        <f t="shared" si="30"/>
        <v>hiding</v>
      </c>
      <c r="N1972" s="4" cm="1">
        <f t="array" ref="N1972">SUM(--(_xlfn.TEXTSPLIT($J$1780,, " ") = L1972))</f>
        <v>1</v>
      </c>
    </row>
    <row r="1973" spans="5:14" x14ac:dyDescent="0.2">
      <c r="E1973" s="9" t="s">
        <v>26</v>
      </c>
      <c r="K1973" t="str">
        <v xml:space="preserve">it
</v>
      </c>
      <c r="M1973" s="4" t="str">
        <f t="shared" si="30"/>
        <v xml:space="preserve">it </v>
      </c>
      <c r="N1973" s="4" cm="1">
        <f t="array" ref="N1973">SUM(--(_xlfn.TEXTSPLIT($J$1780,, " ") = L1973))</f>
        <v>1</v>
      </c>
    </row>
    <row r="1974" spans="5:14" x14ac:dyDescent="0.2">
      <c r="E1974" s="9" t="s">
        <v>26</v>
      </c>
      <c r="K1974" t="str">
        <v>Downstairs,</v>
      </c>
      <c r="M1974" s="4" t="str">
        <f t="shared" si="30"/>
        <v xml:space="preserve">Downstairs </v>
      </c>
      <c r="N1974" s="4" cm="1">
        <f t="array" ref="N1974">SUM(--(_xlfn.TEXTSPLIT($J$1780,, " ") = L1974))</f>
        <v>1</v>
      </c>
    </row>
    <row r="1975" spans="5:14" x14ac:dyDescent="0.2">
      <c r="E1975" s="9" t="s">
        <v>26</v>
      </c>
      <c r="K1975" t="str">
        <v>I</v>
      </c>
      <c r="M1975" s="4" t="str">
        <f t="shared" si="30"/>
        <v>I</v>
      </c>
      <c r="N1975" s="4" cm="1">
        <f t="array" ref="N1975">SUM(--(_xlfn.TEXTSPLIT($J$1780,, " ") = L1975))</f>
        <v>1</v>
      </c>
    </row>
    <row r="1976" spans="5:14" x14ac:dyDescent="0.2">
      <c r="E1976" s="9" t="s">
        <v>26</v>
      </c>
      <c r="K1976" t="str">
        <v>feel</v>
      </c>
      <c r="M1976" s="4" t="str">
        <f t="shared" si="30"/>
        <v>feel</v>
      </c>
      <c r="N1976" s="4" cm="1">
        <f t="array" ref="N1976">SUM(--(_xlfn.TEXTSPLIT($J$1780,, " ") = L1976))</f>
        <v>1</v>
      </c>
    </row>
    <row r="1977" spans="5:14" x14ac:dyDescent="0.2">
      <c r="E1977" s="9" t="s">
        <v>26</v>
      </c>
      <c r="K1977" t="str">
        <v>better</v>
      </c>
      <c r="M1977" s="4" t="str">
        <f t="shared" si="30"/>
        <v>better</v>
      </c>
      <c r="N1977" s="4" cm="1">
        <f t="array" ref="N1977">SUM(--(_xlfn.TEXTSPLIT($J$1780,, " ") = L1977))</f>
        <v>1</v>
      </c>
    </row>
    <row r="1978" spans="5:14" x14ac:dyDescent="0.2">
      <c r="E1978" s="9" t="s">
        <v>26</v>
      </c>
      <c r="K1978" t="str">
        <v>in</v>
      </c>
      <c r="M1978" s="4" t="str">
        <f t="shared" si="30"/>
        <v>in</v>
      </c>
      <c r="N1978" s="4" cm="1">
        <f t="array" ref="N1978">SUM(--(_xlfn.TEXTSPLIT($J$1780,, " ") = L1978))</f>
        <v>1</v>
      </c>
    </row>
    <row r="1979" spans="5:14" x14ac:dyDescent="0.2">
      <c r="E1979" s="9" t="s">
        <v>26</v>
      </c>
      <c r="K1979" t="str">
        <v>the</v>
      </c>
      <c r="M1979" s="4" t="str">
        <f t="shared" si="30"/>
        <v>the</v>
      </c>
      <c r="N1979" s="4" cm="1">
        <f t="array" ref="N1979">SUM(--(_xlfn.TEXTSPLIT($J$1780,, " ") = L1979))</f>
        <v>1</v>
      </c>
    </row>
    <row r="1980" spans="5:14" x14ac:dyDescent="0.2">
      <c r="E1980" s="9" t="s">
        <v>26</v>
      </c>
      <c r="K1980" t="str">
        <v xml:space="preserve">cellar
</v>
      </c>
      <c r="M1980" s="4" t="str">
        <f t="shared" si="30"/>
        <v xml:space="preserve">cellar </v>
      </c>
      <c r="N1980" s="4" cm="1">
        <f t="array" ref="N1980">SUM(--(_xlfn.TEXTSPLIT($J$1780,, " ") = L1980))</f>
        <v>1</v>
      </c>
    </row>
    <row r="1981" spans="5:14" x14ac:dyDescent="0.2">
      <c r="E1981" s="9" t="s">
        <v>26</v>
      </c>
      <c r="K1981" t="str">
        <v>Down</v>
      </c>
      <c r="M1981" s="4" t="str">
        <f t="shared" si="30"/>
        <v>Down</v>
      </c>
      <c r="N1981" s="4" cm="1">
        <f t="array" ref="N1981">SUM(--(_xlfn.TEXTSPLIT($J$1780,, " ") = L1981))</f>
        <v>1</v>
      </c>
    </row>
    <row r="1982" spans="5:14" x14ac:dyDescent="0.2">
      <c r="E1982" s="9" t="s">
        <v>26</v>
      </c>
      <c r="K1982" t="str">
        <v>there,</v>
      </c>
      <c r="M1982" s="4" t="str">
        <f t="shared" si="30"/>
        <v xml:space="preserve">there </v>
      </c>
      <c r="N1982" s="4" cm="1">
        <f t="array" ref="N1982">SUM(--(_xlfn.TEXTSPLIT($J$1780,, " ") = L1982))</f>
        <v>1</v>
      </c>
    </row>
    <row r="1983" spans="5:14" x14ac:dyDescent="0.2">
      <c r="E1983" s="9" t="s">
        <v>26</v>
      </c>
      <c r="K1983" t="str">
        <v>it's</v>
      </c>
      <c r="M1983" s="4" t="str">
        <f t="shared" si="30"/>
        <v>it s</v>
      </c>
      <c r="N1983" s="4" cm="1">
        <f t="array" ref="N1983">SUM(--(_xlfn.TEXTSPLIT($J$1780,, " ") = L1983))</f>
        <v>1</v>
      </c>
    </row>
    <row r="1984" spans="5:14" x14ac:dyDescent="0.2">
      <c r="E1984" s="9" t="s">
        <v>26</v>
      </c>
      <c r="K1984" t="str">
        <v>some</v>
      </c>
      <c r="M1984" s="4" t="str">
        <f t="shared" si="30"/>
        <v>some</v>
      </c>
      <c r="N1984" s="4" cm="1">
        <f t="array" ref="N1984">SUM(--(_xlfn.TEXTSPLIT($J$1780,, " ") = L1984))</f>
        <v>1</v>
      </c>
    </row>
    <row r="1985" spans="5:14" x14ac:dyDescent="0.2">
      <c r="E1985" s="9" t="s">
        <v>26</v>
      </c>
      <c r="K1985" t="str">
        <v>shelter</v>
      </c>
      <c r="M1985" s="4" t="str">
        <f t="shared" si="30"/>
        <v>shelter</v>
      </c>
      <c r="N1985" s="4" cm="1">
        <f t="array" ref="N1985">SUM(--(_xlfn.TEXTSPLIT($J$1780,, " ") = L1985))</f>
        <v>1</v>
      </c>
    </row>
    <row r="1986" spans="5:14" x14ac:dyDescent="0.2">
      <c r="E1986" s="9" t="s">
        <v>26</v>
      </c>
      <c r="K1986" t="str">
        <v>from</v>
      </c>
      <c r="M1986" s="4" t="str">
        <f t="shared" si="30"/>
        <v>from</v>
      </c>
      <c r="N1986" s="4" cm="1">
        <f t="array" ref="N1986">SUM(--(_xlfn.TEXTSPLIT($J$1780,, " ") = L1986))</f>
        <v>1</v>
      </c>
    </row>
    <row r="1987" spans="5:14" x14ac:dyDescent="0.2">
      <c r="E1987" s="9" t="s">
        <v>26</v>
      </c>
      <c r="K1987" t="str">
        <v>the</v>
      </c>
      <c r="M1987" s="4" t="str">
        <f t="shared" si="30"/>
        <v>the</v>
      </c>
      <c r="N1987" s="4" cm="1">
        <f t="array" ref="N1987">SUM(--(_xlfn.TEXTSPLIT($J$1780,, " ") = L1987))</f>
        <v>1</v>
      </c>
    </row>
    <row r="1988" spans="5:14" x14ac:dyDescent="0.2">
      <c r="E1988" s="9" t="s">
        <v>26</v>
      </c>
      <c r="K1988" t="str">
        <v xml:space="preserve">weather
</v>
      </c>
      <c r="M1988" s="4" t="str">
        <f t="shared" si="30"/>
        <v xml:space="preserve">weather </v>
      </c>
      <c r="N1988" s="4" cm="1">
        <f t="array" ref="N1988">SUM(--(_xlfn.TEXTSPLIT($J$1780,, " ") = L1988))</f>
        <v>1</v>
      </c>
    </row>
    <row r="1989" spans="5:14" x14ac:dyDescent="0.2">
      <c r="E1989" s="9" t="s">
        <v>26</v>
      </c>
      <c r="K1989" t="str">
        <v>I</v>
      </c>
      <c r="M1989" s="4" t="str">
        <f t="shared" si="30"/>
        <v>I</v>
      </c>
      <c r="N1989" s="4" cm="1">
        <f t="array" ref="N1989">SUM(--(_xlfn.TEXTSPLIT($J$1780,, " ") = L1989))</f>
        <v>1</v>
      </c>
    </row>
    <row r="1990" spans="5:14" x14ac:dyDescent="0.2">
      <c r="E1990" s="9" t="s">
        <v>26</v>
      </c>
      <c r="K1990" t="str">
        <v>wear</v>
      </c>
      <c r="M1990" s="4" t="str">
        <f t="shared" si="30"/>
        <v>wear</v>
      </c>
      <c r="N1990" s="4" cm="1">
        <f t="array" ref="N1990">SUM(--(_xlfn.TEXTSPLIT($J$1780,, " ") = L1990))</f>
        <v>1</v>
      </c>
    </row>
    <row r="1991" spans="5:14" x14ac:dyDescent="0.2">
      <c r="E1991" s="9" t="s">
        <v>26</v>
      </c>
      <c r="K1991" t="str">
        <v>all</v>
      </c>
      <c r="M1991" s="4" t="str">
        <f t="shared" si="30"/>
        <v>all</v>
      </c>
      <c r="N1991" s="4" cm="1">
        <f t="array" ref="N1991">SUM(--(_xlfn.TEXTSPLIT($J$1780,, " ") = L1991))</f>
        <v>1</v>
      </c>
    </row>
    <row r="1992" spans="5:14" x14ac:dyDescent="0.2">
      <c r="E1992" s="9" t="s">
        <v>26</v>
      </c>
      <c r="K1992" t="str">
        <v>of</v>
      </c>
      <c r="M1992" s="4" t="str">
        <f t="shared" si="30"/>
        <v>of</v>
      </c>
      <c r="N1992" s="4" cm="1">
        <f t="array" ref="N1992">SUM(--(_xlfn.TEXTSPLIT($J$1780,, " ") = L1992))</f>
        <v>1</v>
      </c>
    </row>
    <row r="1993" spans="5:14" x14ac:dyDescent="0.2">
      <c r="E1993" s="9" t="s">
        <v>26</v>
      </c>
      <c r="K1993" t="str">
        <v>my</v>
      </c>
      <c r="M1993" s="4" t="str">
        <f t="shared" si="30"/>
        <v>my</v>
      </c>
      <c r="N1993" s="4" cm="1">
        <f t="array" ref="N1993">SUM(--(_xlfn.TEXTSPLIT($J$1780,, " ") = L1993))</f>
        <v>1</v>
      </c>
    </row>
    <row r="1994" spans="5:14" x14ac:dyDescent="0.2">
      <c r="E1994" s="9" t="s">
        <v>26</v>
      </c>
      <c r="K1994" t="str">
        <v>heart</v>
      </c>
      <c r="M1994" s="4" t="str">
        <f t="shared" si="30"/>
        <v>heart</v>
      </c>
      <c r="N1994" s="4" cm="1">
        <f t="array" ref="N1994">SUM(--(_xlfn.TEXTSPLIT($J$1780,, " ") = L1994))</f>
        <v>1</v>
      </c>
    </row>
    <row r="1995" spans="5:14" x14ac:dyDescent="0.2">
      <c r="E1995" s="9" t="s">
        <v>26</v>
      </c>
      <c r="K1995" t="str">
        <v>on</v>
      </c>
      <c r="M1995" s="4" t="str">
        <f t="shared" si="30"/>
        <v>on</v>
      </c>
      <c r="N1995" s="4" cm="1">
        <f t="array" ref="N1995">SUM(--(_xlfn.TEXTSPLIT($J$1780,, " ") = L1995))</f>
        <v>1</v>
      </c>
    </row>
    <row r="1996" spans="5:14" x14ac:dyDescent="0.2">
      <c r="E1996" s="9" t="s">
        <v>26</v>
      </c>
      <c r="K1996" t="str">
        <v>my</v>
      </c>
      <c r="M1996" s="4" t="str">
        <f t="shared" si="30"/>
        <v>my</v>
      </c>
      <c r="N1996" s="4" cm="1">
        <f t="array" ref="N1996">SUM(--(_xlfn.TEXTSPLIT($J$1780,, " ") = L1996))</f>
        <v>1</v>
      </c>
    </row>
    <row r="1997" spans="5:14" x14ac:dyDescent="0.2">
      <c r="E1997" s="9" t="s">
        <v>26</v>
      </c>
      <c r="K1997" t="str">
        <v xml:space="preserve">sleeve
</v>
      </c>
      <c r="M1997" s="4" t="str">
        <f t="shared" si="30"/>
        <v xml:space="preserve">sleeve </v>
      </c>
      <c r="N1997" s="4" cm="1">
        <f t="array" ref="N1997">SUM(--(_xlfn.TEXTSPLIT($J$1780,, " ") = L1997))</f>
        <v>1</v>
      </c>
    </row>
    <row r="1998" spans="5:14" x14ac:dyDescent="0.2">
      <c r="E1998" s="9" t="s">
        <v>26</v>
      </c>
      <c r="K1998" t="str">
        <v>I'll</v>
      </c>
      <c r="M1998" s="4" t="str">
        <f t="shared" si="30"/>
        <v>I ll</v>
      </c>
      <c r="N1998" s="4" cm="1">
        <f t="array" ref="N1998">SUM(--(_xlfn.TEXTSPLIT($J$1780,, " ") = L1998))</f>
        <v>1</v>
      </c>
    </row>
    <row r="1999" spans="5:14" x14ac:dyDescent="0.2">
      <c r="E1999" s="9" t="s">
        <v>26</v>
      </c>
      <c r="K1999" t="str">
        <v>take</v>
      </c>
      <c r="M1999" s="4" t="str">
        <f t="shared" si="30"/>
        <v>take</v>
      </c>
      <c r="N1999" s="4" cm="1">
        <f t="array" ref="N1999">SUM(--(_xlfn.TEXTSPLIT($J$1780,, " ") = L1999))</f>
        <v>1</v>
      </c>
    </row>
    <row r="2000" spans="5:14" x14ac:dyDescent="0.2">
      <c r="E2000" s="9" t="s">
        <v>26</v>
      </c>
      <c r="K2000" t="str">
        <v>what</v>
      </c>
      <c r="M2000" s="4" t="str">
        <f t="shared" si="30"/>
        <v>what</v>
      </c>
      <c r="N2000" s="4" cm="1">
        <f t="array" ref="N2000">SUM(--(_xlfn.TEXTSPLIT($J$1780,, " ") = L2000))</f>
        <v>1</v>
      </c>
    </row>
    <row r="2001" spans="5:14" x14ac:dyDescent="0.2">
      <c r="E2001" s="9" t="s">
        <v>26</v>
      </c>
      <c r="K2001" t="str">
        <v>I</v>
      </c>
      <c r="M2001" s="4" t="str">
        <f t="shared" si="30"/>
        <v>I</v>
      </c>
      <c r="N2001" s="4" cm="1">
        <f t="array" ref="N2001">SUM(--(_xlfn.TEXTSPLIT($J$1780,, " ") = L2001))</f>
        <v>1</v>
      </c>
    </row>
    <row r="2002" spans="5:14" x14ac:dyDescent="0.2">
      <c r="E2002" s="9" t="s">
        <v>26</v>
      </c>
      <c r="K2002" t="str">
        <v>believe,</v>
      </c>
      <c r="M2002" s="4" t="str">
        <f t="shared" si="30"/>
        <v xml:space="preserve">believe </v>
      </c>
      <c r="N2002" s="4" cm="1">
        <f t="array" ref="N2002">SUM(--(_xlfn.TEXTSPLIT($J$1780,, " ") = L2002))</f>
        <v>1</v>
      </c>
    </row>
    <row r="2003" spans="5:14" x14ac:dyDescent="0.2">
      <c r="E2003" s="9" t="s">
        <v>26</v>
      </c>
      <c r="K2003" t="str">
        <v>and</v>
      </c>
      <c r="M2003" s="4" t="str">
        <f t="shared" si="30"/>
        <v>and</v>
      </c>
      <c r="N2003" s="4" cm="1">
        <f t="array" ref="N2003">SUM(--(_xlfn.TEXTSPLIT($J$1780,, " ") = L2003))</f>
        <v>1</v>
      </c>
    </row>
    <row r="2004" spans="5:14" x14ac:dyDescent="0.2">
      <c r="E2004" s="9" t="s">
        <v>26</v>
      </c>
      <c r="K2004" t="str">
        <v>I'm</v>
      </c>
      <c r="M2004" s="4" t="str">
        <f t="shared" si="30"/>
        <v>I m</v>
      </c>
      <c r="N2004" s="4" cm="1">
        <f t="array" ref="N2004">SUM(--(_xlfn.TEXTSPLIT($J$1780,, " ") = L2004))</f>
        <v>1</v>
      </c>
    </row>
    <row r="2005" spans="5:14" x14ac:dyDescent="0.2">
      <c r="E2005" s="9" t="s">
        <v>26</v>
      </c>
      <c r="K2005" t="str">
        <v>hiding</v>
      </c>
      <c r="M2005" s="4" t="str">
        <f t="shared" si="30"/>
        <v>hiding</v>
      </c>
      <c r="N2005" s="4" cm="1">
        <f t="array" ref="N2005">SUM(--(_xlfn.TEXTSPLIT($J$1780,, " ") = L2005))</f>
        <v>1</v>
      </c>
    </row>
    <row r="2006" spans="5:14" x14ac:dyDescent="0.2">
      <c r="E2006" s="9" t="s">
        <v>26</v>
      </c>
      <c r="K2006" t="str">
        <v xml:space="preserve">it
</v>
      </c>
      <c r="M2006" s="4" t="str">
        <f t="shared" si="30"/>
        <v xml:space="preserve">it  </v>
      </c>
      <c r="N2006" s="4" cm="1">
        <f t="array" ref="N2006">SUM(--(_xlfn.TEXTSPLIT($J$1780,, " ") = L2006))</f>
        <v>1</v>
      </c>
    </row>
    <row r="2007" spans="5:14" x14ac:dyDescent="0.2">
      <c r="E2007" s="9" t="s">
        <v>26</v>
      </c>
      <c r="K2007" t="str">
        <v>Oh,</v>
      </c>
      <c r="M2007" s="4" t="str">
        <f t="shared" si="30"/>
        <v xml:space="preserve">Oh </v>
      </c>
      <c r="N2007" s="4" cm="1">
        <f t="array" ref="N2007">SUM(--(_xlfn.TEXTSPLIT($J$1780,, " ") = L2007))</f>
        <v>1</v>
      </c>
    </row>
    <row r="2008" spans="5:14" x14ac:dyDescent="0.2">
      <c r="E2008" s="9" t="s">
        <v>26</v>
      </c>
      <c r="K2008" t="str">
        <v>what</v>
      </c>
      <c r="M2008" s="4" t="str">
        <f t="shared" si="30"/>
        <v>what</v>
      </c>
      <c r="N2008" s="4" cm="1">
        <f t="array" ref="N2008">SUM(--(_xlfn.TEXTSPLIT($J$1780,, " ") = L2008))</f>
        <v>1</v>
      </c>
    </row>
    <row r="2009" spans="5:14" x14ac:dyDescent="0.2">
      <c r="E2009" s="9" t="s">
        <v>26</v>
      </c>
      <c r="K2009" t="str">
        <v>have</v>
      </c>
      <c r="M2009" s="4" t="str">
        <f t="shared" si="30"/>
        <v>have</v>
      </c>
      <c r="N2009" s="4" cm="1">
        <f t="array" ref="N2009">SUM(--(_xlfn.TEXTSPLIT($J$1780,, " ") = L2009))</f>
        <v>1</v>
      </c>
    </row>
    <row r="2010" spans="5:14" x14ac:dyDescent="0.2">
      <c r="E2010" s="9" t="s">
        <v>26</v>
      </c>
      <c r="K2010" t="str">
        <v>I</v>
      </c>
      <c r="M2010" s="4" t="str">
        <f t="shared" si="30"/>
        <v>I</v>
      </c>
      <c r="N2010" s="4" cm="1">
        <f t="array" ref="N2010">SUM(--(_xlfn.TEXTSPLIT($J$1780,, " ") = L2010))</f>
        <v>1</v>
      </c>
    </row>
    <row r="2011" spans="5:14" x14ac:dyDescent="0.2">
      <c r="E2011" s="9" t="s">
        <v>26</v>
      </c>
      <c r="K2011" t="str">
        <v xml:space="preserve">become?
</v>
      </c>
      <c r="M2011" s="4" t="str">
        <f t="shared" si="30"/>
        <v xml:space="preserve">become  </v>
      </c>
      <c r="N2011" s="4" cm="1">
        <f t="array" ref="N2011">SUM(--(_xlfn.TEXTSPLIT($J$1780,, " ") = L2011))</f>
        <v>1</v>
      </c>
    </row>
    <row r="2012" spans="5:14" x14ac:dyDescent="0.2">
      <c r="E2012" s="9" t="s">
        <v>26</v>
      </c>
      <c r="K2012" t="str">
        <v>Dirty</v>
      </c>
      <c r="M2012" s="4" t="str">
        <f t="shared" si="30"/>
        <v>Dirty</v>
      </c>
      <c r="N2012" s="4" cm="1">
        <f t="array" ref="N2012">SUM(--(_xlfn.TEXTSPLIT($J$1780,, " ") = L2012))</f>
        <v>1</v>
      </c>
    </row>
    <row r="2013" spans="5:14" x14ac:dyDescent="0.2">
      <c r="E2013" s="9" t="s">
        <v>26</v>
      </c>
      <c r="K2013" t="str">
        <v>and</v>
      </c>
      <c r="M2013" s="4" t="str">
        <f t="shared" si="30"/>
        <v>and</v>
      </c>
      <c r="N2013" s="4" cm="1">
        <f t="array" ref="N2013">SUM(--(_xlfn.TEXTSPLIT($J$1780,, " ") = L2013))</f>
        <v>1</v>
      </c>
    </row>
    <row r="2014" spans="5:14" x14ac:dyDescent="0.2">
      <c r="E2014" s="9" t="s">
        <v>26</v>
      </c>
      <c r="K2014" t="str">
        <v>wretched</v>
      </c>
      <c r="M2014" s="4" t="str">
        <f t="shared" si="30"/>
        <v>wretched</v>
      </c>
      <c r="N2014" s="4" cm="1">
        <f t="array" ref="N2014">SUM(--(_xlfn.TEXTSPLIT($J$1780,, " ") = L2014))</f>
        <v>1</v>
      </c>
    </row>
    <row r="2015" spans="5:14" x14ac:dyDescent="0.2">
      <c r="E2015" s="9" t="s">
        <v>26</v>
      </c>
      <c r="K2015" t="str">
        <v xml:space="preserve">one
</v>
      </c>
      <c r="M2015" s="4" t="str">
        <f t="shared" si="30"/>
        <v xml:space="preserve">one </v>
      </c>
      <c r="N2015" s="4" cm="1">
        <f t="array" ref="N2015">SUM(--(_xlfn.TEXTSPLIT($J$1780,, " ") = L2015))</f>
        <v>1</v>
      </c>
    </row>
    <row r="2016" spans="5:14" x14ac:dyDescent="0.2">
      <c r="E2016" s="9" t="s">
        <v>26</v>
      </c>
      <c r="K2016" t="str">
        <v>Am</v>
      </c>
      <c r="M2016" s="4" t="str">
        <f t="shared" si="30"/>
        <v>Am</v>
      </c>
      <c r="N2016" s="4" cm="1">
        <f t="array" ref="N2016">SUM(--(_xlfn.TEXTSPLIT($J$1780,, " ") = L2016))</f>
        <v>1</v>
      </c>
    </row>
    <row r="2017" spans="5:14" x14ac:dyDescent="0.2">
      <c r="E2017" s="9" t="s">
        <v>26</v>
      </c>
      <c r="K2017" t="str">
        <v>I</v>
      </c>
      <c r="M2017" s="4" t="str">
        <f t="shared" si="30"/>
        <v>I</v>
      </c>
      <c r="N2017" s="4" cm="1">
        <f t="array" ref="N2017">SUM(--(_xlfn.TEXTSPLIT($J$1780,, " ") = L2017))</f>
        <v>1</v>
      </c>
    </row>
    <row r="2018" spans="5:14" x14ac:dyDescent="0.2">
      <c r="E2018" s="9" t="s">
        <v>26</v>
      </c>
      <c r="K2018" t="str">
        <v>unholy</v>
      </c>
      <c r="M2018" s="4" t="str">
        <f t="shared" si="30"/>
        <v>unholy</v>
      </c>
      <c r="N2018" s="4" cm="1">
        <f t="array" ref="N2018">SUM(--(_xlfn.TEXTSPLIT($J$1780,, " ") = L2018))</f>
        <v>1</v>
      </c>
    </row>
    <row r="2019" spans="5:14" x14ac:dyDescent="0.2">
      <c r="E2019" s="9" t="s">
        <v>26</v>
      </c>
      <c r="K2019" t="str">
        <v xml:space="preserve">man?
</v>
      </c>
      <c r="M2019" s="4" t="str">
        <f t="shared" si="30"/>
        <v xml:space="preserve">man  </v>
      </c>
      <c r="N2019" s="4" cm="1">
        <f t="array" ref="N2019">SUM(--(_xlfn.TEXTSPLIT($J$1780,, " ") = L2019))</f>
        <v>1</v>
      </c>
    </row>
    <row r="2020" spans="5:14" x14ac:dyDescent="0.2">
      <c r="E2020" s="9" t="s">
        <v>26</v>
      </c>
      <c r="K2020" t="str">
        <v>Have</v>
      </c>
      <c r="M2020" s="4" t="str">
        <f t="shared" si="30"/>
        <v>Have</v>
      </c>
      <c r="N2020" s="4" cm="1">
        <f t="array" ref="N2020">SUM(--(_xlfn.TEXTSPLIT($J$1780,, " ") = L2020))</f>
        <v>1</v>
      </c>
    </row>
    <row r="2021" spans="5:14" x14ac:dyDescent="0.2">
      <c r="E2021" s="9" t="s">
        <v>26</v>
      </c>
      <c r="K2021" t="str">
        <v>I</v>
      </c>
      <c r="M2021" s="4" t="str">
        <f t="shared" si="30"/>
        <v>I</v>
      </c>
      <c r="N2021" s="4" cm="1">
        <f t="array" ref="N2021">SUM(--(_xlfn.TEXTSPLIT($J$1780,, " ") = L2021))</f>
        <v>1</v>
      </c>
    </row>
    <row r="2022" spans="5:14" x14ac:dyDescent="0.2">
      <c r="E2022" s="9" t="s">
        <v>26</v>
      </c>
      <c r="K2022" t="str">
        <v>forced</v>
      </c>
      <c r="M2022" s="4" t="str">
        <f t="shared" si="30"/>
        <v>forced</v>
      </c>
      <c r="N2022" s="4" cm="1">
        <f t="array" ref="N2022">SUM(--(_xlfn.TEXTSPLIT($J$1780,, " ") = L2022))</f>
        <v>1</v>
      </c>
    </row>
    <row r="2023" spans="5:14" x14ac:dyDescent="0.2">
      <c r="E2023" s="9" t="s">
        <v>26</v>
      </c>
      <c r="K2023" t="str">
        <v>your</v>
      </c>
      <c r="M2023" s="4" t="str">
        <f t="shared" si="30"/>
        <v>your</v>
      </c>
      <c r="N2023" s="4" cm="1">
        <f t="array" ref="N2023">SUM(--(_xlfn.TEXTSPLIT($J$1780,, " ") = L2023))</f>
        <v>1</v>
      </c>
    </row>
    <row r="2024" spans="5:14" x14ac:dyDescent="0.2">
      <c r="E2024" s="9" t="s">
        <v>26</v>
      </c>
      <c r="K2024" t="str">
        <v xml:space="preserve">hand?
</v>
      </c>
      <c r="M2024" s="4" t="str">
        <f t="shared" si="30"/>
        <v xml:space="preserve">hand   </v>
      </c>
      <c r="N2024" s="4" cm="1">
        <f t="array" ref="N2024">SUM(--(_xlfn.TEXTSPLIT($J$1780,, " ") = L2024))</f>
        <v>1</v>
      </c>
    </row>
    <row r="2025" spans="5:14" x14ac:dyDescent="0.2">
      <c r="E2025" s="9" t="s">
        <v>26</v>
      </c>
      <c r="K2025" t="str">
        <v>Oh,</v>
      </c>
      <c r="M2025" s="4" t="str">
        <f t="shared" si="30"/>
        <v xml:space="preserve">Oh </v>
      </c>
      <c r="N2025" s="4" cm="1">
        <f t="array" ref="N2025">SUM(--(_xlfn.TEXTSPLIT($J$1780,, " ") = L2025))</f>
        <v>1</v>
      </c>
    </row>
    <row r="2026" spans="5:14" x14ac:dyDescent="0.2">
      <c r="E2026" s="9" t="s">
        <v>26</v>
      </c>
      <c r="K2026" t="str">
        <v>woah-oh,</v>
      </c>
      <c r="M2026" s="4" t="str">
        <f t="shared" si="30"/>
        <v xml:space="preserve">woah oh </v>
      </c>
      <c r="N2026" s="4" cm="1">
        <f t="array" ref="N2026">SUM(--(_xlfn.TEXTSPLIT($J$1780,, " ") = L2026))</f>
        <v>1</v>
      </c>
    </row>
    <row r="2027" spans="5:14" x14ac:dyDescent="0.2">
      <c r="E2027" s="9" t="s">
        <v>26</v>
      </c>
      <c r="K2027" t="str">
        <v>woah-oh,</v>
      </c>
      <c r="M2027" s="4" t="str">
        <f t="shared" ref="M2027:M2090" si="31">_xlfn.REGEXREPLACE(K2027, "[^A-Za-z ]", " ")</f>
        <v xml:space="preserve">woah oh </v>
      </c>
      <c r="N2027" s="4" cm="1">
        <f t="array" ref="N2027">SUM(--(_xlfn.TEXTSPLIT($J$1780,, " ") = L2027))</f>
        <v>1</v>
      </c>
    </row>
    <row r="2028" spans="5:14" x14ac:dyDescent="0.2">
      <c r="E2028" s="9" t="s">
        <v>26</v>
      </c>
      <c r="K2028" t="str">
        <v>mercy,</v>
      </c>
      <c r="M2028" s="4" t="str">
        <f t="shared" si="31"/>
        <v xml:space="preserve">mercy </v>
      </c>
      <c r="N2028" s="4" cm="1">
        <f t="array" ref="N2028">SUM(--(_xlfn.TEXTSPLIT($J$1780,, " ") = L2028))</f>
        <v>1</v>
      </c>
    </row>
    <row r="2029" spans="5:14" x14ac:dyDescent="0.2">
      <c r="E2029" s="9" t="s">
        <v>26</v>
      </c>
      <c r="K2029" t="str">
        <v xml:space="preserve">yeah
</v>
      </c>
      <c r="M2029" s="4" t="str">
        <f t="shared" si="31"/>
        <v xml:space="preserve">yeah </v>
      </c>
      <c r="N2029" s="4" cm="1">
        <f t="array" ref="N2029">SUM(--(_xlfn.TEXTSPLIT($J$1780,, " ") = L2029))</f>
        <v>1</v>
      </c>
    </row>
    <row r="2030" spans="5:14" x14ac:dyDescent="0.2">
      <c r="E2030" s="9" t="s">
        <v>26</v>
      </c>
      <c r="K2030" t="str">
        <v>Oh,</v>
      </c>
      <c r="M2030" s="4" t="str">
        <f t="shared" si="31"/>
        <v xml:space="preserve">Oh </v>
      </c>
      <c r="N2030" s="4" cm="1">
        <f t="array" ref="N2030">SUM(--(_xlfn.TEXTSPLIT($J$1780,, " ") = L2030))</f>
        <v>1</v>
      </c>
    </row>
    <row r="2031" spans="5:14" x14ac:dyDescent="0.2">
      <c r="E2031" s="9" t="s">
        <v>26</v>
      </c>
      <c r="K2031" t="str">
        <v>woah-oh,</v>
      </c>
      <c r="M2031" s="4" t="str">
        <f t="shared" si="31"/>
        <v xml:space="preserve">woah oh </v>
      </c>
      <c r="N2031" s="4" cm="1">
        <f t="array" ref="N2031">SUM(--(_xlfn.TEXTSPLIT($J$1780,, " ") = L2031))</f>
        <v>1</v>
      </c>
    </row>
    <row r="2032" spans="5:14" x14ac:dyDescent="0.2">
      <c r="E2032" s="9" t="s">
        <v>26</v>
      </c>
      <c r="K2032" t="str">
        <v>woah-oh,</v>
      </c>
      <c r="M2032" s="4" t="str">
        <f t="shared" si="31"/>
        <v xml:space="preserve">woah oh </v>
      </c>
      <c r="N2032" s="4" cm="1">
        <f t="array" ref="N2032">SUM(--(_xlfn.TEXTSPLIT($J$1780,, " ") = L2032))</f>
        <v>1</v>
      </c>
    </row>
    <row r="2033" spans="5:14" x14ac:dyDescent="0.2">
      <c r="E2033" s="9" t="s">
        <v>26</v>
      </c>
      <c r="K2033" t="str">
        <v>mercy,</v>
      </c>
      <c r="M2033" s="4" t="str">
        <f t="shared" si="31"/>
        <v xml:space="preserve">mercy </v>
      </c>
      <c r="N2033" s="4" cm="1">
        <f t="array" ref="N2033">SUM(--(_xlfn.TEXTSPLIT($J$1780,, " ") = L2033))</f>
        <v>1</v>
      </c>
    </row>
    <row r="2034" spans="5:14" x14ac:dyDescent="0.2">
      <c r="E2034" s="9" t="s">
        <v>26</v>
      </c>
      <c r="K2034" t="str">
        <v xml:space="preserve">yeah
</v>
      </c>
      <c r="M2034" s="4" t="str">
        <f t="shared" si="31"/>
        <v xml:space="preserve">yeah  </v>
      </c>
      <c r="N2034" s="4" cm="1">
        <f t="array" ref="N2034">SUM(--(_xlfn.TEXTSPLIT($J$1780,, " ") = L2034))</f>
        <v>1</v>
      </c>
    </row>
    <row r="2035" spans="5:14" x14ac:dyDescent="0.2">
      <c r="E2035" s="9" t="s">
        <v>26</v>
      </c>
      <c r="K2035" t="str">
        <v>Down</v>
      </c>
      <c r="M2035" s="4" t="str">
        <f t="shared" si="31"/>
        <v>Down</v>
      </c>
      <c r="N2035" s="4" cm="1">
        <f t="array" ref="N2035">SUM(--(_xlfn.TEXTSPLIT($J$1780,, " ") = L2035))</f>
        <v>1</v>
      </c>
    </row>
    <row r="2036" spans="5:14" x14ac:dyDescent="0.2">
      <c r="E2036" s="9" t="s">
        <v>26</v>
      </c>
      <c r="K2036" t="str">
        <v>there,</v>
      </c>
      <c r="M2036" s="4" t="str">
        <f t="shared" si="31"/>
        <v xml:space="preserve">there </v>
      </c>
      <c r="N2036" s="4" cm="1">
        <f t="array" ref="N2036">SUM(--(_xlfn.TEXTSPLIT($J$1780,, " ") = L2036))</f>
        <v>1</v>
      </c>
    </row>
    <row r="2037" spans="5:14" x14ac:dyDescent="0.2">
      <c r="E2037" s="9" t="s">
        <v>26</v>
      </c>
      <c r="K2037" t="str">
        <v>it's</v>
      </c>
      <c r="M2037" s="4" t="str">
        <f t="shared" si="31"/>
        <v>it s</v>
      </c>
      <c r="N2037" s="4" cm="1">
        <f t="array" ref="N2037">SUM(--(_xlfn.TEXTSPLIT($J$1780,, " ") = L2037))</f>
        <v>1</v>
      </c>
    </row>
    <row r="2038" spans="5:14" x14ac:dyDescent="0.2">
      <c r="E2038" s="9" t="s">
        <v>26</v>
      </c>
      <c r="K2038" t="str">
        <v>some</v>
      </c>
      <c r="M2038" s="4" t="str">
        <f t="shared" si="31"/>
        <v>some</v>
      </c>
      <c r="N2038" s="4" cm="1">
        <f t="array" ref="N2038">SUM(--(_xlfn.TEXTSPLIT($J$1780,, " ") = L2038))</f>
        <v>1</v>
      </c>
    </row>
    <row r="2039" spans="5:14" x14ac:dyDescent="0.2">
      <c r="E2039" s="9" t="s">
        <v>26</v>
      </c>
      <c r="K2039" t="str">
        <v>shelter</v>
      </c>
      <c r="M2039" s="4" t="str">
        <f t="shared" si="31"/>
        <v>shelter</v>
      </c>
      <c r="N2039" s="4" cm="1">
        <f t="array" ref="N2039">SUM(--(_xlfn.TEXTSPLIT($J$1780,, " ") = L2039))</f>
        <v>1</v>
      </c>
    </row>
    <row r="2040" spans="5:14" x14ac:dyDescent="0.2">
      <c r="E2040" s="9" t="s">
        <v>26</v>
      </c>
      <c r="K2040" t="str">
        <v>from</v>
      </c>
      <c r="M2040" s="4" t="str">
        <f t="shared" si="31"/>
        <v>from</v>
      </c>
      <c r="N2040" s="4" cm="1">
        <f t="array" ref="N2040">SUM(--(_xlfn.TEXTSPLIT($J$1780,, " ") = L2040))</f>
        <v>1</v>
      </c>
    </row>
    <row r="2041" spans="5:14" x14ac:dyDescent="0.2">
      <c r="E2041" s="9" t="s">
        <v>26</v>
      </c>
      <c r="K2041" t="str">
        <v>the</v>
      </c>
      <c r="M2041" s="4" t="str">
        <f t="shared" si="31"/>
        <v>the</v>
      </c>
      <c r="N2041" s="4" cm="1">
        <f t="array" ref="N2041">SUM(--(_xlfn.TEXTSPLIT($J$1780,, " ") = L2041))</f>
        <v>1</v>
      </c>
    </row>
    <row r="2042" spans="5:14" x14ac:dyDescent="0.2">
      <c r="E2042" s="9" t="s">
        <v>26</v>
      </c>
      <c r="K2042" t="str">
        <v xml:space="preserve">weather
</v>
      </c>
      <c r="M2042" s="4" t="str">
        <f t="shared" si="31"/>
        <v xml:space="preserve">weather </v>
      </c>
      <c r="N2042" s="4" cm="1">
        <f t="array" ref="N2042">SUM(--(_xlfn.TEXTSPLIT($J$1780,, " ") = L2042))</f>
        <v>1</v>
      </c>
    </row>
    <row r="2043" spans="5:14" x14ac:dyDescent="0.2">
      <c r="E2043" s="9" t="s">
        <v>26</v>
      </c>
      <c r="K2043" t="str">
        <v>I</v>
      </c>
      <c r="M2043" s="4" t="str">
        <f t="shared" si="31"/>
        <v>I</v>
      </c>
      <c r="N2043" s="4" cm="1">
        <f t="array" ref="N2043">SUM(--(_xlfn.TEXTSPLIT($J$1780,, " ") = L2043))</f>
        <v>1</v>
      </c>
    </row>
    <row r="2044" spans="5:14" x14ac:dyDescent="0.2">
      <c r="E2044" s="9" t="s">
        <v>26</v>
      </c>
      <c r="K2044" t="str">
        <v>wear</v>
      </c>
      <c r="M2044" s="4" t="str">
        <f t="shared" si="31"/>
        <v>wear</v>
      </c>
      <c r="N2044" s="4" cm="1">
        <f t="array" ref="N2044">SUM(--(_xlfn.TEXTSPLIT($J$1780,, " ") = L2044))</f>
        <v>1</v>
      </c>
    </row>
    <row r="2045" spans="5:14" x14ac:dyDescent="0.2">
      <c r="E2045" s="9" t="s">
        <v>26</v>
      </c>
      <c r="K2045" t="str">
        <v>all</v>
      </c>
      <c r="M2045" s="4" t="str">
        <f t="shared" si="31"/>
        <v>all</v>
      </c>
      <c r="N2045" s="4" cm="1">
        <f t="array" ref="N2045">SUM(--(_xlfn.TEXTSPLIT($J$1780,, " ") = L2045))</f>
        <v>1</v>
      </c>
    </row>
    <row r="2046" spans="5:14" x14ac:dyDescent="0.2">
      <c r="E2046" s="9" t="s">
        <v>26</v>
      </c>
      <c r="K2046" t="str">
        <v>of</v>
      </c>
      <c r="M2046" s="4" t="str">
        <f t="shared" si="31"/>
        <v>of</v>
      </c>
      <c r="N2046" s="4" cm="1">
        <f t="array" ref="N2046">SUM(--(_xlfn.TEXTSPLIT($J$1780,, " ") = L2046))</f>
        <v>1</v>
      </c>
    </row>
    <row r="2047" spans="5:14" x14ac:dyDescent="0.2">
      <c r="E2047" s="9" t="s">
        <v>26</v>
      </c>
      <c r="K2047" t="str">
        <v>my</v>
      </c>
      <c r="M2047" s="4" t="str">
        <f t="shared" si="31"/>
        <v>my</v>
      </c>
      <c r="N2047" s="4" cm="1">
        <f t="array" ref="N2047">SUM(--(_xlfn.TEXTSPLIT($J$1780,, " ") = L2047))</f>
        <v>1</v>
      </c>
    </row>
    <row r="2048" spans="5:14" x14ac:dyDescent="0.2">
      <c r="E2048" s="9" t="s">
        <v>26</v>
      </c>
      <c r="K2048" t="str">
        <v>heart</v>
      </c>
      <c r="M2048" s="4" t="str">
        <f t="shared" si="31"/>
        <v>heart</v>
      </c>
      <c r="N2048" s="4" cm="1">
        <f t="array" ref="N2048">SUM(--(_xlfn.TEXTSPLIT($J$1780,, " ") = L2048))</f>
        <v>1</v>
      </c>
    </row>
    <row r="2049" spans="5:14" x14ac:dyDescent="0.2">
      <c r="E2049" s="9" t="s">
        <v>26</v>
      </c>
      <c r="K2049" t="str">
        <v>on</v>
      </c>
      <c r="M2049" s="4" t="str">
        <f t="shared" si="31"/>
        <v>on</v>
      </c>
      <c r="N2049" s="4" cm="1">
        <f t="array" ref="N2049">SUM(--(_xlfn.TEXTSPLIT($J$1780,, " ") = L2049))</f>
        <v>1</v>
      </c>
    </row>
    <row r="2050" spans="5:14" x14ac:dyDescent="0.2">
      <c r="E2050" s="9" t="s">
        <v>26</v>
      </c>
      <c r="K2050" t="str">
        <v>my</v>
      </c>
      <c r="M2050" s="4" t="str">
        <f t="shared" si="31"/>
        <v>my</v>
      </c>
      <c r="N2050" s="4" cm="1">
        <f t="array" ref="N2050">SUM(--(_xlfn.TEXTSPLIT($J$1780,, " ") = L2050))</f>
        <v>1</v>
      </c>
    </row>
    <row r="2051" spans="5:14" x14ac:dyDescent="0.2">
      <c r="E2051" s="9" t="s">
        <v>26</v>
      </c>
      <c r="K2051" t="str">
        <v xml:space="preserve">sleeve
</v>
      </c>
      <c r="M2051" s="4" t="str">
        <f t="shared" si="31"/>
        <v xml:space="preserve">sleeve </v>
      </c>
      <c r="N2051" s="4" cm="1">
        <f t="array" ref="N2051">SUM(--(_xlfn.TEXTSPLIT($J$1780,, " ") = L2051))</f>
        <v>1</v>
      </c>
    </row>
    <row r="2052" spans="5:14" x14ac:dyDescent="0.2">
      <c r="E2052" s="9" t="s">
        <v>26</v>
      </c>
      <c r="K2052" t="str">
        <v>I'll</v>
      </c>
      <c r="M2052" s="4" t="str">
        <f t="shared" si="31"/>
        <v>I ll</v>
      </c>
      <c r="N2052" s="4" cm="1">
        <f t="array" ref="N2052">SUM(--(_xlfn.TEXTSPLIT($J$1780,, " ") = L2052))</f>
        <v>1</v>
      </c>
    </row>
    <row r="2053" spans="5:14" x14ac:dyDescent="0.2">
      <c r="E2053" s="9" t="s">
        <v>26</v>
      </c>
      <c r="K2053" t="str">
        <v>take</v>
      </c>
      <c r="M2053" s="4" t="str">
        <f t="shared" si="31"/>
        <v>take</v>
      </c>
      <c r="N2053" s="4" cm="1">
        <f t="array" ref="N2053">SUM(--(_xlfn.TEXTSPLIT($J$1780,, " ") = L2053))</f>
        <v>1</v>
      </c>
    </row>
    <row r="2054" spans="5:14" x14ac:dyDescent="0.2">
      <c r="E2054" s="9" t="s">
        <v>26</v>
      </c>
      <c r="K2054" t="str">
        <v>what</v>
      </c>
      <c r="M2054" s="4" t="str">
        <f t="shared" si="31"/>
        <v>what</v>
      </c>
      <c r="N2054" s="4" cm="1">
        <f t="array" ref="N2054">SUM(--(_xlfn.TEXTSPLIT($J$1780,, " ") = L2054))</f>
        <v>1</v>
      </c>
    </row>
    <row r="2055" spans="5:14" x14ac:dyDescent="0.2">
      <c r="E2055" s="9" t="s">
        <v>26</v>
      </c>
      <c r="K2055" t="str">
        <v>I</v>
      </c>
      <c r="M2055" s="4" t="str">
        <f t="shared" si="31"/>
        <v>I</v>
      </c>
      <c r="N2055" s="4" cm="1">
        <f t="array" ref="N2055">SUM(--(_xlfn.TEXTSPLIT($J$1780,, " ") = L2055))</f>
        <v>1</v>
      </c>
    </row>
    <row r="2056" spans="5:14" x14ac:dyDescent="0.2">
      <c r="E2056" s="9" t="s">
        <v>26</v>
      </c>
      <c r="K2056" t="str">
        <v>believe,</v>
      </c>
      <c r="M2056" s="4" t="str">
        <f t="shared" si="31"/>
        <v xml:space="preserve">believe </v>
      </c>
      <c r="N2056" s="4" cm="1">
        <f t="array" ref="N2056">SUM(--(_xlfn.TEXTSPLIT($J$1780,, " ") = L2056))</f>
        <v>1</v>
      </c>
    </row>
    <row r="2057" spans="5:14" x14ac:dyDescent="0.2">
      <c r="E2057" s="9" t="s">
        <v>26</v>
      </c>
      <c r="K2057" t="str">
        <v>and</v>
      </c>
      <c r="M2057" s="4" t="str">
        <f t="shared" si="31"/>
        <v>and</v>
      </c>
      <c r="N2057" s="4" cm="1">
        <f t="array" ref="N2057">SUM(--(_xlfn.TEXTSPLIT($J$1780,, " ") = L2057))</f>
        <v>1</v>
      </c>
    </row>
    <row r="2058" spans="5:14" x14ac:dyDescent="0.2">
      <c r="E2058" s="9" t="s">
        <v>26</v>
      </c>
      <c r="K2058" t="str">
        <v>I'm</v>
      </c>
      <c r="M2058" s="4" t="str">
        <f t="shared" si="31"/>
        <v>I m</v>
      </c>
      <c r="N2058" s="4" cm="1">
        <f t="array" ref="N2058">SUM(--(_xlfn.TEXTSPLIT($J$1780,, " ") = L2058))</f>
        <v>1</v>
      </c>
    </row>
    <row r="2059" spans="5:14" x14ac:dyDescent="0.2">
      <c r="E2059" s="9" t="s">
        <v>26</v>
      </c>
      <c r="K2059" t="str">
        <v>hiding</v>
      </c>
      <c r="M2059" s="4" t="str">
        <f t="shared" si="31"/>
        <v>hiding</v>
      </c>
      <c r="N2059" s="4" cm="1">
        <f t="array" ref="N2059">SUM(--(_xlfn.TEXTSPLIT($J$1780,, " ") = L2059))</f>
        <v>1</v>
      </c>
    </row>
    <row r="2060" spans="5:14" x14ac:dyDescent="0.2">
      <c r="E2060" s="9" t="s">
        <v>26</v>
      </c>
      <c r="K2060" t="str">
        <v xml:space="preserve">it
</v>
      </c>
      <c r="M2060" s="4" t="str">
        <f t="shared" si="31"/>
        <v xml:space="preserve">it </v>
      </c>
      <c r="N2060" s="4" cm="1">
        <f t="array" ref="N2060">SUM(--(_xlfn.TEXTSPLIT($J$1780,, " ") = L2060))</f>
        <v>1</v>
      </c>
    </row>
    <row r="2061" spans="5:14" x14ac:dyDescent="0.2">
      <c r="E2061" s="9" t="s">
        <v>26</v>
      </c>
      <c r="K2061" t="str">
        <v>Downstairs,</v>
      </c>
      <c r="M2061" s="4" t="str">
        <f t="shared" si="31"/>
        <v xml:space="preserve">Downstairs </v>
      </c>
      <c r="N2061" s="4" cm="1">
        <f t="array" ref="N2061">SUM(--(_xlfn.TEXTSPLIT($J$1780,, " ") = L2061))</f>
        <v>1</v>
      </c>
    </row>
    <row r="2062" spans="5:14" x14ac:dyDescent="0.2">
      <c r="E2062" s="9" t="s">
        <v>26</v>
      </c>
      <c r="K2062" t="str">
        <v>I</v>
      </c>
      <c r="M2062" s="4" t="str">
        <f t="shared" si="31"/>
        <v>I</v>
      </c>
      <c r="N2062" s="4" cm="1">
        <f t="array" ref="N2062">SUM(--(_xlfn.TEXTSPLIT($J$1780,, " ") = L2062))</f>
        <v>1</v>
      </c>
    </row>
    <row r="2063" spans="5:14" x14ac:dyDescent="0.2">
      <c r="E2063" s="9" t="s">
        <v>26</v>
      </c>
      <c r="K2063" t="str">
        <v>feel</v>
      </c>
      <c r="M2063" s="4" t="str">
        <f t="shared" si="31"/>
        <v>feel</v>
      </c>
      <c r="N2063" s="4" cm="1">
        <f t="array" ref="N2063">SUM(--(_xlfn.TEXTSPLIT($J$1780,, " ") = L2063))</f>
        <v>1</v>
      </c>
    </row>
    <row r="2064" spans="5:14" x14ac:dyDescent="0.2">
      <c r="E2064" s="9" t="s">
        <v>26</v>
      </c>
      <c r="K2064" t="str">
        <v>better</v>
      </c>
      <c r="M2064" s="4" t="str">
        <f t="shared" si="31"/>
        <v>better</v>
      </c>
      <c r="N2064" s="4" cm="1">
        <f t="array" ref="N2064">SUM(--(_xlfn.TEXTSPLIT($J$1780,, " ") = L2064))</f>
        <v>1</v>
      </c>
    </row>
    <row r="2065" spans="5:14" x14ac:dyDescent="0.2">
      <c r="E2065" s="9" t="s">
        <v>26</v>
      </c>
      <c r="K2065" t="str">
        <v>in</v>
      </c>
      <c r="M2065" s="4" t="str">
        <f t="shared" si="31"/>
        <v>in</v>
      </c>
      <c r="N2065" s="4" cm="1">
        <f t="array" ref="N2065">SUM(--(_xlfn.TEXTSPLIT($J$1780,, " ") = L2065))</f>
        <v>1</v>
      </c>
    </row>
    <row r="2066" spans="5:14" x14ac:dyDescent="0.2">
      <c r="E2066" s="9" t="s">
        <v>26</v>
      </c>
      <c r="K2066" t="str">
        <v>the</v>
      </c>
      <c r="M2066" s="4" t="str">
        <f t="shared" si="31"/>
        <v>the</v>
      </c>
      <c r="N2066" s="4" cm="1">
        <f t="array" ref="N2066">SUM(--(_xlfn.TEXTSPLIT($J$1780,, " ") = L2066))</f>
        <v>1</v>
      </c>
    </row>
    <row r="2067" spans="5:14" x14ac:dyDescent="0.2">
      <c r="E2067" s="9" t="s">
        <v>26</v>
      </c>
      <c r="K2067" t="str">
        <v xml:space="preserve">cellar
</v>
      </c>
      <c r="M2067" s="4" t="str">
        <f t="shared" si="31"/>
        <v xml:space="preserve">cellar </v>
      </c>
      <c r="N2067" s="4" cm="1">
        <f t="array" ref="N2067">SUM(--(_xlfn.TEXTSPLIT($J$1780,, " ") = L2067))</f>
        <v>1</v>
      </c>
    </row>
    <row r="2068" spans="5:14" x14ac:dyDescent="0.2">
      <c r="E2068" s="9" t="s">
        <v>26</v>
      </c>
      <c r="K2068" t="str">
        <v>Down</v>
      </c>
      <c r="M2068" s="4" t="str">
        <f t="shared" si="31"/>
        <v>Down</v>
      </c>
      <c r="N2068" s="4" cm="1">
        <f t="array" ref="N2068">SUM(--(_xlfn.TEXTSPLIT($J$1780,, " ") = L2068))</f>
        <v>1</v>
      </c>
    </row>
    <row r="2069" spans="5:14" x14ac:dyDescent="0.2">
      <c r="E2069" s="9" t="s">
        <v>26</v>
      </c>
      <c r="K2069" t="str">
        <v>there,</v>
      </c>
      <c r="M2069" s="4" t="str">
        <f t="shared" si="31"/>
        <v xml:space="preserve">there </v>
      </c>
      <c r="N2069" s="4" cm="1">
        <f t="array" ref="N2069">SUM(--(_xlfn.TEXTSPLIT($J$1780,, " ") = L2069))</f>
        <v>1</v>
      </c>
    </row>
    <row r="2070" spans="5:14" x14ac:dyDescent="0.2">
      <c r="E2070" s="9" t="s">
        <v>26</v>
      </c>
      <c r="K2070" t="str">
        <v>it's</v>
      </c>
      <c r="M2070" s="4" t="str">
        <f t="shared" si="31"/>
        <v>it s</v>
      </c>
      <c r="N2070" s="4" cm="1">
        <f t="array" ref="N2070">SUM(--(_xlfn.TEXTSPLIT($J$1780,, " ") = L2070))</f>
        <v>1</v>
      </c>
    </row>
    <row r="2071" spans="5:14" x14ac:dyDescent="0.2">
      <c r="E2071" s="9" t="s">
        <v>26</v>
      </c>
      <c r="K2071" t="str">
        <v>some</v>
      </c>
      <c r="M2071" s="4" t="str">
        <f t="shared" si="31"/>
        <v>some</v>
      </c>
      <c r="N2071" s="4" cm="1">
        <f t="array" ref="N2071">SUM(--(_xlfn.TEXTSPLIT($J$1780,, " ") = L2071))</f>
        <v>1</v>
      </c>
    </row>
    <row r="2072" spans="5:14" x14ac:dyDescent="0.2">
      <c r="E2072" s="9" t="s">
        <v>26</v>
      </c>
      <c r="K2072" t="str">
        <v>shelter</v>
      </c>
      <c r="M2072" s="4" t="str">
        <f t="shared" si="31"/>
        <v>shelter</v>
      </c>
      <c r="N2072" s="4" cm="1">
        <f t="array" ref="N2072">SUM(--(_xlfn.TEXTSPLIT($J$1780,, " ") = L2072))</f>
        <v>1</v>
      </c>
    </row>
    <row r="2073" spans="5:14" x14ac:dyDescent="0.2">
      <c r="E2073" s="9" t="s">
        <v>26</v>
      </c>
      <c r="K2073" t="str">
        <v>from</v>
      </c>
      <c r="M2073" s="4" t="str">
        <f t="shared" si="31"/>
        <v>from</v>
      </c>
      <c r="N2073" s="4" cm="1">
        <f t="array" ref="N2073">SUM(--(_xlfn.TEXTSPLIT($J$1780,, " ") = L2073))</f>
        <v>1</v>
      </c>
    </row>
    <row r="2074" spans="5:14" x14ac:dyDescent="0.2">
      <c r="E2074" s="9" t="s">
        <v>26</v>
      </c>
      <c r="K2074" t="str">
        <v>the</v>
      </c>
      <c r="M2074" s="4" t="str">
        <f t="shared" si="31"/>
        <v>the</v>
      </c>
      <c r="N2074" s="4" cm="1">
        <f t="array" ref="N2074">SUM(--(_xlfn.TEXTSPLIT($J$1780,, " ") = L2074))</f>
        <v>1</v>
      </c>
    </row>
    <row r="2075" spans="5:14" x14ac:dyDescent="0.2">
      <c r="E2075" s="9" t="s">
        <v>26</v>
      </c>
      <c r="K2075" t="str">
        <v xml:space="preserve">weather
</v>
      </c>
      <c r="M2075" s="4" t="str">
        <f t="shared" si="31"/>
        <v xml:space="preserve">weather </v>
      </c>
      <c r="N2075" s="4" cm="1">
        <f t="array" ref="N2075">SUM(--(_xlfn.TEXTSPLIT($J$1780,, " ") = L2075))</f>
        <v>1</v>
      </c>
    </row>
    <row r="2076" spans="5:14" x14ac:dyDescent="0.2">
      <c r="E2076" s="9" t="s">
        <v>26</v>
      </c>
      <c r="K2076" t="str">
        <v>I</v>
      </c>
      <c r="M2076" s="4" t="str">
        <f t="shared" si="31"/>
        <v>I</v>
      </c>
      <c r="N2076" s="4" cm="1">
        <f t="array" ref="N2076">SUM(--(_xlfn.TEXTSPLIT($J$1780,, " ") = L2076))</f>
        <v>1</v>
      </c>
    </row>
    <row r="2077" spans="5:14" x14ac:dyDescent="0.2">
      <c r="E2077" s="9" t="s">
        <v>26</v>
      </c>
      <c r="K2077" t="str">
        <v>wear</v>
      </c>
      <c r="M2077" s="4" t="str">
        <f t="shared" si="31"/>
        <v>wear</v>
      </c>
      <c r="N2077" s="4" cm="1">
        <f t="array" ref="N2077">SUM(--(_xlfn.TEXTSPLIT($J$1780,, " ") = L2077))</f>
        <v>1</v>
      </c>
    </row>
    <row r="2078" spans="5:14" x14ac:dyDescent="0.2">
      <c r="E2078" s="9" t="s">
        <v>26</v>
      </c>
      <c r="K2078" t="str">
        <v>all</v>
      </c>
      <c r="M2078" s="4" t="str">
        <f t="shared" si="31"/>
        <v>all</v>
      </c>
      <c r="N2078" s="4" cm="1">
        <f t="array" ref="N2078">SUM(--(_xlfn.TEXTSPLIT($J$1780,, " ") = L2078))</f>
        <v>1</v>
      </c>
    </row>
    <row r="2079" spans="5:14" x14ac:dyDescent="0.2">
      <c r="E2079" s="9" t="s">
        <v>26</v>
      </c>
      <c r="K2079" t="str">
        <v>of</v>
      </c>
      <c r="M2079" s="4" t="str">
        <f t="shared" si="31"/>
        <v>of</v>
      </c>
      <c r="N2079" s="4" cm="1">
        <f t="array" ref="N2079">SUM(--(_xlfn.TEXTSPLIT($J$1780,, " ") = L2079))</f>
        <v>1</v>
      </c>
    </row>
    <row r="2080" spans="5:14" x14ac:dyDescent="0.2">
      <c r="E2080" s="9" t="s">
        <v>26</v>
      </c>
      <c r="K2080" t="str">
        <v>my</v>
      </c>
      <c r="M2080" s="4" t="str">
        <f t="shared" si="31"/>
        <v>my</v>
      </c>
      <c r="N2080" s="4" cm="1">
        <f t="array" ref="N2080">SUM(--(_xlfn.TEXTSPLIT($J$1780,, " ") = L2080))</f>
        <v>1</v>
      </c>
    </row>
    <row r="2081" spans="5:14" x14ac:dyDescent="0.2">
      <c r="E2081" s="9" t="s">
        <v>26</v>
      </c>
      <c r="K2081" t="str">
        <v>heart</v>
      </c>
      <c r="M2081" s="4" t="str">
        <f t="shared" si="31"/>
        <v>heart</v>
      </c>
      <c r="N2081" s="4" cm="1">
        <f t="array" ref="N2081">SUM(--(_xlfn.TEXTSPLIT($J$1780,, " ") = L2081))</f>
        <v>1</v>
      </c>
    </row>
    <row r="2082" spans="5:14" x14ac:dyDescent="0.2">
      <c r="E2082" s="9" t="s">
        <v>26</v>
      </c>
      <c r="K2082" t="str">
        <v>on</v>
      </c>
      <c r="M2082" s="4" t="str">
        <f t="shared" si="31"/>
        <v>on</v>
      </c>
      <c r="N2082" s="4" cm="1">
        <f t="array" ref="N2082">SUM(--(_xlfn.TEXTSPLIT($J$1780,, " ") = L2082))</f>
        <v>1</v>
      </c>
    </row>
    <row r="2083" spans="5:14" x14ac:dyDescent="0.2">
      <c r="E2083" s="9" t="s">
        <v>26</v>
      </c>
      <c r="K2083" t="str">
        <v>my</v>
      </c>
      <c r="M2083" s="4" t="str">
        <f t="shared" si="31"/>
        <v>my</v>
      </c>
      <c r="N2083" s="4" cm="1">
        <f t="array" ref="N2083">SUM(--(_xlfn.TEXTSPLIT($J$1780,, " ") = L2083))</f>
        <v>1</v>
      </c>
    </row>
    <row r="2084" spans="5:14" x14ac:dyDescent="0.2">
      <c r="E2084" s="9" t="s">
        <v>26</v>
      </c>
      <c r="K2084" t="str">
        <v xml:space="preserve">sleeve
</v>
      </c>
      <c r="M2084" s="4" t="str">
        <f t="shared" si="31"/>
        <v xml:space="preserve">sleeve </v>
      </c>
      <c r="N2084" s="4" cm="1">
        <f t="array" ref="N2084">SUM(--(_xlfn.TEXTSPLIT($J$1780,, " ") = L2084))</f>
        <v>1</v>
      </c>
    </row>
    <row r="2085" spans="5:14" x14ac:dyDescent="0.2">
      <c r="E2085" s="9" t="s">
        <v>26</v>
      </c>
      <c r="K2085" t="str">
        <v>I'll</v>
      </c>
      <c r="M2085" s="4" t="str">
        <f t="shared" si="31"/>
        <v>I ll</v>
      </c>
      <c r="N2085" s="4" cm="1">
        <f t="array" ref="N2085">SUM(--(_xlfn.TEXTSPLIT($J$1780,, " ") = L2085))</f>
        <v>1</v>
      </c>
    </row>
    <row r="2086" spans="5:14" x14ac:dyDescent="0.2">
      <c r="E2086" s="9" t="s">
        <v>26</v>
      </c>
      <c r="K2086" t="str">
        <v>take</v>
      </c>
      <c r="M2086" s="4" t="str">
        <f t="shared" si="31"/>
        <v>take</v>
      </c>
      <c r="N2086" s="4" cm="1">
        <f t="array" ref="N2086">SUM(--(_xlfn.TEXTSPLIT($J$1780,, " ") = L2086))</f>
        <v>1</v>
      </c>
    </row>
    <row r="2087" spans="5:14" x14ac:dyDescent="0.2">
      <c r="E2087" s="9" t="s">
        <v>26</v>
      </c>
      <c r="K2087" t="str">
        <v>what</v>
      </c>
      <c r="M2087" s="4" t="str">
        <f t="shared" si="31"/>
        <v>what</v>
      </c>
      <c r="N2087" s="4" cm="1">
        <f t="array" ref="N2087">SUM(--(_xlfn.TEXTSPLIT($J$1780,, " ") = L2087))</f>
        <v>1</v>
      </c>
    </row>
    <row r="2088" spans="5:14" x14ac:dyDescent="0.2">
      <c r="E2088" s="9" t="s">
        <v>26</v>
      </c>
      <c r="K2088" t="str">
        <v>I</v>
      </c>
      <c r="M2088" s="4" t="str">
        <f t="shared" si="31"/>
        <v>I</v>
      </c>
      <c r="N2088" s="4" cm="1">
        <f t="array" ref="N2088">SUM(--(_xlfn.TEXTSPLIT($J$1780,, " ") = L2088))</f>
        <v>1</v>
      </c>
    </row>
    <row r="2089" spans="5:14" x14ac:dyDescent="0.2">
      <c r="E2089" s="9" t="s">
        <v>26</v>
      </c>
      <c r="K2089" t="str">
        <v>believe,</v>
      </c>
      <c r="M2089" s="4" t="str">
        <f t="shared" si="31"/>
        <v xml:space="preserve">believe </v>
      </c>
      <c r="N2089" s="4" cm="1">
        <f t="array" ref="N2089">SUM(--(_xlfn.TEXTSPLIT($J$1780,, " ") = L2089))</f>
        <v>1</v>
      </c>
    </row>
    <row r="2090" spans="5:14" x14ac:dyDescent="0.2">
      <c r="E2090" s="9" t="s">
        <v>26</v>
      </c>
      <c r="K2090" t="str">
        <v>and</v>
      </c>
      <c r="M2090" s="4" t="str">
        <f t="shared" si="31"/>
        <v>and</v>
      </c>
      <c r="N2090" s="4" cm="1">
        <f t="array" ref="N2090">SUM(--(_xlfn.TEXTSPLIT($J$1780,, " ") = L2090))</f>
        <v>1</v>
      </c>
    </row>
    <row r="2091" spans="5:14" x14ac:dyDescent="0.2">
      <c r="E2091" s="9" t="s">
        <v>26</v>
      </c>
      <c r="K2091" t="str">
        <v>I'm</v>
      </c>
      <c r="M2091" s="4" t="str">
        <f t="shared" ref="M2091:M2154" si="32">_xlfn.REGEXREPLACE(K2091, "[^A-Za-z ]", " ")</f>
        <v>I m</v>
      </c>
      <c r="N2091" s="4" cm="1">
        <f t="array" ref="N2091">SUM(--(_xlfn.TEXTSPLIT($J$1780,, " ") = L2091))</f>
        <v>1</v>
      </c>
    </row>
    <row r="2092" spans="5:14" x14ac:dyDescent="0.2">
      <c r="E2092" s="9" t="s">
        <v>26</v>
      </c>
      <c r="K2092" t="str">
        <v>hiding</v>
      </c>
      <c r="M2092" s="4" t="str">
        <f t="shared" si="32"/>
        <v>hiding</v>
      </c>
      <c r="N2092" s="4" cm="1">
        <f t="array" ref="N2092">SUM(--(_xlfn.TEXTSPLIT($J$1780,, " ") = L2092))</f>
        <v>1</v>
      </c>
    </row>
    <row r="2093" spans="5:14" x14ac:dyDescent="0.2">
      <c r="E2093" s="9" t="s">
        <v>26</v>
      </c>
      <c r="K2093" t="str">
        <v xml:space="preserve">it
</v>
      </c>
      <c r="M2093" s="4" t="str">
        <f t="shared" si="32"/>
        <v xml:space="preserve">it </v>
      </c>
      <c r="N2093" s="4" cm="1">
        <f t="array" ref="N2093">SUM(--(_xlfn.TEXTSPLIT($J$1780,, " ") = L2093))</f>
        <v>1</v>
      </c>
    </row>
    <row r="2094" spans="5:14" x14ac:dyDescent="0.2">
      <c r="E2094" s="9" t="s">
        <v>26</v>
      </c>
      <c r="K2094" t="str">
        <v>Downstairs</v>
      </c>
      <c r="M2094" s="4" t="str">
        <f t="shared" si="32"/>
        <v>Downstairs</v>
      </c>
      <c r="N2094" s="4" cm="1">
        <f t="array" ref="N2094">SUM(--(_xlfn.TEXTSPLIT($J$1780,, " ") = L2094))</f>
        <v>1</v>
      </c>
    </row>
    <row r="2095" spans="5:14" x14ac:dyDescent="0.2">
      <c r="E2095" s="9" t="s">
        <v>26</v>
      </c>
      <c r="K2095" t="str">
        <v>(You</v>
      </c>
      <c r="M2095" s="4" t="str">
        <f t="shared" si="32"/>
        <v xml:space="preserve"> You</v>
      </c>
      <c r="N2095" s="4" cm="1">
        <f t="array" ref="N2095">SUM(--(_xlfn.TEXTSPLIT($J$1780,, " ") = L2095))</f>
        <v>1</v>
      </c>
    </row>
    <row r="2096" spans="5:14" x14ac:dyDescent="0.2">
      <c r="E2096" s="9" t="s">
        <v>26</v>
      </c>
      <c r="K2096" t="str">
        <v>can</v>
      </c>
      <c r="M2096" s="4" t="str">
        <f t="shared" si="32"/>
        <v>can</v>
      </c>
      <c r="N2096" s="4" cm="1">
        <f t="array" ref="N2096">SUM(--(_xlfn.TEXTSPLIT($J$1780,, " ") = L2096))</f>
        <v>1</v>
      </c>
    </row>
    <row r="2097" spans="5:14" x14ac:dyDescent="0.2">
      <c r="E2097" s="9" t="s">
        <v>26</v>
      </c>
      <c r="K2097" t="str">
        <v>have),</v>
      </c>
      <c r="M2097" s="4" t="str">
        <f t="shared" si="32"/>
        <v xml:space="preserve">have  </v>
      </c>
      <c r="N2097" s="4" cm="1">
        <f t="array" ref="N2097">SUM(--(_xlfn.TEXTSPLIT($J$1780,, " ") = L2097))</f>
        <v>1</v>
      </c>
    </row>
    <row r="2098" spans="5:14" x14ac:dyDescent="0.2">
      <c r="E2098" s="9" t="s">
        <v>26</v>
      </c>
      <c r="K2098" t="str">
        <v>I</v>
      </c>
      <c r="M2098" s="4" t="str">
        <f t="shared" si="32"/>
        <v>I</v>
      </c>
      <c r="N2098" s="4" cm="1">
        <f t="array" ref="N2098">SUM(--(_xlfn.TEXTSPLIT($J$1780,, " ") = L2098))</f>
        <v>1</v>
      </c>
    </row>
    <row r="2099" spans="5:14" x14ac:dyDescent="0.2">
      <c r="E2099" s="9" t="s">
        <v>26</v>
      </c>
      <c r="K2099" t="str">
        <v>feel</v>
      </c>
      <c r="M2099" s="4" t="str">
        <f t="shared" si="32"/>
        <v>feel</v>
      </c>
      <c r="N2099" s="4" cm="1">
        <f t="array" ref="N2099">SUM(--(_xlfn.TEXTSPLIT($J$1780,, " ") = L2099))</f>
        <v>1</v>
      </c>
    </row>
    <row r="2100" spans="5:14" x14ac:dyDescent="0.2">
      <c r="E2100" s="9" t="s">
        <v>26</v>
      </c>
      <c r="K2100" t="str">
        <v>better</v>
      </c>
      <c r="M2100" s="4" t="str">
        <f t="shared" si="32"/>
        <v>better</v>
      </c>
      <c r="N2100" s="4" cm="1">
        <f t="array" ref="N2100">SUM(--(_xlfn.TEXTSPLIT($J$1780,, " ") = L2100))</f>
        <v>1</v>
      </c>
    </row>
    <row r="2101" spans="5:14" x14ac:dyDescent="0.2">
      <c r="E2101" s="9" t="s">
        <v>26</v>
      </c>
      <c r="K2101" t="str">
        <v>in</v>
      </c>
      <c r="M2101" s="4" t="str">
        <f t="shared" si="32"/>
        <v>in</v>
      </c>
      <c r="N2101" s="4" cm="1">
        <f t="array" ref="N2101">SUM(--(_xlfn.TEXTSPLIT($J$1780,, " ") = L2101))</f>
        <v>1</v>
      </c>
    </row>
    <row r="2102" spans="5:14" x14ac:dyDescent="0.2">
      <c r="E2102" s="9" t="s">
        <v>26</v>
      </c>
      <c r="K2102" t="str">
        <v>the</v>
      </c>
      <c r="M2102" s="4" t="str">
        <f t="shared" si="32"/>
        <v>the</v>
      </c>
      <c r="N2102" s="4" cm="1">
        <f t="array" ref="N2102">SUM(--(_xlfn.TEXTSPLIT($J$1780,, " ") = L2102))</f>
        <v>1</v>
      </c>
    </row>
    <row r="2103" spans="5:14" x14ac:dyDescent="0.2">
      <c r="E2103" s="9" t="s">
        <v>26</v>
      </c>
      <c r="K2103" t="str">
        <v>cellar</v>
      </c>
      <c r="M2103" s="4" t="str">
        <f t="shared" si="32"/>
        <v>cellar</v>
      </c>
      <c r="N2103" s="4" cm="1">
        <f t="array" ref="N2103">SUM(--(_xlfn.TEXTSPLIT($J$1780,, " ") = L2103))</f>
        <v>1</v>
      </c>
    </row>
    <row r="2104" spans="5:14" x14ac:dyDescent="0.2">
      <c r="E2104" s="9" t="s">
        <v>26</v>
      </c>
      <c r="K2104" t="str">
        <v>(All</v>
      </c>
      <c r="M2104" s="4" t="str">
        <f t="shared" si="32"/>
        <v xml:space="preserve"> All</v>
      </c>
      <c r="N2104" s="4" cm="1">
        <f t="array" ref="N2104">SUM(--(_xlfn.TEXTSPLIT($J$1780,, " ") = L2104))</f>
        <v>1</v>
      </c>
    </row>
    <row r="2105" spans="5:14" x14ac:dyDescent="0.2">
      <c r="E2105" s="9" t="s">
        <v>26</v>
      </c>
      <c r="K2105" t="str">
        <v>I've</v>
      </c>
      <c r="M2105" s="4" t="str">
        <f t="shared" si="32"/>
        <v>I ve</v>
      </c>
      <c r="N2105" s="4" cm="1">
        <f t="array" ref="N2105">SUM(--(_xlfn.TEXTSPLIT($J$1780,, " ") = L2105))</f>
        <v>1</v>
      </c>
    </row>
    <row r="2106" spans="5:14" x14ac:dyDescent="0.2">
      <c r="E2106" s="9" t="s">
        <v>26</v>
      </c>
      <c r="K2106" t="str">
        <v xml:space="preserve">made)
</v>
      </c>
      <c r="M2106" s="4" t="str">
        <f t="shared" si="32"/>
        <v xml:space="preserve">made  </v>
      </c>
      <c r="N2106" s="4" cm="1">
        <f t="array" ref="N2106">SUM(--(_xlfn.TEXTSPLIT($J$1780,, " ") = L2106))</f>
        <v>1</v>
      </c>
    </row>
    <row r="2107" spans="5:14" x14ac:dyDescent="0.2">
      <c r="E2107" s="9" t="s">
        <v>26</v>
      </c>
      <c r="K2107" t="str">
        <v>Down</v>
      </c>
      <c r="M2107" s="4" t="str">
        <f t="shared" si="32"/>
        <v>Down</v>
      </c>
      <c r="N2107" s="4" cm="1">
        <f t="array" ref="N2107">SUM(--(_xlfn.TEXTSPLIT($J$1780,, " ") = L2107))</f>
        <v>1</v>
      </c>
    </row>
    <row r="2108" spans="5:14" x14ac:dyDescent="0.2">
      <c r="E2108" s="9" t="s">
        <v>26</v>
      </c>
      <c r="K2108" t="str">
        <v>there,</v>
      </c>
      <c r="M2108" s="4" t="str">
        <f t="shared" si="32"/>
        <v xml:space="preserve">there </v>
      </c>
      <c r="N2108" s="4" cm="1">
        <f t="array" ref="N2108">SUM(--(_xlfn.TEXTSPLIT($J$1780,, " ") = L2108))</f>
        <v>1</v>
      </c>
    </row>
    <row r="2109" spans="5:14" x14ac:dyDescent="0.2">
      <c r="E2109" s="9" t="s">
        <v>26</v>
      </c>
      <c r="K2109" t="str">
        <v>need</v>
      </c>
      <c r="M2109" s="4" t="str">
        <f t="shared" si="32"/>
        <v>need</v>
      </c>
      <c r="N2109" s="4" cm="1">
        <f t="array" ref="N2109">SUM(--(_xlfn.TEXTSPLIT($J$1780,, " ") = L2109))</f>
        <v>1</v>
      </c>
    </row>
    <row r="2110" spans="5:14" x14ac:dyDescent="0.2">
      <c r="E2110" s="9" t="s">
        <v>26</v>
      </c>
      <c r="K2110" t="str">
        <v>some</v>
      </c>
      <c r="M2110" s="4" t="str">
        <f t="shared" si="32"/>
        <v>some</v>
      </c>
      <c r="N2110" s="4" cm="1">
        <f t="array" ref="N2110">SUM(--(_xlfn.TEXTSPLIT($J$1780,, " ") = L2110))</f>
        <v>1</v>
      </c>
    </row>
    <row r="2111" spans="5:14" x14ac:dyDescent="0.2">
      <c r="E2111" s="9" t="s">
        <v>26</v>
      </c>
      <c r="K2111" t="str">
        <v>shelter</v>
      </c>
      <c r="M2111" s="4" t="str">
        <f t="shared" si="32"/>
        <v>shelter</v>
      </c>
      <c r="N2111" s="4" cm="1">
        <f t="array" ref="N2111">SUM(--(_xlfn.TEXTSPLIT($J$1780,, " ") = L2111))</f>
        <v>1</v>
      </c>
    </row>
    <row r="2112" spans="5:14" x14ac:dyDescent="0.2">
      <c r="E2112" s="9" t="s">
        <v>26</v>
      </c>
      <c r="K2112" t="str">
        <v>from</v>
      </c>
      <c r="M2112" s="4" t="str">
        <f t="shared" si="32"/>
        <v>from</v>
      </c>
      <c r="N2112" s="4" cm="1">
        <f t="array" ref="N2112">SUM(--(_xlfn.TEXTSPLIT($J$1780,, " ") = L2112))</f>
        <v>1</v>
      </c>
    </row>
    <row r="2113" spans="5:14" x14ac:dyDescent="0.2">
      <c r="E2113" s="9" t="s">
        <v>26</v>
      </c>
      <c r="K2113" t="str">
        <v>the</v>
      </c>
      <c r="M2113" s="4" t="str">
        <f t="shared" si="32"/>
        <v>the</v>
      </c>
      <c r="N2113" s="4" cm="1">
        <f t="array" ref="N2113">SUM(--(_xlfn.TEXTSPLIT($J$1780,, " ") = L2113))</f>
        <v>1</v>
      </c>
    </row>
    <row r="2114" spans="5:14" x14ac:dyDescent="0.2">
      <c r="E2114" s="9" t="s">
        <v>26</v>
      </c>
      <c r="K2114" t="str">
        <v>weather</v>
      </c>
      <c r="M2114" s="4" t="str">
        <f t="shared" si="32"/>
        <v>weather</v>
      </c>
      <c r="N2114" s="4" cm="1">
        <f t="array" ref="N2114">SUM(--(_xlfn.TEXTSPLIT($J$1780,, " ") = L2114))</f>
        <v>1</v>
      </c>
    </row>
    <row r="2115" spans="5:14" x14ac:dyDescent="0.2">
      <c r="E2115" s="9" t="s">
        <v>26</v>
      </c>
      <c r="K2115" t="str">
        <v>(All</v>
      </c>
      <c r="M2115" s="4" t="str">
        <f t="shared" si="32"/>
        <v xml:space="preserve"> All</v>
      </c>
      <c r="N2115" s="4" cm="1">
        <f t="array" ref="N2115">SUM(--(_xlfn.TEXTSPLIT($J$1780,, " ") = L2115))</f>
        <v>1</v>
      </c>
    </row>
    <row r="2116" spans="5:14" x14ac:dyDescent="0.2">
      <c r="E2116" s="9" t="s">
        <v>26</v>
      </c>
      <c r="K2116" t="str">
        <v>I've</v>
      </c>
      <c r="M2116" s="4" t="str">
        <f t="shared" si="32"/>
        <v>I ve</v>
      </c>
      <c r="N2116" s="4" cm="1">
        <f t="array" ref="N2116">SUM(--(_xlfn.TEXTSPLIT($J$1780,, " ") = L2116))</f>
        <v>1</v>
      </c>
    </row>
    <row r="2117" spans="5:14" x14ac:dyDescent="0.2">
      <c r="E2117" s="9" t="s">
        <v>26</v>
      </c>
      <c r="K2117" t="str">
        <v>ever</v>
      </c>
      <c r="M2117" s="4" t="str">
        <f t="shared" si="32"/>
        <v>ever</v>
      </c>
      <c r="N2117" s="4" cm="1">
        <f t="array" ref="N2117">SUM(--(_xlfn.TEXTSPLIT($J$1780,, " ") = L2117))</f>
        <v>1</v>
      </c>
    </row>
    <row r="2118" spans="5:14" x14ac:dyDescent="0.2">
      <c r="E2118" s="9" t="s">
        <v>26</v>
      </c>
      <c r="K2118" t="str">
        <v xml:space="preserve">known)
</v>
      </c>
      <c r="M2118" s="4" t="str">
        <f t="shared" si="32"/>
        <v xml:space="preserve">known  </v>
      </c>
      <c r="N2118" s="4" cm="1">
        <f t="array" ref="N2118">SUM(--(_xlfn.TEXTSPLIT($J$1780,, " ") = L2118))</f>
        <v>1</v>
      </c>
    </row>
    <row r="2119" spans="5:14" x14ac:dyDescent="0.2">
      <c r="E2119" s="9" t="s">
        <v>26</v>
      </c>
      <c r="K2119" t="str">
        <v>I</v>
      </c>
      <c r="M2119" s="4" t="str">
        <f t="shared" si="32"/>
        <v>I</v>
      </c>
      <c r="N2119" s="4" cm="1">
        <f t="array" ref="N2119">SUM(--(_xlfn.TEXTSPLIT($J$1780,, " ") = L2119))</f>
        <v>1</v>
      </c>
    </row>
    <row r="2120" spans="5:14" x14ac:dyDescent="0.2">
      <c r="E2120" s="9" t="s">
        <v>26</v>
      </c>
      <c r="K2120" t="str">
        <v>wear</v>
      </c>
      <c r="M2120" s="4" t="str">
        <f t="shared" si="32"/>
        <v>wear</v>
      </c>
      <c r="N2120" s="4" cm="1">
        <f t="array" ref="N2120">SUM(--(_xlfn.TEXTSPLIT($J$1780,, " ") = L2120))</f>
        <v>1</v>
      </c>
    </row>
    <row r="2121" spans="5:14" x14ac:dyDescent="0.2">
      <c r="E2121" s="9" t="s">
        <v>26</v>
      </c>
      <c r="K2121" t="str">
        <v>(You</v>
      </c>
      <c r="M2121" s="4" t="str">
        <f t="shared" si="32"/>
        <v xml:space="preserve"> You</v>
      </c>
      <c r="N2121" s="4" cm="1">
        <f t="array" ref="N2121">SUM(--(_xlfn.TEXTSPLIT($J$1780,, " ") = L2121))</f>
        <v>1</v>
      </c>
    </row>
    <row r="2122" spans="5:14" x14ac:dyDescent="0.2">
      <c r="E2122" s="9" t="s">
        <v>26</v>
      </c>
      <c r="K2122" t="str">
        <v>can</v>
      </c>
      <c r="M2122" s="4" t="str">
        <f t="shared" si="32"/>
        <v>can</v>
      </c>
      <c r="N2122" s="4" cm="1">
        <f t="array" ref="N2122">SUM(--(_xlfn.TEXTSPLIT($J$1780,, " ") = L2122))</f>
        <v>1</v>
      </c>
    </row>
    <row r="2123" spans="5:14" x14ac:dyDescent="0.2">
      <c r="E2123" s="9" t="s">
        <v>26</v>
      </c>
      <c r="K2123" t="str">
        <v>have)</v>
      </c>
      <c r="M2123" s="4" t="str">
        <f t="shared" si="32"/>
        <v xml:space="preserve">have </v>
      </c>
      <c r="N2123" s="4" cm="1">
        <f t="array" ref="N2123">SUM(--(_xlfn.TEXTSPLIT($J$1780,, " ") = L2123))</f>
        <v>1</v>
      </c>
    </row>
    <row r="2124" spans="5:14" x14ac:dyDescent="0.2">
      <c r="E2124" s="9" t="s">
        <v>26</v>
      </c>
      <c r="K2124" t="str">
        <v>all</v>
      </c>
      <c r="M2124" s="4" t="str">
        <f t="shared" si="32"/>
        <v>all</v>
      </c>
      <c r="N2124" s="4" cm="1">
        <f t="array" ref="N2124">SUM(--(_xlfn.TEXTSPLIT($J$1780,, " ") = L2124))</f>
        <v>1</v>
      </c>
    </row>
    <row r="2125" spans="5:14" x14ac:dyDescent="0.2">
      <c r="E2125" s="9" t="s">
        <v>26</v>
      </c>
      <c r="K2125" t="str">
        <v>of</v>
      </c>
      <c r="M2125" s="4" t="str">
        <f t="shared" si="32"/>
        <v>of</v>
      </c>
      <c r="N2125" s="4" cm="1">
        <f t="array" ref="N2125">SUM(--(_xlfn.TEXTSPLIT($J$1780,, " ") = L2125))</f>
        <v>1</v>
      </c>
    </row>
    <row r="2126" spans="5:14" x14ac:dyDescent="0.2">
      <c r="E2126" s="9" t="s">
        <v>26</v>
      </c>
      <c r="K2126" t="str">
        <v>my</v>
      </c>
      <c r="M2126" s="4" t="str">
        <f t="shared" si="32"/>
        <v>my</v>
      </c>
      <c r="N2126" s="4" cm="1">
        <f t="array" ref="N2126">SUM(--(_xlfn.TEXTSPLIT($J$1780,, " ") = L2126))</f>
        <v>1</v>
      </c>
    </row>
    <row r="2127" spans="5:14" x14ac:dyDescent="0.2">
      <c r="E2127" s="9" t="s">
        <v>26</v>
      </c>
      <c r="K2127" t="str">
        <v>heart</v>
      </c>
      <c r="M2127" s="4" t="str">
        <f t="shared" si="32"/>
        <v>heart</v>
      </c>
      <c r="N2127" s="4" cm="1">
        <f t="array" ref="N2127">SUM(--(_xlfn.TEXTSPLIT($J$1780,, " ") = L2127))</f>
        <v>1</v>
      </c>
    </row>
    <row r="2128" spans="5:14" x14ac:dyDescent="0.2">
      <c r="E2128" s="9" t="s">
        <v>26</v>
      </c>
      <c r="K2128" t="str">
        <v>on</v>
      </c>
      <c r="M2128" s="4" t="str">
        <f t="shared" si="32"/>
        <v>on</v>
      </c>
      <c r="N2128" s="4" cm="1">
        <f t="array" ref="N2128">SUM(--(_xlfn.TEXTSPLIT($J$1780,, " ") = L2128))</f>
        <v>1</v>
      </c>
    </row>
    <row r="2129" spans="5:14" x14ac:dyDescent="0.2">
      <c r="E2129" s="9" t="s">
        <v>26</v>
      </c>
      <c r="K2129" t="str">
        <v>my</v>
      </c>
      <c r="M2129" s="4" t="str">
        <f t="shared" si="32"/>
        <v>my</v>
      </c>
      <c r="N2129" s="4" cm="1">
        <f t="array" ref="N2129">SUM(--(_xlfn.TEXTSPLIT($J$1780,, " ") = L2129))</f>
        <v>1</v>
      </c>
    </row>
    <row r="2130" spans="5:14" x14ac:dyDescent="0.2">
      <c r="E2130" s="9" t="s">
        <v>26</v>
      </c>
      <c r="K2130" t="str">
        <v>sleeve</v>
      </c>
      <c r="M2130" s="4" t="str">
        <f t="shared" si="32"/>
        <v>sleeve</v>
      </c>
      <c r="N2130" s="4" cm="1">
        <f t="array" ref="N2130">SUM(--(_xlfn.TEXTSPLIT($J$1780,, " ") = L2130))</f>
        <v>1</v>
      </c>
    </row>
    <row r="2131" spans="5:14" x14ac:dyDescent="0.2">
      <c r="E2131" s="9" t="s">
        <v>26</v>
      </c>
      <c r="K2131" t="str">
        <v>(Both</v>
      </c>
      <c r="M2131" s="4" t="str">
        <f t="shared" si="32"/>
        <v xml:space="preserve"> Both</v>
      </c>
      <c r="N2131" s="4" cm="1">
        <f t="array" ref="N2131">SUM(--(_xlfn.TEXTSPLIT($J$1780,, " ") = L2131))</f>
        <v>1</v>
      </c>
    </row>
    <row r="2132" spans="5:14" x14ac:dyDescent="0.2">
      <c r="E2132" s="9" t="s">
        <v>26</v>
      </c>
      <c r="K2132" t="str">
        <v>my</v>
      </c>
      <c r="M2132" s="4" t="str">
        <f t="shared" si="32"/>
        <v>my</v>
      </c>
      <c r="N2132" s="4" cm="1">
        <f t="array" ref="N2132">SUM(--(_xlfn.TEXTSPLIT($J$1780,, " ") = L2132))</f>
        <v>1</v>
      </c>
    </row>
    <row r="2133" spans="5:14" x14ac:dyDescent="0.2">
      <c r="E2133" s="9" t="s">
        <v>26</v>
      </c>
      <c r="K2133" t="str">
        <v xml:space="preserve">lungs)
</v>
      </c>
      <c r="M2133" s="4" t="str">
        <f t="shared" si="32"/>
        <v xml:space="preserve">lungs  </v>
      </c>
      <c r="N2133" s="4" cm="1">
        <f t="array" ref="N2133">SUM(--(_xlfn.TEXTSPLIT($J$1780,, " ") = L2133))</f>
        <v>1</v>
      </c>
    </row>
    <row r="2134" spans="5:14" x14ac:dyDescent="0.2">
      <c r="E2134" s="9" t="s">
        <v>26</v>
      </c>
      <c r="K2134" t="str">
        <v>I'll</v>
      </c>
      <c r="M2134" s="4" t="str">
        <f t="shared" si="32"/>
        <v>I ll</v>
      </c>
      <c r="N2134" s="4" cm="1">
        <f t="array" ref="N2134">SUM(--(_xlfn.TEXTSPLIT($J$1780,, " ") = L2134))</f>
        <v>1</v>
      </c>
    </row>
    <row r="2135" spans="5:14" x14ac:dyDescent="0.2">
      <c r="E2135" s="9" t="s">
        <v>26</v>
      </c>
      <c r="K2135" t="str">
        <v>take</v>
      </c>
      <c r="M2135" s="4" t="str">
        <f t="shared" si="32"/>
        <v>take</v>
      </c>
      <c r="N2135" s="4" cm="1">
        <f t="array" ref="N2135">SUM(--(_xlfn.TEXTSPLIT($J$1780,, " ") = L2135))</f>
        <v>1</v>
      </c>
    </row>
    <row r="2136" spans="5:14" x14ac:dyDescent="0.2">
      <c r="E2136" s="9" t="s">
        <v>26</v>
      </c>
      <c r="K2136" t="str">
        <v>what</v>
      </c>
      <c r="M2136" s="4" t="str">
        <f t="shared" si="32"/>
        <v>what</v>
      </c>
      <c r="N2136" s="4" cm="1">
        <f t="array" ref="N2136">SUM(--(_xlfn.TEXTSPLIT($J$1780,, " ") = L2136))</f>
        <v>1</v>
      </c>
    </row>
    <row r="2137" spans="5:14" x14ac:dyDescent="0.2">
      <c r="E2137" s="9" t="s">
        <v>26</v>
      </c>
      <c r="K2137" t="str">
        <v>I</v>
      </c>
      <c r="M2137" s="4" t="str">
        <f t="shared" si="32"/>
        <v>I</v>
      </c>
      <c r="N2137" s="4" cm="1">
        <f t="array" ref="N2137">SUM(--(_xlfn.TEXTSPLIT($J$1780,, " ") = L2137))</f>
        <v>1</v>
      </c>
    </row>
    <row r="2138" spans="5:14" x14ac:dyDescent="0.2">
      <c r="E2138" s="9" t="s">
        <v>26</v>
      </c>
      <c r="K2138" t="str">
        <v>believe,</v>
      </c>
      <c r="M2138" s="4" t="str">
        <f t="shared" si="32"/>
        <v xml:space="preserve">believe </v>
      </c>
      <c r="N2138" s="4" cm="1">
        <f t="array" ref="N2138">SUM(--(_xlfn.TEXTSPLIT($J$1780,, " ") = L2138))</f>
        <v>1</v>
      </c>
    </row>
    <row r="2139" spans="5:14" x14ac:dyDescent="0.2">
      <c r="E2139" s="9" t="s">
        <v>26</v>
      </c>
      <c r="K2139" t="str">
        <v>and</v>
      </c>
      <c r="M2139" s="4" t="str">
        <f t="shared" si="32"/>
        <v>and</v>
      </c>
      <c r="N2139" s="4" cm="1">
        <f t="array" ref="N2139">SUM(--(_xlfn.TEXTSPLIT($J$1780,, " ") = L2139))</f>
        <v>1</v>
      </c>
    </row>
    <row r="2140" spans="5:14" x14ac:dyDescent="0.2">
      <c r="E2140" s="9" t="s">
        <v>26</v>
      </c>
      <c r="K2140" t="str">
        <v>I'm</v>
      </c>
      <c r="M2140" s="4" t="str">
        <f t="shared" si="32"/>
        <v>I m</v>
      </c>
      <c r="N2140" s="4" cm="1">
        <f t="array" ref="N2140">SUM(--(_xlfn.TEXTSPLIT($J$1780,, " ") = L2140))</f>
        <v>1</v>
      </c>
    </row>
    <row r="2141" spans="5:14" x14ac:dyDescent="0.2">
      <c r="E2141" s="9" t="s">
        <v>26</v>
      </c>
      <c r="K2141" t="str">
        <v>hiding</v>
      </c>
      <c r="M2141" s="4" t="str">
        <f t="shared" si="32"/>
        <v>hiding</v>
      </c>
      <c r="N2141" s="4" cm="1">
        <f t="array" ref="N2141">SUM(--(_xlfn.TEXTSPLIT($J$1780,, " ") = L2141))</f>
        <v>1</v>
      </c>
    </row>
    <row r="2142" spans="5:14" x14ac:dyDescent="0.2">
      <c r="E2142" s="9" t="s">
        <v>26</v>
      </c>
      <c r="K2142" t="str">
        <v>it,</v>
      </c>
      <c r="M2142" s="4" t="str">
        <f t="shared" si="32"/>
        <v xml:space="preserve">it </v>
      </c>
      <c r="N2142" s="4" cm="1">
        <f t="array" ref="N2142">SUM(--(_xlfn.TEXTSPLIT($J$1780,, " ") = L2142))</f>
        <v>1</v>
      </c>
    </row>
    <row r="2143" spans="5:14" x14ac:dyDescent="0.2">
      <c r="E2143" s="9" t="s">
        <v>26</v>
      </c>
      <c r="K2143" t="str">
        <v>yeah</v>
      </c>
      <c r="M2143" s="4" t="str">
        <f t="shared" si="32"/>
        <v>yeah</v>
      </c>
      <c r="N2143" s="4" cm="1">
        <f t="array" ref="N2143">SUM(--(_xlfn.TEXTSPLIT($J$1780,, " ") = L2143))</f>
        <v>1</v>
      </c>
    </row>
    <row r="2144" spans="5:14" x14ac:dyDescent="0.2">
      <c r="E2144" s="9" t="s">
        <v>26</v>
      </c>
      <c r="K2144" t="str">
        <v>(If</v>
      </c>
      <c r="M2144" s="4" t="str">
        <f t="shared" si="32"/>
        <v xml:space="preserve"> If</v>
      </c>
      <c r="N2144" s="4" cm="1">
        <f t="array" ref="N2144">SUM(--(_xlfn.TEXTSPLIT($J$1780,, " ") = L2144))</f>
        <v>1</v>
      </c>
    </row>
    <row r="2145" spans="5:14" x14ac:dyDescent="0.2">
      <c r="E2145" s="9" t="s">
        <v>26</v>
      </c>
      <c r="K2145" t="str">
        <v>you</v>
      </c>
      <c r="M2145" s="4" t="str">
        <f t="shared" si="32"/>
        <v>you</v>
      </c>
      <c r="N2145" s="4" cm="1">
        <f t="array" ref="N2145">SUM(--(_xlfn.TEXTSPLIT($J$1780,, " ") = L2145))</f>
        <v>1</v>
      </c>
    </row>
    <row r="2146" spans="5:14" x14ac:dyDescent="0.2">
      <c r="E2146" s="9" t="s">
        <v>26</v>
      </c>
      <c r="K2146" t="str">
        <v>ask</v>
      </c>
      <c r="M2146" s="4" t="str">
        <f t="shared" si="32"/>
        <v>ask</v>
      </c>
      <c r="N2146" s="4" cm="1">
        <f t="array" ref="N2146">SUM(--(_xlfn.TEXTSPLIT($J$1780,, " ") = L2146))</f>
        <v>1</v>
      </c>
    </row>
    <row r="2147" spans="5:14" x14ac:dyDescent="0.2">
      <c r="E2147" s="9" t="s">
        <v>26</v>
      </c>
      <c r="K2147" t="str">
        <v>me</v>
      </c>
      <c r="M2147" s="4" t="str">
        <f t="shared" si="32"/>
        <v>me</v>
      </c>
      <c r="N2147" s="4" cm="1">
        <f t="array" ref="N2147">SUM(--(_xlfn.TEXTSPLIT($J$1780,, " ") = L2147))</f>
        <v>1</v>
      </c>
    </row>
    <row r="2148" spans="5:14" x14ac:dyDescent="0.2">
      <c r="E2148" s="9" t="s">
        <v>26</v>
      </c>
      <c r="K2148" t="str">
        <v>so,</v>
      </c>
      <c r="M2148" s="4" t="str">
        <f t="shared" si="32"/>
        <v xml:space="preserve">so </v>
      </c>
      <c r="N2148" s="4" cm="1">
        <f t="array" ref="N2148">SUM(--(_xlfn.TEXTSPLIT($J$1780,, " ") = L2148))</f>
        <v>1</v>
      </c>
    </row>
    <row r="2149" spans="5:14" x14ac:dyDescent="0.2">
      <c r="E2149" s="9" t="s">
        <v>26</v>
      </c>
      <c r="K2149" t="str">
        <v xml:space="preserve">oh)
</v>
      </c>
      <c r="M2149" s="4" t="str">
        <f t="shared" si="32"/>
        <v xml:space="preserve">oh  </v>
      </c>
      <c r="N2149" s="4" cm="1">
        <f t="array" ref="N2149">SUM(--(_xlfn.TEXTSPLIT($J$1780,, " ") = L2149))</f>
        <v>1</v>
      </c>
    </row>
    <row r="2150" spans="5:14" x14ac:dyDescent="0.2">
      <c r="E2150" s="9" t="s">
        <v>26</v>
      </c>
      <c r="K2150" t="str">
        <v>And</v>
      </c>
      <c r="M2150" s="4" t="str">
        <f t="shared" si="32"/>
        <v>And</v>
      </c>
      <c r="N2150" s="4" cm="1">
        <f t="array" ref="N2150">SUM(--(_xlfn.TEXTSPLIT($J$1780,, " ") = L2150))</f>
        <v>1</v>
      </c>
    </row>
    <row r="2151" spans="5:14" x14ac:dyDescent="0.2">
      <c r="E2151" s="9" t="s">
        <v>26</v>
      </c>
      <c r="K2151" t="str">
        <v>I'm</v>
      </c>
      <c r="M2151" s="4" t="str">
        <f t="shared" si="32"/>
        <v>I m</v>
      </c>
      <c r="N2151" s="4" cm="1">
        <f t="array" ref="N2151">SUM(--(_xlfn.TEXTSPLIT($J$1780,, " ") = L2151))</f>
        <v>1</v>
      </c>
    </row>
    <row r="2152" spans="5:14" x14ac:dyDescent="0.2">
      <c r="E2152" s="9" t="s">
        <v>26</v>
      </c>
      <c r="K2152" t="str">
        <v>hiding</v>
      </c>
      <c r="M2152" s="4" t="str">
        <f t="shared" si="32"/>
        <v>hiding</v>
      </c>
      <c r="N2152" s="4" cm="1">
        <f t="array" ref="N2152">SUM(--(_xlfn.TEXTSPLIT($J$1780,, " ") = L2152))</f>
        <v>1</v>
      </c>
    </row>
    <row r="2153" spans="5:14" x14ac:dyDescent="0.2">
      <c r="E2153" s="9" t="s">
        <v>26</v>
      </c>
      <c r="K2153" t="str">
        <v>it,</v>
      </c>
      <c r="M2153" s="4" t="str">
        <f t="shared" si="32"/>
        <v xml:space="preserve">it </v>
      </c>
      <c r="N2153" s="4" cm="1">
        <f t="array" ref="N2153">SUM(--(_xlfn.TEXTSPLIT($J$1780,, " ") = L2153))</f>
        <v>1</v>
      </c>
    </row>
    <row r="2154" spans="5:14" x14ac:dyDescent="0.2">
      <c r="E2154" s="9" t="s">
        <v>26</v>
      </c>
      <c r="K2154" t="str">
        <v>yeah</v>
      </c>
      <c r="M2154" s="4" t="str">
        <f t="shared" si="32"/>
        <v>yeah</v>
      </c>
      <c r="N2154" s="4" cm="1">
        <f t="array" ref="N2154">SUM(--(_xlfn.TEXTSPLIT($J$1780,, " ") = L2154))</f>
        <v>1</v>
      </c>
    </row>
    <row r="2155" spans="5:14" x14ac:dyDescent="0.2">
      <c r="E2155" s="9" t="s">
        <v>26</v>
      </c>
      <c r="K2155" t="str">
        <v>('Cause</v>
      </c>
      <c r="M2155" s="4" t="str">
        <f t="shared" ref="M2155:M2218" si="33">_xlfn.REGEXREPLACE(K2155, "[^A-Za-z ]", " ")</f>
        <v xml:space="preserve">  Cause</v>
      </c>
      <c r="N2155" s="4" cm="1">
        <f t="array" ref="N2155">SUM(--(_xlfn.TEXTSPLIT($J$1780,, " ") = L2155))</f>
        <v>1</v>
      </c>
    </row>
    <row r="2156" spans="5:14" x14ac:dyDescent="0.2">
      <c r="E2156" s="9" t="s">
        <v>26</v>
      </c>
      <c r="K2156" t="str">
        <v>I</v>
      </c>
      <c r="M2156" s="4" t="str">
        <f t="shared" si="33"/>
        <v>I</v>
      </c>
      <c r="N2156" s="4" cm="1">
        <f t="array" ref="N2156">SUM(--(_xlfn.TEXTSPLIT($J$1780,, " ") = L2156))</f>
        <v>1</v>
      </c>
    </row>
    <row r="2157" spans="5:14" x14ac:dyDescent="0.2">
      <c r="E2157" s="9" t="s">
        <v>26</v>
      </c>
      <c r="K2157" t="str">
        <v>want</v>
      </c>
      <c r="M2157" s="4" t="str">
        <f t="shared" si="33"/>
        <v>want</v>
      </c>
      <c r="N2157" s="4" cm="1">
        <f t="array" ref="N2157">SUM(--(_xlfn.TEXTSPLIT($J$1780,, " ") = L2157))</f>
        <v>1</v>
      </c>
    </row>
    <row r="2158" spans="5:14" x14ac:dyDescent="0.2">
      <c r="E2158" s="9" t="s">
        <v>26</v>
      </c>
      <c r="K2158" t="str">
        <v>to</v>
      </c>
      <c r="M2158" s="4" t="str">
        <f t="shared" si="33"/>
        <v>to</v>
      </c>
      <c r="N2158" s="4" cm="1">
        <f t="array" ref="N2158">SUM(--(_xlfn.TEXTSPLIT($J$1780,, " ") = L2158))</f>
        <v>1</v>
      </c>
    </row>
    <row r="2159" spans="5:14" x14ac:dyDescent="0.2">
      <c r="E2159" s="9" t="s">
        <v>26</v>
      </c>
      <c r="K2159" t="str">
        <v>be</v>
      </c>
      <c r="M2159" s="4" t="str">
        <f t="shared" si="33"/>
        <v>be</v>
      </c>
      <c r="N2159" s="4" cm="1">
        <f t="array" ref="N2159">SUM(--(_xlfn.TEXTSPLIT($J$1780,, " ") = L2159))</f>
        <v>1</v>
      </c>
    </row>
    <row r="2160" spans="5:14" x14ac:dyDescent="0.2">
      <c r="E2160" s="9" t="s">
        <v>26</v>
      </c>
      <c r="K2160" t="str">
        <v>the</v>
      </c>
      <c r="M2160" s="4" t="str">
        <f t="shared" si="33"/>
        <v>the</v>
      </c>
      <c r="N2160" s="4" cm="1">
        <f t="array" ref="N2160">SUM(--(_xlfn.TEXTSPLIT($J$1780,, " ") = L2160))</f>
        <v>1</v>
      </c>
    </row>
    <row r="2161" spans="5:14" x14ac:dyDescent="0.2">
      <c r="E2161" s="9" t="s">
        <v>26</v>
      </c>
      <c r="K2161" t="str">
        <v xml:space="preserve">one)
</v>
      </c>
      <c r="M2161" s="4" t="str">
        <f t="shared" si="33"/>
        <v xml:space="preserve">one  </v>
      </c>
      <c r="N2161" s="4" cm="1">
        <f t="array" ref="N2161">SUM(--(_xlfn.TEXTSPLIT($J$1780,, " ") = L2161))</f>
        <v>1</v>
      </c>
    </row>
    <row r="2162" spans="5:14" x14ac:dyDescent="0.2">
      <c r="E2162" s="9" t="s">
        <v>26</v>
      </c>
      <c r="K2162" t="str">
        <v>And</v>
      </c>
      <c r="M2162" s="4" t="str">
        <f t="shared" si="33"/>
        <v>And</v>
      </c>
      <c r="N2162" s="4" cm="1">
        <f t="array" ref="N2162">SUM(--(_xlfn.TEXTSPLIT($J$1780,, " ") = L2162))</f>
        <v>1</v>
      </c>
    </row>
    <row r="2163" spans="5:14" x14ac:dyDescent="0.2">
      <c r="E2163" s="9" t="s">
        <v>26</v>
      </c>
      <c r="K2163" t="str">
        <v>I'm</v>
      </c>
      <c r="M2163" s="4" t="str">
        <f t="shared" si="33"/>
        <v>I m</v>
      </c>
      <c r="N2163" s="4" cm="1">
        <f t="array" ref="N2163">SUM(--(_xlfn.TEXTSPLIT($J$1780,, " ") = L2163))</f>
        <v>1</v>
      </c>
    </row>
    <row r="2164" spans="5:14" x14ac:dyDescent="0.2">
      <c r="E2164" s="9" t="s">
        <v>26</v>
      </c>
      <c r="K2164" t="str">
        <v>hiding</v>
      </c>
      <c r="M2164" s="4" t="str">
        <f t="shared" si="33"/>
        <v>hiding</v>
      </c>
      <c r="N2164" s="4" cm="1">
        <f t="array" ref="N2164">SUM(--(_xlfn.TEXTSPLIT($J$1780,, " ") = L2164))</f>
        <v>1</v>
      </c>
    </row>
    <row r="2165" spans="5:14" x14ac:dyDescent="0.2">
      <c r="E2165" s="9" t="s">
        <v>26</v>
      </c>
      <c r="K2165" t="str">
        <v>it,</v>
      </c>
      <c r="M2165" s="4" t="str">
        <f t="shared" si="33"/>
        <v xml:space="preserve">it </v>
      </c>
      <c r="N2165" s="4" cm="1">
        <f t="array" ref="N2165">SUM(--(_xlfn.TEXTSPLIT($J$1780,, " ") = L2165))</f>
        <v>1</v>
      </c>
    </row>
    <row r="2166" spans="5:14" x14ac:dyDescent="0.2">
      <c r="E2166" s="9" t="s">
        <v>26</v>
      </c>
      <c r="K2166" t="str">
        <v>yeah</v>
      </c>
      <c r="M2166" s="4" t="str">
        <f t="shared" si="33"/>
        <v>yeah</v>
      </c>
      <c r="N2166" s="4" cm="1">
        <f t="array" ref="N2166">SUM(--(_xlfn.TEXTSPLIT($J$1780,, " ") = L2166))</f>
        <v>1</v>
      </c>
    </row>
    <row r="2167" spans="5:14" x14ac:dyDescent="0.2">
      <c r="E2167" s="9" t="s">
        <v>26</v>
      </c>
      <c r="K2167" t="str">
        <v>(After</v>
      </c>
      <c r="M2167" s="4" t="str">
        <f t="shared" si="33"/>
        <v xml:space="preserve"> After</v>
      </c>
      <c r="N2167" s="4" cm="1">
        <f t="array" ref="N2167">SUM(--(_xlfn.TEXTSPLIT($J$1780,, " ") = L2167))</f>
        <v>1</v>
      </c>
    </row>
    <row r="2168" spans="5:14" x14ac:dyDescent="0.2">
      <c r="E2168" s="9" t="s">
        <v>26</v>
      </c>
      <c r="K2168" t="str">
        <v>your</v>
      </c>
      <c r="M2168" s="4" t="str">
        <f t="shared" si="33"/>
        <v>your</v>
      </c>
      <c r="N2168" s="4" cm="1">
        <f t="array" ref="N2168">SUM(--(_xlfn.TEXTSPLIT($J$1780,, " ") = L2168))</f>
        <v>1</v>
      </c>
    </row>
    <row r="2169" spans="5:14" x14ac:dyDescent="0.2">
      <c r="E2169" s="9" t="s">
        <v>26</v>
      </c>
      <c r="K2169" t="str">
        <v>own</v>
      </c>
      <c r="M2169" s="4" t="str">
        <f t="shared" si="33"/>
        <v>own</v>
      </c>
      <c r="N2169" s="4" cm="1">
        <f t="array" ref="N2169">SUM(--(_xlfn.TEXTSPLIT($J$1780,, " ") = L2169))</f>
        <v>1</v>
      </c>
    </row>
    <row r="2170" spans="5:14" x14ac:dyDescent="0.2">
      <c r="E2170" s="9" t="s">
        <v>26</v>
      </c>
      <c r="K2170" t="str">
        <v xml:space="preserve">heart)
</v>
      </c>
      <c r="M2170" s="4" t="str">
        <f t="shared" si="33"/>
        <v xml:space="preserve">heart  </v>
      </c>
      <c r="N2170" s="4" cm="1">
        <f t="array" ref="N2170">SUM(--(_xlfn.TEXTSPLIT($J$1780,, " ") = L2170))</f>
        <v>1</v>
      </c>
    </row>
    <row r="2171" spans="5:14" x14ac:dyDescent="0.2">
      <c r="E2171" s="9" t="s">
        <v>26</v>
      </c>
      <c r="K2171" t="str">
        <v>And</v>
      </c>
      <c r="M2171" s="4" t="str">
        <f t="shared" si="33"/>
        <v>And</v>
      </c>
      <c r="N2171" s="4" cm="1">
        <f t="array" ref="N2171">SUM(--(_xlfn.TEXTSPLIT($J$1780,, " ") = L2171))</f>
        <v>1</v>
      </c>
    </row>
    <row r="2172" spans="5:14" x14ac:dyDescent="0.2">
      <c r="E2172" s="9" t="s">
        <v>26</v>
      </c>
      <c r="K2172" t="str">
        <v>I'm</v>
      </c>
      <c r="M2172" s="4" t="str">
        <f t="shared" si="33"/>
        <v>I m</v>
      </c>
      <c r="N2172" s="4" cm="1">
        <f t="array" ref="N2172">SUM(--(_xlfn.TEXTSPLIT($J$1780,, " ") = L2172))</f>
        <v>1</v>
      </c>
    </row>
    <row r="2173" spans="5:14" x14ac:dyDescent="0.2">
      <c r="E2173" s="9" t="s">
        <v>26</v>
      </c>
      <c r="K2173" t="str">
        <v>hiding</v>
      </c>
      <c r="M2173" s="4" t="str">
        <f t="shared" si="33"/>
        <v>hiding</v>
      </c>
      <c r="N2173" s="4" cm="1">
        <f t="array" ref="N2173">SUM(--(_xlfn.TEXTSPLIT($J$1780,, " ") = L2173))</f>
        <v>1</v>
      </c>
    </row>
    <row r="2174" spans="5:14" x14ac:dyDescent="0.2">
      <c r="E2174" s="9" t="s">
        <v>26</v>
      </c>
      <c r="K2174" t="str">
        <v>it,</v>
      </c>
      <c r="M2174" s="4" t="str">
        <f t="shared" si="33"/>
        <v xml:space="preserve">it </v>
      </c>
      <c r="N2174" s="4" cm="1">
        <f t="array" ref="N2174">SUM(--(_xlfn.TEXTSPLIT($J$1780,, " ") = L2174))</f>
        <v>1</v>
      </c>
    </row>
    <row r="2175" spans="5:14" x14ac:dyDescent="0.2">
      <c r="E2175" s="9" t="s">
        <v>26</v>
      </c>
      <c r="K2175" t="str">
        <v>yeah,</v>
      </c>
      <c r="M2175" s="4" t="str">
        <f t="shared" si="33"/>
        <v xml:space="preserve">yeah </v>
      </c>
      <c r="N2175" s="4" cm="1">
        <f t="array" ref="N2175">SUM(--(_xlfn.TEXTSPLIT($J$1780,, " ") = L2175))</f>
        <v>1</v>
      </c>
    </row>
    <row r="2176" spans="5:14" x14ac:dyDescent="0.2">
      <c r="E2176" s="9" t="s">
        <v>26</v>
      </c>
      <c r="K2176" t="str">
        <v>oh</v>
      </c>
      <c r="M2176" s="4" t="str">
        <f t="shared" si="33"/>
        <v>oh</v>
      </c>
      <c r="N2176" s="4" cm="1">
        <f t="array" ref="N2176">SUM(--(_xlfn.TEXTSPLIT($J$1780,, " ") = L2176))</f>
        <v>1</v>
      </c>
    </row>
    <row r="2177" spans="5:14" x14ac:dyDescent="0.2">
      <c r="E2177" s="9" t="s">
        <v>26</v>
      </c>
      <c r="K2177" t="str">
        <v>(And</v>
      </c>
      <c r="M2177" s="4" t="str">
        <f t="shared" si="33"/>
        <v xml:space="preserve"> And</v>
      </c>
      <c r="N2177" s="4" cm="1">
        <f t="array" ref="N2177">SUM(--(_xlfn.TEXTSPLIT($J$1780,, " ") = L2177))</f>
        <v>1</v>
      </c>
    </row>
    <row r="2178" spans="5:14" x14ac:dyDescent="0.2">
      <c r="E2178" s="9" t="s">
        <v>26</v>
      </c>
      <c r="K2178" t="str">
        <v>I</v>
      </c>
      <c r="M2178" s="4" t="str">
        <f t="shared" si="33"/>
        <v>I</v>
      </c>
      <c r="N2178" s="4" cm="1">
        <f t="array" ref="N2178">SUM(--(_xlfn.TEXTSPLIT($J$1780,, " ") = L2178))</f>
        <v>1</v>
      </c>
    </row>
    <row r="2179" spans="5:14" x14ac:dyDescent="0.2">
      <c r="E2179" s="9" t="s">
        <v>26</v>
      </c>
      <c r="K2179" t="str">
        <v>might</v>
      </c>
      <c r="M2179" s="4" t="str">
        <f t="shared" si="33"/>
        <v>might</v>
      </c>
      <c r="N2179" s="4" cm="1">
        <f t="array" ref="N2179">SUM(--(_xlfn.TEXTSPLIT($J$1780,, " ") = L2179))</f>
        <v>1</v>
      </c>
    </row>
    <row r="2180" spans="5:14" x14ac:dyDescent="0.2">
      <c r="E2180" s="9" t="s">
        <v>26</v>
      </c>
      <c r="K2180" t="str">
        <v>doubt</v>
      </c>
      <c r="M2180" s="4" t="str">
        <f t="shared" si="33"/>
        <v>doubt</v>
      </c>
      <c r="N2180" s="4" cm="1">
        <f t="array" ref="N2180">SUM(--(_xlfn.TEXTSPLIT($J$1780,, " ") = L2180))</f>
        <v>1</v>
      </c>
    </row>
    <row r="2181" spans="5:14" x14ac:dyDescent="0.2">
      <c r="E2181" s="9" t="s">
        <v>26</v>
      </c>
      <c r="K2181" t="str">
        <v>the</v>
      </c>
      <c r="M2181" s="4" t="str">
        <f t="shared" si="33"/>
        <v>the</v>
      </c>
      <c r="N2181" s="4" cm="1">
        <f t="array" ref="N2181">SUM(--(_xlfn.TEXTSPLIT($J$1780,, " ") = L2181))</f>
        <v>1</v>
      </c>
    </row>
    <row r="2182" spans="5:14" x14ac:dyDescent="0.2">
      <c r="E2182" s="9" t="s">
        <v>26</v>
      </c>
      <c r="K2182" t="str">
        <v>process</v>
      </c>
      <c r="M2182" s="4" t="str">
        <f t="shared" si="33"/>
        <v>process</v>
      </c>
      <c r="N2182" s="4" cm="1">
        <f t="array" ref="N2182">SUM(--(_xlfn.TEXTSPLIT($J$1780,, " ") = L2182))</f>
        <v>1</v>
      </c>
    </row>
    <row r="2183" spans="5:14" x14ac:dyDescent="0.2">
      <c r="E2183" s="9" t="s">
        <v>26</v>
      </c>
      <c r="K2183" t="str">
        <v>like</v>
      </c>
      <c r="M2183" s="4" t="str">
        <f t="shared" si="33"/>
        <v>like</v>
      </c>
      <c r="N2183" s="4" cm="1">
        <f t="array" ref="N2183">SUM(--(_xlfn.TEXTSPLIT($J$1780,, " ") = L2183))</f>
        <v>1</v>
      </c>
    </row>
    <row r="2184" spans="5:14" x14ac:dyDescent="0.2">
      <c r="E2184" s="9" t="s">
        <v>26</v>
      </c>
      <c r="K2184" t="str">
        <v>I</v>
      </c>
      <c r="M2184" s="4" t="str">
        <f t="shared" si="33"/>
        <v>I</v>
      </c>
      <c r="N2184" s="4" cm="1">
        <f t="array" ref="N2184">SUM(--(_xlfn.TEXTSPLIT($J$1780,, " ") = L2184))</f>
        <v>1</v>
      </c>
    </row>
    <row r="2185" spans="5:14" x14ac:dyDescent="0.2">
      <c r="E2185" s="9" t="s">
        <v>26</v>
      </c>
      <c r="K2185" t="str">
        <v>doubted</v>
      </c>
      <c r="M2185" s="4" t="str">
        <f t="shared" si="33"/>
        <v>doubted</v>
      </c>
      <c r="N2185" s="4" cm="1">
        <f t="array" ref="N2185">SUM(--(_xlfn.TEXTSPLIT($J$1780,, " ") = L2185))</f>
        <v>1</v>
      </c>
    </row>
    <row r="2186" spans="5:14" x14ac:dyDescent="0.2">
      <c r="E2186" s="9" t="s">
        <v>26</v>
      </c>
      <c r="K2186" t="str">
        <v>the</v>
      </c>
      <c r="M2186" s="4" t="str">
        <f t="shared" si="33"/>
        <v>the</v>
      </c>
      <c r="N2186" s="4" cm="1">
        <f t="array" ref="N2186">SUM(--(_xlfn.TEXTSPLIT($J$1780,, " ") = L2186))</f>
        <v>1</v>
      </c>
    </row>
    <row r="2187" spans="5:14" x14ac:dyDescent="0.2">
      <c r="E2187" s="9" t="s">
        <v>26</v>
      </c>
      <c r="K2187" t="str">
        <v xml:space="preserve">start)
</v>
      </c>
      <c r="M2187" s="4" t="str">
        <f t="shared" si="33"/>
        <v xml:space="preserve">start   </v>
      </c>
      <c r="N2187" s="4" cm="1">
        <f t="array" ref="N2187">SUM(--(_xlfn.TEXTSPLIT($J$1780,, " ") = L2187))</f>
        <v>1</v>
      </c>
    </row>
    <row r="2188" spans="5:14" x14ac:dyDescent="0.2">
      <c r="E2188" s="9" t="s">
        <v>26</v>
      </c>
      <c r="K2188" t="str">
        <v>You</v>
      </c>
      <c r="M2188" s="4" t="str">
        <f t="shared" si="33"/>
        <v>You</v>
      </c>
      <c r="N2188" s="4" cm="1">
        <f t="array" ref="N2188">SUM(--(_xlfn.TEXTSPLIT($J$1780,, " ") = L2188))</f>
        <v>1</v>
      </c>
    </row>
    <row r="2189" spans="5:14" x14ac:dyDescent="0.2">
      <c r="E2189" s="9" t="s">
        <v>26</v>
      </c>
      <c r="K2189" t="str">
        <v>can</v>
      </c>
      <c r="M2189" s="4" t="str">
        <f t="shared" si="33"/>
        <v>can</v>
      </c>
      <c r="N2189" s="4" cm="1">
        <f t="array" ref="N2189">SUM(--(_xlfn.TEXTSPLIT($J$1780,, " ") = L2189))</f>
        <v>1</v>
      </c>
    </row>
    <row r="2190" spans="5:14" x14ac:dyDescent="0.2">
      <c r="E2190" s="9" t="s">
        <v>26</v>
      </c>
      <c r="K2190" t="str">
        <v>have</v>
      </c>
      <c r="M2190" s="4" t="str">
        <f t="shared" si="33"/>
        <v>have</v>
      </c>
      <c r="N2190" s="4" cm="1">
        <f t="array" ref="N2190">SUM(--(_xlfn.TEXTSPLIT($J$1780,, " ") = L2190))</f>
        <v>1</v>
      </c>
    </row>
    <row r="2191" spans="5:14" x14ac:dyDescent="0.2">
      <c r="E2191" s="9" t="s">
        <v>26</v>
      </c>
      <c r="K2191" t="str">
        <v>all</v>
      </c>
      <c r="M2191" s="4" t="str">
        <f t="shared" si="33"/>
        <v>all</v>
      </c>
      <c r="N2191" s="4" cm="1">
        <f t="array" ref="N2191">SUM(--(_xlfn.TEXTSPLIT($J$1780,, " ") = L2191))</f>
        <v>1</v>
      </c>
    </row>
    <row r="2192" spans="5:14" x14ac:dyDescent="0.2">
      <c r="E2192" s="9" t="s">
        <v>26</v>
      </c>
      <c r="K2192" t="str">
        <v>I've</v>
      </c>
      <c r="M2192" s="4" t="str">
        <f t="shared" si="33"/>
        <v>I ve</v>
      </c>
      <c r="N2192" s="4" cm="1">
        <f t="array" ref="N2192">SUM(--(_xlfn.TEXTSPLIT($J$1780,, " ") = L2192))</f>
        <v>1</v>
      </c>
    </row>
    <row r="2193" spans="5:14" x14ac:dyDescent="0.2">
      <c r="E2193" s="9" t="s">
        <v>26</v>
      </c>
      <c r="K2193" t="str">
        <v>made</v>
      </c>
      <c r="M2193" s="4" t="str">
        <f t="shared" si="33"/>
        <v>made</v>
      </c>
      <c r="N2193" s="4" cm="1">
        <f t="array" ref="N2193">SUM(--(_xlfn.TEXTSPLIT($J$1780,, " ") = L2193))</f>
        <v>1</v>
      </c>
    </row>
    <row r="2194" spans="5:14" x14ac:dyDescent="0.2">
      <c r="E2194" s="9" t="s">
        <v>26</v>
      </c>
      <c r="K2194" t="str">
        <v>and</v>
      </c>
      <c r="M2194" s="4" t="str">
        <f t="shared" si="33"/>
        <v>and</v>
      </c>
      <c r="N2194" s="4" cm="1">
        <f t="array" ref="N2194">SUM(--(_xlfn.TEXTSPLIT($J$1780,, " ") = L2194))</f>
        <v>1</v>
      </c>
    </row>
    <row r="2195" spans="5:14" x14ac:dyDescent="0.2">
      <c r="E2195" s="9" t="s">
        <v>26</v>
      </c>
      <c r="K2195" t="str">
        <v>all</v>
      </c>
      <c r="M2195" s="4" t="str">
        <f t="shared" si="33"/>
        <v>all</v>
      </c>
      <c r="N2195" s="4" cm="1">
        <f t="array" ref="N2195">SUM(--(_xlfn.TEXTSPLIT($J$1780,, " ") = L2195))</f>
        <v>1</v>
      </c>
    </row>
    <row r="2196" spans="5:14" x14ac:dyDescent="0.2">
      <c r="E2196" s="9" t="s">
        <v>26</v>
      </c>
      <c r="K2196" t="str">
        <v>I've</v>
      </c>
      <c r="M2196" s="4" t="str">
        <f t="shared" si="33"/>
        <v>I ve</v>
      </c>
      <c r="N2196" s="4" cm="1">
        <f t="array" ref="N2196">SUM(--(_xlfn.TEXTSPLIT($J$1780,, " ") = L2196))</f>
        <v>1</v>
      </c>
    </row>
    <row r="2197" spans="5:14" x14ac:dyDescent="0.2">
      <c r="E2197" s="9" t="s">
        <v>26</v>
      </c>
      <c r="K2197" t="str">
        <v>ever</v>
      </c>
      <c r="M2197" s="4" t="str">
        <f t="shared" si="33"/>
        <v>ever</v>
      </c>
      <c r="N2197" s="4" cm="1">
        <f t="array" ref="N2197">SUM(--(_xlfn.TEXTSPLIT($J$1780,, " ") = L2197))</f>
        <v>1</v>
      </c>
    </row>
    <row r="2198" spans="5:14" x14ac:dyDescent="0.2">
      <c r="E2198" s="9" t="s">
        <v>26</v>
      </c>
      <c r="K2198" t="str">
        <v xml:space="preserve">known
</v>
      </c>
      <c r="M2198" s="4" t="str">
        <f t="shared" si="33"/>
        <v xml:space="preserve">known </v>
      </c>
      <c r="N2198" s="4" cm="1">
        <f t="array" ref="N2198">SUM(--(_xlfn.TEXTSPLIT($J$1780,, " ") = L2198))</f>
        <v>1</v>
      </c>
    </row>
    <row r="2199" spans="5:14" x14ac:dyDescent="0.2">
      <c r="E2199" s="9" t="s">
        <v>26</v>
      </c>
      <c r="K2199" t="str">
        <v>You</v>
      </c>
      <c r="M2199" s="4" t="str">
        <f t="shared" si="33"/>
        <v>You</v>
      </c>
      <c r="N2199" s="4" cm="1">
        <f t="array" ref="N2199">SUM(--(_xlfn.TEXTSPLIT($J$1780,, " ") = L2199))</f>
        <v>1</v>
      </c>
    </row>
    <row r="2200" spans="5:14" x14ac:dyDescent="0.2">
      <c r="E2200" s="9" t="s">
        <v>26</v>
      </c>
      <c r="K2200" t="str">
        <v>can</v>
      </c>
      <c r="M2200" s="4" t="str">
        <f t="shared" si="33"/>
        <v>can</v>
      </c>
      <c r="N2200" s="4" cm="1">
        <f t="array" ref="N2200">SUM(--(_xlfn.TEXTSPLIT($J$1780,, " ") = L2200))</f>
        <v>1</v>
      </c>
    </row>
    <row r="2201" spans="5:14" x14ac:dyDescent="0.2">
      <c r="E2201" s="9" t="s">
        <v>26</v>
      </c>
      <c r="K2201" t="str">
        <v>have</v>
      </c>
      <c r="M2201" s="4" t="str">
        <f t="shared" si="33"/>
        <v>have</v>
      </c>
      <c r="N2201" s="4" cm="1">
        <f t="array" ref="N2201">SUM(--(_xlfn.TEXTSPLIT($J$1780,, " ") = L2201))</f>
        <v>1</v>
      </c>
    </row>
    <row r="2202" spans="5:14" x14ac:dyDescent="0.2">
      <c r="E2202" s="9" t="s">
        <v>26</v>
      </c>
      <c r="K2202" t="str">
        <v>both</v>
      </c>
      <c r="M2202" s="4" t="str">
        <f t="shared" si="33"/>
        <v>both</v>
      </c>
      <c r="N2202" s="4" cm="1">
        <f t="array" ref="N2202">SUM(--(_xlfn.TEXTSPLIT($J$1780,, " ") = L2202))</f>
        <v>1</v>
      </c>
    </row>
    <row r="2203" spans="5:14" x14ac:dyDescent="0.2">
      <c r="E2203" s="9" t="s">
        <v>26</v>
      </c>
      <c r="K2203" t="str">
        <v>my</v>
      </c>
      <c r="M2203" s="4" t="str">
        <f t="shared" si="33"/>
        <v>my</v>
      </c>
      <c r="N2203" s="4" cm="1">
        <f t="array" ref="N2203">SUM(--(_xlfn.TEXTSPLIT($J$1780,, " ") = L2203))</f>
        <v>1</v>
      </c>
    </row>
    <row r="2204" spans="5:14" x14ac:dyDescent="0.2">
      <c r="E2204" s="9" t="s">
        <v>26</v>
      </c>
      <c r="K2204" t="str">
        <v>lungs</v>
      </c>
      <c r="M2204" s="4" t="str">
        <f t="shared" si="33"/>
        <v>lungs</v>
      </c>
      <c r="N2204" s="4" cm="1">
        <f t="array" ref="N2204">SUM(--(_xlfn.TEXTSPLIT($J$1780,, " ") = L2204))</f>
        <v>1</v>
      </c>
    </row>
    <row r="2205" spans="5:14" x14ac:dyDescent="0.2">
      <c r="E2205" s="9" t="s">
        <v>26</v>
      </c>
      <c r="K2205" t="str">
        <v>if</v>
      </c>
      <c r="M2205" s="4" t="str">
        <f t="shared" si="33"/>
        <v>if</v>
      </c>
      <c r="N2205" s="4" cm="1">
        <f t="array" ref="N2205">SUM(--(_xlfn.TEXTSPLIT($J$1780,, " ") = L2205))</f>
        <v>1</v>
      </c>
    </row>
    <row r="2206" spans="5:14" x14ac:dyDescent="0.2">
      <c r="E2206" s="9" t="s">
        <v>26</v>
      </c>
      <c r="K2206" t="str">
        <v>you</v>
      </c>
      <c r="M2206" s="4" t="str">
        <f t="shared" si="33"/>
        <v>you</v>
      </c>
      <c r="N2206" s="4" cm="1">
        <f t="array" ref="N2206">SUM(--(_xlfn.TEXTSPLIT($J$1780,, " ") = L2206))</f>
        <v>1</v>
      </c>
    </row>
    <row r="2207" spans="5:14" x14ac:dyDescent="0.2">
      <c r="E2207" s="9" t="s">
        <v>26</v>
      </c>
      <c r="K2207" t="str">
        <v>ask</v>
      </c>
      <c r="M2207" s="4" t="str">
        <f t="shared" si="33"/>
        <v>ask</v>
      </c>
      <c r="N2207" s="4" cm="1">
        <f t="array" ref="N2207">SUM(--(_xlfn.TEXTSPLIT($J$1780,, " ") = L2207))</f>
        <v>1</v>
      </c>
    </row>
    <row r="2208" spans="5:14" x14ac:dyDescent="0.2">
      <c r="E2208" s="9" t="s">
        <v>26</v>
      </c>
      <c r="K2208" t="str">
        <v>me</v>
      </c>
      <c r="M2208" s="4" t="str">
        <f t="shared" si="33"/>
        <v>me</v>
      </c>
      <c r="N2208" s="4" cm="1">
        <f t="array" ref="N2208">SUM(--(_xlfn.TEXTSPLIT($J$1780,, " ") = L2208))</f>
        <v>1</v>
      </c>
    </row>
    <row r="2209" spans="5:14" x14ac:dyDescent="0.2">
      <c r="E2209" s="9" t="s">
        <v>26</v>
      </c>
      <c r="K2209" t="str">
        <v xml:space="preserve">so
</v>
      </c>
      <c r="M2209" s="4" t="str">
        <f t="shared" si="33"/>
        <v xml:space="preserve">so </v>
      </c>
      <c r="N2209" s="4" cm="1">
        <f t="array" ref="N2209">SUM(--(_xlfn.TEXTSPLIT($J$1780,, " ") = L2209))</f>
        <v>1</v>
      </c>
    </row>
    <row r="2210" spans="5:14" x14ac:dyDescent="0.2">
      <c r="E2210" s="9" t="s">
        <v>26</v>
      </c>
      <c r="K2210" t="str">
        <v>Cause</v>
      </c>
      <c r="M2210" s="4" t="str">
        <f t="shared" si="33"/>
        <v>Cause</v>
      </c>
      <c r="N2210" s="4" cm="1">
        <f t="array" ref="N2210">SUM(--(_xlfn.TEXTSPLIT($J$1780,, " ") = L2210))</f>
        <v>1</v>
      </c>
    </row>
    <row r="2211" spans="5:14" x14ac:dyDescent="0.2">
      <c r="E2211" s="9" t="s">
        <v>26</v>
      </c>
      <c r="K2211" t="str">
        <v>I</v>
      </c>
      <c r="M2211" s="4" t="str">
        <f t="shared" si="33"/>
        <v>I</v>
      </c>
      <c r="N2211" s="4" cm="1">
        <f t="array" ref="N2211">SUM(--(_xlfn.TEXTSPLIT($J$1780,, " ") = L2211))</f>
        <v>1</v>
      </c>
    </row>
    <row r="2212" spans="5:14" x14ac:dyDescent="0.2">
      <c r="E2212" s="9" t="s">
        <v>26</v>
      </c>
      <c r="K2212" t="str">
        <v>want</v>
      </c>
      <c r="M2212" s="4" t="str">
        <f t="shared" si="33"/>
        <v>want</v>
      </c>
      <c r="N2212" s="4" cm="1">
        <f t="array" ref="N2212">SUM(--(_xlfn.TEXTSPLIT($J$1780,, " ") = L2212))</f>
        <v>1</v>
      </c>
    </row>
    <row r="2213" spans="5:14" x14ac:dyDescent="0.2">
      <c r="E2213" s="9" t="s">
        <v>26</v>
      </c>
      <c r="K2213" t="str">
        <v>to</v>
      </c>
      <c r="M2213" s="4" t="str">
        <f t="shared" si="33"/>
        <v>to</v>
      </c>
      <c r="N2213" s="4" cm="1">
        <f t="array" ref="N2213">SUM(--(_xlfn.TEXTSPLIT($J$1780,, " ") = L2213))</f>
        <v>1</v>
      </c>
    </row>
    <row r="2214" spans="5:14" x14ac:dyDescent="0.2">
      <c r="E2214" s="9" t="s">
        <v>26</v>
      </c>
      <c r="K2214" t="str">
        <v>be</v>
      </c>
      <c r="M2214" s="4" t="str">
        <f t="shared" si="33"/>
        <v>be</v>
      </c>
      <c r="N2214" s="4" cm="1">
        <f t="array" ref="N2214">SUM(--(_xlfn.TEXTSPLIT($J$1780,, " ") = L2214))</f>
        <v>1</v>
      </c>
    </row>
    <row r="2215" spans="5:14" x14ac:dyDescent="0.2">
      <c r="E2215" s="9" t="s">
        <v>26</v>
      </c>
      <c r="K2215" t="str">
        <v>the</v>
      </c>
      <c r="M2215" s="4" t="str">
        <f t="shared" si="33"/>
        <v>the</v>
      </c>
      <c r="N2215" s="4" cm="1">
        <f t="array" ref="N2215">SUM(--(_xlfn.TEXTSPLIT($J$1780,, " ") = L2215))</f>
        <v>1</v>
      </c>
    </row>
    <row r="2216" spans="5:14" x14ac:dyDescent="0.2">
      <c r="E2216" s="9" t="s">
        <v>26</v>
      </c>
      <c r="K2216" t="str">
        <v>one</v>
      </c>
      <c r="M2216" s="4" t="str">
        <f t="shared" si="33"/>
        <v>one</v>
      </c>
      <c r="N2216" s="4" cm="1">
        <f t="array" ref="N2216">SUM(--(_xlfn.TEXTSPLIT($J$1780,, " ") = L2216))</f>
        <v>1</v>
      </c>
    </row>
    <row r="2217" spans="5:14" x14ac:dyDescent="0.2">
      <c r="E2217" s="9" t="s">
        <v>26</v>
      </c>
      <c r="K2217" t="str">
        <v>after</v>
      </c>
      <c r="M2217" s="4" t="str">
        <f t="shared" si="33"/>
        <v>after</v>
      </c>
      <c r="N2217" s="4" cm="1">
        <f t="array" ref="N2217">SUM(--(_xlfn.TEXTSPLIT($J$1780,, " ") = L2217))</f>
        <v>1</v>
      </c>
    </row>
    <row r="2218" spans="5:14" x14ac:dyDescent="0.2">
      <c r="E2218" s="9" t="s">
        <v>26</v>
      </c>
      <c r="K2218" t="str">
        <v>your</v>
      </c>
      <c r="M2218" s="4" t="str">
        <f t="shared" si="33"/>
        <v>your</v>
      </c>
      <c r="N2218" s="4" cm="1">
        <f t="array" ref="N2218">SUM(--(_xlfn.TEXTSPLIT($J$1780,, " ") = L2218))</f>
        <v>1</v>
      </c>
    </row>
    <row r="2219" spans="5:14" x14ac:dyDescent="0.2">
      <c r="E2219" s="9" t="s">
        <v>26</v>
      </c>
      <c r="K2219" t="str">
        <v>own</v>
      </c>
      <c r="M2219" s="4" t="str">
        <f t="shared" ref="M2219:M2282" si="34">_xlfn.REGEXREPLACE(K2219, "[^A-Za-z ]", " ")</f>
        <v>own</v>
      </c>
      <c r="N2219" s="4" cm="1">
        <f t="array" ref="N2219">SUM(--(_xlfn.TEXTSPLIT($J$1780,, " ") = L2219))</f>
        <v>1</v>
      </c>
    </row>
    <row r="2220" spans="5:14" x14ac:dyDescent="0.2">
      <c r="E2220" s="9" t="s">
        <v>26</v>
      </c>
      <c r="K2220" t="str">
        <v xml:space="preserve">heart
</v>
      </c>
      <c r="M2220" s="4" t="str">
        <f t="shared" si="34"/>
        <v xml:space="preserve">heart </v>
      </c>
      <c r="N2220" s="4" cm="1">
        <f t="array" ref="N2220">SUM(--(_xlfn.TEXTSPLIT($J$1780,, " ") = L2220))</f>
        <v>1</v>
      </c>
    </row>
    <row r="2221" spans="5:14" x14ac:dyDescent="0.2">
      <c r="E2221" s="9" t="s">
        <v>26</v>
      </c>
      <c r="K2221" t="str">
        <v>And</v>
      </c>
      <c r="M2221" s="4" t="str">
        <f t="shared" si="34"/>
        <v>And</v>
      </c>
      <c r="N2221" s="4" cm="1">
        <f t="array" ref="N2221">SUM(--(_xlfn.TEXTSPLIT($J$1780,, " ") = L2221))</f>
        <v>1</v>
      </c>
    </row>
    <row r="2222" spans="5:14" x14ac:dyDescent="0.2">
      <c r="E2222" s="9" t="s">
        <v>26</v>
      </c>
      <c r="K2222" t="str">
        <v>I</v>
      </c>
      <c r="M2222" s="4" t="str">
        <f t="shared" si="34"/>
        <v>I</v>
      </c>
      <c r="N2222" s="4" cm="1">
        <f t="array" ref="N2222">SUM(--(_xlfn.TEXTSPLIT($J$1780,, " ") = L2222))</f>
        <v>1</v>
      </c>
    </row>
    <row r="2223" spans="5:14" x14ac:dyDescent="0.2">
      <c r="E2223" s="9" t="s">
        <v>26</v>
      </c>
      <c r="K2223" t="str">
        <v>might</v>
      </c>
      <c r="M2223" s="4" t="str">
        <f t="shared" si="34"/>
        <v>might</v>
      </c>
      <c r="N2223" s="4" cm="1">
        <f t="array" ref="N2223">SUM(--(_xlfn.TEXTSPLIT($J$1780,, " ") = L2223))</f>
        <v>1</v>
      </c>
    </row>
    <row r="2224" spans="5:14" x14ac:dyDescent="0.2">
      <c r="E2224" s="9" t="s">
        <v>26</v>
      </c>
      <c r="K2224" t="str">
        <v>doubt</v>
      </c>
      <c r="M2224" s="4" t="str">
        <f t="shared" si="34"/>
        <v>doubt</v>
      </c>
      <c r="N2224" s="4" cm="1">
        <f t="array" ref="N2224">SUM(--(_xlfn.TEXTSPLIT($J$1780,, " ") = L2224))</f>
        <v>1</v>
      </c>
    </row>
    <row r="2225" spans="1:21" x14ac:dyDescent="0.2">
      <c r="E2225" s="9" t="s">
        <v>26</v>
      </c>
      <c r="K2225" t="str">
        <v>the</v>
      </c>
      <c r="M2225" s="4" t="str">
        <f t="shared" si="34"/>
        <v>the</v>
      </c>
      <c r="N2225" s="4" cm="1">
        <f t="array" ref="N2225">SUM(--(_xlfn.TEXTSPLIT($J$1780,, " ") = L2225))</f>
        <v>1</v>
      </c>
    </row>
    <row r="2226" spans="1:21" x14ac:dyDescent="0.2">
      <c r="E2226" s="9" t="s">
        <v>26</v>
      </c>
      <c r="K2226" t="str">
        <v>process</v>
      </c>
      <c r="M2226" s="4" t="str">
        <f t="shared" si="34"/>
        <v>process</v>
      </c>
      <c r="N2226" s="4" cm="1">
        <f t="array" ref="N2226">SUM(--(_xlfn.TEXTSPLIT($J$1780,, " ") = L2226))</f>
        <v>1</v>
      </c>
    </row>
    <row r="2227" spans="1:21" x14ac:dyDescent="0.2">
      <c r="E2227" s="9" t="s">
        <v>26</v>
      </c>
      <c r="K2227" t="str">
        <v>like</v>
      </c>
      <c r="M2227" s="4" t="str">
        <f t="shared" si="34"/>
        <v>like</v>
      </c>
      <c r="N2227" s="4" cm="1">
        <f t="array" ref="N2227">SUM(--(_xlfn.TEXTSPLIT($J$1780,, " ") = L2227))</f>
        <v>1</v>
      </c>
    </row>
    <row r="2228" spans="1:21" x14ac:dyDescent="0.2">
      <c r="E2228" s="9" t="s">
        <v>26</v>
      </c>
      <c r="K2228" t="str">
        <v>I</v>
      </c>
      <c r="M2228" s="4" t="str">
        <f t="shared" si="34"/>
        <v>I</v>
      </c>
      <c r="N2228" s="4" cm="1">
        <f t="array" ref="N2228">SUM(--(_xlfn.TEXTSPLIT($J$1780,, " ") = L2228))</f>
        <v>1</v>
      </c>
    </row>
    <row r="2229" spans="1:21" x14ac:dyDescent="0.2">
      <c r="E2229" s="9" t="s">
        <v>26</v>
      </c>
      <c r="K2229" t="str">
        <v>doubt</v>
      </c>
      <c r="M2229" s="4" t="str">
        <f t="shared" si="34"/>
        <v>doubt</v>
      </c>
      <c r="N2229" s="4" cm="1">
        <f t="array" ref="N2229">SUM(--(_xlfn.TEXTSPLIT($J$1780,, " ") = L2229))</f>
        <v>1</v>
      </c>
    </row>
    <row r="2230" spans="1:21" x14ac:dyDescent="0.2">
      <c r="E2230" s="9" t="s">
        <v>26</v>
      </c>
      <c r="K2230" t="str">
        <v>the</v>
      </c>
      <c r="M2230" s="4" t="str">
        <f t="shared" si="34"/>
        <v>the</v>
      </c>
      <c r="N2230" s="4" cm="1">
        <f t="array" ref="N2230">SUM(--(_xlfn.TEXTSPLIT($J$1780,, " ") = L2230))</f>
        <v>1</v>
      </c>
    </row>
    <row r="2231" spans="1:21" x14ac:dyDescent="0.2">
      <c r="E2231" s="9" t="s">
        <v>26</v>
      </c>
      <c r="K2231" t="str">
        <v>start</v>
      </c>
      <c r="M2231" s="4" t="str">
        <f t="shared" si="34"/>
        <v>start</v>
      </c>
      <c r="N2231" s="4" cm="1">
        <f t="array" ref="N2231">SUM(--(_xlfn.TEXTSPLIT($J$1780,, " ") = L2231))</f>
        <v>1</v>
      </c>
    </row>
    <row r="2232" spans="1:21" s="4" customFormat="1" x14ac:dyDescent="0.2">
      <c r="A2232" s="4">
        <v>7</v>
      </c>
      <c r="B2232" s="5">
        <v>45912</v>
      </c>
      <c r="C2232" s="6">
        <v>0.16458333333333333</v>
      </c>
      <c r="D2232" s="7">
        <v>237</v>
      </c>
      <c r="E2232" s="9" t="s">
        <v>28</v>
      </c>
      <c r="F2232" s="4">
        <v>7</v>
      </c>
      <c r="G2232" s="8" t="s">
        <v>15</v>
      </c>
      <c r="H2232" s="9" t="s">
        <v>29</v>
      </c>
      <c r="I2232" s="4">
        <v>1</v>
      </c>
      <c r="J2232" s="4" t="str">
        <f>_xlfn.TEXTJOIN(" ", TRUE, H2232:H2682)</f>
        <v>They keep me company
 The robots and machines in my room
 An understanding
 The beeps and tones they make
 The only advice I take, the inside jokes are landing
 Now I'm waitin'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The half-drawn blinds casting lines on the floor as my metal friend flashes in time
 The daisy-chained power strips generating
 A newfound loneliness, I'm waiting for the changes, everyone sees
 Feeling so fancy
 And I just wanna dance and style and stay a while
 The lines on the floor, how did you find me?
 Woo
 I wasn't lookin' for love this year
 But my robot told me that I shouldn't fear
 When I met you, I found you safe and warm
 Then the robot voices would reassure me
 I wasn't lookin' for love this year
 But my robot told me that I shouldn't fear
 When I met you, I found you safe and warm
 Then the robot voices would reassure me</v>
      </c>
      <c r="K2232" s="4" t="str" cm="1">
        <f t="array" ref="K2232:K2447">_xlfn.TEXTSPLIT(J2232, ," ")</f>
        <v>They</v>
      </c>
      <c r="L2232" s="4" t="str" cm="1">
        <f t="array" ref="L2232:L2320">_xlfn.UNIQUE(_xlfn.TEXTSPLIT(J2232, , " "))</f>
        <v>They</v>
      </c>
      <c r="M2232" s="4" t="str">
        <f t="shared" si="34"/>
        <v>They</v>
      </c>
      <c r="N2232" s="4" cm="1">
        <f t="array" ref="N2232">SUM(--(_xlfn.TEXTSPLIT($J$2232,, " ") = L2232))</f>
        <v>2</v>
      </c>
      <c r="O2232"/>
      <c r="P2232"/>
      <c r="Q2232"/>
      <c r="R2232"/>
      <c r="S2232"/>
      <c r="T2232"/>
      <c r="U2232"/>
    </row>
    <row r="2233" spans="1:21" x14ac:dyDescent="0.2">
      <c r="E2233" s="9" t="s">
        <v>28</v>
      </c>
      <c r="K2233" t="str">
        <v>keep</v>
      </c>
      <c r="L2233" t="str">
        <v>keep</v>
      </c>
      <c r="M2233" s="4" t="str">
        <f t="shared" si="34"/>
        <v>keep</v>
      </c>
      <c r="N2233" s="4" cm="1">
        <f t="array" ref="N2233">SUM(--(_xlfn.TEXTSPLIT($J$2232,, " ") = L2233))</f>
        <v>1</v>
      </c>
    </row>
    <row r="2234" spans="1:21" x14ac:dyDescent="0.2">
      <c r="E2234" s="9" t="s">
        <v>28</v>
      </c>
      <c r="K2234" t="str">
        <v>me</v>
      </c>
      <c r="L2234" t="str">
        <v>me</v>
      </c>
      <c r="M2234" s="4" t="str">
        <f t="shared" si="34"/>
        <v>me</v>
      </c>
      <c r="N2234" s="4" cm="1">
        <f t="array" ref="N2234">SUM(--(_xlfn.TEXTSPLIT($J$2232,, " ") = L2234))</f>
        <v>5</v>
      </c>
    </row>
    <row r="2235" spans="1:21" x14ac:dyDescent="0.2">
      <c r="E2235" s="9" t="s">
        <v>28</v>
      </c>
      <c r="K2235" t="str">
        <v xml:space="preserve">company
</v>
      </c>
      <c r="L2235" t="str">
        <v xml:space="preserve">company
</v>
      </c>
      <c r="M2235" s="4" t="str">
        <f t="shared" si="34"/>
        <v xml:space="preserve">company </v>
      </c>
      <c r="N2235" s="4" cm="1">
        <f t="array" ref="N2235">SUM(--(_xlfn.TEXTSPLIT($J$2232,, " ") = L2235))</f>
        <v>1</v>
      </c>
    </row>
    <row r="2236" spans="1:21" x14ac:dyDescent="0.2">
      <c r="E2236" s="9" t="s">
        <v>28</v>
      </c>
      <c r="K2236" t="str">
        <v>The</v>
      </c>
      <c r="L2236" t="str">
        <v>The</v>
      </c>
      <c r="M2236" s="4" t="str">
        <f t="shared" si="34"/>
        <v>The</v>
      </c>
      <c r="N2236" s="4" cm="1">
        <f t="array" ref="N2236">SUM(--(_xlfn.TEXTSPLIT($J$2232,, " ") = L2236))</f>
        <v>16</v>
      </c>
    </row>
    <row r="2237" spans="1:21" x14ac:dyDescent="0.2">
      <c r="E2237" s="9" t="s">
        <v>28</v>
      </c>
      <c r="K2237" t="str">
        <v>robots</v>
      </c>
      <c r="L2237" t="str">
        <v>robots</v>
      </c>
      <c r="M2237" s="4" t="str">
        <f t="shared" si="34"/>
        <v>robots</v>
      </c>
      <c r="N2237" s="4" cm="1">
        <f t="array" ref="N2237">SUM(--(_xlfn.TEXTSPLIT($J$2232,, " ") = L2237))</f>
        <v>1</v>
      </c>
    </row>
    <row r="2238" spans="1:21" x14ac:dyDescent="0.2">
      <c r="E2238" s="9" t="s">
        <v>28</v>
      </c>
      <c r="K2238" t="str">
        <v>and</v>
      </c>
      <c r="L2238" t="str">
        <v>and</v>
      </c>
      <c r="M2238" s="4" t="str">
        <f t="shared" si="34"/>
        <v>and</v>
      </c>
      <c r="N2238" s="4" cm="1">
        <f t="array" ref="N2238">SUM(--(_xlfn.TEXTSPLIT($J$2232,, " ") = L2238))</f>
        <v>11</v>
      </c>
    </row>
    <row r="2239" spans="1:21" x14ac:dyDescent="0.2">
      <c r="E2239" s="9" t="s">
        <v>28</v>
      </c>
      <c r="K2239" t="str">
        <v>machines</v>
      </c>
      <c r="L2239" t="str">
        <v>machines</v>
      </c>
      <c r="M2239" s="4" t="str">
        <f t="shared" si="34"/>
        <v>machines</v>
      </c>
      <c r="N2239" s="4" cm="1">
        <f t="array" ref="N2239">SUM(--(_xlfn.TEXTSPLIT($J$2232,, " ") = L2239))</f>
        <v>1</v>
      </c>
    </row>
    <row r="2240" spans="1:21" x14ac:dyDescent="0.2">
      <c r="E2240" s="9" t="s">
        <v>28</v>
      </c>
      <c r="K2240" t="str">
        <v>in</v>
      </c>
      <c r="L2240" t="str">
        <v>in</v>
      </c>
      <c r="M2240" s="4" t="str">
        <f t="shared" si="34"/>
        <v>in</v>
      </c>
      <c r="N2240" s="4" cm="1">
        <f t="array" ref="N2240">SUM(--(_xlfn.TEXTSPLIT($J$2232,, " ") = L2240))</f>
        <v>2</v>
      </c>
    </row>
    <row r="2241" spans="5:14" x14ac:dyDescent="0.2">
      <c r="E2241" s="9" t="s">
        <v>28</v>
      </c>
      <c r="K2241" t="str">
        <v>my</v>
      </c>
      <c r="L2241" t="str">
        <v>my</v>
      </c>
      <c r="M2241" s="4" t="str">
        <f t="shared" si="34"/>
        <v>my</v>
      </c>
      <c r="N2241" s="4" cm="1">
        <f t="array" ref="N2241">SUM(--(_xlfn.TEXTSPLIT($J$2232,, " ") = L2241))</f>
        <v>5</v>
      </c>
    </row>
    <row r="2242" spans="5:14" x14ac:dyDescent="0.2">
      <c r="E2242" s="9" t="s">
        <v>28</v>
      </c>
      <c r="K2242" t="str">
        <v xml:space="preserve">room
</v>
      </c>
      <c r="L2242" t="str">
        <v xml:space="preserve">room
</v>
      </c>
      <c r="M2242" s="4" t="str">
        <f t="shared" si="34"/>
        <v xml:space="preserve">room </v>
      </c>
      <c r="N2242" s="4" cm="1">
        <f t="array" ref="N2242">SUM(--(_xlfn.TEXTSPLIT($J$2232,, " ") = L2242))</f>
        <v>1</v>
      </c>
    </row>
    <row r="2243" spans="5:14" x14ac:dyDescent="0.2">
      <c r="E2243" s="9" t="s">
        <v>28</v>
      </c>
      <c r="K2243" t="str">
        <v>An</v>
      </c>
      <c r="L2243" t="str">
        <v>An</v>
      </c>
      <c r="M2243" s="4" t="str">
        <f t="shared" si="34"/>
        <v>An</v>
      </c>
      <c r="N2243" s="4" cm="1">
        <f t="array" ref="N2243">SUM(--(_xlfn.TEXTSPLIT($J$2232,, " ") = L2243))</f>
        <v>1</v>
      </c>
    </row>
    <row r="2244" spans="5:14" x14ac:dyDescent="0.2">
      <c r="E2244" s="9" t="s">
        <v>28</v>
      </c>
      <c r="K2244" t="str">
        <v xml:space="preserve">understanding
</v>
      </c>
      <c r="L2244" t="str">
        <v xml:space="preserve">understanding
</v>
      </c>
      <c r="M2244" s="4" t="str">
        <f t="shared" si="34"/>
        <v xml:space="preserve">understanding </v>
      </c>
      <c r="N2244" s="4" cm="1">
        <f t="array" ref="N2244">SUM(--(_xlfn.TEXTSPLIT($J$2232,, " ") = L2244))</f>
        <v>1</v>
      </c>
    </row>
    <row r="2245" spans="5:14" x14ac:dyDescent="0.2">
      <c r="E2245" s="9" t="s">
        <v>28</v>
      </c>
      <c r="K2245" t="str">
        <v>The</v>
      </c>
      <c r="L2245" t="str">
        <v>beeps</v>
      </c>
      <c r="M2245" s="4" t="str">
        <f t="shared" si="34"/>
        <v>The</v>
      </c>
      <c r="N2245" s="4" cm="1">
        <f t="array" ref="N2245">SUM(--(_xlfn.TEXTSPLIT($J$2232,, " ") = L2245))</f>
        <v>1</v>
      </c>
    </row>
    <row r="2246" spans="5:14" x14ac:dyDescent="0.2">
      <c r="E2246" s="9" t="s">
        <v>28</v>
      </c>
      <c r="K2246" t="str">
        <v>beeps</v>
      </c>
      <c r="L2246" t="str">
        <v>tones</v>
      </c>
      <c r="M2246" s="4" t="str">
        <f t="shared" si="34"/>
        <v>beeps</v>
      </c>
      <c r="N2246" s="4" cm="1">
        <f t="array" ref="N2246">SUM(--(_xlfn.TEXTSPLIT($J$2232,, " ") = L2246))</f>
        <v>1</v>
      </c>
    </row>
    <row r="2247" spans="5:14" x14ac:dyDescent="0.2">
      <c r="E2247" s="9" t="s">
        <v>28</v>
      </c>
      <c r="K2247" t="str">
        <v>and</v>
      </c>
      <c r="L2247" t="str">
        <v xml:space="preserve">make
</v>
      </c>
      <c r="M2247" s="4" t="str">
        <f t="shared" si="34"/>
        <v>and</v>
      </c>
      <c r="N2247" s="4" cm="1">
        <f t="array" ref="N2247">SUM(--(_xlfn.TEXTSPLIT($J$2232,, " ") = L2247))</f>
        <v>1</v>
      </c>
    </row>
    <row r="2248" spans="5:14" x14ac:dyDescent="0.2">
      <c r="E2248" s="9" t="s">
        <v>28</v>
      </c>
      <c r="K2248" t="str">
        <v>tones</v>
      </c>
      <c r="L2248" t="str">
        <v>only</v>
      </c>
      <c r="M2248" s="4" t="str">
        <f t="shared" si="34"/>
        <v>tones</v>
      </c>
      <c r="N2248" s="4" cm="1">
        <f t="array" ref="N2248">SUM(--(_xlfn.TEXTSPLIT($J$2232,, " ") = L2248))</f>
        <v>1</v>
      </c>
    </row>
    <row r="2249" spans="5:14" x14ac:dyDescent="0.2">
      <c r="E2249" s="9" t="s">
        <v>28</v>
      </c>
      <c r="K2249" t="str">
        <v>they</v>
      </c>
      <c r="L2249" t="str">
        <v>advice</v>
      </c>
      <c r="M2249" s="4" t="str">
        <f t="shared" si="34"/>
        <v>they</v>
      </c>
      <c r="N2249" s="4" cm="1">
        <f t="array" ref="N2249">SUM(--(_xlfn.TEXTSPLIT($J$2232,, " ") = L2249))</f>
        <v>1</v>
      </c>
    </row>
    <row r="2250" spans="5:14" x14ac:dyDescent="0.2">
      <c r="E2250" s="9" t="s">
        <v>28</v>
      </c>
      <c r="K2250" t="str">
        <v xml:space="preserve">make
</v>
      </c>
      <c r="L2250" t="str">
        <v>I</v>
      </c>
      <c r="M2250" s="4" t="str">
        <f t="shared" si="34"/>
        <v xml:space="preserve">make </v>
      </c>
      <c r="N2250" s="4" cm="1">
        <f t="array" ref="N2250">SUM(--(_xlfn.TEXTSPLIT($J$2232,, " ") = L2250))</f>
        <v>15</v>
      </c>
    </row>
    <row r="2251" spans="5:14" x14ac:dyDescent="0.2">
      <c r="E2251" s="9" t="s">
        <v>28</v>
      </c>
      <c r="K2251" t="str">
        <v>The</v>
      </c>
      <c r="L2251" t="str">
        <v>take,</v>
      </c>
      <c r="M2251" s="4" t="str">
        <f t="shared" si="34"/>
        <v>The</v>
      </c>
      <c r="N2251" s="4" cm="1">
        <f t="array" ref="N2251">SUM(--(_xlfn.TEXTSPLIT($J$2232,, " ") = L2251))</f>
        <v>1</v>
      </c>
    </row>
    <row r="2252" spans="5:14" x14ac:dyDescent="0.2">
      <c r="E2252" s="9" t="s">
        <v>28</v>
      </c>
      <c r="K2252" t="str">
        <v>only</v>
      </c>
      <c r="L2252" t="str">
        <v>inside</v>
      </c>
      <c r="M2252" s="4" t="str">
        <f t="shared" si="34"/>
        <v>only</v>
      </c>
      <c r="N2252" s="4" cm="1">
        <f t="array" ref="N2252">SUM(--(_xlfn.TEXTSPLIT($J$2232,, " ") = L2252))</f>
        <v>1</v>
      </c>
    </row>
    <row r="2253" spans="5:14" x14ac:dyDescent="0.2">
      <c r="E2253" s="9" t="s">
        <v>28</v>
      </c>
      <c r="K2253" t="str">
        <v>advice</v>
      </c>
      <c r="L2253" t="str">
        <v>jokes</v>
      </c>
      <c r="M2253" s="4" t="str">
        <f t="shared" si="34"/>
        <v>advice</v>
      </c>
      <c r="N2253" s="4" cm="1">
        <f t="array" ref="N2253">SUM(--(_xlfn.TEXTSPLIT($J$2232,, " ") = L2253))</f>
        <v>1</v>
      </c>
    </row>
    <row r="2254" spans="5:14" x14ac:dyDescent="0.2">
      <c r="E2254" s="9" t="s">
        <v>28</v>
      </c>
      <c r="K2254" t="str">
        <v>I</v>
      </c>
      <c r="L2254" t="str">
        <v>are</v>
      </c>
      <c r="M2254" s="4" t="str">
        <f t="shared" si="34"/>
        <v>I</v>
      </c>
      <c r="N2254" s="4" cm="1">
        <f t="array" ref="N2254">SUM(--(_xlfn.TEXTSPLIT($J$2232,, " ") = L2254))</f>
        <v>1</v>
      </c>
    </row>
    <row r="2255" spans="5:14" x14ac:dyDescent="0.2">
      <c r="E2255" s="9" t="s">
        <v>28</v>
      </c>
      <c r="K2255" t="str">
        <v>take,</v>
      </c>
      <c r="L2255" t="str">
        <v xml:space="preserve">landing
</v>
      </c>
      <c r="M2255" s="4" t="str">
        <f t="shared" si="34"/>
        <v xml:space="preserve">take </v>
      </c>
      <c r="N2255" s="4" cm="1">
        <f t="array" ref="N2255">SUM(--(_xlfn.TEXTSPLIT($J$2232,, " ") = L2255))</f>
        <v>1</v>
      </c>
    </row>
    <row r="2256" spans="5:14" x14ac:dyDescent="0.2">
      <c r="E2256" s="9" t="s">
        <v>28</v>
      </c>
      <c r="K2256" t="str">
        <v>the</v>
      </c>
      <c r="L2256" t="str">
        <v>Now</v>
      </c>
      <c r="M2256" s="4" t="str">
        <f t="shared" si="34"/>
        <v>the</v>
      </c>
      <c r="N2256" s="4" cm="1">
        <f t="array" ref="N2256">SUM(--(_xlfn.TEXTSPLIT($J$2232,, " ") = L2256))</f>
        <v>1</v>
      </c>
    </row>
    <row r="2257" spans="5:14" x14ac:dyDescent="0.2">
      <c r="E2257" s="9" t="s">
        <v>28</v>
      </c>
      <c r="K2257" t="str">
        <v>inside</v>
      </c>
      <c r="L2257" t="str">
        <v>I'm</v>
      </c>
      <c r="M2257" s="4" t="str">
        <f t="shared" si="34"/>
        <v>inside</v>
      </c>
      <c r="N2257" s="4" cm="1">
        <f t="array" ref="N2257">SUM(--(_xlfn.TEXTSPLIT($J$2232,, " ") = L2257))</f>
        <v>2</v>
      </c>
    </row>
    <row r="2258" spans="5:14" x14ac:dyDescent="0.2">
      <c r="E2258" s="9" t="s">
        <v>28</v>
      </c>
      <c r="K2258" t="str">
        <v>jokes</v>
      </c>
      <c r="L2258" t="str">
        <v>waitin'</v>
      </c>
      <c r="M2258" s="4" t="str">
        <f t="shared" si="34"/>
        <v>jokes</v>
      </c>
      <c r="N2258" s="4" cm="1">
        <f t="array" ref="N2258">SUM(--(_xlfn.TEXTSPLIT($J$2232,, " ") = L2258))</f>
        <v>1</v>
      </c>
    </row>
    <row r="2259" spans="5:14" x14ac:dyDescent="0.2">
      <c r="E2259" s="9" t="s">
        <v>28</v>
      </c>
      <c r="K2259" t="str">
        <v>are</v>
      </c>
      <c r="L2259" t="str">
        <v>for</v>
      </c>
      <c r="M2259" s="4" t="str">
        <f t="shared" si="34"/>
        <v>are</v>
      </c>
      <c r="N2259" s="4" cm="1">
        <f t="array" ref="N2259">SUM(--(_xlfn.TEXTSPLIT($J$2232,, " ") = L2259))</f>
        <v>5</v>
      </c>
    </row>
    <row r="2260" spans="5:14" x14ac:dyDescent="0.2">
      <c r="E2260" s="9" t="s">
        <v>28</v>
      </c>
      <c r="K2260" t="str">
        <v xml:space="preserve">landing
</v>
      </c>
      <c r="L2260" t="str">
        <v>changes,</v>
      </c>
      <c r="M2260" s="4" t="str">
        <f t="shared" si="34"/>
        <v xml:space="preserve">landing </v>
      </c>
      <c r="N2260" s="4" cm="1">
        <f t="array" ref="N2260">SUM(--(_xlfn.TEXTSPLIT($J$2232,, " ") = L2260))</f>
        <v>2</v>
      </c>
    </row>
    <row r="2261" spans="5:14" x14ac:dyDescent="0.2">
      <c r="E2261" s="9" t="s">
        <v>28</v>
      </c>
      <c r="K2261" t="str">
        <v>Now</v>
      </c>
      <c r="L2261" t="str">
        <v>everyone</v>
      </c>
      <c r="M2261" s="4" t="str">
        <f t="shared" si="34"/>
        <v>Now</v>
      </c>
      <c r="N2261" s="4" cm="1">
        <f t="array" ref="N2261">SUM(--(_xlfn.TEXTSPLIT($J$2232,, " ") = L2261))</f>
        <v>2</v>
      </c>
    </row>
    <row r="2262" spans="5:14" x14ac:dyDescent="0.2">
      <c r="E2262" s="9" t="s">
        <v>28</v>
      </c>
      <c r="K2262" t="str">
        <v>I'm</v>
      </c>
      <c r="L2262" t="str">
        <v xml:space="preserve">sees
</v>
      </c>
      <c r="M2262" s="4" t="str">
        <f t="shared" si="34"/>
        <v>I m</v>
      </c>
      <c r="N2262" s="4" cm="1">
        <f t="array" ref="N2262">SUM(--(_xlfn.TEXTSPLIT($J$2232,, " ") = L2262))</f>
        <v>2</v>
      </c>
    </row>
    <row r="2263" spans="5:14" x14ac:dyDescent="0.2">
      <c r="E2263" s="9" t="s">
        <v>28</v>
      </c>
      <c r="K2263" t="str">
        <v>waitin'</v>
      </c>
      <c r="L2263" t="str">
        <v>Feeling</v>
      </c>
      <c r="M2263" s="4" t="str">
        <f t="shared" si="34"/>
        <v xml:space="preserve">waitin </v>
      </c>
      <c r="N2263" s="4" cm="1">
        <f t="array" ref="N2263">SUM(--(_xlfn.TEXTSPLIT($J$2232,, " ") = L2263))</f>
        <v>2</v>
      </c>
    </row>
    <row r="2264" spans="5:14" x14ac:dyDescent="0.2">
      <c r="E2264" s="9" t="s">
        <v>28</v>
      </c>
      <c r="K2264" t="str">
        <v>for</v>
      </c>
      <c r="L2264" t="str">
        <v>so</v>
      </c>
      <c r="M2264" s="4" t="str">
        <f t="shared" si="34"/>
        <v>for</v>
      </c>
      <c r="N2264" s="4" cm="1">
        <f t="array" ref="N2264">SUM(--(_xlfn.TEXTSPLIT($J$2232,, " ") = L2264))</f>
        <v>2</v>
      </c>
    </row>
    <row r="2265" spans="5:14" x14ac:dyDescent="0.2">
      <c r="E2265" s="9" t="s">
        <v>28</v>
      </c>
      <c r="K2265" t="str">
        <v>the</v>
      </c>
      <c r="L2265" t="str">
        <v xml:space="preserve">fancy
</v>
      </c>
      <c r="M2265" s="4" t="str">
        <f t="shared" si="34"/>
        <v>the</v>
      </c>
      <c r="N2265" s="4" cm="1">
        <f t="array" ref="N2265">SUM(--(_xlfn.TEXTSPLIT($J$2232,, " ") = L2265))</f>
        <v>2</v>
      </c>
    </row>
    <row r="2266" spans="5:14" x14ac:dyDescent="0.2">
      <c r="E2266" s="9" t="s">
        <v>28</v>
      </c>
      <c r="K2266" t="str">
        <v>changes,</v>
      </c>
      <c r="L2266" t="str">
        <v>just</v>
      </c>
      <c r="M2266" s="4" t="str">
        <f t="shared" si="34"/>
        <v xml:space="preserve">changes </v>
      </c>
      <c r="N2266" s="4" cm="1">
        <f t="array" ref="N2266">SUM(--(_xlfn.TEXTSPLIT($J$2232,, " ") = L2266))</f>
        <v>2</v>
      </c>
    </row>
    <row r="2267" spans="5:14" x14ac:dyDescent="0.2">
      <c r="E2267" s="9" t="s">
        <v>28</v>
      </c>
      <c r="K2267" t="str">
        <v>everyone</v>
      </c>
      <c r="L2267" t="str">
        <v>wanna</v>
      </c>
      <c r="M2267" s="4" t="str">
        <f t="shared" si="34"/>
        <v>everyone</v>
      </c>
      <c r="N2267" s="4" cm="1">
        <f t="array" ref="N2267">SUM(--(_xlfn.TEXTSPLIT($J$2232,, " ") = L2267))</f>
        <v>2</v>
      </c>
    </row>
    <row r="2268" spans="5:14" x14ac:dyDescent="0.2">
      <c r="E2268" s="9" t="s">
        <v>28</v>
      </c>
      <c r="K2268" t="str">
        <v xml:space="preserve">sees
</v>
      </c>
      <c r="L2268" t="str">
        <v>dance</v>
      </c>
      <c r="M2268" s="4" t="str">
        <f t="shared" si="34"/>
        <v xml:space="preserve">sees </v>
      </c>
      <c r="N2268" s="4" cm="1">
        <f t="array" ref="N2268">SUM(--(_xlfn.TEXTSPLIT($J$2232,, " ") = L2268))</f>
        <v>2</v>
      </c>
    </row>
    <row r="2269" spans="5:14" x14ac:dyDescent="0.2">
      <c r="E2269" s="9" t="s">
        <v>28</v>
      </c>
      <c r="K2269" t="str">
        <v>Feeling</v>
      </c>
      <c r="L2269" t="str">
        <v>style</v>
      </c>
      <c r="M2269" s="4" t="str">
        <f t="shared" si="34"/>
        <v>Feeling</v>
      </c>
      <c r="N2269" s="4" cm="1">
        <f t="array" ref="N2269">SUM(--(_xlfn.TEXTSPLIT($J$2232,, " ") = L2269))</f>
        <v>2</v>
      </c>
    </row>
    <row r="2270" spans="5:14" x14ac:dyDescent="0.2">
      <c r="E2270" s="9" t="s">
        <v>28</v>
      </c>
      <c r="K2270" t="str">
        <v>so</v>
      </c>
      <c r="L2270" t="str">
        <v>stay</v>
      </c>
      <c r="M2270" s="4" t="str">
        <f t="shared" si="34"/>
        <v>so</v>
      </c>
      <c r="N2270" s="4" cm="1">
        <f t="array" ref="N2270">SUM(--(_xlfn.TEXTSPLIT($J$2232,, " ") = L2270))</f>
        <v>2</v>
      </c>
    </row>
    <row r="2271" spans="5:14" x14ac:dyDescent="0.2">
      <c r="E2271" s="9" t="s">
        <v>28</v>
      </c>
      <c r="K2271" t="str">
        <v xml:space="preserve">fancy
</v>
      </c>
      <c r="L2271" t="str">
        <v>a</v>
      </c>
      <c r="M2271" s="4" t="str">
        <f t="shared" si="34"/>
        <v xml:space="preserve">fancy  </v>
      </c>
      <c r="N2271" s="4" cm="1">
        <f t="array" ref="N2271">SUM(--(_xlfn.TEXTSPLIT($J$2232,, " ") = L2271))</f>
        <v>3</v>
      </c>
    </row>
    <row r="2272" spans="5:14" x14ac:dyDescent="0.2">
      <c r="E2272" s="9" t="s">
        <v>28</v>
      </c>
      <c r="K2272" t="str">
        <v>And</v>
      </c>
      <c r="L2272" t="str">
        <v xml:space="preserve">while
</v>
      </c>
      <c r="M2272" s="4" t="str">
        <f t="shared" si="34"/>
        <v>And</v>
      </c>
      <c r="N2272" s="4" cm="1">
        <f t="array" ref="N2272">SUM(--(_xlfn.TEXTSPLIT($J$2232,, " ") = L2272))</f>
        <v>2</v>
      </c>
    </row>
    <row r="2273" spans="5:14" x14ac:dyDescent="0.2">
      <c r="E2273" s="9" t="s">
        <v>28</v>
      </c>
      <c r="K2273" t="str">
        <v>I</v>
      </c>
      <c r="L2273" t="str">
        <v>lines</v>
      </c>
      <c r="M2273" s="4" t="str">
        <f t="shared" si="34"/>
        <v>I</v>
      </c>
      <c r="N2273" s="4" cm="1">
        <f t="array" ref="N2273">SUM(--(_xlfn.TEXTSPLIT($J$2232,, " ") = L2273))</f>
        <v>3</v>
      </c>
    </row>
    <row r="2274" spans="5:14" x14ac:dyDescent="0.2">
      <c r="E2274" s="9" t="s">
        <v>28</v>
      </c>
      <c r="K2274" t="str">
        <v>just</v>
      </c>
      <c r="L2274" t="str">
        <v>on</v>
      </c>
      <c r="M2274" s="4" t="str">
        <f t="shared" si="34"/>
        <v>just</v>
      </c>
      <c r="N2274" s="4" cm="1">
        <f t="array" ref="N2274">SUM(--(_xlfn.TEXTSPLIT($J$2232,, " ") = L2274))</f>
        <v>3</v>
      </c>
    </row>
    <row r="2275" spans="5:14" x14ac:dyDescent="0.2">
      <c r="E2275" s="9" t="s">
        <v>28</v>
      </c>
      <c r="K2275" t="str">
        <v>wanna</v>
      </c>
      <c r="L2275" t="str">
        <v>floor,</v>
      </c>
      <c r="M2275" s="4" t="str">
        <f t="shared" si="34"/>
        <v>wanna</v>
      </c>
      <c r="N2275" s="4" cm="1">
        <f t="array" ref="N2275">SUM(--(_xlfn.TEXTSPLIT($J$2232,, " ") = L2275))</f>
        <v>2</v>
      </c>
    </row>
    <row r="2276" spans="5:14" x14ac:dyDescent="0.2">
      <c r="E2276" s="9" t="s">
        <v>28</v>
      </c>
      <c r="K2276" t="str">
        <v>dance</v>
      </c>
      <c r="L2276" t="str">
        <v>how</v>
      </c>
      <c r="M2276" s="4" t="str">
        <f t="shared" si="34"/>
        <v>dance</v>
      </c>
      <c r="N2276" s="4" cm="1">
        <f t="array" ref="N2276">SUM(--(_xlfn.TEXTSPLIT($J$2232,, " ") = L2276))</f>
        <v>2</v>
      </c>
    </row>
    <row r="2277" spans="5:14" x14ac:dyDescent="0.2">
      <c r="E2277" s="9" t="s">
        <v>28</v>
      </c>
      <c r="K2277" t="str">
        <v>and</v>
      </c>
      <c r="L2277" t="str">
        <v>did</v>
      </c>
      <c r="M2277" s="4" t="str">
        <f t="shared" si="34"/>
        <v>and</v>
      </c>
      <c r="N2277" s="4" cm="1">
        <f t="array" ref="N2277">SUM(--(_xlfn.TEXTSPLIT($J$2232,, " ") = L2277))</f>
        <v>2</v>
      </c>
    </row>
    <row r="2278" spans="5:14" x14ac:dyDescent="0.2">
      <c r="E2278" s="9" t="s">
        <v>28</v>
      </c>
      <c r="K2278" t="str">
        <v>style</v>
      </c>
      <c r="L2278" t="str">
        <v>you</v>
      </c>
      <c r="M2278" s="4" t="str">
        <f t="shared" si="34"/>
        <v>style</v>
      </c>
      <c r="N2278" s="4" cm="1">
        <f t="array" ref="N2278">SUM(--(_xlfn.TEXTSPLIT($J$2232,, " ") = L2278))</f>
        <v>5</v>
      </c>
    </row>
    <row r="2279" spans="5:14" x14ac:dyDescent="0.2">
      <c r="E2279" s="9" t="s">
        <v>28</v>
      </c>
      <c r="K2279" t="str">
        <v>and</v>
      </c>
      <c r="L2279" t="str">
        <v>find</v>
      </c>
      <c r="M2279" s="4" t="str">
        <f t="shared" si="34"/>
        <v>and</v>
      </c>
      <c r="N2279" s="4" cm="1">
        <f t="array" ref="N2279">SUM(--(_xlfn.TEXTSPLIT($J$2232,, " ") = L2279))</f>
        <v>2</v>
      </c>
    </row>
    <row r="2280" spans="5:14" x14ac:dyDescent="0.2">
      <c r="E2280" s="9" t="s">
        <v>28</v>
      </c>
      <c r="K2280" t="str">
        <v>stay</v>
      </c>
      <c r="L2280" t="str">
        <v xml:space="preserve">me?
</v>
      </c>
      <c r="M2280" s="4" t="str">
        <f t="shared" si="34"/>
        <v>stay</v>
      </c>
      <c r="N2280" s="4" cm="1">
        <f t="array" ref="N2280">SUM(--(_xlfn.TEXTSPLIT($J$2232,, " ") = L2280))</f>
        <v>2</v>
      </c>
    </row>
    <row r="2281" spans="5:14" x14ac:dyDescent="0.2">
      <c r="E2281" s="9" t="s">
        <v>28</v>
      </c>
      <c r="K2281" t="str">
        <v>a</v>
      </c>
      <c r="L2281" t="str">
        <v xml:space="preserve">Woo
</v>
      </c>
      <c r="M2281" s="4" t="str">
        <f t="shared" si="34"/>
        <v>a</v>
      </c>
      <c r="N2281" s="4" cm="1">
        <f t="array" ref="N2281">SUM(--(_xlfn.TEXTSPLIT($J$2232,, " ") = L2281))</f>
        <v>2</v>
      </c>
    </row>
    <row r="2282" spans="5:14" x14ac:dyDescent="0.2">
      <c r="E2282" s="9" t="s">
        <v>28</v>
      </c>
      <c r="K2282" t="str">
        <v xml:space="preserve">while
</v>
      </c>
      <c r="L2282" t="str">
        <v>wasn't</v>
      </c>
      <c r="M2282" s="4" t="str">
        <f t="shared" si="34"/>
        <v xml:space="preserve">while </v>
      </c>
      <c r="N2282" s="4" cm="1">
        <f t="array" ref="N2282">SUM(--(_xlfn.TEXTSPLIT($J$2232,, " ") = L2282))</f>
        <v>3</v>
      </c>
    </row>
    <row r="2283" spans="5:14" x14ac:dyDescent="0.2">
      <c r="E2283" s="9" t="s">
        <v>28</v>
      </c>
      <c r="K2283" t="str">
        <v>The</v>
      </c>
      <c r="L2283" t="str">
        <v>lookin'</v>
      </c>
      <c r="M2283" s="4" t="str">
        <f t="shared" ref="M2283:M2346" si="35">_xlfn.REGEXREPLACE(K2283, "[^A-Za-z ]", " ")</f>
        <v>The</v>
      </c>
      <c r="N2283" s="4" cm="1">
        <f t="array" ref="N2283">SUM(--(_xlfn.TEXTSPLIT($J$2232,, " ") = L2283))</f>
        <v>3</v>
      </c>
    </row>
    <row r="2284" spans="5:14" x14ac:dyDescent="0.2">
      <c r="E2284" s="9" t="s">
        <v>28</v>
      </c>
      <c r="K2284" t="str">
        <v>lines</v>
      </c>
      <c r="L2284" t="str">
        <v>love</v>
      </c>
      <c r="M2284" s="4" t="str">
        <f t="shared" si="35"/>
        <v>lines</v>
      </c>
      <c r="N2284" s="4" cm="1">
        <f t="array" ref="N2284">SUM(--(_xlfn.TEXTSPLIT($J$2232,, " ") = L2284))</f>
        <v>3</v>
      </c>
    </row>
    <row r="2285" spans="5:14" x14ac:dyDescent="0.2">
      <c r="E2285" s="9" t="s">
        <v>28</v>
      </c>
      <c r="K2285" t="str">
        <v>on</v>
      </c>
      <c r="L2285" t="str">
        <v>this</v>
      </c>
      <c r="M2285" s="4" t="str">
        <f t="shared" si="35"/>
        <v>on</v>
      </c>
      <c r="N2285" s="4" cm="1">
        <f t="array" ref="N2285">SUM(--(_xlfn.TEXTSPLIT($J$2232,, " ") = L2285))</f>
        <v>3</v>
      </c>
    </row>
    <row r="2286" spans="5:14" x14ac:dyDescent="0.2">
      <c r="E2286" s="9" t="s">
        <v>28</v>
      </c>
      <c r="K2286" t="str">
        <v>the</v>
      </c>
      <c r="L2286" t="str">
        <v xml:space="preserve">year
</v>
      </c>
      <c r="M2286" s="4" t="str">
        <f t="shared" si="35"/>
        <v>the</v>
      </c>
      <c r="N2286" s="4" cm="1">
        <f t="array" ref="N2286">SUM(--(_xlfn.TEXTSPLIT($J$2232,, " ") = L2286))</f>
        <v>3</v>
      </c>
    </row>
    <row r="2287" spans="5:14" x14ac:dyDescent="0.2">
      <c r="E2287" s="9" t="s">
        <v>28</v>
      </c>
      <c r="K2287" t="str">
        <v>floor,</v>
      </c>
      <c r="L2287" t="str">
        <v>But</v>
      </c>
      <c r="M2287" s="4" t="str">
        <f t="shared" si="35"/>
        <v xml:space="preserve">floor </v>
      </c>
      <c r="N2287" s="4" cm="1">
        <f t="array" ref="N2287">SUM(--(_xlfn.TEXTSPLIT($J$2232,, " ") = L2287))</f>
        <v>3</v>
      </c>
    </row>
    <row r="2288" spans="5:14" x14ac:dyDescent="0.2">
      <c r="E2288" s="9" t="s">
        <v>28</v>
      </c>
      <c r="K2288" t="str">
        <v>how</v>
      </c>
      <c r="L2288" t="str">
        <v>robot</v>
      </c>
      <c r="M2288" s="4" t="str">
        <f t="shared" si="35"/>
        <v>how</v>
      </c>
      <c r="N2288" s="4" cm="1">
        <f t="array" ref="N2288">SUM(--(_xlfn.TEXTSPLIT($J$2232,, " ") = L2288))</f>
        <v>6</v>
      </c>
    </row>
    <row r="2289" spans="5:14" x14ac:dyDescent="0.2">
      <c r="E2289" s="9" t="s">
        <v>28</v>
      </c>
      <c r="K2289" t="str">
        <v>did</v>
      </c>
      <c r="L2289" t="str">
        <v>told</v>
      </c>
      <c r="M2289" s="4" t="str">
        <f t="shared" si="35"/>
        <v>did</v>
      </c>
      <c r="N2289" s="4" cm="1">
        <f t="array" ref="N2289">SUM(--(_xlfn.TEXTSPLIT($J$2232,, " ") = L2289))</f>
        <v>3</v>
      </c>
    </row>
    <row r="2290" spans="5:14" x14ac:dyDescent="0.2">
      <c r="E2290" s="9" t="s">
        <v>28</v>
      </c>
      <c r="K2290" t="str">
        <v>you</v>
      </c>
      <c r="L2290" t="str">
        <v>that</v>
      </c>
      <c r="M2290" s="4" t="str">
        <f t="shared" si="35"/>
        <v>you</v>
      </c>
      <c r="N2290" s="4" cm="1">
        <f t="array" ref="N2290">SUM(--(_xlfn.TEXTSPLIT($J$2232,, " ") = L2290))</f>
        <v>3</v>
      </c>
    </row>
    <row r="2291" spans="5:14" x14ac:dyDescent="0.2">
      <c r="E2291" s="9" t="s">
        <v>28</v>
      </c>
      <c r="K2291" t="str">
        <v>find</v>
      </c>
      <c r="L2291" t="str">
        <v>shouldn't</v>
      </c>
      <c r="M2291" s="4" t="str">
        <f t="shared" si="35"/>
        <v>find</v>
      </c>
      <c r="N2291" s="4" cm="1">
        <f t="array" ref="N2291">SUM(--(_xlfn.TEXTSPLIT($J$2232,, " ") = L2291))</f>
        <v>3</v>
      </c>
    </row>
    <row r="2292" spans="5:14" x14ac:dyDescent="0.2">
      <c r="E2292" s="9" t="s">
        <v>28</v>
      </c>
      <c r="K2292" t="str">
        <v xml:space="preserve">me?
</v>
      </c>
      <c r="L2292" t="str">
        <v xml:space="preserve">fear
</v>
      </c>
      <c r="M2292" s="4" t="str">
        <f t="shared" si="35"/>
        <v xml:space="preserve">me   </v>
      </c>
      <c r="N2292" s="4" cm="1">
        <f t="array" ref="N2292">SUM(--(_xlfn.TEXTSPLIT($J$2232,, " ") = L2292))</f>
        <v>3</v>
      </c>
    </row>
    <row r="2293" spans="5:14" x14ac:dyDescent="0.2">
      <c r="E2293" s="9" t="s">
        <v>28</v>
      </c>
      <c r="K2293" t="str">
        <v xml:space="preserve">Woo
</v>
      </c>
      <c r="L2293" t="str">
        <v>When</v>
      </c>
      <c r="M2293" s="4" t="str">
        <f t="shared" si="35"/>
        <v xml:space="preserve">Woo </v>
      </c>
      <c r="N2293" s="4" cm="1">
        <f t="array" ref="N2293">SUM(--(_xlfn.TEXTSPLIT($J$2232,, " ") = L2293))</f>
        <v>3</v>
      </c>
    </row>
    <row r="2294" spans="5:14" x14ac:dyDescent="0.2">
      <c r="E2294" s="9" t="s">
        <v>28</v>
      </c>
      <c r="K2294" t="str">
        <v>I</v>
      </c>
      <c r="L2294" t="str">
        <v>met</v>
      </c>
      <c r="M2294" s="4" t="str">
        <f t="shared" si="35"/>
        <v>I</v>
      </c>
      <c r="N2294" s="4" cm="1">
        <f t="array" ref="N2294">SUM(--(_xlfn.TEXTSPLIT($J$2232,, " ") = L2294))</f>
        <v>3</v>
      </c>
    </row>
    <row r="2295" spans="5:14" x14ac:dyDescent="0.2">
      <c r="E2295" s="9" t="s">
        <v>28</v>
      </c>
      <c r="K2295" t="str">
        <v>wasn't</v>
      </c>
      <c r="L2295" t="str">
        <v>you,</v>
      </c>
      <c r="M2295" s="4" t="str">
        <f t="shared" si="35"/>
        <v>wasn t</v>
      </c>
      <c r="N2295" s="4" cm="1">
        <f t="array" ref="N2295">SUM(--(_xlfn.TEXTSPLIT($J$2232,, " ") = L2295))</f>
        <v>3</v>
      </c>
    </row>
    <row r="2296" spans="5:14" x14ac:dyDescent="0.2">
      <c r="E2296" s="9" t="s">
        <v>28</v>
      </c>
      <c r="K2296" t="str">
        <v>lookin'</v>
      </c>
      <c r="L2296" t="str">
        <v>found</v>
      </c>
      <c r="M2296" s="4" t="str">
        <f t="shared" si="35"/>
        <v xml:space="preserve">lookin </v>
      </c>
      <c r="N2296" s="4" cm="1">
        <f t="array" ref="N2296">SUM(--(_xlfn.TEXTSPLIT($J$2232,, " ") = L2296))</f>
        <v>3</v>
      </c>
    </row>
    <row r="2297" spans="5:14" x14ac:dyDescent="0.2">
      <c r="E2297" s="9" t="s">
        <v>28</v>
      </c>
      <c r="K2297" t="str">
        <v>for</v>
      </c>
      <c r="L2297" t="str">
        <v>safe</v>
      </c>
      <c r="M2297" s="4" t="str">
        <f t="shared" si="35"/>
        <v>for</v>
      </c>
      <c r="N2297" s="4" cm="1">
        <f t="array" ref="N2297">SUM(--(_xlfn.TEXTSPLIT($J$2232,, " ") = L2297))</f>
        <v>3</v>
      </c>
    </row>
    <row r="2298" spans="5:14" x14ac:dyDescent="0.2">
      <c r="E2298" s="9" t="s">
        <v>28</v>
      </c>
      <c r="K2298" t="str">
        <v>love</v>
      </c>
      <c r="L2298" t="str">
        <v xml:space="preserve">warm
</v>
      </c>
      <c r="M2298" s="4" t="str">
        <f t="shared" si="35"/>
        <v>love</v>
      </c>
      <c r="N2298" s="4" cm="1">
        <f t="array" ref="N2298">SUM(--(_xlfn.TEXTSPLIT($J$2232,, " ") = L2298))</f>
        <v>3</v>
      </c>
    </row>
    <row r="2299" spans="5:14" x14ac:dyDescent="0.2">
      <c r="E2299" s="9" t="s">
        <v>28</v>
      </c>
      <c r="K2299" t="str">
        <v>this</v>
      </c>
      <c r="L2299" t="str">
        <v>Then</v>
      </c>
      <c r="M2299" s="4" t="str">
        <f t="shared" si="35"/>
        <v>this</v>
      </c>
      <c r="N2299" s="4" cm="1">
        <f t="array" ref="N2299">SUM(--(_xlfn.TEXTSPLIT($J$2232,, " ") = L2299))</f>
        <v>3</v>
      </c>
    </row>
    <row r="2300" spans="5:14" x14ac:dyDescent="0.2">
      <c r="E2300" s="9" t="s">
        <v>28</v>
      </c>
      <c r="K2300" t="str">
        <v xml:space="preserve">year
</v>
      </c>
      <c r="L2300" t="str">
        <v>voices</v>
      </c>
      <c r="M2300" s="4" t="str">
        <f t="shared" si="35"/>
        <v xml:space="preserve">year </v>
      </c>
      <c r="N2300" s="4" cm="1">
        <f t="array" ref="N2300">SUM(--(_xlfn.TEXTSPLIT($J$2232,, " ") = L2300))</f>
        <v>3</v>
      </c>
    </row>
    <row r="2301" spans="5:14" x14ac:dyDescent="0.2">
      <c r="E2301" s="9" t="s">
        <v>28</v>
      </c>
      <c r="K2301" t="str">
        <v>But</v>
      </c>
      <c r="L2301" t="str">
        <v>would</v>
      </c>
      <c r="M2301" s="4" t="str">
        <f t="shared" si="35"/>
        <v>But</v>
      </c>
      <c r="N2301" s="4" cm="1">
        <f t="array" ref="N2301">SUM(--(_xlfn.TEXTSPLIT($J$2232,, " ") = L2301))</f>
        <v>3</v>
      </c>
    </row>
    <row r="2302" spans="5:14" x14ac:dyDescent="0.2">
      <c r="E2302" s="9" t="s">
        <v>28</v>
      </c>
      <c r="K2302" t="str">
        <v>my</v>
      </c>
      <c r="L2302" t="str">
        <v>reassure</v>
      </c>
      <c r="M2302" s="4" t="str">
        <f t="shared" si="35"/>
        <v>my</v>
      </c>
      <c r="N2302" s="4" cm="1">
        <f t="array" ref="N2302">SUM(--(_xlfn.TEXTSPLIT($J$2232,, " ") = L2302))</f>
        <v>3</v>
      </c>
    </row>
    <row r="2303" spans="5:14" x14ac:dyDescent="0.2">
      <c r="E2303" s="9" t="s">
        <v>28</v>
      </c>
      <c r="K2303" t="str">
        <v>robot</v>
      </c>
      <c r="L2303" t="str">
        <v xml:space="preserve">me
</v>
      </c>
      <c r="M2303" s="4" t="str">
        <f t="shared" si="35"/>
        <v>robot</v>
      </c>
      <c r="N2303" s="4" cm="1">
        <f t="array" ref="N2303">SUM(--(_xlfn.TEXTSPLIT($J$2232,, " ") = L2303))</f>
        <v>1</v>
      </c>
    </row>
    <row r="2304" spans="5:14" x14ac:dyDescent="0.2">
      <c r="E2304" s="9" t="s">
        <v>28</v>
      </c>
      <c r="K2304" t="str">
        <v>told</v>
      </c>
      <c r="L2304" t="str">
        <v>half-drawn</v>
      </c>
      <c r="M2304" s="4" t="str">
        <f t="shared" si="35"/>
        <v>told</v>
      </c>
      <c r="N2304" s="4" cm="1">
        <f t="array" ref="N2304">SUM(--(_xlfn.TEXTSPLIT($J$2232,, " ") = L2304))</f>
        <v>1</v>
      </c>
    </row>
    <row r="2305" spans="5:14" x14ac:dyDescent="0.2">
      <c r="E2305" s="9" t="s">
        <v>28</v>
      </c>
      <c r="K2305" t="str">
        <v>me</v>
      </c>
      <c r="L2305" t="str">
        <v>blinds</v>
      </c>
      <c r="M2305" s="4" t="str">
        <f t="shared" si="35"/>
        <v>me</v>
      </c>
      <c r="N2305" s="4" cm="1">
        <f t="array" ref="N2305">SUM(--(_xlfn.TEXTSPLIT($J$2232,, " ") = L2305))</f>
        <v>1</v>
      </c>
    </row>
    <row r="2306" spans="5:14" x14ac:dyDescent="0.2">
      <c r="E2306" s="9" t="s">
        <v>28</v>
      </c>
      <c r="K2306" t="str">
        <v>that</v>
      </c>
      <c r="L2306" t="str">
        <v>casting</v>
      </c>
      <c r="M2306" s="4" t="str">
        <f t="shared" si="35"/>
        <v>that</v>
      </c>
      <c r="N2306" s="4" cm="1">
        <f t="array" ref="N2306">SUM(--(_xlfn.TEXTSPLIT($J$2232,, " ") = L2306))</f>
        <v>1</v>
      </c>
    </row>
    <row r="2307" spans="5:14" x14ac:dyDescent="0.2">
      <c r="E2307" s="9" t="s">
        <v>28</v>
      </c>
      <c r="K2307" t="str">
        <v>I</v>
      </c>
      <c r="L2307" t="str">
        <v>floor</v>
      </c>
      <c r="M2307" s="4" t="str">
        <f t="shared" si="35"/>
        <v>I</v>
      </c>
      <c r="N2307" s="4" cm="1">
        <f t="array" ref="N2307">SUM(--(_xlfn.TEXTSPLIT($J$2232,, " ") = L2307))</f>
        <v>1</v>
      </c>
    </row>
    <row r="2308" spans="5:14" x14ac:dyDescent="0.2">
      <c r="E2308" s="9" t="s">
        <v>28</v>
      </c>
      <c r="K2308" t="str">
        <v>shouldn't</v>
      </c>
      <c r="L2308" t="str">
        <v>as</v>
      </c>
      <c r="M2308" s="4" t="str">
        <f t="shared" si="35"/>
        <v>shouldn t</v>
      </c>
      <c r="N2308" s="4" cm="1">
        <f t="array" ref="N2308">SUM(--(_xlfn.TEXTSPLIT($J$2232,, " ") = L2308))</f>
        <v>1</v>
      </c>
    </row>
    <row r="2309" spans="5:14" x14ac:dyDescent="0.2">
      <c r="E2309" s="9" t="s">
        <v>28</v>
      </c>
      <c r="K2309" t="str">
        <v xml:space="preserve">fear
</v>
      </c>
      <c r="L2309" t="str">
        <v>metal</v>
      </c>
      <c r="M2309" s="4" t="str">
        <f t="shared" si="35"/>
        <v xml:space="preserve">fear </v>
      </c>
      <c r="N2309" s="4" cm="1">
        <f t="array" ref="N2309">SUM(--(_xlfn.TEXTSPLIT($J$2232,, " ") = L2309))</f>
        <v>1</v>
      </c>
    </row>
    <row r="2310" spans="5:14" x14ac:dyDescent="0.2">
      <c r="E2310" s="9" t="s">
        <v>28</v>
      </c>
      <c r="K2310" t="str">
        <v>When</v>
      </c>
      <c r="L2310" t="str">
        <v>friend</v>
      </c>
      <c r="M2310" s="4" t="str">
        <f t="shared" si="35"/>
        <v>When</v>
      </c>
      <c r="N2310" s="4" cm="1">
        <f t="array" ref="N2310">SUM(--(_xlfn.TEXTSPLIT($J$2232,, " ") = L2310))</f>
        <v>1</v>
      </c>
    </row>
    <row r="2311" spans="5:14" x14ac:dyDescent="0.2">
      <c r="E2311" s="9" t="s">
        <v>28</v>
      </c>
      <c r="K2311" t="str">
        <v>I</v>
      </c>
      <c r="L2311" t="str">
        <v>flashes</v>
      </c>
      <c r="M2311" s="4" t="str">
        <f t="shared" si="35"/>
        <v>I</v>
      </c>
      <c r="N2311" s="4" cm="1">
        <f t="array" ref="N2311">SUM(--(_xlfn.TEXTSPLIT($J$2232,, " ") = L2311))</f>
        <v>1</v>
      </c>
    </row>
    <row r="2312" spans="5:14" x14ac:dyDescent="0.2">
      <c r="E2312" s="9" t="s">
        <v>28</v>
      </c>
      <c r="K2312" t="str">
        <v>met</v>
      </c>
      <c r="L2312" t="str">
        <v xml:space="preserve">time
</v>
      </c>
      <c r="M2312" s="4" t="str">
        <f t="shared" si="35"/>
        <v>met</v>
      </c>
      <c r="N2312" s="4" cm="1">
        <f t="array" ref="N2312">SUM(--(_xlfn.TEXTSPLIT($J$2232,, " ") = L2312))</f>
        <v>1</v>
      </c>
    </row>
    <row r="2313" spans="5:14" x14ac:dyDescent="0.2">
      <c r="E2313" s="9" t="s">
        <v>28</v>
      </c>
      <c r="K2313" t="str">
        <v>you,</v>
      </c>
      <c r="L2313" t="str">
        <v>daisy-chained</v>
      </c>
      <c r="M2313" s="4" t="str">
        <f t="shared" si="35"/>
        <v xml:space="preserve">you </v>
      </c>
      <c r="N2313" s="4" cm="1">
        <f t="array" ref="N2313">SUM(--(_xlfn.TEXTSPLIT($J$2232,, " ") = L2313))</f>
        <v>1</v>
      </c>
    </row>
    <row r="2314" spans="5:14" x14ac:dyDescent="0.2">
      <c r="E2314" s="9" t="s">
        <v>28</v>
      </c>
      <c r="K2314" t="str">
        <v>I</v>
      </c>
      <c r="L2314" t="str">
        <v>power</v>
      </c>
      <c r="M2314" s="4" t="str">
        <f t="shared" si="35"/>
        <v>I</v>
      </c>
      <c r="N2314" s="4" cm="1">
        <f t="array" ref="N2314">SUM(--(_xlfn.TEXTSPLIT($J$2232,, " ") = L2314))</f>
        <v>1</v>
      </c>
    </row>
    <row r="2315" spans="5:14" x14ac:dyDescent="0.2">
      <c r="E2315" s="9" t="s">
        <v>28</v>
      </c>
      <c r="K2315" t="str">
        <v>found</v>
      </c>
      <c r="L2315" t="str">
        <v>strips</v>
      </c>
      <c r="M2315" s="4" t="str">
        <f t="shared" si="35"/>
        <v>found</v>
      </c>
      <c r="N2315" s="4" cm="1">
        <f t="array" ref="N2315">SUM(--(_xlfn.TEXTSPLIT($J$2232,, " ") = L2315))</f>
        <v>1</v>
      </c>
    </row>
    <row r="2316" spans="5:14" x14ac:dyDescent="0.2">
      <c r="E2316" s="9" t="s">
        <v>28</v>
      </c>
      <c r="K2316" t="str">
        <v>you</v>
      </c>
      <c r="L2316" t="str">
        <v xml:space="preserve">generating
</v>
      </c>
      <c r="M2316" s="4" t="str">
        <f t="shared" si="35"/>
        <v>you</v>
      </c>
      <c r="N2316" s="4" cm="1">
        <f t="array" ref="N2316">SUM(--(_xlfn.TEXTSPLIT($J$2232,, " ") = L2316))</f>
        <v>1</v>
      </c>
    </row>
    <row r="2317" spans="5:14" x14ac:dyDescent="0.2">
      <c r="E2317" s="9" t="s">
        <v>28</v>
      </c>
      <c r="K2317" t="str">
        <v>safe</v>
      </c>
      <c r="L2317" t="str">
        <v>newfound</v>
      </c>
      <c r="M2317" s="4" t="str">
        <f t="shared" si="35"/>
        <v>safe</v>
      </c>
      <c r="N2317" s="4" cm="1">
        <f t="array" ref="N2317">SUM(--(_xlfn.TEXTSPLIT($J$2232,, " ") = L2317))</f>
        <v>1</v>
      </c>
    </row>
    <row r="2318" spans="5:14" x14ac:dyDescent="0.2">
      <c r="E2318" s="9" t="s">
        <v>28</v>
      </c>
      <c r="K2318" t="str">
        <v>and</v>
      </c>
      <c r="L2318" t="str">
        <v>loneliness,</v>
      </c>
      <c r="M2318" s="4" t="str">
        <f t="shared" si="35"/>
        <v>and</v>
      </c>
      <c r="N2318" s="4" cm="1">
        <f t="array" ref="N2318">SUM(--(_xlfn.TEXTSPLIT($J$2232,, " ") = L2318))</f>
        <v>1</v>
      </c>
    </row>
    <row r="2319" spans="5:14" x14ac:dyDescent="0.2">
      <c r="E2319" s="9" t="s">
        <v>28</v>
      </c>
      <c r="K2319" t="str">
        <v xml:space="preserve">warm
</v>
      </c>
      <c r="L2319" t="str">
        <v>waiting</v>
      </c>
      <c r="M2319" s="4" t="str">
        <f t="shared" si="35"/>
        <v xml:space="preserve">warm </v>
      </c>
      <c r="N2319" s="4" cm="1">
        <f t="array" ref="N2319">SUM(--(_xlfn.TEXTSPLIT($J$2232,, " ") = L2319))</f>
        <v>1</v>
      </c>
    </row>
    <row r="2320" spans="5:14" x14ac:dyDescent="0.2">
      <c r="E2320" s="9" t="s">
        <v>28</v>
      </c>
      <c r="K2320" t="str">
        <v>Then</v>
      </c>
      <c r="L2320" t="str">
        <v xml:space="preserve">me
</v>
      </c>
      <c r="M2320" s="4" t="str">
        <f t="shared" si="35"/>
        <v>Then</v>
      </c>
      <c r="N2320" s="4" cm="1">
        <f t="array" ref="N2320">SUM(--(_xlfn.TEXTSPLIT($J$2232,, " ") = L2320))</f>
        <v>1</v>
      </c>
    </row>
    <row r="2321" spans="5:14" x14ac:dyDescent="0.2">
      <c r="E2321" s="9" t="s">
        <v>28</v>
      </c>
      <c r="K2321" t="str">
        <v>the</v>
      </c>
      <c r="M2321" s="4" t="str">
        <f t="shared" si="35"/>
        <v>the</v>
      </c>
      <c r="N2321" s="4" cm="1">
        <f t="array" ref="N2321">SUM(--(_xlfn.TEXTSPLIT($J$2232,, " ") = L2321))</f>
        <v>0</v>
      </c>
    </row>
    <row r="2322" spans="5:14" x14ac:dyDescent="0.2">
      <c r="E2322" s="9" t="s">
        <v>28</v>
      </c>
      <c r="K2322" t="str">
        <v>robot</v>
      </c>
      <c r="M2322" s="4" t="str">
        <f t="shared" si="35"/>
        <v>robot</v>
      </c>
      <c r="N2322" s="4" cm="1">
        <f t="array" ref="N2322">SUM(--(_xlfn.TEXTSPLIT($J$2232,, " ") = L2322))</f>
        <v>0</v>
      </c>
    </row>
    <row r="2323" spans="5:14" x14ac:dyDescent="0.2">
      <c r="E2323" s="9" t="s">
        <v>28</v>
      </c>
      <c r="K2323" t="str">
        <v>voices</v>
      </c>
      <c r="M2323" s="4" t="str">
        <f t="shared" si="35"/>
        <v>voices</v>
      </c>
      <c r="N2323" s="4" cm="1">
        <f t="array" ref="N2323">SUM(--(_xlfn.TEXTSPLIT($J$2232,, " ") = L2323))</f>
        <v>0</v>
      </c>
    </row>
    <row r="2324" spans="5:14" x14ac:dyDescent="0.2">
      <c r="E2324" s="9" t="s">
        <v>28</v>
      </c>
      <c r="K2324" t="str">
        <v>would</v>
      </c>
      <c r="M2324" s="4" t="str">
        <f t="shared" si="35"/>
        <v>would</v>
      </c>
      <c r="N2324" s="4" cm="1">
        <f t="array" ref="N2324">SUM(--(_xlfn.TEXTSPLIT($J$2232,, " ") = L2324))</f>
        <v>0</v>
      </c>
    </row>
    <row r="2325" spans="5:14" x14ac:dyDescent="0.2">
      <c r="E2325" s="9" t="s">
        <v>28</v>
      </c>
      <c r="K2325" t="str">
        <v>reassure</v>
      </c>
      <c r="M2325" s="4" t="str">
        <f t="shared" si="35"/>
        <v>reassure</v>
      </c>
      <c r="N2325" s="4" cm="1">
        <f t="array" ref="N2325">SUM(--(_xlfn.TEXTSPLIT($J$2232,, " ") = L2325))</f>
        <v>0</v>
      </c>
    </row>
    <row r="2326" spans="5:14" x14ac:dyDescent="0.2">
      <c r="E2326" s="9" t="s">
        <v>28</v>
      </c>
      <c r="K2326" t="str">
        <v xml:space="preserve">me
</v>
      </c>
      <c r="M2326" s="4" t="str">
        <f t="shared" si="35"/>
        <v xml:space="preserve">me  </v>
      </c>
      <c r="N2326" s="4" cm="1">
        <f t="array" ref="N2326">SUM(--(_xlfn.TEXTSPLIT($J$2232,, " ") = L2326))</f>
        <v>0</v>
      </c>
    </row>
    <row r="2327" spans="5:14" x14ac:dyDescent="0.2">
      <c r="E2327" s="9" t="s">
        <v>28</v>
      </c>
      <c r="K2327" t="str">
        <v>The</v>
      </c>
      <c r="M2327" s="4" t="str">
        <f t="shared" si="35"/>
        <v>The</v>
      </c>
      <c r="N2327" s="4" cm="1">
        <f t="array" ref="N2327">SUM(--(_xlfn.TEXTSPLIT($J$2232,, " ") = L2327))</f>
        <v>0</v>
      </c>
    </row>
    <row r="2328" spans="5:14" x14ac:dyDescent="0.2">
      <c r="E2328" s="9" t="s">
        <v>28</v>
      </c>
      <c r="K2328" t="str">
        <v>half-drawn</v>
      </c>
      <c r="M2328" s="4" t="str">
        <f t="shared" si="35"/>
        <v>half drawn</v>
      </c>
      <c r="N2328" s="4" cm="1">
        <f t="array" ref="N2328">SUM(--(_xlfn.TEXTSPLIT($J$2232,, " ") = L2328))</f>
        <v>0</v>
      </c>
    </row>
    <row r="2329" spans="5:14" x14ac:dyDescent="0.2">
      <c r="E2329" s="9" t="s">
        <v>28</v>
      </c>
      <c r="K2329" t="str">
        <v>blinds</v>
      </c>
      <c r="M2329" s="4" t="str">
        <f t="shared" si="35"/>
        <v>blinds</v>
      </c>
      <c r="N2329" s="4" cm="1">
        <f t="array" ref="N2329">SUM(--(_xlfn.TEXTSPLIT($J$2232,, " ") = L2329))</f>
        <v>0</v>
      </c>
    </row>
    <row r="2330" spans="5:14" x14ac:dyDescent="0.2">
      <c r="E2330" s="9" t="s">
        <v>28</v>
      </c>
      <c r="K2330" t="str">
        <v>casting</v>
      </c>
      <c r="M2330" s="4" t="str">
        <f t="shared" si="35"/>
        <v>casting</v>
      </c>
      <c r="N2330" s="4" cm="1">
        <f t="array" ref="N2330">SUM(--(_xlfn.TEXTSPLIT($J$2232,, " ") = L2330))</f>
        <v>0</v>
      </c>
    </row>
    <row r="2331" spans="5:14" x14ac:dyDescent="0.2">
      <c r="E2331" s="9" t="s">
        <v>28</v>
      </c>
      <c r="K2331" t="str">
        <v>lines</v>
      </c>
      <c r="M2331" s="4" t="str">
        <f t="shared" si="35"/>
        <v>lines</v>
      </c>
      <c r="N2331" s="4" cm="1">
        <f t="array" ref="N2331">SUM(--(_xlfn.TEXTSPLIT($J$2232,, " ") = L2331))</f>
        <v>0</v>
      </c>
    </row>
    <row r="2332" spans="5:14" x14ac:dyDescent="0.2">
      <c r="E2332" s="9" t="s">
        <v>28</v>
      </c>
      <c r="K2332" t="str">
        <v>on</v>
      </c>
      <c r="M2332" s="4" t="str">
        <f t="shared" si="35"/>
        <v>on</v>
      </c>
      <c r="N2332" s="4" cm="1">
        <f t="array" ref="N2332">SUM(--(_xlfn.TEXTSPLIT($J$2232,, " ") = L2332))</f>
        <v>0</v>
      </c>
    </row>
    <row r="2333" spans="5:14" x14ac:dyDescent="0.2">
      <c r="E2333" s="9" t="s">
        <v>28</v>
      </c>
      <c r="K2333" t="str">
        <v>the</v>
      </c>
      <c r="M2333" s="4" t="str">
        <f t="shared" si="35"/>
        <v>the</v>
      </c>
      <c r="N2333" s="4" cm="1">
        <f t="array" ref="N2333">SUM(--(_xlfn.TEXTSPLIT($J$2232,, " ") = L2333))</f>
        <v>0</v>
      </c>
    </row>
    <row r="2334" spans="5:14" x14ac:dyDescent="0.2">
      <c r="E2334" s="9" t="s">
        <v>28</v>
      </c>
      <c r="K2334" t="str">
        <v>floor</v>
      </c>
      <c r="M2334" s="4" t="str">
        <f t="shared" si="35"/>
        <v>floor</v>
      </c>
      <c r="N2334" s="4" cm="1">
        <f t="array" ref="N2334">SUM(--(_xlfn.TEXTSPLIT($J$2232,, " ") = L2334))</f>
        <v>0</v>
      </c>
    </row>
    <row r="2335" spans="5:14" x14ac:dyDescent="0.2">
      <c r="E2335" s="9" t="s">
        <v>28</v>
      </c>
      <c r="K2335" t="str">
        <v>as</v>
      </c>
      <c r="M2335" s="4" t="str">
        <f t="shared" si="35"/>
        <v>as</v>
      </c>
      <c r="N2335" s="4" cm="1">
        <f t="array" ref="N2335">SUM(--(_xlfn.TEXTSPLIT($J$2232,, " ") = L2335))</f>
        <v>0</v>
      </c>
    </row>
    <row r="2336" spans="5:14" x14ac:dyDescent="0.2">
      <c r="E2336" s="9" t="s">
        <v>28</v>
      </c>
      <c r="K2336" t="str">
        <v>my</v>
      </c>
      <c r="M2336" s="4" t="str">
        <f t="shared" si="35"/>
        <v>my</v>
      </c>
      <c r="N2336" s="4" cm="1">
        <f t="array" ref="N2336">SUM(--(_xlfn.TEXTSPLIT($J$2232,, " ") = L2336))</f>
        <v>0</v>
      </c>
    </row>
    <row r="2337" spans="5:14" x14ac:dyDescent="0.2">
      <c r="E2337" s="9" t="s">
        <v>28</v>
      </c>
      <c r="K2337" t="str">
        <v>metal</v>
      </c>
      <c r="M2337" s="4" t="str">
        <f t="shared" si="35"/>
        <v>metal</v>
      </c>
      <c r="N2337" s="4" cm="1">
        <f t="array" ref="N2337">SUM(--(_xlfn.TEXTSPLIT($J$2232,, " ") = L2337))</f>
        <v>0</v>
      </c>
    </row>
    <row r="2338" spans="5:14" x14ac:dyDescent="0.2">
      <c r="E2338" s="9" t="s">
        <v>28</v>
      </c>
      <c r="K2338" t="str">
        <v>friend</v>
      </c>
      <c r="M2338" s="4" t="str">
        <f t="shared" si="35"/>
        <v>friend</v>
      </c>
      <c r="N2338" s="4" cm="1">
        <f t="array" ref="N2338">SUM(--(_xlfn.TEXTSPLIT($J$2232,, " ") = L2338))</f>
        <v>0</v>
      </c>
    </row>
    <row r="2339" spans="5:14" x14ac:dyDescent="0.2">
      <c r="E2339" s="9" t="s">
        <v>28</v>
      </c>
      <c r="K2339" t="str">
        <v>flashes</v>
      </c>
      <c r="M2339" s="4" t="str">
        <f t="shared" si="35"/>
        <v>flashes</v>
      </c>
      <c r="N2339" s="4" cm="1">
        <f t="array" ref="N2339">SUM(--(_xlfn.TEXTSPLIT($J$2232,, " ") = L2339))</f>
        <v>0</v>
      </c>
    </row>
    <row r="2340" spans="5:14" x14ac:dyDescent="0.2">
      <c r="E2340" s="9" t="s">
        <v>28</v>
      </c>
      <c r="K2340" t="str">
        <v>in</v>
      </c>
      <c r="M2340" s="4" t="str">
        <f t="shared" si="35"/>
        <v>in</v>
      </c>
      <c r="N2340" s="4" cm="1">
        <f t="array" ref="N2340">SUM(--(_xlfn.TEXTSPLIT($J$2232,, " ") = L2340))</f>
        <v>0</v>
      </c>
    </row>
    <row r="2341" spans="5:14" x14ac:dyDescent="0.2">
      <c r="E2341" s="9" t="s">
        <v>28</v>
      </c>
      <c r="K2341" t="str">
        <v xml:space="preserve">time
</v>
      </c>
      <c r="M2341" s="4" t="str">
        <f t="shared" si="35"/>
        <v xml:space="preserve">time </v>
      </c>
      <c r="N2341" s="4" cm="1">
        <f t="array" ref="N2341">SUM(--(_xlfn.TEXTSPLIT($J$2232,, " ") = L2341))</f>
        <v>0</v>
      </c>
    </row>
    <row r="2342" spans="5:14" x14ac:dyDescent="0.2">
      <c r="E2342" s="9" t="s">
        <v>28</v>
      </c>
      <c r="K2342" t="str">
        <v>The</v>
      </c>
      <c r="M2342" s="4" t="str">
        <f t="shared" si="35"/>
        <v>The</v>
      </c>
      <c r="N2342" s="4" cm="1">
        <f t="array" ref="N2342">SUM(--(_xlfn.TEXTSPLIT($J$2232,, " ") = L2342))</f>
        <v>0</v>
      </c>
    </row>
    <row r="2343" spans="5:14" x14ac:dyDescent="0.2">
      <c r="E2343" s="9" t="s">
        <v>28</v>
      </c>
      <c r="K2343" t="str">
        <v>daisy-chained</v>
      </c>
      <c r="M2343" s="4" t="str">
        <f t="shared" si="35"/>
        <v>daisy chained</v>
      </c>
      <c r="N2343" s="4" cm="1">
        <f t="array" ref="N2343">SUM(--(_xlfn.TEXTSPLIT($J$2232,, " ") = L2343))</f>
        <v>0</v>
      </c>
    </row>
    <row r="2344" spans="5:14" x14ac:dyDescent="0.2">
      <c r="E2344" s="9" t="s">
        <v>28</v>
      </c>
      <c r="K2344" t="str">
        <v>power</v>
      </c>
      <c r="M2344" s="4" t="str">
        <f t="shared" si="35"/>
        <v>power</v>
      </c>
      <c r="N2344" s="4" cm="1">
        <f t="array" ref="N2344">SUM(--(_xlfn.TEXTSPLIT($J$2232,, " ") = L2344))</f>
        <v>0</v>
      </c>
    </row>
    <row r="2345" spans="5:14" x14ac:dyDescent="0.2">
      <c r="E2345" s="9" t="s">
        <v>28</v>
      </c>
      <c r="K2345" t="str">
        <v>strips</v>
      </c>
      <c r="M2345" s="4" t="str">
        <f t="shared" si="35"/>
        <v>strips</v>
      </c>
      <c r="N2345" s="4" cm="1">
        <f t="array" ref="N2345">SUM(--(_xlfn.TEXTSPLIT($J$2232,, " ") = L2345))</f>
        <v>0</v>
      </c>
    </row>
    <row r="2346" spans="5:14" x14ac:dyDescent="0.2">
      <c r="E2346" s="9" t="s">
        <v>28</v>
      </c>
      <c r="K2346" t="str">
        <v xml:space="preserve">generating
</v>
      </c>
      <c r="M2346" s="4" t="str">
        <f t="shared" si="35"/>
        <v xml:space="preserve">generating </v>
      </c>
      <c r="N2346" s="4" cm="1">
        <f t="array" ref="N2346">SUM(--(_xlfn.TEXTSPLIT($J$2232,, " ") = L2346))</f>
        <v>0</v>
      </c>
    </row>
    <row r="2347" spans="5:14" x14ac:dyDescent="0.2">
      <c r="E2347" s="9" t="s">
        <v>28</v>
      </c>
      <c r="K2347" t="str">
        <v>A</v>
      </c>
      <c r="M2347" s="4" t="str">
        <f t="shared" ref="M2347:M2410" si="36">_xlfn.REGEXREPLACE(K2347, "[^A-Za-z ]", " ")</f>
        <v>A</v>
      </c>
      <c r="N2347" s="4" cm="1">
        <f t="array" ref="N2347">SUM(--(_xlfn.TEXTSPLIT($J$2232,, " ") = L2347))</f>
        <v>0</v>
      </c>
    </row>
    <row r="2348" spans="5:14" x14ac:dyDescent="0.2">
      <c r="E2348" s="9" t="s">
        <v>28</v>
      </c>
      <c r="K2348" t="str">
        <v>newfound</v>
      </c>
      <c r="M2348" s="4" t="str">
        <f t="shared" si="36"/>
        <v>newfound</v>
      </c>
      <c r="N2348" s="4" cm="1">
        <f t="array" ref="N2348">SUM(--(_xlfn.TEXTSPLIT($J$2232,, " ") = L2348))</f>
        <v>0</v>
      </c>
    </row>
    <row r="2349" spans="5:14" x14ac:dyDescent="0.2">
      <c r="E2349" s="9" t="s">
        <v>28</v>
      </c>
      <c r="K2349" t="str">
        <v>loneliness,</v>
      </c>
      <c r="M2349" s="4" t="str">
        <f t="shared" si="36"/>
        <v xml:space="preserve">loneliness </v>
      </c>
      <c r="N2349" s="4" cm="1">
        <f t="array" ref="N2349">SUM(--(_xlfn.TEXTSPLIT($J$2232,, " ") = L2349))</f>
        <v>0</v>
      </c>
    </row>
    <row r="2350" spans="5:14" x14ac:dyDescent="0.2">
      <c r="E2350" s="9" t="s">
        <v>28</v>
      </c>
      <c r="K2350" t="str">
        <v>I'm</v>
      </c>
      <c r="M2350" s="4" t="str">
        <f t="shared" si="36"/>
        <v>I m</v>
      </c>
      <c r="N2350" s="4" cm="1">
        <f t="array" ref="N2350">SUM(--(_xlfn.TEXTSPLIT($J$2232,, " ") = L2350))</f>
        <v>0</v>
      </c>
    </row>
    <row r="2351" spans="5:14" x14ac:dyDescent="0.2">
      <c r="E2351" s="9" t="s">
        <v>28</v>
      </c>
      <c r="K2351" t="str">
        <v>waiting</v>
      </c>
      <c r="M2351" s="4" t="str">
        <f t="shared" si="36"/>
        <v>waiting</v>
      </c>
      <c r="N2351" s="4" cm="1">
        <f t="array" ref="N2351">SUM(--(_xlfn.TEXTSPLIT($J$2232,, " ") = L2351))</f>
        <v>0</v>
      </c>
    </row>
    <row r="2352" spans="5:14" x14ac:dyDescent="0.2">
      <c r="E2352" s="9" t="s">
        <v>28</v>
      </c>
      <c r="K2352" t="str">
        <v>for</v>
      </c>
      <c r="M2352" s="4" t="str">
        <f t="shared" si="36"/>
        <v>for</v>
      </c>
      <c r="N2352" s="4" cm="1">
        <f t="array" ref="N2352">SUM(--(_xlfn.TEXTSPLIT($J$2232,, " ") = L2352))</f>
        <v>0</v>
      </c>
    </row>
    <row r="2353" spans="5:14" x14ac:dyDescent="0.2">
      <c r="E2353" s="9" t="s">
        <v>28</v>
      </c>
      <c r="K2353" t="str">
        <v>the</v>
      </c>
      <c r="M2353" s="4" t="str">
        <f t="shared" si="36"/>
        <v>the</v>
      </c>
      <c r="N2353" s="4" cm="1">
        <f t="array" ref="N2353">SUM(--(_xlfn.TEXTSPLIT($J$2232,, " ") = L2353))</f>
        <v>0</v>
      </c>
    </row>
    <row r="2354" spans="5:14" x14ac:dyDescent="0.2">
      <c r="E2354" s="9" t="s">
        <v>28</v>
      </c>
      <c r="K2354" t="str">
        <v>changes,</v>
      </c>
      <c r="M2354" s="4" t="str">
        <f t="shared" si="36"/>
        <v xml:space="preserve">changes </v>
      </c>
      <c r="N2354" s="4" cm="1">
        <f t="array" ref="N2354">SUM(--(_xlfn.TEXTSPLIT($J$2232,, " ") = L2354))</f>
        <v>0</v>
      </c>
    </row>
    <row r="2355" spans="5:14" x14ac:dyDescent="0.2">
      <c r="E2355" s="9" t="s">
        <v>28</v>
      </c>
      <c r="K2355" t="str">
        <v>everyone</v>
      </c>
      <c r="M2355" s="4" t="str">
        <f t="shared" si="36"/>
        <v>everyone</v>
      </c>
      <c r="N2355" s="4" cm="1">
        <f t="array" ref="N2355">SUM(--(_xlfn.TEXTSPLIT($J$2232,, " ") = L2355))</f>
        <v>0</v>
      </c>
    </row>
    <row r="2356" spans="5:14" x14ac:dyDescent="0.2">
      <c r="E2356" s="9" t="s">
        <v>28</v>
      </c>
      <c r="K2356" t="str">
        <v xml:space="preserve">sees
</v>
      </c>
      <c r="M2356" s="4" t="str">
        <f t="shared" si="36"/>
        <v xml:space="preserve">sees </v>
      </c>
      <c r="N2356" s="4" cm="1">
        <f t="array" ref="N2356">SUM(--(_xlfn.TEXTSPLIT($J$2232,, " ") = L2356))</f>
        <v>0</v>
      </c>
    </row>
    <row r="2357" spans="5:14" x14ac:dyDescent="0.2">
      <c r="E2357" s="9" t="s">
        <v>28</v>
      </c>
      <c r="K2357" t="str">
        <v>Feeling</v>
      </c>
      <c r="M2357" s="4" t="str">
        <f t="shared" si="36"/>
        <v>Feeling</v>
      </c>
      <c r="N2357" s="4" cm="1">
        <f t="array" ref="N2357">SUM(--(_xlfn.TEXTSPLIT($J$2232,, " ") = L2357))</f>
        <v>0</v>
      </c>
    </row>
    <row r="2358" spans="5:14" x14ac:dyDescent="0.2">
      <c r="E2358" s="9" t="s">
        <v>28</v>
      </c>
      <c r="K2358" t="str">
        <v>so</v>
      </c>
      <c r="M2358" s="4" t="str">
        <f t="shared" si="36"/>
        <v>so</v>
      </c>
      <c r="N2358" s="4" cm="1">
        <f t="array" ref="N2358">SUM(--(_xlfn.TEXTSPLIT($J$2232,, " ") = L2358))</f>
        <v>0</v>
      </c>
    </row>
    <row r="2359" spans="5:14" x14ac:dyDescent="0.2">
      <c r="E2359" s="9" t="s">
        <v>28</v>
      </c>
      <c r="K2359" t="str">
        <v xml:space="preserve">fancy
</v>
      </c>
      <c r="M2359" s="4" t="str">
        <f t="shared" si="36"/>
        <v xml:space="preserve">fancy  </v>
      </c>
      <c r="N2359" s="4" cm="1">
        <f t="array" ref="N2359">SUM(--(_xlfn.TEXTSPLIT($J$2232,, " ") = L2359))</f>
        <v>0</v>
      </c>
    </row>
    <row r="2360" spans="5:14" x14ac:dyDescent="0.2">
      <c r="E2360" s="9" t="s">
        <v>28</v>
      </c>
      <c r="K2360" t="str">
        <v>And</v>
      </c>
      <c r="M2360" s="4" t="str">
        <f t="shared" si="36"/>
        <v>And</v>
      </c>
      <c r="N2360" s="4" cm="1">
        <f t="array" ref="N2360">SUM(--(_xlfn.TEXTSPLIT($J$2232,, " ") = L2360))</f>
        <v>0</v>
      </c>
    </row>
    <row r="2361" spans="5:14" x14ac:dyDescent="0.2">
      <c r="E2361" s="9" t="s">
        <v>28</v>
      </c>
      <c r="K2361" t="str">
        <v>I</v>
      </c>
      <c r="M2361" s="4" t="str">
        <f t="shared" si="36"/>
        <v>I</v>
      </c>
      <c r="N2361" s="4" cm="1">
        <f t="array" ref="N2361">SUM(--(_xlfn.TEXTSPLIT($J$2232,, " ") = L2361))</f>
        <v>0</v>
      </c>
    </row>
    <row r="2362" spans="5:14" x14ac:dyDescent="0.2">
      <c r="E2362" s="9" t="s">
        <v>28</v>
      </c>
      <c r="K2362" t="str">
        <v>just</v>
      </c>
      <c r="M2362" s="4" t="str">
        <f t="shared" si="36"/>
        <v>just</v>
      </c>
      <c r="N2362" s="4" cm="1">
        <f t="array" ref="N2362">SUM(--(_xlfn.TEXTSPLIT($J$2232,, " ") = L2362))</f>
        <v>0</v>
      </c>
    </row>
    <row r="2363" spans="5:14" x14ac:dyDescent="0.2">
      <c r="E2363" s="9" t="s">
        <v>28</v>
      </c>
      <c r="K2363" t="str">
        <v>wanna</v>
      </c>
      <c r="M2363" s="4" t="str">
        <f t="shared" si="36"/>
        <v>wanna</v>
      </c>
      <c r="N2363" s="4" cm="1">
        <f t="array" ref="N2363">SUM(--(_xlfn.TEXTSPLIT($J$2232,, " ") = L2363))</f>
        <v>0</v>
      </c>
    </row>
    <row r="2364" spans="5:14" x14ac:dyDescent="0.2">
      <c r="E2364" s="9" t="s">
        <v>28</v>
      </c>
      <c r="K2364" t="str">
        <v>dance</v>
      </c>
      <c r="M2364" s="4" t="str">
        <f t="shared" si="36"/>
        <v>dance</v>
      </c>
      <c r="N2364" s="4" cm="1">
        <f t="array" ref="N2364">SUM(--(_xlfn.TEXTSPLIT($J$2232,, " ") = L2364))</f>
        <v>0</v>
      </c>
    </row>
    <row r="2365" spans="5:14" x14ac:dyDescent="0.2">
      <c r="E2365" s="9" t="s">
        <v>28</v>
      </c>
      <c r="K2365" t="str">
        <v>and</v>
      </c>
      <c r="M2365" s="4" t="str">
        <f t="shared" si="36"/>
        <v>and</v>
      </c>
      <c r="N2365" s="4" cm="1">
        <f t="array" ref="N2365">SUM(--(_xlfn.TEXTSPLIT($J$2232,, " ") = L2365))</f>
        <v>0</v>
      </c>
    </row>
    <row r="2366" spans="5:14" x14ac:dyDescent="0.2">
      <c r="E2366" s="9" t="s">
        <v>28</v>
      </c>
      <c r="K2366" t="str">
        <v>style</v>
      </c>
      <c r="M2366" s="4" t="str">
        <f t="shared" si="36"/>
        <v>style</v>
      </c>
      <c r="N2366" s="4" cm="1">
        <f t="array" ref="N2366">SUM(--(_xlfn.TEXTSPLIT($J$2232,, " ") = L2366))</f>
        <v>0</v>
      </c>
    </row>
    <row r="2367" spans="5:14" x14ac:dyDescent="0.2">
      <c r="E2367" s="9" t="s">
        <v>28</v>
      </c>
      <c r="K2367" t="str">
        <v>and</v>
      </c>
      <c r="M2367" s="4" t="str">
        <f t="shared" si="36"/>
        <v>and</v>
      </c>
      <c r="N2367" s="4" cm="1">
        <f t="array" ref="N2367">SUM(--(_xlfn.TEXTSPLIT($J$2232,, " ") = L2367))</f>
        <v>0</v>
      </c>
    </row>
    <row r="2368" spans="5:14" x14ac:dyDescent="0.2">
      <c r="E2368" s="9" t="s">
        <v>28</v>
      </c>
      <c r="K2368" t="str">
        <v>stay</v>
      </c>
      <c r="M2368" s="4" t="str">
        <f t="shared" si="36"/>
        <v>stay</v>
      </c>
      <c r="N2368" s="4" cm="1">
        <f t="array" ref="N2368">SUM(--(_xlfn.TEXTSPLIT($J$2232,, " ") = L2368))</f>
        <v>0</v>
      </c>
    </row>
    <row r="2369" spans="5:14" x14ac:dyDescent="0.2">
      <c r="E2369" s="9" t="s">
        <v>28</v>
      </c>
      <c r="K2369" t="str">
        <v>a</v>
      </c>
      <c r="M2369" s="4" t="str">
        <f t="shared" si="36"/>
        <v>a</v>
      </c>
      <c r="N2369" s="4" cm="1">
        <f t="array" ref="N2369">SUM(--(_xlfn.TEXTSPLIT($J$2232,, " ") = L2369))</f>
        <v>0</v>
      </c>
    </row>
    <row r="2370" spans="5:14" x14ac:dyDescent="0.2">
      <c r="E2370" s="9" t="s">
        <v>28</v>
      </c>
      <c r="K2370" t="str">
        <v xml:space="preserve">while
</v>
      </c>
      <c r="M2370" s="4" t="str">
        <f t="shared" si="36"/>
        <v xml:space="preserve">while </v>
      </c>
      <c r="N2370" s="4" cm="1">
        <f t="array" ref="N2370">SUM(--(_xlfn.TEXTSPLIT($J$2232,, " ") = L2370))</f>
        <v>0</v>
      </c>
    </row>
    <row r="2371" spans="5:14" x14ac:dyDescent="0.2">
      <c r="E2371" s="9" t="s">
        <v>28</v>
      </c>
      <c r="K2371" t="str">
        <v>The</v>
      </c>
      <c r="M2371" s="4" t="str">
        <f t="shared" si="36"/>
        <v>The</v>
      </c>
      <c r="N2371" s="4" cm="1">
        <f t="array" ref="N2371">SUM(--(_xlfn.TEXTSPLIT($J$2232,, " ") = L2371))</f>
        <v>0</v>
      </c>
    </row>
    <row r="2372" spans="5:14" x14ac:dyDescent="0.2">
      <c r="E2372" s="9" t="s">
        <v>28</v>
      </c>
      <c r="K2372" t="str">
        <v>lines</v>
      </c>
      <c r="M2372" s="4" t="str">
        <f t="shared" si="36"/>
        <v>lines</v>
      </c>
      <c r="N2372" s="4" cm="1">
        <f t="array" ref="N2372">SUM(--(_xlfn.TEXTSPLIT($J$2232,, " ") = L2372))</f>
        <v>0</v>
      </c>
    </row>
    <row r="2373" spans="5:14" x14ac:dyDescent="0.2">
      <c r="E2373" s="9" t="s">
        <v>28</v>
      </c>
      <c r="K2373" t="str">
        <v>on</v>
      </c>
      <c r="M2373" s="4" t="str">
        <f t="shared" si="36"/>
        <v>on</v>
      </c>
      <c r="N2373" s="4" cm="1">
        <f t="array" ref="N2373">SUM(--(_xlfn.TEXTSPLIT($J$2232,, " ") = L2373))</f>
        <v>0</v>
      </c>
    </row>
    <row r="2374" spans="5:14" x14ac:dyDescent="0.2">
      <c r="E2374" s="9" t="s">
        <v>28</v>
      </c>
      <c r="K2374" t="str">
        <v>the</v>
      </c>
      <c r="M2374" s="4" t="str">
        <f t="shared" si="36"/>
        <v>the</v>
      </c>
      <c r="N2374" s="4" cm="1">
        <f t="array" ref="N2374">SUM(--(_xlfn.TEXTSPLIT($J$2232,, " ") = L2374))</f>
        <v>0</v>
      </c>
    </row>
    <row r="2375" spans="5:14" x14ac:dyDescent="0.2">
      <c r="E2375" s="9" t="s">
        <v>28</v>
      </c>
      <c r="K2375" t="str">
        <v>floor,</v>
      </c>
      <c r="M2375" s="4" t="str">
        <f t="shared" si="36"/>
        <v xml:space="preserve">floor </v>
      </c>
      <c r="N2375" s="4" cm="1">
        <f t="array" ref="N2375">SUM(--(_xlfn.TEXTSPLIT($J$2232,, " ") = L2375))</f>
        <v>0</v>
      </c>
    </row>
    <row r="2376" spans="5:14" x14ac:dyDescent="0.2">
      <c r="E2376" s="9" t="s">
        <v>28</v>
      </c>
      <c r="K2376" t="str">
        <v>how</v>
      </c>
      <c r="M2376" s="4" t="str">
        <f t="shared" si="36"/>
        <v>how</v>
      </c>
      <c r="N2376" s="4" cm="1">
        <f t="array" ref="N2376">SUM(--(_xlfn.TEXTSPLIT($J$2232,, " ") = L2376))</f>
        <v>0</v>
      </c>
    </row>
    <row r="2377" spans="5:14" x14ac:dyDescent="0.2">
      <c r="E2377" s="9" t="s">
        <v>28</v>
      </c>
      <c r="K2377" t="str">
        <v>did</v>
      </c>
      <c r="M2377" s="4" t="str">
        <f t="shared" si="36"/>
        <v>did</v>
      </c>
      <c r="N2377" s="4" cm="1">
        <f t="array" ref="N2377">SUM(--(_xlfn.TEXTSPLIT($J$2232,, " ") = L2377))</f>
        <v>0</v>
      </c>
    </row>
    <row r="2378" spans="5:14" x14ac:dyDescent="0.2">
      <c r="E2378" s="9" t="s">
        <v>28</v>
      </c>
      <c r="K2378" t="str">
        <v>you</v>
      </c>
      <c r="M2378" s="4" t="str">
        <f t="shared" si="36"/>
        <v>you</v>
      </c>
      <c r="N2378" s="4" cm="1">
        <f t="array" ref="N2378">SUM(--(_xlfn.TEXTSPLIT($J$2232,, " ") = L2378))</f>
        <v>0</v>
      </c>
    </row>
    <row r="2379" spans="5:14" x14ac:dyDescent="0.2">
      <c r="E2379" s="9" t="s">
        <v>28</v>
      </c>
      <c r="K2379" t="str">
        <v>find</v>
      </c>
      <c r="M2379" s="4" t="str">
        <f t="shared" si="36"/>
        <v>find</v>
      </c>
      <c r="N2379" s="4" cm="1">
        <f t="array" ref="N2379">SUM(--(_xlfn.TEXTSPLIT($J$2232,, " ") = L2379))</f>
        <v>0</v>
      </c>
    </row>
    <row r="2380" spans="5:14" x14ac:dyDescent="0.2">
      <c r="E2380" s="9" t="s">
        <v>28</v>
      </c>
      <c r="K2380" t="str">
        <v xml:space="preserve">me?
</v>
      </c>
      <c r="M2380" s="4" t="str">
        <f t="shared" si="36"/>
        <v xml:space="preserve">me   </v>
      </c>
      <c r="N2380" s="4" cm="1">
        <f t="array" ref="N2380">SUM(--(_xlfn.TEXTSPLIT($J$2232,, " ") = L2380))</f>
        <v>0</v>
      </c>
    </row>
    <row r="2381" spans="5:14" x14ac:dyDescent="0.2">
      <c r="E2381" s="9" t="s">
        <v>28</v>
      </c>
      <c r="K2381" t="str">
        <v xml:space="preserve">Woo
</v>
      </c>
      <c r="M2381" s="4" t="str">
        <f t="shared" si="36"/>
        <v xml:space="preserve">Woo </v>
      </c>
      <c r="N2381" s="4" cm="1">
        <f t="array" ref="N2381">SUM(--(_xlfn.TEXTSPLIT($J$2232,, " ") = L2381))</f>
        <v>0</v>
      </c>
    </row>
    <row r="2382" spans="5:14" x14ac:dyDescent="0.2">
      <c r="E2382" s="9" t="s">
        <v>28</v>
      </c>
      <c r="K2382" t="str">
        <v>I</v>
      </c>
      <c r="M2382" s="4" t="str">
        <f t="shared" si="36"/>
        <v>I</v>
      </c>
      <c r="N2382" s="4" cm="1">
        <f t="array" ref="N2382">SUM(--(_xlfn.TEXTSPLIT($J$2232,, " ") = L2382))</f>
        <v>0</v>
      </c>
    </row>
    <row r="2383" spans="5:14" x14ac:dyDescent="0.2">
      <c r="E2383" s="9" t="s">
        <v>28</v>
      </c>
      <c r="K2383" t="str">
        <v>wasn't</v>
      </c>
      <c r="M2383" s="4" t="str">
        <f t="shared" si="36"/>
        <v>wasn t</v>
      </c>
      <c r="N2383" s="4" cm="1">
        <f t="array" ref="N2383">SUM(--(_xlfn.TEXTSPLIT($J$2232,, " ") = L2383))</f>
        <v>0</v>
      </c>
    </row>
    <row r="2384" spans="5:14" x14ac:dyDescent="0.2">
      <c r="E2384" s="9" t="s">
        <v>28</v>
      </c>
      <c r="K2384" t="str">
        <v>lookin'</v>
      </c>
      <c r="M2384" s="4" t="str">
        <f t="shared" si="36"/>
        <v xml:space="preserve">lookin </v>
      </c>
      <c r="N2384" s="4" cm="1">
        <f t="array" ref="N2384">SUM(--(_xlfn.TEXTSPLIT($J$2232,, " ") = L2384))</f>
        <v>0</v>
      </c>
    </row>
    <row r="2385" spans="5:14" x14ac:dyDescent="0.2">
      <c r="E2385" s="9" t="s">
        <v>28</v>
      </c>
      <c r="K2385" t="str">
        <v>for</v>
      </c>
      <c r="M2385" s="4" t="str">
        <f t="shared" si="36"/>
        <v>for</v>
      </c>
      <c r="N2385" s="4" cm="1">
        <f t="array" ref="N2385">SUM(--(_xlfn.TEXTSPLIT($J$2232,, " ") = L2385))</f>
        <v>0</v>
      </c>
    </row>
    <row r="2386" spans="5:14" x14ac:dyDescent="0.2">
      <c r="E2386" s="9" t="s">
        <v>28</v>
      </c>
      <c r="K2386" t="str">
        <v>love</v>
      </c>
      <c r="M2386" s="4" t="str">
        <f t="shared" si="36"/>
        <v>love</v>
      </c>
      <c r="N2386" s="4" cm="1">
        <f t="array" ref="N2386">SUM(--(_xlfn.TEXTSPLIT($J$2232,, " ") = L2386))</f>
        <v>0</v>
      </c>
    </row>
    <row r="2387" spans="5:14" x14ac:dyDescent="0.2">
      <c r="E2387" s="9" t="s">
        <v>28</v>
      </c>
      <c r="K2387" t="str">
        <v>this</v>
      </c>
      <c r="M2387" s="4" t="str">
        <f t="shared" si="36"/>
        <v>this</v>
      </c>
      <c r="N2387" s="4" cm="1">
        <f t="array" ref="N2387">SUM(--(_xlfn.TEXTSPLIT($J$2232,, " ") = L2387))</f>
        <v>0</v>
      </c>
    </row>
    <row r="2388" spans="5:14" x14ac:dyDescent="0.2">
      <c r="E2388" s="9" t="s">
        <v>28</v>
      </c>
      <c r="K2388" t="str">
        <v xml:space="preserve">year
</v>
      </c>
      <c r="M2388" s="4" t="str">
        <f t="shared" si="36"/>
        <v xml:space="preserve">year </v>
      </c>
      <c r="N2388" s="4" cm="1">
        <f t="array" ref="N2388">SUM(--(_xlfn.TEXTSPLIT($J$2232,, " ") = L2388))</f>
        <v>0</v>
      </c>
    </row>
    <row r="2389" spans="5:14" x14ac:dyDescent="0.2">
      <c r="E2389" s="9" t="s">
        <v>28</v>
      </c>
      <c r="K2389" t="str">
        <v>But</v>
      </c>
      <c r="M2389" s="4" t="str">
        <f t="shared" si="36"/>
        <v>But</v>
      </c>
      <c r="N2389" s="4" cm="1">
        <f t="array" ref="N2389">SUM(--(_xlfn.TEXTSPLIT($J$2232,, " ") = L2389))</f>
        <v>0</v>
      </c>
    </row>
    <row r="2390" spans="5:14" x14ac:dyDescent="0.2">
      <c r="E2390" s="9" t="s">
        <v>28</v>
      </c>
      <c r="K2390" t="str">
        <v>my</v>
      </c>
      <c r="M2390" s="4" t="str">
        <f t="shared" si="36"/>
        <v>my</v>
      </c>
      <c r="N2390" s="4" cm="1">
        <f t="array" ref="N2390">SUM(--(_xlfn.TEXTSPLIT($J$2232,, " ") = L2390))</f>
        <v>0</v>
      </c>
    </row>
    <row r="2391" spans="5:14" x14ac:dyDescent="0.2">
      <c r="E2391" s="9" t="s">
        <v>28</v>
      </c>
      <c r="K2391" t="str">
        <v>robot</v>
      </c>
      <c r="M2391" s="4" t="str">
        <f t="shared" si="36"/>
        <v>robot</v>
      </c>
      <c r="N2391" s="4" cm="1">
        <f t="array" ref="N2391">SUM(--(_xlfn.TEXTSPLIT($J$2232,, " ") = L2391))</f>
        <v>0</v>
      </c>
    </row>
    <row r="2392" spans="5:14" x14ac:dyDescent="0.2">
      <c r="E2392" s="9" t="s">
        <v>28</v>
      </c>
      <c r="K2392" t="str">
        <v>told</v>
      </c>
      <c r="M2392" s="4" t="str">
        <f t="shared" si="36"/>
        <v>told</v>
      </c>
      <c r="N2392" s="4" cm="1">
        <f t="array" ref="N2392">SUM(--(_xlfn.TEXTSPLIT($J$2232,, " ") = L2392))</f>
        <v>0</v>
      </c>
    </row>
    <row r="2393" spans="5:14" x14ac:dyDescent="0.2">
      <c r="E2393" s="9" t="s">
        <v>28</v>
      </c>
      <c r="K2393" t="str">
        <v>me</v>
      </c>
      <c r="M2393" s="4" t="str">
        <f t="shared" si="36"/>
        <v>me</v>
      </c>
      <c r="N2393" s="4" cm="1">
        <f t="array" ref="N2393">SUM(--(_xlfn.TEXTSPLIT($J$2232,, " ") = L2393))</f>
        <v>0</v>
      </c>
    </row>
    <row r="2394" spans="5:14" x14ac:dyDescent="0.2">
      <c r="E2394" s="9" t="s">
        <v>28</v>
      </c>
      <c r="K2394" t="str">
        <v>that</v>
      </c>
      <c r="M2394" s="4" t="str">
        <f t="shared" si="36"/>
        <v>that</v>
      </c>
      <c r="N2394" s="4" cm="1">
        <f t="array" ref="N2394">SUM(--(_xlfn.TEXTSPLIT($J$2232,, " ") = L2394))</f>
        <v>0</v>
      </c>
    </row>
    <row r="2395" spans="5:14" x14ac:dyDescent="0.2">
      <c r="E2395" s="9" t="s">
        <v>28</v>
      </c>
      <c r="K2395" t="str">
        <v>I</v>
      </c>
      <c r="M2395" s="4" t="str">
        <f t="shared" si="36"/>
        <v>I</v>
      </c>
      <c r="N2395" s="4" cm="1">
        <f t="array" ref="N2395">SUM(--(_xlfn.TEXTSPLIT($J$2232,, " ") = L2395))</f>
        <v>0</v>
      </c>
    </row>
    <row r="2396" spans="5:14" x14ac:dyDescent="0.2">
      <c r="E2396" s="9" t="s">
        <v>28</v>
      </c>
      <c r="K2396" t="str">
        <v>shouldn't</v>
      </c>
      <c r="M2396" s="4" t="str">
        <f t="shared" si="36"/>
        <v>shouldn t</v>
      </c>
      <c r="N2396" s="4" cm="1">
        <f t="array" ref="N2396">SUM(--(_xlfn.TEXTSPLIT($J$2232,, " ") = L2396))</f>
        <v>0</v>
      </c>
    </row>
    <row r="2397" spans="5:14" x14ac:dyDescent="0.2">
      <c r="E2397" s="9" t="s">
        <v>28</v>
      </c>
      <c r="K2397" t="str">
        <v xml:space="preserve">fear
</v>
      </c>
      <c r="M2397" s="4" t="str">
        <f t="shared" si="36"/>
        <v xml:space="preserve">fear </v>
      </c>
      <c r="N2397" s="4" cm="1">
        <f t="array" ref="N2397">SUM(--(_xlfn.TEXTSPLIT($J$2232,, " ") = L2397))</f>
        <v>0</v>
      </c>
    </row>
    <row r="2398" spans="5:14" x14ac:dyDescent="0.2">
      <c r="E2398" s="9" t="s">
        <v>28</v>
      </c>
      <c r="K2398" t="str">
        <v>When</v>
      </c>
      <c r="M2398" s="4" t="str">
        <f t="shared" si="36"/>
        <v>When</v>
      </c>
      <c r="N2398" s="4" cm="1">
        <f t="array" ref="N2398">SUM(--(_xlfn.TEXTSPLIT($J$2232,, " ") = L2398))</f>
        <v>0</v>
      </c>
    </row>
    <row r="2399" spans="5:14" x14ac:dyDescent="0.2">
      <c r="E2399" s="9" t="s">
        <v>28</v>
      </c>
      <c r="K2399" t="str">
        <v>I</v>
      </c>
      <c r="M2399" s="4" t="str">
        <f t="shared" si="36"/>
        <v>I</v>
      </c>
      <c r="N2399" s="4" cm="1">
        <f t="array" ref="N2399">SUM(--(_xlfn.TEXTSPLIT($J$2232,, " ") = L2399))</f>
        <v>0</v>
      </c>
    </row>
    <row r="2400" spans="5:14" x14ac:dyDescent="0.2">
      <c r="E2400" s="9" t="s">
        <v>28</v>
      </c>
      <c r="K2400" t="str">
        <v>met</v>
      </c>
      <c r="M2400" s="4" t="str">
        <f t="shared" si="36"/>
        <v>met</v>
      </c>
      <c r="N2400" s="4" cm="1">
        <f t="array" ref="N2400">SUM(--(_xlfn.TEXTSPLIT($J$2232,, " ") = L2400))</f>
        <v>0</v>
      </c>
    </row>
    <row r="2401" spans="5:14" x14ac:dyDescent="0.2">
      <c r="E2401" s="9" t="s">
        <v>28</v>
      </c>
      <c r="K2401" t="str">
        <v>you,</v>
      </c>
      <c r="M2401" s="4" t="str">
        <f t="shared" si="36"/>
        <v xml:space="preserve">you </v>
      </c>
      <c r="N2401" s="4" cm="1">
        <f t="array" ref="N2401">SUM(--(_xlfn.TEXTSPLIT($J$2232,, " ") = L2401))</f>
        <v>0</v>
      </c>
    </row>
    <row r="2402" spans="5:14" x14ac:dyDescent="0.2">
      <c r="E2402" s="9" t="s">
        <v>28</v>
      </c>
      <c r="K2402" t="str">
        <v>I</v>
      </c>
      <c r="M2402" s="4" t="str">
        <f t="shared" si="36"/>
        <v>I</v>
      </c>
      <c r="N2402" s="4" cm="1">
        <f t="array" ref="N2402">SUM(--(_xlfn.TEXTSPLIT($J$2232,, " ") = L2402))</f>
        <v>0</v>
      </c>
    </row>
    <row r="2403" spans="5:14" x14ac:dyDescent="0.2">
      <c r="E2403" s="9" t="s">
        <v>28</v>
      </c>
      <c r="K2403" t="str">
        <v>found</v>
      </c>
      <c r="M2403" s="4" t="str">
        <f t="shared" si="36"/>
        <v>found</v>
      </c>
      <c r="N2403" s="4" cm="1">
        <f t="array" ref="N2403">SUM(--(_xlfn.TEXTSPLIT($J$2232,, " ") = L2403))</f>
        <v>0</v>
      </c>
    </row>
    <row r="2404" spans="5:14" x14ac:dyDescent="0.2">
      <c r="E2404" s="9" t="s">
        <v>28</v>
      </c>
      <c r="K2404" t="str">
        <v>you</v>
      </c>
      <c r="M2404" s="4" t="str">
        <f t="shared" si="36"/>
        <v>you</v>
      </c>
      <c r="N2404" s="4" cm="1">
        <f t="array" ref="N2404">SUM(--(_xlfn.TEXTSPLIT($J$2232,, " ") = L2404))</f>
        <v>0</v>
      </c>
    </row>
    <row r="2405" spans="5:14" x14ac:dyDescent="0.2">
      <c r="E2405" s="9" t="s">
        <v>28</v>
      </c>
      <c r="K2405" t="str">
        <v>safe</v>
      </c>
      <c r="M2405" s="4" t="str">
        <f t="shared" si="36"/>
        <v>safe</v>
      </c>
      <c r="N2405" s="4" cm="1">
        <f t="array" ref="N2405">SUM(--(_xlfn.TEXTSPLIT($J$2232,, " ") = L2405))</f>
        <v>0</v>
      </c>
    </row>
    <row r="2406" spans="5:14" x14ac:dyDescent="0.2">
      <c r="E2406" s="9" t="s">
        <v>28</v>
      </c>
      <c r="K2406" t="str">
        <v>and</v>
      </c>
      <c r="M2406" s="4" t="str">
        <f t="shared" si="36"/>
        <v>and</v>
      </c>
      <c r="N2406" s="4" cm="1">
        <f t="array" ref="N2406">SUM(--(_xlfn.TEXTSPLIT($J$2232,, " ") = L2406))</f>
        <v>0</v>
      </c>
    </row>
    <row r="2407" spans="5:14" x14ac:dyDescent="0.2">
      <c r="E2407" s="9" t="s">
        <v>28</v>
      </c>
      <c r="K2407" t="str">
        <v xml:space="preserve">warm
</v>
      </c>
      <c r="M2407" s="4" t="str">
        <f t="shared" si="36"/>
        <v xml:space="preserve">warm </v>
      </c>
      <c r="N2407" s="4" cm="1">
        <f t="array" ref="N2407">SUM(--(_xlfn.TEXTSPLIT($J$2232,, " ") = L2407))</f>
        <v>0</v>
      </c>
    </row>
    <row r="2408" spans="5:14" x14ac:dyDescent="0.2">
      <c r="E2408" s="9" t="s">
        <v>28</v>
      </c>
      <c r="K2408" t="str">
        <v>Then</v>
      </c>
      <c r="M2408" s="4" t="str">
        <f t="shared" si="36"/>
        <v>Then</v>
      </c>
      <c r="N2408" s="4" cm="1">
        <f t="array" ref="N2408">SUM(--(_xlfn.TEXTSPLIT($J$2232,, " ") = L2408))</f>
        <v>0</v>
      </c>
    </row>
    <row r="2409" spans="5:14" x14ac:dyDescent="0.2">
      <c r="E2409" s="9" t="s">
        <v>28</v>
      </c>
      <c r="K2409" t="str">
        <v>the</v>
      </c>
      <c r="M2409" s="4" t="str">
        <f t="shared" si="36"/>
        <v>the</v>
      </c>
      <c r="N2409" s="4" cm="1">
        <f t="array" ref="N2409">SUM(--(_xlfn.TEXTSPLIT($J$2232,, " ") = L2409))</f>
        <v>0</v>
      </c>
    </row>
    <row r="2410" spans="5:14" x14ac:dyDescent="0.2">
      <c r="E2410" s="9" t="s">
        <v>28</v>
      </c>
      <c r="K2410" t="str">
        <v>robot</v>
      </c>
      <c r="M2410" s="4" t="str">
        <f t="shared" si="36"/>
        <v>robot</v>
      </c>
      <c r="N2410" s="4" cm="1">
        <f t="array" ref="N2410">SUM(--(_xlfn.TEXTSPLIT($J$2232,, " ") = L2410))</f>
        <v>0</v>
      </c>
    </row>
    <row r="2411" spans="5:14" x14ac:dyDescent="0.2">
      <c r="E2411" s="9" t="s">
        <v>28</v>
      </c>
      <c r="K2411" t="str">
        <v>voices</v>
      </c>
      <c r="M2411" s="4" t="str">
        <f t="shared" ref="M2411:M2447" si="37">_xlfn.REGEXREPLACE(K2411, "[^A-Za-z ]", " ")</f>
        <v>voices</v>
      </c>
      <c r="N2411" s="4" cm="1">
        <f t="array" ref="N2411">SUM(--(_xlfn.TEXTSPLIT($J$2232,, " ") = L2411))</f>
        <v>0</v>
      </c>
    </row>
    <row r="2412" spans="5:14" x14ac:dyDescent="0.2">
      <c r="E2412" s="9" t="s">
        <v>28</v>
      </c>
      <c r="K2412" t="str">
        <v>would</v>
      </c>
      <c r="M2412" s="4" t="str">
        <f t="shared" si="37"/>
        <v>would</v>
      </c>
      <c r="N2412" s="4" cm="1">
        <f t="array" ref="N2412">SUM(--(_xlfn.TEXTSPLIT($J$2232,, " ") = L2412))</f>
        <v>0</v>
      </c>
    </row>
    <row r="2413" spans="5:14" x14ac:dyDescent="0.2">
      <c r="E2413" s="9" t="s">
        <v>28</v>
      </c>
      <c r="K2413" t="str">
        <v>reassure</v>
      </c>
      <c r="M2413" s="4" t="str">
        <f t="shared" si="37"/>
        <v>reassure</v>
      </c>
      <c r="N2413" s="4" cm="1">
        <f t="array" ref="N2413">SUM(--(_xlfn.TEXTSPLIT($J$2232,, " ") = L2413))</f>
        <v>0</v>
      </c>
    </row>
    <row r="2414" spans="5:14" x14ac:dyDescent="0.2">
      <c r="E2414" s="9" t="s">
        <v>28</v>
      </c>
      <c r="K2414" t="str">
        <v xml:space="preserve">me
</v>
      </c>
      <c r="M2414" s="4" t="str">
        <f t="shared" si="37"/>
        <v xml:space="preserve">me </v>
      </c>
      <c r="N2414" s="4" cm="1">
        <f t="array" ref="N2414">SUM(--(_xlfn.TEXTSPLIT($J$2232,, " ") = L2414))</f>
        <v>0</v>
      </c>
    </row>
    <row r="2415" spans="5:14" x14ac:dyDescent="0.2">
      <c r="E2415" s="9" t="s">
        <v>28</v>
      </c>
      <c r="K2415" t="str">
        <v>I</v>
      </c>
      <c r="M2415" s="4" t="str">
        <f t="shared" si="37"/>
        <v>I</v>
      </c>
      <c r="N2415" s="4" cm="1">
        <f t="array" ref="N2415">SUM(--(_xlfn.TEXTSPLIT($J$2232,, " ") = L2415))</f>
        <v>0</v>
      </c>
    </row>
    <row r="2416" spans="5:14" x14ac:dyDescent="0.2">
      <c r="E2416" s="9" t="s">
        <v>28</v>
      </c>
      <c r="K2416" t="str">
        <v>wasn't</v>
      </c>
      <c r="M2416" s="4" t="str">
        <f t="shared" si="37"/>
        <v>wasn t</v>
      </c>
      <c r="N2416" s="4" cm="1">
        <f t="array" ref="N2416">SUM(--(_xlfn.TEXTSPLIT($J$2232,, " ") = L2416))</f>
        <v>0</v>
      </c>
    </row>
    <row r="2417" spans="5:14" x14ac:dyDescent="0.2">
      <c r="E2417" s="9" t="s">
        <v>28</v>
      </c>
      <c r="K2417" t="str">
        <v>lookin'</v>
      </c>
      <c r="M2417" s="4" t="str">
        <f t="shared" si="37"/>
        <v xml:space="preserve">lookin </v>
      </c>
      <c r="N2417" s="4" cm="1">
        <f t="array" ref="N2417">SUM(--(_xlfn.TEXTSPLIT($J$2232,, " ") = L2417))</f>
        <v>0</v>
      </c>
    </row>
    <row r="2418" spans="5:14" x14ac:dyDescent="0.2">
      <c r="E2418" s="9" t="s">
        <v>28</v>
      </c>
      <c r="K2418" t="str">
        <v>for</v>
      </c>
      <c r="M2418" s="4" t="str">
        <f t="shared" si="37"/>
        <v>for</v>
      </c>
      <c r="N2418" s="4" cm="1">
        <f t="array" ref="N2418">SUM(--(_xlfn.TEXTSPLIT($J$2232,, " ") = L2418))</f>
        <v>0</v>
      </c>
    </row>
    <row r="2419" spans="5:14" x14ac:dyDescent="0.2">
      <c r="E2419" s="9" t="s">
        <v>28</v>
      </c>
      <c r="K2419" t="str">
        <v>love</v>
      </c>
      <c r="M2419" s="4" t="str">
        <f t="shared" si="37"/>
        <v>love</v>
      </c>
      <c r="N2419" s="4" cm="1">
        <f t="array" ref="N2419">SUM(--(_xlfn.TEXTSPLIT($J$2232,, " ") = L2419))</f>
        <v>0</v>
      </c>
    </row>
    <row r="2420" spans="5:14" x14ac:dyDescent="0.2">
      <c r="E2420" s="9" t="s">
        <v>28</v>
      </c>
      <c r="K2420" t="str">
        <v>this</v>
      </c>
      <c r="M2420" s="4" t="str">
        <f t="shared" si="37"/>
        <v>this</v>
      </c>
      <c r="N2420" s="4" cm="1">
        <f t="array" ref="N2420">SUM(--(_xlfn.TEXTSPLIT($J$2232,, " ") = L2420))</f>
        <v>0</v>
      </c>
    </row>
    <row r="2421" spans="5:14" x14ac:dyDescent="0.2">
      <c r="E2421" s="9" t="s">
        <v>28</v>
      </c>
      <c r="K2421" t="str">
        <v xml:space="preserve">year
</v>
      </c>
      <c r="M2421" s="4" t="str">
        <f t="shared" si="37"/>
        <v xml:space="preserve">year </v>
      </c>
      <c r="N2421" s="4" cm="1">
        <f t="array" ref="N2421">SUM(--(_xlfn.TEXTSPLIT($J$2232,, " ") = L2421))</f>
        <v>0</v>
      </c>
    </row>
    <row r="2422" spans="5:14" x14ac:dyDescent="0.2">
      <c r="E2422" s="9" t="s">
        <v>28</v>
      </c>
      <c r="K2422" t="str">
        <v>But</v>
      </c>
      <c r="M2422" s="4" t="str">
        <f t="shared" si="37"/>
        <v>But</v>
      </c>
      <c r="N2422" s="4" cm="1">
        <f t="array" ref="N2422">SUM(--(_xlfn.TEXTSPLIT($J$2232,, " ") = L2422))</f>
        <v>0</v>
      </c>
    </row>
    <row r="2423" spans="5:14" x14ac:dyDescent="0.2">
      <c r="E2423" s="9" t="s">
        <v>28</v>
      </c>
      <c r="K2423" t="str">
        <v>my</v>
      </c>
      <c r="M2423" s="4" t="str">
        <f t="shared" si="37"/>
        <v>my</v>
      </c>
      <c r="N2423" s="4" cm="1">
        <f t="array" ref="N2423">SUM(--(_xlfn.TEXTSPLIT($J$2232,, " ") = L2423))</f>
        <v>0</v>
      </c>
    </row>
    <row r="2424" spans="5:14" x14ac:dyDescent="0.2">
      <c r="E2424" s="9" t="s">
        <v>28</v>
      </c>
      <c r="K2424" t="str">
        <v>robot</v>
      </c>
      <c r="M2424" s="4" t="str">
        <f t="shared" si="37"/>
        <v>robot</v>
      </c>
      <c r="N2424" s="4" cm="1">
        <f t="array" ref="N2424">SUM(--(_xlfn.TEXTSPLIT($J$2232,, " ") = L2424))</f>
        <v>0</v>
      </c>
    </row>
    <row r="2425" spans="5:14" x14ac:dyDescent="0.2">
      <c r="E2425" s="9" t="s">
        <v>28</v>
      </c>
      <c r="K2425" t="str">
        <v>told</v>
      </c>
      <c r="M2425" s="4" t="str">
        <f t="shared" si="37"/>
        <v>told</v>
      </c>
      <c r="N2425" s="4" cm="1">
        <f t="array" ref="N2425">SUM(--(_xlfn.TEXTSPLIT($J$2232,, " ") = L2425))</f>
        <v>0</v>
      </c>
    </row>
    <row r="2426" spans="5:14" x14ac:dyDescent="0.2">
      <c r="E2426" s="9" t="s">
        <v>28</v>
      </c>
      <c r="K2426" t="str">
        <v>me</v>
      </c>
      <c r="M2426" s="4" t="str">
        <f t="shared" si="37"/>
        <v>me</v>
      </c>
      <c r="N2426" s="4" cm="1">
        <f t="array" ref="N2426">SUM(--(_xlfn.TEXTSPLIT($J$2232,, " ") = L2426))</f>
        <v>0</v>
      </c>
    </row>
    <row r="2427" spans="5:14" x14ac:dyDescent="0.2">
      <c r="E2427" s="9" t="s">
        <v>28</v>
      </c>
      <c r="K2427" t="str">
        <v>that</v>
      </c>
      <c r="M2427" s="4" t="str">
        <f t="shared" si="37"/>
        <v>that</v>
      </c>
      <c r="N2427" s="4" cm="1">
        <f t="array" ref="N2427">SUM(--(_xlfn.TEXTSPLIT($J$2232,, " ") = L2427))</f>
        <v>0</v>
      </c>
    </row>
    <row r="2428" spans="5:14" x14ac:dyDescent="0.2">
      <c r="E2428" s="9" t="s">
        <v>28</v>
      </c>
      <c r="K2428" t="str">
        <v>I</v>
      </c>
      <c r="M2428" s="4" t="str">
        <f t="shared" si="37"/>
        <v>I</v>
      </c>
      <c r="N2428" s="4" cm="1">
        <f t="array" ref="N2428">SUM(--(_xlfn.TEXTSPLIT($J$2232,, " ") = L2428))</f>
        <v>0</v>
      </c>
    </row>
    <row r="2429" spans="5:14" x14ac:dyDescent="0.2">
      <c r="E2429" s="9" t="s">
        <v>28</v>
      </c>
      <c r="K2429" t="str">
        <v>shouldn't</v>
      </c>
      <c r="M2429" s="4" t="str">
        <f t="shared" si="37"/>
        <v>shouldn t</v>
      </c>
      <c r="N2429" s="4" cm="1">
        <f t="array" ref="N2429">SUM(--(_xlfn.TEXTSPLIT($J$2232,, " ") = L2429))</f>
        <v>0</v>
      </c>
    </row>
    <row r="2430" spans="5:14" x14ac:dyDescent="0.2">
      <c r="E2430" s="9" t="s">
        <v>28</v>
      </c>
      <c r="K2430" t="str">
        <v xml:space="preserve">fear
</v>
      </c>
      <c r="M2430" s="4" t="str">
        <f t="shared" si="37"/>
        <v xml:space="preserve">fear </v>
      </c>
      <c r="N2430" s="4" cm="1">
        <f t="array" ref="N2430">SUM(--(_xlfn.TEXTSPLIT($J$2232,, " ") = L2430))</f>
        <v>0</v>
      </c>
    </row>
    <row r="2431" spans="5:14" x14ac:dyDescent="0.2">
      <c r="E2431" s="9" t="s">
        <v>28</v>
      </c>
      <c r="K2431" t="str">
        <v>When</v>
      </c>
      <c r="M2431" s="4" t="str">
        <f t="shared" si="37"/>
        <v>When</v>
      </c>
      <c r="N2431" s="4" cm="1">
        <f t="array" ref="N2431">SUM(--(_xlfn.TEXTSPLIT($J$2232,, " ") = L2431))</f>
        <v>0</v>
      </c>
    </row>
    <row r="2432" spans="5:14" x14ac:dyDescent="0.2">
      <c r="E2432" s="9" t="s">
        <v>28</v>
      </c>
      <c r="K2432" t="str">
        <v>I</v>
      </c>
      <c r="M2432" s="4" t="str">
        <f t="shared" si="37"/>
        <v>I</v>
      </c>
      <c r="N2432" s="4" cm="1">
        <f t="array" ref="N2432">SUM(--(_xlfn.TEXTSPLIT($J$2232,, " ") = L2432))</f>
        <v>0</v>
      </c>
    </row>
    <row r="2433" spans="2:21" x14ac:dyDescent="0.2">
      <c r="E2433" s="9" t="s">
        <v>28</v>
      </c>
      <c r="K2433" t="str">
        <v>met</v>
      </c>
      <c r="M2433" s="4" t="str">
        <f t="shared" si="37"/>
        <v>met</v>
      </c>
      <c r="N2433" s="4" cm="1">
        <f t="array" ref="N2433">SUM(--(_xlfn.TEXTSPLIT($J$2232,, " ") = L2433))</f>
        <v>0</v>
      </c>
    </row>
    <row r="2434" spans="2:21" x14ac:dyDescent="0.2">
      <c r="E2434" s="9" t="s">
        <v>28</v>
      </c>
      <c r="K2434" t="str">
        <v>you,</v>
      </c>
      <c r="M2434" s="4" t="str">
        <f t="shared" si="37"/>
        <v xml:space="preserve">you </v>
      </c>
      <c r="N2434" s="4" cm="1">
        <f t="array" ref="N2434">SUM(--(_xlfn.TEXTSPLIT($J$2232,, " ") = L2434))</f>
        <v>0</v>
      </c>
    </row>
    <row r="2435" spans="2:21" x14ac:dyDescent="0.2">
      <c r="E2435" s="9" t="s">
        <v>28</v>
      </c>
      <c r="K2435" t="str">
        <v>I</v>
      </c>
      <c r="M2435" s="4" t="str">
        <f t="shared" si="37"/>
        <v>I</v>
      </c>
      <c r="N2435" s="4" cm="1">
        <f t="array" ref="N2435">SUM(--(_xlfn.TEXTSPLIT($J$2232,, " ") = L2435))</f>
        <v>0</v>
      </c>
    </row>
    <row r="2436" spans="2:21" x14ac:dyDescent="0.2">
      <c r="E2436" s="9" t="s">
        <v>28</v>
      </c>
      <c r="K2436" t="str">
        <v>found</v>
      </c>
      <c r="M2436" s="4" t="str">
        <f t="shared" si="37"/>
        <v>found</v>
      </c>
      <c r="N2436" s="4" cm="1">
        <f t="array" ref="N2436">SUM(--(_xlfn.TEXTSPLIT($J$2232,, " ") = L2436))</f>
        <v>0</v>
      </c>
    </row>
    <row r="2437" spans="2:21" x14ac:dyDescent="0.2">
      <c r="E2437" s="9" t="s">
        <v>28</v>
      </c>
      <c r="K2437" t="str">
        <v>you</v>
      </c>
      <c r="M2437" s="4" t="str">
        <f t="shared" si="37"/>
        <v>you</v>
      </c>
      <c r="N2437" s="4" cm="1">
        <f t="array" ref="N2437">SUM(--(_xlfn.TEXTSPLIT($J$2232,, " ") = L2437))</f>
        <v>0</v>
      </c>
    </row>
    <row r="2438" spans="2:21" x14ac:dyDescent="0.2">
      <c r="E2438" s="9" t="s">
        <v>28</v>
      </c>
      <c r="K2438" t="str">
        <v>safe</v>
      </c>
      <c r="M2438" s="4" t="str">
        <f t="shared" si="37"/>
        <v>safe</v>
      </c>
      <c r="N2438" s="4" cm="1">
        <f t="array" ref="N2438">SUM(--(_xlfn.TEXTSPLIT($J$2232,, " ") = L2438))</f>
        <v>0</v>
      </c>
    </row>
    <row r="2439" spans="2:21" x14ac:dyDescent="0.2">
      <c r="E2439" s="9" t="s">
        <v>28</v>
      </c>
      <c r="K2439" t="str">
        <v>and</v>
      </c>
      <c r="M2439" s="4" t="str">
        <f t="shared" si="37"/>
        <v>and</v>
      </c>
      <c r="N2439" s="4" cm="1">
        <f t="array" ref="N2439">SUM(--(_xlfn.TEXTSPLIT($J$2232,, " ") = L2439))</f>
        <v>0</v>
      </c>
    </row>
    <row r="2440" spans="2:21" x14ac:dyDescent="0.2">
      <c r="E2440" s="9" t="s">
        <v>28</v>
      </c>
      <c r="K2440" t="str">
        <v xml:space="preserve">warm
</v>
      </c>
      <c r="M2440" s="4" t="str">
        <f t="shared" si="37"/>
        <v xml:space="preserve">warm </v>
      </c>
      <c r="N2440" s="4" cm="1">
        <f t="array" ref="N2440">SUM(--(_xlfn.TEXTSPLIT($J$2232,, " ") = L2440))</f>
        <v>0</v>
      </c>
    </row>
    <row r="2441" spans="2:21" x14ac:dyDescent="0.2">
      <c r="E2441" s="9" t="s">
        <v>28</v>
      </c>
      <c r="K2441" t="str">
        <v>Then</v>
      </c>
      <c r="M2441" s="4" t="str">
        <f t="shared" si="37"/>
        <v>Then</v>
      </c>
      <c r="N2441" s="4" cm="1">
        <f t="array" ref="N2441">SUM(--(_xlfn.TEXTSPLIT($J$2232,, " ") = L2441))</f>
        <v>0</v>
      </c>
    </row>
    <row r="2442" spans="2:21" x14ac:dyDescent="0.2">
      <c r="E2442" s="9" t="s">
        <v>28</v>
      </c>
      <c r="K2442" t="str">
        <v>the</v>
      </c>
      <c r="M2442" s="4" t="str">
        <f t="shared" si="37"/>
        <v>the</v>
      </c>
      <c r="N2442" s="4" cm="1">
        <f t="array" ref="N2442">SUM(--(_xlfn.TEXTSPLIT($J$2232,, " ") = L2442))</f>
        <v>0</v>
      </c>
    </row>
    <row r="2443" spans="2:21" x14ac:dyDescent="0.2">
      <c r="E2443" s="9" t="s">
        <v>28</v>
      </c>
      <c r="K2443" t="str">
        <v>robot</v>
      </c>
      <c r="M2443" s="4" t="str">
        <f t="shared" si="37"/>
        <v>robot</v>
      </c>
      <c r="N2443" s="4" cm="1">
        <f t="array" ref="N2443">SUM(--(_xlfn.TEXTSPLIT($J$2232,, " ") = L2443))</f>
        <v>0</v>
      </c>
    </row>
    <row r="2444" spans="2:21" x14ac:dyDescent="0.2">
      <c r="E2444" s="9" t="s">
        <v>28</v>
      </c>
      <c r="K2444" t="str">
        <v>voices</v>
      </c>
      <c r="M2444" s="4" t="str">
        <f t="shared" si="37"/>
        <v>voices</v>
      </c>
      <c r="N2444" s="4" cm="1">
        <f t="array" ref="N2444">SUM(--(_xlfn.TEXTSPLIT($J$2232,, " ") = L2444))</f>
        <v>0</v>
      </c>
    </row>
    <row r="2445" spans="2:21" x14ac:dyDescent="0.2">
      <c r="E2445" s="9" t="s">
        <v>28</v>
      </c>
      <c r="K2445" t="str">
        <v>would</v>
      </c>
      <c r="M2445" s="4" t="str">
        <f t="shared" si="37"/>
        <v>would</v>
      </c>
      <c r="N2445" s="4" cm="1">
        <f t="array" ref="N2445">SUM(--(_xlfn.TEXTSPLIT($J$2232,, " ") = L2445))</f>
        <v>0</v>
      </c>
    </row>
    <row r="2446" spans="2:21" x14ac:dyDescent="0.2">
      <c r="E2446" s="9" t="s">
        <v>28</v>
      </c>
      <c r="K2446" t="str">
        <v>reassure</v>
      </c>
      <c r="M2446" s="4" t="str">
        <f t="shared" si="37"/>
        <v>reassure</v>
      </c>
      <c r="N2446" s="4" cm="1">
        <f t="array" ref="N2446">SUM(--(_xlfn.TEXTSPLIT($J$2232,, " ") = L2446))</f>
        <v>0</v>
      </c>
    </row>
    <row r="2447" spans="2:21" x14ac:dyDescent="0.2">
      <c r="E2447" s="9" t="s">
        <v>28</v>
      </c>
      <c r="K2447" t="str">
        <v>me</v>
      </c>
      <c r="M2447" s="4" t="str">
        <f t="shared" si="37"/>
        <v>me</v>
      </c>
      <c r="N2447" s="4" cm="1">
        <f t="array" ref="N2447">SUM(--(_xlfn.TEXTSPLIT($J$2232,, " ") = L2447))</f>
        <v>0</v>
      </c>
    </row>
    <row r="2448" spans="2:21" s="4" customFormat="1" x14ac:dyDescent="0.2">
      <c r="B2448" s="5"/>
      <c r="C2448" s="6"/>
      <c r="D2448" s="7"/>
      <c r="E2448" s="9"/>
      <c r="G2448" s="8"/>
      <c r="H2448" s="9"/>
      <c r="J2448"/>
      <c r="O2448"/>
      <c r="P2448"/>
      <c r="Q2448"/>
      <c r="R2448"/>
      <c r="S2448"/>
      <c r="T2448"/>
      <c r="U24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City Walls</vt:lpstr>
      <vt:lpstr>The one</vt:lpstr>
      <vt:lpstr>City Walls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Meredith Smith</dc:creator>
  <cp:lastModifiedBy>Meredith Smith</cp:lastModifiedBy>
  <dcterms:created xsi:type="dcterms:W3CDTF">2025-09-14T20:16:50Z</dcterms:created>
  <dcterms:modified xsi:type="dcterms:W3CDTF">2026-01-06T19:31:41Z</dcterms:modified>
</cp:coreProperties>
</file>